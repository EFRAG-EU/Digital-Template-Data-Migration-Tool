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C:\Users\stuar\Downloads\"/>
    </mc:Choice>
  </mc:AlternateContent>
  <xr:revisionPtr revIDLastSave="0" documentId="13_ncr:1_{DB6D2AF0-E273-4129-9C85-E37FFADA0F77}" xr6:coauthVersionLast="47" xr6:coauthVersionMax="47" xr10:uidLastSave="{00000000-0000-0000-0000-000000000000}"/>
  <bookViews>
    <workbookView xWindow="-103" yWindow="-103" windowWidth="27977" windowHeight="18000" tabRatio="672" xr2:uid="{2424E359-BB1A-4C61-AEBD-805991FC6353}"/>
  </bookViews>
  <sheets>
    <sheet name="Language Selection" sheetId="19"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ootnotes" sheetId="21" r:id="rId8"/>
    <sheet name="Fuel Converter" sheetId="8" r:id="rId9"/>
    <sheet name="Fuel Conversion Parameters" sheetId="15" r:id="rId10"/>
    <sheet name="Unit Of Measurement Converter" sheetId="9" r:id="rId11"/>
    <sheet name="Enumeration Lists" sheetId="6" r:id="rId12"/>
    <sheet name="Translations" sheetId="17" r:id="rId13"/>
    <sheet name="Changes" sheetId="22" r:id="rId14"/>
    <sheet name="Technical Sheet" sheetId="11" r:id="rId15"/>
    <sheet name="Licence" sheetId="14" r:id="rId16"/>
    <sheet name="Footnote (Taxonomy) Labels" sheetId="18" r:id="rId17"/>
  </sheets>
  <definedNames>
    <definedName name="_xlnm._FilterDatabase" localSheetId="13" hidden="1">Changes!$A$1:$F$124</definedName>
    <definedName name="_xlnm._FilterDatabase" localSheetId="11" hidden="1">'Enumeration Lists'!$A$1:$AE$1049</definedName>
    <definedName name="_xlnm._FilterDatabase" localSheetId="5" hidden="1">'Social Disclosures'!$E$1:$E$197</definedName>
    <definedName name="_xlnm._FilterDatabase" localSheetId="12" hidden="1">Translations!$A$1:$N$482</definedName>
    <definedName name="AddressOfSite">'General Information'!$D$402:$D$501</definedName>
    <definedName name="AmountOfEmissionsTable">'Environmental Disclosures'!$D$74:$K$173</definedName>
    <definedName name="AmountOfEmissionToAir">'Environmental Disclosures'!$G$74:$I$173</definedName>
    <definedName name="AmountOfEmissionToAir_unit">'Environmental Disclosures'!$C$72</definedName>
    <definedName name="AmountOfEmissionToSoil">'Environmental Disclosures'!$K$74:$K$173</definedName>
    <definedName name="AmountOfEmissionToSoil_unit">'Environmental Disclosures'!$C$72</definedName>
    <definedName name="AmountOfEmissionToWater">'Environmental Disclosures'!$J$74:$J$173</definedName>
    <definedName name="AmountOfEmissionToWater_unit">'Environmental Disclosures'!$C$72</definedName>
    <definedName name="AmountOfOtherPollutantEmissionTable">'Environmental Disclosures'!$D$174:$K$184</definedName>
    <definedName name="AmountOfOtherPollutantEmissionToAir">'Environmental Disclosures'!$G$174:$I$184</definedName>
    <definedName name="AmountOfOtherPollutantEmissionToSoil">'Environmental Disclosures'!$K$174:$K$184</definedName>
    <definedName name="AmountOfOtherPollutantEmissionToWater">'Environmental Disclosures'!$J$174:$J$184</definedName>
    <definedName name="AmountOfWaterConsumedAtSitesLocatedInAreasWithWaterStress">'Environmental Disclosures'!$D$304</definedName>
    <definedName name="Assets">'General Information'!$E$278</definedName>
    <definedName name="AverageNumberOfAnnualTrainingHoursPerEmployee">'Social Disclosures'!$D$155</definedName>
    <definedName name="BaselineYearMember">'Environmental Disclosures'!$G$21</definedName>
    <definedName name="BasisForPreparation">'General Information'!$E$125</definedName>
    <definedName name="BasisForReporting">'General Information'!$E$175</definedName>
    <definedName name="BreakdownOfAnnualMassFlowOfRelevantMaterialsUsedByTheUndertakingHypercube">'Environmental Disclosures'!$C$432:$I$531</definedName>
    <definedName name="BreakdownOfEnergyConsumptionAxis">'Environmental Disclosures'!$C$12:$F$14</definedName>
    <definedName name="BreakdownOfEnergyConsumptionTable">'Environmental Disclosures'!$G$12:$K$14</definedName>
    <definedName name="CityOfSite">'General Information'!$F$402:$F$501</definedName>
    <definedName name="CountryOfEmploymentContractAxis">'Social Disclosures'!$C$29:$D$128</definedName>
    <definedName name="CountryOfPrimaryOperationsAndLocationOfSignificantAssets">'General Information'!$E$283</definedName>
    <definedName name="CountryOfSite">'General Information'!$G$402:$G$501</definedName>
    <definedName name="DateOfAdoptionOfTransitionPlanForUndertakingNotHavingAdoptedTransitionPlanYet">'Environmental Disclosures'!$D$62</definedName>
    <definedName name="DescriptionOfActionsTakeToAddressTheConfirmedIncidents">'Social Disclosures'!$D$189</definedName>
    <definedName name="DescriptionOfATargetRelatedToAPolicy">'General Information'!$E$518</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Disclosures'!$E$537</definedName>
    <definedName name="DescriptionOfHowCircularEconomyPrinciplesAreApplied">'Environmental Disclosures'!$D$310</definedName>
    <definedName name="DescriptionOfKeyElementsOfStrategyThatRelatesToOrAffectsSustainabilityIssues">'General Information'!$E$527</definedName>
    <definedName name="DescriptionOfLimitsToTheDistributionOfProfitsConnectedToTheMutualisticNatureOrToTheNatureOfTheActivitiesConsistingInServicesOfGeneralEconomicInterestSGEI">'General Information'!$D$514</definedName>
    <definedName name="DescriptionOfMainBusinessRelationships">'General Information'!$E$525</definedName>
    <definedName name="DescriptionOfPracticesPoliciesAndOrFutureInitiatives">'General Information'!$E$517</definedName>
    <definedName name="DescriptionOfSignificantGroupsOfProductsAndOrServicesOffered">'General Information'!$E$523</definedName>
    <definedName name="DescriptionOfSignificantMarketsTheUndertakingOperatesIn">'General Information'!$E$524</definedName>
    <definedName name="DescriptionOfSustainabilityRelatedCertificationsOrLabels">'General Information'!$E$393</definedName>
    <definedName name="DescriptionOfTheEffectiveParticipationOfWorkersUsersOrOtherInterestedPartiesOrCommunitiesInGovernance">'General Information'!$D$512</definedName>
    <definedName name="DisclosureOfAnyOtherEnvironmentalAndOrEntitySpecificEnvironmentalDisclosures">'Environmental Disclosures'!$C$545</definedName>
    <definedName name="DisclosureOfAnyOtherGeneralAndOrEntitySpecificInformation">'General Information'!$C$531</definedName>
    <definedName name="DisclosureOfAnyOtherGovernanceAndOrEntitySpecificGovernanceDisclosures">'Governance Disclosures'!$C$30</definedName>
    <definedName name="DisclosureOfAnyOtherSocialAndOrEntitySpecificSocialDisclosures">'Social Disclosures'!$C$197</definedName>
    <definedName name="DisclosureOfHowItHasAssessedTheExposureAndSensitivityOfItsAssetsActivitiesAndValueChainToTheseHazardsAndTransitionEvents">'Environmental Disclosures'!$E$538</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Disclosures'!$E$540</definedName>
    <definedName name="EmployeeCountingMethodology">'General Information'!$E$281</definedName>
    <definedName name="EmployeesReceivePayEqualOrAboveMinimumWageDeterminedByNationalLawOrCollectiveAgreement">'Social Disclosures'!$D$142</definedName>
    <definedName name="EmployeeTurnoverRate">'Social Disclosures'!$D$161</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Lists'!$S$2:$S$4</definedName>
    <definedName name="enum_list_mass_volume">'Enumeration Lists'!$AE$2:$AE$3</definedName>
    <definedName name="enum_list_options">'Enumeration Lists'!$AC$2:$AC$3</definedName>
    <definedName name="enum_list_true_false">'Enumeration Lists'!$AD$2:$AD$3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Lists'!$B$2:$B$398</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Lists'!$Q$2:$Q$28</definedName>
    <definedName name="enum_ListOmittedDisclosures">'Enumeration Lists'!$T$2:$T$15</definedName>
    <definedName name="enum_ListOmittedDisclosuresWithNone">'Enumeration Lists'!$F$2:$F$22</definedName>
    <definedName name="enum_ListPollutants">'Enumeration Lists'!$G$2:$G$96</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EstimatedAbsoluteGreenhouseGasEmissionsTable">'Environmental Disclosures'!$D$21:$J$26,'Environmental Disclosures'!$D$45:$J$47</definedName>
    <definedName name="ExplicitStatementOfCompliance">'General Information'!$E$126</definedName>
    <definedName name="FemaleToMaleRatioAtManagementLevelForTheReportingPeriod">'Social Disclosures'!$D$164</definedName>
    <definedName name="FinancialInvestmentInTheCapitalOrAssetsOfSocialEconomyEntities">'General Information'!$D$513</definedName>
    <definedName name="footnote_ref_concept">Footnotes!$D$4:$D$1523</definedName>
    <definedName name="footnote_ref_dimension">Footnotes!$C$4:$C$1523</definedName>
    <definedName name="footnote_table">Footnotes!$B$4:$D$1523</definedName>
    <definedName name="footnote_text">Footnotes!$B$4:$B$1523</definedName>
    <definedName name="GenderDiversityRatioInGovernanceBody">'Governance Disclosures'!$H$25</definedName>
    <definedName name="GPSLocationOfSite">'General Information'!$H$402:$H$501</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Disclosures'!$C$432:$C$531</definedName>
    <definedName name="IdentifierOfSiteTypedAxis">'General Information'!$C$402:$C$501</definedName>
    <definedName name="IdentifierOfSiteTypedAxis_SitesInBiodiversitySensitiveAreasTable">'Environmental Disclosures'!$C$191:$C$290</definedName>
    <definedName name="IdentifierOfSubsidiaryTypedAxis">'General Information'!$C$288:$C$387</definedName>
    <definedName name="IntroductionAndOrEntitySpecificInformation">'General Information'!$C$17</definedName>
    <definedName name="LinkToPreviousReportContainingDisclosuresThatRemainUnchanged">'General Information'!$E$122</definedName>
    <definedName name="ListOfDisclosuresForWhichNoChangesAreReportedComparedToThePreviousPeriodReporting">'General Information'!$E$22:$E$121</definedName>
    <definedName name="ListOfOmittedDisclosures">'General Information'!$E$127:$E$172</definedName>
    <definedName name="ListOfSitesTable">'General Information'!$C$402:$H$501</definedName>
    <definedName name="ListOfSubsidiaryTable">'General Information'!$C$288:$E$387</definedName>
    <definedName name="MostSeniorLevelInTheUndertakingAccountableForImplementationOfPracticesPoliciesAndFutureInitiatives">'General Information'!$E$519</definedName>
    <definedName name="NaceSectorClassificationCodes">'General Information'!$E$178:$E$277</definedName>
    <definedName name="NameOfBiodiversitySensitiveArea">'Environmental Disclosures'!$G$191:$I$290</definedName>
    <definedName name="NameOfMaterialUsed">'Environmental Disclosures'!$D$432:$F$531</definedName>
    <definedName name="NameOfOtherPollutantTypedAxis">'Environmental Disclosures'!$D$174:$F$184</definedName>
    <definedName name="NameOfTheSubsidiary">'General Information'!$D$288:$D$387</definedName>
    <definedName name="NumberOfEmployees">'General Information'!$E$280</definedName>
    <definedName name="NumberOfEmployeesForCountryOfEmploymentContract">'Social Disclosures'!$E$29:$H$128</definedName>
    <definedName name="NumberOfEmployeesForCountryOfEmploymentContractTable">'Social Disclosures'!$C$29:$H$128</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Disclosures'!$D$133</definedName>
    <definedName name="NumberOfTemporaryContractEmployees">'Social Disclosures'!$D$11</definedName>
    <definedName name="OtherUndertakingsLegalForm">'General Information'!$E$177</definedName>
    <definedName name="PercentageGapInPayBetweenFemaleAndMaleEmployees">'Social Disclosures'!$D$146</definedName>
    <definedName name="PercentageOfEmployeesCoveredByCollectiveBargainingAgreements">'Social Disclosures'!$D$148</definedName>
    <definedName name="PercentageOfWasteDivertedToPreparationForReuseMass">'Environmental Disclosures'!$L$316:$L$415</definedName>
    <definedName name="PercentageOfWasteDivertedToPreparationForReuseVolume">'Environmental Disclosures'!$L$316:$L$415</definedName>
    <definedName name="PercentageOfWasteDivertedToRecyclingMass">'Environmental Disclosures'!$K$316:$K$415</definedName>
    <definedName name="PercentageOfWasteDivertedToRecyclingVolume">'Environmental Disclosures'!$K$316:$K$415</definedName>
    <definedName name="PostalCodeOfSite">'General Information'!$E$402:$E$501</definedName>
    <definedName name="PotentialAdverseEffectsOfClimateRisksThatMayAffectItsFinancialPerformanceOrBusinessOperationsInTheShortMediumOrLongTermIndicatingWhetherItAssessesTheRisksToBeHighMediumOrLow">'Environmental Disclosures'!$E$541</definedName>
    <definedName name="PracticePolicyAndOrFutureInitiativeIsPubliclyAvailable">'General Information'!$N$508</definedName>
    <definedName name="PubliclyAvailableDisclosure">'Environmental Disclosures'!$G$69</definedName>
    <definedName name="RateOfRecordableWorkRelatedAccidentsInTheReportingPeriod">'Social Disclosures'!$D$138</definedName>
    <definedName name="RegisteredAddressOfTheSubsidiary">'General Information'!$E$288:$E$387</definedName>
    <definedName name="ReportContainsDisclosuresFromThePreviousReportingPeriodThatRemainUnchanged">'General Information'!$E$21</definedName>
    <definedName name="RevenueDerivedFromChemicalProduction">'Governance Disclosures'!$H$18</definedName>
    <definedName name="RevenueDerivedFromCoal">'Governance Disclosures'!$H$14</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RevenueDerivedFromTheProhibitedWeaponsIndustryAntiPersonnelMinesClusterMunitionsChemicalWeaponsAndBiologicalWeapons">'Governance Disclosures'!$H$12</definedName>
    <definedName name="SiteLocatedInABiodiversitySensitiveArea">'Environmental Disclosures'!$J$191:$J$290</definedName>
    <definedName name="SiteLocatedNearABiodiversitySensitiveArea">'Environmental Disclosures'!$K$191:$K$290</definedName>
    <definedName name="SitesInBiodiversitySensitiveAreasTable">'Environmental Disclosures'!$C$191:$K$290</definedName>
    <definedName name="SpecificationOfAnyConfirmedIncidentInvolvingWorkersInTheValueChainAffectedCommunitiesConsumersAndEndUsers">'Social Disclosures'!$D$191</definedName>
    <definedName name="SpecificationOfOtherHumanRightsRelatedToTheConfirmedIncident">'Social Disclosures'!$D$188</definedName>
    <definedName name="SpecificationOfOtherTypesOfContentCoveredByTheCodeOfConductOrHumanRightsPolicy">'Social Disclosures'!$D$177</definedName>
    <definedName name="StatusOfImplementationOfATransitionPlanInRelationToClimateChangeMitigation">'Environmental Disclosures'!$D$57</definedName>
    <definedName name="SumOfFatalitiesAsAResultOfRecordableWorkRelatedAccidentsAndRecordableWorkRelatedIllHealth">'Social Disclosures'!$D$139</definedName>
    <definedName name="SustainabilityIssueAddressedByPracticePolicyAndOrFutureInitiative">'General Information'!$D$508:$M$508</definedName>
    <definedName name="TargetYearMember">'Environmental Disclosures'!$J$21</definedName>
    <definedName name="template_b1_basis_for_preparation">'General Information'!$C$124</definedName>
    <definedName name="template_b1_disclosure_of_sustainability_related_certifications_or_labels">'General Information'!$C$389</definedName>
    <definedName name="template_b1_list_of_sites">'General Information'!$C$395</definedName>
    <definedName name="template_b1_list_of_subsidiaries">'General Information'!$C$285</definedName>
    <definedName name="template_b1_other_undertakings_general_information">'General Information'!$C$174</definedName>
    <definedName name="template_b10_workforce_number_of_training">'Social Disclosures'!$C$150</definedName>
    <definedName name="template_b10_workforce_remuneration_collective_bargaining_and_training">'Social Disclosures'!$C$141</definedName>
    <definedName name="template_b11_convictions_and_fines_for_corruption_and_bribery">'Governance Disclosures'!$C$2</definedName>
    <definedName name="template_b2_cooperative_specific_disclosures">'General Information'!$C$510</definedName>
    <definedName name="template_b2_practices_policies_and_future_initiatives_for_transitioning_towards_a_more_sustainable_economy">'General Information'!$C$503</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total_energy_consumption_in_MWh">'Environmental Disclosures'!$C$2</definedName>
    <definedName name="template_b4_pollution_of_air_water_and_soil">'Environmental Disclosures'!$C$65</definedName>
    <definedName name="template_b5_sites_in_biodiversity_sensitive_areas">'Environmental Disclosures'!$C$186</definedName>
    <definedName name="template_b6_water_consumption">'Environmental Disclosures'!$C$298</definedName>
    <definedName name="template_b6_water_withdrawal">'Environmental Disclosures'!$C$293</definedName>
    <definedName name="template_b7_annual_mass_flow_of_relevant_materials_used">'Environmental Disclosures'!$C$427</definedName>
    <definedName name="template_b7_description_of_circular_economy_principles">'Environmental Disclosures'!$C$306</definedName>
    <definedName name="template_b7_waste_generated">'Environmental Disclosures'!$C$312</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ype_of_contract">'Social Disclosures'!$C$6</definedName>
    <definedName name="template_b9_workforce_health_and_safety">'Social Disclosures'!$C$132</definedName>
    <definedName name="template_box_for_customizable_docx_files_for_narrative_disclosures">Translations!$B$55</definedName>
    <definedName name="template_c1_strategy_business_model_and_sustainability">'General Information'!$C$522</definedName>
    <definedName name="template_c2_description_of_practices_policies_and_future_initiatives_for_transitioning_towards_a_more_sustainable_economy">'General Information'!$C$516</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Disclosures'!$C$535</definedName>
    <definedName name="template_c5_additional_general_workforce_characteristics">'Social Disclosures'!$C$157</definedName>
    <definedName name="template_c6_additional_own_workforce_information_human_rights_policies_and_processes">'Social Disclosures'!$C$168</definedName>
    <definedName name="template_c7_severe_negative_human_rights_incidents">'Social Disclosures'!$C$180</definedName>
    <definedName name="template_c8_revenues_from_certain_sectors">'Governance Disclosures'!$C$9</definedName>
    <definedName name="template_c9_gender_diversity_ratio_in_the_governance_body">'Governance Disclosures'!$C$21</definedName>
    <definedName name="template_checkbox_b1_certifications_or_labels">'Table of Contents &amp; Validation'!$D$15</definedName>
    <definedName name="template_checkbox_b1_certifications_or_labels_docx">'Table of Contents &amp; Validation'!$E$15</definedName>
    <definedName name="template_checkbox_b1_list_of_sites">'Table of Contents &amp; Validation'!$D$16</definedName>
    <definedName name="template_checkbox_b1_list_of_subsidiaries">'Table of Contents &amp; Validation'!$D$14</definedName>
    <definedName name="template_checkbox_b1_other_undertakings_information">'Table of Contents &amp; Validation'!$D$13</definedName>
    <definedName name="template_checkbox_b10_number_annual_training_hours_per_employee">'Table of Contents &amp; Validation'!$D$42</definedName>
    <definedName name="template_checkbox_b10_remuneration_and_collective_bargaining">'Table of Contents &amp; Validation'!$D$41</definedName>
    <definedName name="template_checkbox_b11_convitions_and_fines_for_corruption_and_bribery">'Table of Contents &amp; Validation'!$D$44</definedName>
    <definedName name="template_checkbox_b2_cooperative_specific_disclosures">'Table of Contents &amp; Validation'!$D$18</definedName>
    <definedName name="template_checkbox_b2_practices_policies_and_future_initiatives">'Table of Contents &amp; Validation'!$D$17</definedName>
    <definedName name="template_checkbox_b3_breakdown_of_energy_consumption">'Table of Contents &amp; Validation'!$D$22</definedName>
    <definedName name="template_checkbox_b3_estimated_ghg_emissions">'Table of Contents &amp; Validation'!$D$23</definedName>
    <definedName name="template_checkbox_b3_total_energy_consumption">'Table of Contents &amp; Validation'!$D$21</definedName>
    <definedName name="template_checkbox_b4_pollution_of_air_water_and_soil">'Table of Contents &amp; Validation'!$D$24</definedName>
    <definedName name="template_checkbox_b5_sites_in_biodiversity_sensitive_areas">'Table of Contents &amp; Validation'!$D$26</definedName>
    <definedName name="template_checkbox_b6_water_consumption">'Table of Contents &amp; Validation'!$D$29</definedName>
    <definedName name="template_checkbox_b6_water_withdrawal">'Table of Contents &amp; Validation'!$D$28</definedName>
    <definedName name="template_checkbox_b7_annual_mass_flow_of_materials">'Table of Contents &amp; Validation'!$D$33</definedName>
    <definedName name="template_checkbox_b7_description_of_circular_economy_principles">'Table of Contents &amp; Validation'!$D$31</definedName>
    <definedName name="template_checkbox_b7_description_of_circular_economy_principles_docx">'Table of Contents &amp; Validation'!$E$31</definedName>
    <definedName name="template_checkbox_b7_waste_generated">'Table of Contents &amp; Validation'!$D$32</definedName>
    <definedName name="template_checkbox_b8_country_of_employment">'Table of Contents &amp; Validation'!$D$38</definedName>
    <definedName name="template_checkbox_b8_gender">'Table of Contents &amp; Validation'!$D$37</definedName>
    <definedName name="template_checkbox_b8_type_of_contract">'Table of Contents &amp; Validation'!$D$36</definedName>
    <definedName name="template_checkbox_b9_health_and_safety">'Table of Contents &amp; Validation'!$D$39</definedName>
    <definedName name="template_checkbox_c1_strategy_business_model_and_sustainability_initiatives">'Table of Contents &amp; Validation'!$D$47</definedName>
    <definedName name="template_checkbox_c1_strategy_business_model_and_sustainability_initiatives_docx">'Table of Contents &amp; Validation'!$E$47</definedName>
    <definedName name="template_checkbox_c2_description_of_practices_policies_and_future_initiatives">'Table of Contents &amp; Validation'!$D$48</definedName>
    <definedName name="template_checkbox_c2_description_of_practices_policies_and_future_initiatives_docx">'Table of Contents &amp; Validation'!$E$48</definedName>
    <definedName name="template_checkbox_c3_ghg_reduction_targets">'Table of Contents &amp; Validation'!$D$51</definedName>
    <definedName name="template_checkbox_c3_list_of_main_actions_to_achieve_targets">'Table of Contents &amp; Validation'!$D$52</definedName>
    <definedName name="template_checkbox_c3_list_of_main_actions_to_achieve_targets_docx">'Table of Contents &amp; Validation'!$E$52</definedName>
    <definedName name="template_checkbox_c3_transition_plan">'Table of Contents &amp; Validation'!$D$53</definedName>
    <definedName name="template_checkbox_c3_transition_plan_docx">'Table of Contents &amp; Validation'!$E$53</definedName>
    <definedName name="template_checkbox_c4_climate_risks">'Table of Contents &amp; Validation'!$D$54</definedName>
    <definedName name="template_checkbox_c4_climate_risks_docx">'Table of Contents &amp; Validation'!$E$54</definedName>
    <definedName name="template_checkbox_c5_additional_workforce_characteristics">'Table of Contents &amp; Validation'!$D$56</definedName>
    <definedName name="template_checkbox_c6_additional_own_workforce_information">'Table of Contents &amp; Validation'!$D$57</definedName>
    <definedName name="template_checkbox_c6_additional_own_workforce_information_docx">'Table of Contents &amp; Validation'!$E$57</definedName>
    <definedName name="template_checkbox_c7_severe_negative_human_rights_incidents">'Table of Contents &amp; Validation'!$D$58</definedName>
    <definedName name="template_checkbox_c7_severe_negative_human_rights_incidents_docx">'Table of Contents &amp; Validation'!$E$58</definedName>
    <definedName name="template_checkbox_c8_revenues_from_certain_activities">'Table of Contents &amp; Validation'!$D$60</definedName>
    <definedName name="template_checkbox_c9_gender_diversity_ratio">'Table of Contents &amp; Validation'!$D$61</definedName>
    <definedName name="template_checkbox_entity_specific_environmental_disclosures">'Table of Contents &amp; Validation'!$D$63</definedName>
    <definedName name="template_checkbox_entity_specific_environmental_disclosures_docx">'Table of Contents &amp; Validation'!$E$63</definedName>
    <definedName name="template_checkbox_entity_specific_governance_disclosures">'Table of Contents &amp; Validation'!$D$65</definedName>
    <definedName name="template_checkbox_entity_specific_governance_disclosures_docx">'Table of Contents &amp; Validation'!$E$65</definedName>
    <definedName name="template_checkbox_entity_specific_social_disclosures">'Table of Contents &amp; Validation'!$D$64</definedName>
    <definedName name="template_checkbox_entity_specific_social_disclosures_docx">'Table of Contents &amp; Validation'!$E$64</definedName>
    <definedName name="template_checkbox_introduction">'Table of Contents &amp; Validation'!$D$7</definedName>
    <definedName name="template_checkbox_introduction_docx">'Table of Contents &amp; Validation'!$E$7</definedName>
    <definedName name="template_classified_or_sensitive_information">Translations!$B$60</definedName>
    <definedName name="template_currency">'General Information'!$D$5</definedName>
    <definedName name="template_disclaimer_cover_page">Translations!$B$472</definedName>
    <definedName name="template_disclosure_of_any_other_environmental_and_or_entity_specific_enviromental_disclosures">'Environmental Disclosures'!$C$543</definedName>
    <definedName name="template_disclosure_of_any_other_general_and_or_entity_specific_information_on_the_reporting_period">'General Information'!$C$15:$E$15</definedName>
    <definedName name="template_disclosure_of_any_other_governance_and_or_entity_specific_governance_disclosures">'Governance Disclosures'!$C$28</definedName>
    <definedName name="template_disclosure_of_any_other_social_and_or_entity_specific_social_disclosures">'Social Disclosures'!$C$195</definedName>
    <definedName name="template_ending_date_display">'Technical Sheet'!$B$3</definedName>
    <definedName name="template_external_values">'Technical Sheet'!$B$281:$B$329</definedName>
    <definedName name="template_filling_sensitive_checkboxes">Translations!$B$57</definedName>
    <definedName name="template_footnote_expansion_button">Translations!$B$481</definedName>
    <definedName name="template_footnote_labels_taxonomy">'Footnote (Taxonomy) Labels'!$A$2:$A$144</definedName>
    <definedName name="template_footnote_technical_name">Translations!$B$480</definedName>
    <definedName name="template_FUEL_CONVERTER">'Fuel Converter'!$A$1</definedName>
    <definedName name="template_further_notes">'Fuel Converter'!$A$36</definedName>
    <definedName name="template_information_on_previous_reporting_period">'General Information'!$C$19</definedName>
    <definedName name="template_information_on_the_report_necessary_for_XBRL">'General Information'!$C$2</definedName>
    <definedName name="template_label_0_provide_information_that_is_mandatory_in_order_to_generate_the_vs_and_xbrl_report">Translations!$B$27</definedName>
    <definedName name="template_label_1_fill_in_the_disclosures_on_the_four_worksheets">Translations!$B$28</definedName>
    <definedName name="template_label_1_in_cell_a9_select_the_fuel_used_searching_for_it_or_scrolling_down_the_list_displayed_clicking_the_cell">Translations!$B$386</definedName>
    <definedName name="template_label_1_in_the_cell_b5_of_the_table_related_to_the_unit_of_measurement_of_mass_converter">Translations!$B$421</definedName>
    <definedName name="template_label_1_purchased_goods_and_services">Translations!$B$198</definedName>
    <definedName name="template_label_10_further_notes_can_be_found_below">Translations!$B$395</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oluntary_standard">Translations!$B$29</definedName>
    <definedName name="template_label_2_in_cell_b9_select_the_unit_of_measurement_used">Translations!$B$387</definedName>
    <definedName name="template_label_2_then_in_the_cell_b6_the_amount_of_mass_can_be_inserted">Translations!$B$422</definedName>
    <definedName name="template_label_3_finally_in_the_cell_d5_there_should_be_the_unit_of_measurement_of_interest">Translations!$B$423</definedName>
    <definedName name="template_label_3_for_open_tables_like_the_list_of_subsidizers_sites_please_expand_the_groups_by_clicking_the_plus">Translations!$B$30</definedName>
    <definedName name="template_label_3_fuel_and_energy_related_activities">Translations!$B$200</definedName>
    <definedName name="template_label_3_in_cell_c9_select_the_amount_of_fuel_used">Translations!$B$388</definedName>
    <definedName name="template_label_4_in_cell_d9_it_is_displayed_the_state_of_matter_for_the_fuel_selected">Translations!$B$389</definedName>
    <definedName name="template_label_4_the_outcome_of_the_conversion_will_be_displayed_in_the_cell_d6">Translations!$B$424</definedName>
    <definedName name="template_label_4_upstream_transportation_and_distribution">Translations!$B$201</definedName>
    <definedName name="template_label_4_validate_the_data_entered_by_checking_the_validation_status">Translations!$B$31</definedName>
    <definedName name="template_label_5_convert_this_template_to_an_inline_xbrl_report">Translations!$B$32</definedName>
    <definedName name="template_label_5_in_cell_e9_it_is_displayed_the_typical_renewability_state_for_the_fuel_selected">Translations!$B$390</definedName>
    <definedName name="template_label_5_waste_generated_in_operations">Translations!$B$202</definedName>
    <definedName name="template_label_6_business_travel">Translations!$B$203</definedName>
    <definedName name="template_label_6_in_cell_f9_is_displayed_the_energy_produced_in_mega_watt_hours_by_the_amount_of_fuel_specified">Translations!$B$391</definedName>
    <definedName name="template_label_6_the_undertaking_may_also_upload_the_report_to_public_repositories_or_a_webpage">Translations!$B$33</definedName>
    <definedName name="template_label_7_employee_commuting">Translations!$B$204</definedName>
    <definedName name="template_label_7_in_cell_a28_is_displayed_the_total_energy_in_mega_watt_hours">Translations!$B$392</definedName>
    <definedName name="template_label_8_in_cell_a31_is_displayed_the_total_renewable_energy_in_mega_watt_hours">Translations!$B$393</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Translations!$B$394</definedName>
    <definedName name="template_label_accident_prevention">Translations!$B$341</definedName>
    <definedName name="template_label_additional_disclosures_validation">Translations!$B$91</definedName>
    <definedName name="template_label_additional_rows_warning">Translations!$B$450</definedName>
    <definedName name="template_label_additionally_users_are_encouraged_to_determine_the_renewability_status_of_each_fuel_based_on_guarantees_of_origin">Translations!$B$378</definedName>
    <definedName name="template_label_address">Translations!$B$137</definedName>
    <definedName name="template_label_affected_communities">Translations!$B$155</definedName>
    <definedName name="template_label_amount">Translations!$B$381</definedName>
    <definedName name="template_label_amount_in">Translations!$B$97</definedName>
    <definedName name="template_label_amount_of_water_consumed_at_sites_located_in_areas_with_water_stress">Translations!$B$248</definedName>
    <definedName name="template_label_at">Translations!$B$96</definedName>
    <definedName name="template_label_automatic_geolocation">Translations!$B$142</definedName>
    <definedName name="template_label_average_gross_hourly_pay_level_of_female_employees">Translations!$B$316</definedName>
    <definedName name="template_label_average_gross_hourly_pay_level_of_male_employees">Translations!$B$315</definedName>
    <definedName name="template_label_average_number_of_annual_training_hours_per_employee">Translations!$B$323</definedName>
    <definedName name="template_label_b1_basis_for_preparation">Translations!$B$114</definedName>
    <definedName name="template_label_b1_basis_for_preparation_validation">Translations!$B$67</definedName>
    <definedName name="template_label_b1_disclosure_of_sustainability_related_certification_or_label">Translations!$B$133</definedName>
    <definedName name="template_label_b1_list_of_site">Translations!$B$136</definedName>
    <definedName name="template_label_b1_list_of_subsidiaries">Translations!$B$129</definedName>
    <definedName name="template_label_b1_other_undertakings_general_information">Translations!$B$115</definedName>
    <definedName name="template_label_b10_workforce_remuneration_collective_bargaining">Translations!$B$312</definedName>
    <definedName name="template_label_b10_workforce_remuneration_collective_bargaining_and_training_validation">Translations!$B$78</definedName>
    <definedName name="template_label_b11_convictions_and_fines_for_corruption_and_bribery">Translations!$B$353</definedName>
    <definedName name="template_label_b11_convictions_and_fines_for_corruption_and_bribery_validation">Translations!$B$80</definedName>
    <definedName name="template_label_b2_cooperative_specific_disclosures">Translations!$B$158</definedName>
    <definedName name="template_label_b2_practices_policies_and_future_initiatives_for_transitioning_towards_a_more_sustainable_economy">Translations!$B$143</definedName>
    <definedName name="template_label_b2_practices_policies_and_future_initiatives_for_transitioning_towards_a_more_sustainable_economy_validation">Translations!$B$68</definedName>
    <definedName name="template_label_b3_breakdown_of_energy_consumption">Translations!$B$176</definedName>
    <definedName name="template_label_b3_energy_and_greenhouse_gas_emissions_validation">Translations!$B$70</definedName>
    <definedName name="template_label_b3_estimated_absolute_greenhouse_gas_emissions">Translations!$B$184</definedName>
    <definedName name="template_label_b3_total_energy_consumption">Translations!$B$174</definedName>
    <definedName name="template_label_b4_pollution_of_air_water_and_soil">Translations!$B$225</definedName>
    <definedName name="template_label_b4_pollution_of_air_water_and_soil_validation">Translations!$B$71</definedName>
    <definedName name="template_label_b5_biodiversity_validation">Translations!$B$72</definedName>
    <definedName name="template_label_b5_sites_in_biodiversity_sensitive_areas">Translations!$B$236</definedName>
    <definedName name="template_label_b6_water_consumption">Translations!$B$245</definedName>
    <definedName name="template_label_b6_water_validation">Translations!$B$73</definedName>
    <definedName name="template_label_b6_water_withdrawal">Translations!$B$243</definedName>
    <definedName name="template_label_b7_annual_mass_flow_of_relevant_materials_used">Translations!$B$272</definedName>
    <definedName name="template_label_b7_description_of_circular_economy_principles">Translations!$B$250</definedName>
    <definedName name="template_label_b7_resource_use_circular_economy_and_waste_management_validation">Translations!$B$74</definedName>
    <definedName name="template_label_b7_waste_generated">Translations!$B$253</definedName>
    <definedName name="template_label_b8_workforce_general_characteristics_country_of_employment">Translations!$B$301</definedName>
    <definedName name="template_label_b8_workforce_general_characteristics_gender">Translations!$B$295</definedName>
    <definedName name="template_label_b8_workforce_general_characteristics_type_of_contract">Translations!$B$290</definedName>
    <definedName name="template_label_b8_workforce_general_characteristics_validation">Translations!$B$76</definedName>
    <definedName name="template_label_b9_workforce_health_and_safety">Translations!$B$304</definedName>
    <definedName name="template_label_b9_workforce_health_and_safety_validation">Translations!$B$77</definedName>
    <definedName name="template_label_base_year">Translations!$B$188</definedName>
    <definedName name="template_label_basic_module">Translations!$B$37</definedName>
    <definedName name="template_label_basic_module_validation">Translations!$B$66</definedName>
    <definedName name="template_label_basis_for_preparation">Translations!$B$116</definedName>
    <definedName name="template_label_basis_for_reporting">Translations!$B$119</definedName>
    <definedName name="template_label_below_are_specified_all_the_units_of_measurement_conversions_of_each_table">Translations!$B$426</definedName>
    <definedName name="template_label_biodiversity_and_ecosystems">Translations!$B$151</definedName>
    <definedName name="template_label_bold_omitted_information">Translations!$B$460</definedName>
    <definedName name="template_label_business_conduct">Translations!$B$157</definedName>
    <definedName name="template_label_buttons_footnotes">Translations!$B$467</definedName>
    <definedName name="template_label_c1_strategy_business_model_and_sustainability_related_initiatives">Translations!$B$166</definedName>
    <definedName name="template_label_c1_strategy_business_model_and_sustainability_related_initiatives_validation">Translations!$B$82</definedName>
    <definedName name="template_label_c2_description_of_practices_policies_and_future_initiatives_for_transitioning_towards_a_more_sustainable_economy">Translations!$B$162</definedName>
    <definedName name="template_label_c2_description_of_practices_policies_and_future_initiatives_for_transitioning_towards_a_more_sustainable_economy_validation">Translations!$B$83</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Translations!$B$84</definedName>
    <definedName name="template_label_c3_transition_plan_for_undertakings_operating_in_high_climate_impact_sectors">Translations!$B$217</definedName>
    <definedName name="template_label_c4_climate_risks">Translations!$B$279</definedName>
    <definedName name="template_label_c4_climate_risks_validation">Translations!$B$85</definedName>
    <definedName name="template_label_c5_additional_general_workforce_characteristics_validation">Translations!$B$86</definedName>
    <definedName name="template_label_c5_additional_workforce_characteristics">Translations!$B$324</definedName>
    <definedName name="template_label_c6_additional_own_workforce_information_human_rights_policies_and_processes">Translations!$B$334</definedName>
    <definedName name="template_label_c6_additional_own_workforce_information_human_rights_policies_and_processes_validation">Translations!$B$87</definedName>
    <definedName name="template_label_c7_human_rights_incidents">Translations!$B$345</definedName>
    <definedName name="template_label_c7_human_rights_incidents_validation">Translations!$B$88</definedName>
    <definedName name="template_label_c8_revenues_from_certain_activities_validation">Translations!$B$89</definedName>
    <definedName name="template_label_c8_revenues_from_certain_sectors">Translations!$B$357</definedName>
    <definedName name="template_label_c9_gender_diversity_ratio_in_the_governance_body">Translations!$B$368</definedName>
    <definedName name="template_label_c9_gender_diversity_ratio_in_the_governance_body_validation">Translations!$B$90</definedName>
    <definedName name="template_label_calculated_energy_in_mwh">Translations!$B$384</definedName>
    <definedName name="template_label_cell_background_color_index">Translations!$B$34</definedName>
    <definedName name="template_label_child_labour">Translations!$B$337</definedName>
    <definedName name="template_label_choice_between_100_or_500_full_time_workers">Translations!$B$308</definedName>
    <definedName name="template_label_circular_economy_and_resource_use">Translations!$B$152</definedName>
    <definedName name="template_label_city">Translations!$B$139</definedName>
    <definedName name="template_label_classified_or_sensitive_information">Translations!$B$444</definedName>
    <definedName name="template_label_climate_change">Translations!$B$148</definedName>
    <definedName name="template_label_complete">Translations!$B$434</definedName>
    <definedName name="template_label_comprehensive_module">Translations!$B$39</definedName>
    <definedName name="template_label_comprehensive_module_validation">Translations!$B$81</definedName>
    <definedName name="template_label_consumers_and_endusers_validation">Translations!$B$156</definedName>
    <definedName name="template_label_contents_grouping_follows_templates_framework">Translations!$B$61</definedName>
    <definedName name="template_label_country">Translations!$B$140</definedName>
    <definedName name="template_label_country_of_employment_contract">Translations!$B$302</definedName>
    <definedName name="template_label_country_of_primary_operations_and_location_of_significant_asset">Translations!$B$128</definedName>
    <definedName name="template_label_cubic_meters">Translations!$B$264</definedName>
    <definedName name="template_label_currency_of_the_monetary_values_in_the_report">Translations!$B$101</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Translations!$B$449</definedName>
    <definedName name="template_label_day">Translations!$B$224</definedName>
    <definedName name="template_label_decimal_separator_document_information">Translations!$B$8</definedName>
    <definedName name="template_label_density_kg_over_l">Translations!$B$417</definedName>
    <definedName name="template_label_description_of_a_practice_policy_and_or_future_initiative_towards_a_more_sustainable_future">Translations!$B$163</definedName>
    <definedName name="template_label_description_of_a_transition_plan_for_climate_change_mitigation">Translations!$B$220</definedName>
    <definedName name="template_label_description_of_actions_taken_to_address_the_confirmed_incidents">Translations!$B$349</definedName>
    <definedName name="template_label_description_of_climate_related_hazards_and_climate_related_transition_events">Translations!$B$281</definedName>
    <definedName name="template_label_description_of_how_it_applies_these_principles">Translations!$B$252</definedName>
    <definedName name="template_label_description_of_main_business_relationships">Translations!$B$169</definedName>
    <definedName name="template_label_description_of_significant_groups_of_products_and_or_services_offered">Translations!$B$167</definedName>
    <definedName name="template_label_description_of_significant_market_the_undertaking_operates_in">Translations!$B$168</definedName>
    <definedName name="template_label_description_of_sustainability_related_certification_or_label">Translations!$B$135</definedName>
    <definedName name="template_label_description_of_target_related_to_a_policy">Translations!$B$164</definedName>
    <definedName name="template_label_description_of_those_key_elements_in_the_strategy_that_relate_or_affect_sustainability_issues">Translations!$B$171</definedName>
    <definedName name="template_label_disclaimer">Translations!$B$375</definedName>
    <definedName name="template_label_disclosure_of_any_other_environmental_and_or_entity_specific_environmental_disclosures">Translations!$B$286</definedName>
    <definedName name="template_label_disclosure_of_any_other_general_and_or_entity_specific_information_on_the_reporting_period">Translations!$B$173</definedName>
    <definedName name="template_label_disclosure_of_any_other_governance_and_or_entity_specific_governance_disclosures">Translations!$B$373</definedName>
    <definedName name="template_label_disclosure_of_any_other_social_and_or_entity_specific_social_disclosures">Translations!$B$352</definedName>
    <definedName name="template_label_disclosure_of_how_it_has_assessed_the_exposure_and_sensitivity_of_its_assets">Translations!$B$282</definedName>
    <definedName name="template_label_disclosure_of_whether_it_has_undertaken_climate_change_adaptation_actions">Translations!$B$284</definedName>
    <definedName name="template_label_disclosure_part_of_vs_guidance">Translations!$B$482</definedName>
    <definedName name="template_label_disclosure_selection">Translations!$B$478</definedName>
    <definedName name="template_label_disclosures_for_which_no_changes_are_reported_compared_to_the_previous_period_reporting">Translations!$B$112</definedName>
    <definedName name="template_label_disclosures_from_the_previous_reporting_period_that_remain_unchanged">Translations!$B$111</definedName>
    <definedName name="template_label_disclosures_related_to_reporting_period">Translations!$B$11</definedName>
    <definedName name="template_label_discrimination">Translations!$B$340</definedName>
    <definedName name="template_label_does_the_undertaking_have_a_code_of_conduct_or_human_rights_policy_for_its_own_workforce">Translations!$B$335</definedName>
    <definedName name="template_label_does_the_undertaking_have_a_complaint_handling_mechanism_for_its_own_workforce">Translations!$B$344</definedName>
    <definedName name="template_label_does_the_undertaking_have_a_governance_body_in_place">Translations!$B$369</definedName>
    <definedName name="template_label_does_the_undertaking_have_confirmed_incidents_in_its_own_workforce">Translations!$B$346</definedName>
    <definedName name="template_label_does_the_undertaking_have_production_processes_in_place_which_significantly_consume_water">Translations!$B$246</definedName>
    <definedName name="template_label_does_the_undertaking_have_sites_that_are_located_in_or_near_biodiversity_sensitive_areas">Translations!$B$237</definedName>
    <definedName name="template_label_does_the_undertaking_operate_in_a_sector_using_significant_material_flows">Translations!$B$273</definedName>
    <definedName name="template_label_effective_participation_of_workers_users_or_other_interested_parties_or_communities_in_governance">Translations!$B$159</definedName>
    <definedName name="template_label_efrag_is_funded_by_the_european_union_through_the_single_market_programme">Translations!$B$52</definedName>
    <definedName name="template_label_electricity">Translations!$B$181</definedName>
    <definedName name="template_label_emission_to_air">Translations!$B$232</definedName>
    <definedName name="template_label_emission_to_soil">Translations!$B$234</definedName>
    <definedName name="template_label_emission_to_water">Translations!$B$233</definedName>
    <definedName name="template_label_employee_counting_methodology_end_of_reporting_period_or_average_during_the_reporting_period">Translations!$B$126</definedName>
    <definedName name="template_label_employee_counting_methodology_for_the_disclosures_below_headcount_full_time_equivalent">Translations!$B$287</definedName>
    <definedName name="template_label_employee_counting_methodology_for_the_disclosures_below_period">Translations!$B$288</definedName>
    <definedName name="template_label_employee_counting_methodology_headcount_or_fulltime_equivalent">Translations!$B$127</definedName>
    <definedName name="template_label_employee_turnover_rate_in_the_reporting_period">Translations!$B$328</definedName>
    <definedName name="template_label_employees_receive_pay_that_is_equal_or_above_applicable_minimum_wage">Translations!$B$313</definedName>
    <definedName name="template_label_ending_day">Translations!$B$108</definedName>
    <definedName name="template_label_ending_month">Translations!$B$107</definedName>
    <definedName name="template_label_ending_year">Translations!$B$106</definedName>
    <definedName name="template_label_energy_consumption_per_hour_in_mwh_for_gaseous_fuels">Translations!$B$407</definedName>
    <definedName name="template_label_energy_consumption_per_hour_in_mwh_for_liquid_fuels">Translations!$B$404</definedName>
    <definedName name="template_label_energy_consumption_per_hour_in_mwh_for_solid_fuels">Translations!$B$402</definedName>
    <definedName name="template_label_energy_consumption_warning">Translations!$B$454</definedName>
    <definedName name="template_label_energy_gaseous_fuels">Translations!$B$409</definedName>
    <definedName name="template_label_energy_liquid_fuels">Translations!$B$406</definedName>
    <definedName name="template_label_energy_solid_fuels">Translations!$B$403</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Translations!$B$69</definedName>
    <definedName name="template_label_error">Translations!$B$436</definedName>
    <definedName name="template_label_error_plus_missing_value">Translations!$B$440</definedName>
    <definedName name="template_label_error_plus_missing_value_plus_value_inconsistency">Translations!$B$439</definedName>
    <definedName name="template_label_error_plus_value_inconsistency">Translations!$B$438</definedName>
    <definedName name="template_label_female">Translations!$B$298</definedName>
    <definedName name="template_label_female_to_male_ratio_at_management_level_for_the_reporting_period">Translations!$B$331</definedName>
    <definedName name="template_label_financial_investment_in_the_capital_or_assets_of_social_economy_entities">Translations!$B$160</definedName>
    <definedName name="template_label_footnote_id">Translations!$B$477</definedName>
    <definedName name="template_label_footnote_instructions">Translations!$B$476</definedName>
    <definedName name="template_label_footnote_text">Translations!$B$479</definedName>
    <definedName name="template_label_for_further_information_contact_email">Translations!$B$53</definedName>
    <definedName name="template_label_forced_labour">Translations!$B$338</definedName>
    <definedName name="template_label_from">Translations!$B$94</definedName>
    <definedName name="template_label_from_capital_case">Translations!$B$411</definedName>
    <definedName name="template_label_fuel_converter">Translations!$B$374</definedName>
    <definedName name="template_label_fuel_type">Translations!$B$380</definedName>
    <definedName name="template_label_fuels">Translations!$B$183</definedName>
    <definedName name="template_label_further_notes">Translations!$B$400</definedName>
    <definedName name="template_label_gaseous_warning">Translations!$B$447</definedName>
    <definedName name="template_label_gender">Translations!$B$296</definedName>
    <definedName name="template_label_gender_diversity_ratio_in_governance_body">Translations!$B$372</definedName>
    <definedName name="template_label_general_and_or_entity_specific_disclosures">Translations!$B$289</definedName>
    <definedName name="template_label_general_information_validation">Translations!$B$63</definedName>
    <definedName name="template_label_general_principles">Translations!$B$35</definedName>
    <definedName name="template_label_geolocalisation_warning">Translations!$B$453</definedName>
    <definedName name="template_label_GHG_calculator">Translations!$B$461</definedName>
    <definedName name="template_label_governance_disclosures_validation">Translations!$B$79</definedName>
    <definedName name="template_label_gps_coordinates">Translations!$B$141</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Translations!$B$170</definedName>
    <definedName name="template_label_has_the_undertaking_has_established_ghg_emission_reduction_targets">Translations!$B$186</definedName>
    <definedName name="template_label_has_the_undertaking_identified_climate_related_hazards_and_climate_related_transition_events">Translations!$B$280</definedName>
    <definedName name="template_label_has_the_undertaking_incurred_in_convictions_and_fines_in_the_reporting_period">Translations!$B$354</definedName>
    <definedName name="template_label_has_the_undertaking_obtained_any_sustainability_related_certification_or_label">Translations!$B$134</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Translations!$B$144</definedName>
    <definedName name="template_label_health_and_safety_formula_warning">Translations!$B$459</definedName>
    <definedName name="template_label_how_to_use_it">Translations!$B$26</definedName>
    <definedName name="template_label_human_trafficking">Translations!$B$339</definedName>
    <definedName name="template_label_id">Translations!$B$130</definedName>
    <definedName name="template_label_identifier_of_the_reporting_entity">Translations!$B$100</definedName>
    <definedName name="template_label_identifier_warning">Translations!$B$448</definedName>
    <definedName name="template_label_if_yes_are_incidents_related_to">Translations!$B$347</definedName>
    <definedName name="template_label_if_yes_does_this_cover">Translations!$B$336</definedName>
    <definedName name="template_label_incomplete">Translations!$B$433</definedName>
    <definedName name="template_label_indicates_that_data_entry_is_ok_and_the_undertaking_can_proceed_to_the_next_disclosure">Translations!$B$47</definedName>
    <definedName name="template_label_indicates_that_either_data_entry_is_incorrect_in_terms_of_format_or_that_certain_information">Translations!$B$45</definedName>
    <definedName name="template_label_indicates_that_no_data_entry_is_required_unless_certain_logics_are_selected_in_the_disclosure_itself">Translations!$B$43</definedName>
    <definedName name="template_label_indicates_that_the_cell_is_automatically_calculated_and_that_no_data_entry_is_required">Translations!$B$41</definedName>
    <definedName name="template_label_indicates_that_the_cell_should_be_filled_either_by_selecting_a_value_from_the_dropdown">Translations!$B$379</definedName>
    <definedName name="template_label_indicates_that_the_datapoint_often_a_condition_will_not_be_included_in_the_vs_and_digital_xbrl_report">Translations!$B$42</definedName>
    <definedName name="template_label_indicates_that_the_disclosure_is_from_the_general_principles_of_the_vs">Translations!$B$36</definedName>
    <definedName name="template_label_indicates_that_the_disclosure_is_from_the_vs_basic_module">Translations!$B$38</definedName>
    <definedName name="template_label_indicates_that_the_disclosure_is_from_the_vs_comprehensive_module">Translations!$B$40</definedName>
    <definedName name="template_label_indicates_that_the_undertaking_has_omitted_the_data_entry_as_it_is_deemed_to_be_classified_or_sensitive_information">Translations!$B$49</definedName>
    <definedName name="template_label_information_on_previous_reporting_period">Translations!$B$110</definedName>
    <definedName name="template_label_information_on_previous_reporting_period_validation">Translations!$B$65</definedName>
    <definedName name="template_label_information_on_sensitive_information_before_converting">Translations!$B$465</definedName>
    <definedName name="template_label_information_on_the_report_necessary_for_xbrl">Translations!$B$98</definedName>
    <definedName name="template_label_information_on_the_report_necessary_for_xbrl_validation">Translations!$B$64</definedName>
    <definedName name="template_label_introduction">Translations!$B$172</definedName>
    <definedName name="template_label_invalid_url">Translations!$B$442</definedName>
    <definedName name="template_label_is_the_undertaking_aware_of_any_confirmed_incidents_involving_workers">Translations!$B$350</definedName>
    <definedName name="template_label_is_the_undertaking_deriving_revenues_from_one_of_the_activities_listed_below">Translations!$B$358</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Translations!$B$227</definedName>
    <definedName name="template_label_kilograms">Translations!$B$277</definedName>
    <definedName name="template_label_limits_to_the_distribution_of_profits">Translations!$B$161</definedName>
    <definedName name="template_label_link_to_previous_report_containing_disclosures_that_remain_unchanged">Translations!$B$113</definedName>
    <definedName name="template_label_liquid_warning">Translations!$B$445</definedName>
    <definedName name="template_label_list_of_omitted_disclosures">Translations!$B$118</definedName>
    <definedName name="template_label_lists_can_be_expanded_using_the_plus_button_on_the_left">Translations!$B$51</definedName>
    <definedName name="template_label_main_title_of_report_text">Translations!$B$21</definedName>
    <definedName name="template_label_male">Translations!$B$297</definedName>
    <definedName name="template_label_mass">Translations!$B$473</definedName>
    <definedName name="template_label_mass_gaseous_fuels">Translations!$B$408</definedName>
    <definedName name="template_label_mass_liquid_fuels">Translations!$B$405</definedName>
    <definedName name="template_label_mass_to_volume">Translations!$B$416</definedName>
    <definedName name="template_label_mass_to_volume_instruction">Translations!$B$432</definedName>
    <definedName name="template_label_mass_volume">Translations!$B$275</definedName>
    <definedName name="template_label_microenterprise_validation">Translations!$B$56</definedName>
    <definedName name="template_label_missing_value">Translations!$B$435</definedName>
    <definedName name="template_label_missing_value_plus_value_inconsistency">Translations!$B$441</definedName>
    <definedName name="template_label_monetary_amount_in">Translations!$B$359</definedName>
    <definedName name="template_label_month">Translations!$B$223</definedName>
    <definedName name="template_label_most_senior_level_accountable_for_implementing_practices_policies_and_or_future_initiatives">Translations!$B$165</definedName>
    <definedName name="template_label_nace_sector_classification_code">Translations!$B$122</definedName>
    <definedName name="template_label_NACE_warning">Translations!$B$452</definedName>
    <definedName name="template_label_name">Translations!$B$131</definedName>
    <definedName name="template_label_name_of_biodiversity_sensitive_area">Translations!$B$240</definedName>
    <definedName name="template_label_name_of_the_key_material">Translations!$B$274</definedName>
    <definedName name="template_label_name_of_the_reporting_entity">Translations!$B$99</definedName>
    <definedName name="template_label_no_value_can_be_entered_in_the_cell">Translations!$B$50</definedName>
    <definedName name="template_label_non_renewable">Translations!$B$179</definedName>
    <definedName name="template_label_none">Translations!$B$475</definedName>
    <definedName name="template_label_none_of_the_above">Translations!$B$367</definedName>
    <definedName name="template_label_not_reported">Translations!$B$300</definedName>
    <definedName name="template_label_number_of_annual_training_hours_per_employee_during_the_reporting_period">Translations!$B$320</definedName>
    <definedName name="template_label_number_of_employees">Translations!$B$125</definedName>
    <definedName name="template_label_number_of_employees_at_the_beginning_of_the_reporting_period">Translations!$B$326</definedName>
    <definedName name="template_label_number_of_employees_at_the_end_of_the_reporting_period">Translations!$B$327</definedName>
    <definedName name="template_label_number_of_employees_covered_by_collective_bargaining_agreements">Translations!$B$318</definedName>
    <definedName name="template_label_number_of_employees_warning">Translations!$B$458</definedName>
    <definedName name="template_label_number_of_employees_who_left_during_the_reporting_period">Translations!$B$325</definedName>
    <definedName name="template_label_number_of_female_board_members_at_the_end_of_the_reporting_period">Translations!$B$370</definedName>
    <definedName name="template_label_number_of_female_employees_at_management_level">Translations!$B$330</definedName>
    <definedName name="template_label_number_of_hours_worked_by_one_fulltime_employee_in_the_reporting_period">Translations!$B$306</definedName>
    <definedName name="template_label_number_of_male_board_members_at_the_end_of_the_reporting_period">Translations!$B$371</definedName>
    <definedName name="template_label_number_of_male_employees_at_management_level">Translations!$B$329</definedName>
    <definedName name="template_label_number_of_recordable_work_related_accidents_in_the_reporting_period">Translations!$B$305</definedName>
    <definedName name="template_label_ok">Translations!$B$443</definedName>
    <definedName name="template_label_other">Translations!$B$299</definedName>
    <definedName name="template_label_other_if_yes_specify">Translations!$B$342</definedName>
    <definedName name="template_label_other_pollutants">Translations!$B$235</definedName>
    <definedName name="template_label_other_pollutants_message">Translations!$B$469</definedName>
    <definedName name="template_label_other_undertakings_legal_form_specification">Translations!$B$121</definedName>
    <definedName name="template_label_other_warning">Translations!$B$451</definedName>
    <definedName name="template_label_overall_validation_status_validation">Translations!$B$58</definedName>
    <definedName name="template_label_own_workforce">Translations!$B$153</definedName>
    <definedName name="template_label_paragraph_guidance_reference">Translations!$B$93</definedName>
    <definedName name="template_label_paragraph_reference">Translations!$B$92</definedName>
    <definedName name="template_label_percentage_gap_in_pay_between_the_undertakings_female_and_male_employees">Translations!$B$317</definedName>
    <definedName name="template_label_percentage_gap_in_pay_condition_of_applicability">Translations!$B$314</definedName>
    <definedName name="template_label_percentage_of_employees_covered_by_collective_bargaining_agreements">Translations!$B$319</definedName>
    <definedName name="template_label_percentage_reduction_from_base_year">Translations!$B$190</definedName>
    <definedName name="template_label_permanent_contract">Translations!$B$292</definedName>
    <definedName name="template_label_please_note_that_the_typical_values_for_net_calorific_value_and_density_are_provided_for_each_fuel_type">Translations!$B$377</definedName>
    <definedName name="template_label_please_provide_the_relevant_url_link_or_hyperlink_of_where_this_information_is_reported">Translations!$B$228</definedName>
    <definedName name="template_label_please_select_the_unit_used_for_reporting_the_amount">Translations!$B$229</definedName>
    <definedName name="template_label_pollutant">Translations!$B$231</definedName>
    <definedName name="template_label_pollution">Translations!$B$149</definedName>
    <definedName name="template_label_postal_code">Translations!$B$138</definedName>
    <definedName name="template_label_potential_adverse_effects_of_climate_risks">Translations!$B$285</definedName>
    <definedName name="template_label_proportion_of_waste_diverted_to_preparation_for_reuse">Translations!$B$257</definedName>
    <definedName name="template_label_proportion_of_waste_diverted_to_recycling">Translations!$B$256</definedName>
    <definedName name="template_label_publication_date">Translations!$B$16</definedName>
    <definedName name="template_label_rate_of_recordable_work_related_accidents_in_the_reporting_period">Translations!$B$310</definedName>
    <definedName name="template_label_rate_per_100_or_500_full_time_workers_over_a_yearly_timeframe">Translations!$B$309</definedName>
    <definedName name="template_label_registered_address">Translations!$B$132</definedName>
    <definedName name="template_label_related_site_id">Translations!$B$238</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Translations!$B$109</definedName>
    <definedName name="template_label_reporting_period_start_date">Translations!$B$105</definedName>
    <definedName name="template_label_required_to_report_to_competent_authorities_by_EU_or_national_law_its_emissions_to_pollutants">Translations!$B$226</definedName>
    <definedName name="template_label_revenue_derived_from_chemicals_production">Translations!$B$366</definedName>
    <definedName name="template_label_revenue_derived_from_coal">Translations!$B$362</definedName>
    <definedName name="template_label_revenue_derived_from_cultivation_and_production_of_tobacco">Translations!$B$361</definedName>
    <definedName name="template_label_revenue_derived_from_gas">Translations!$B$364</definedName>
    <definedName name="template_label_revenue_derived_from_oil">Translations!$B$363</definedName>
    <definedName name="template_label_revenue_derived_from_the_prohibited_weapons_industry">Translations!$B$360</definedName>
    <definedName name="template_label_row_id">Translations!$B$230</definedName>
    <definedName name="template_label_scope_3_categories_warning">Translations!$B$455</definedName>
    <definedName name="template_label_select_template_display_language">Translations!$B$19</definedName>
    <definedName name="template_label_selfgenerated_electricity">Translations!$B$182</definedName>
    <definedName name="template_label_site_ID_value_inconsistency_warning">Translations!$B$456</definedName>
    <definedName name="template_label_site_located_in_a_biodiversity_sensitive_area">Translations!$B$241</definedName>
    <definedName name="template_label_site_located_near_a_biodiversity_sensitive_area">Translations!$B$242</definedName>
    <definedName name="template_label_site_location_in_near_a_biodiversity_area">Translations!$B$239</definedName>
    <definedName name="template_label_size_of_balance_sheet_in">Translations!$B$123</definedName>
    <definedName name="template_label_social_disclosures_validation">Translations!$B$75</definedName>
    <definedName name="template_label_solid_warning">Translations!$B$446</definedName>
    <definedName name="template_label_specific_content_validation_status_validation">Translations!$B$62</definedName>
    <definedName name="template_label_specification_of_any_confirmed_incident_involving_workers">Translations!$B$351</definedName>
    <definedName name="template_label_specify_other_human_rights_related_to_the_confirmed_incidents">Translations!$B$348</definedName>
    <definedName name="template_label_specify_other_types_of_content_covered_by_the_code_of_conduct_or_human_rights_policy">Translations!$B$343</definedName>
    <definedName name="template_label_starting_day">Translations!$B$104</definedName>
    <definedName name="template_label_starting_month">Translations!$B$103</definedName>
    <definedName name="template_label_starting_year">Translations!$B$102</definedName>
    <definedName name="template_label_state_of_matter">Translations!$B$382</definedName>
    <definedName name="template_label_statement_of_compliance">Translations!$B$117</definedName>
    <definedName name="template_label_status_of_implementation_of_a_transition_plan_in_relation_to_climate_change_mitigation">Translations!$B$219</definedName>
    <definedName name="template_label_steps_to_follow_for_the_mass_table">Translations!$B$420</definedName>
    <definedName name="template_label_subject_to_legal_restrictions_sum_of_fatalities_as_a_result_of_recordable_work_related_accidents_and_recordable_work_related_ill_health">Translations!$B$311</definedName>
    <definedName name="template_label_subtitle_of_report">Translations!$B$22</definedName>
    <definedName name="template_label_subtitle_of_report_text">Translations!$B$23</definedName>
    <definedName name="template_label_supporting_guidance_c2">Translations!$B$462</definedName>
    <definedName name="template_label_supporting_guidance_c3">Translations!$B$463</definedName>
    <definedName name="template_label_supporting_guidance_c7">Translations!$B$464</definedName>
    <definedName name="template_label_sustainability_issues_addressed_by_a_practice_policy_and_or_future_initiatives_put_in_place">Translations!$B$145</definedName>
    <definedName name="template_label_table_of_contents">Translations!$B$12</definedName>
    <definedName name="template_label_table_of_contents_validation">Translations!$B$59</definedName>
    <definedName name="template_label_target_year">Translations!$B$189</definedName>
    <definedName name="template_label_taxonomy_entry_point">Translations!$B$17</definedName>
    <definedName name="template_label_temporary_contract">Translations!$B$293</definedName>
    <definedName name="template_label_the_converter_offers_the_possibility_of_calculating_simultaneously_up_to_10_different_types_of_fuel">Translations!$B$401</definedName>
    <definedName name="template_label_the_purpose_of_this_digital_template_is_to_illustrate_how_vs_reporting_can_be_implemented_in_a_digital_template">Translations!$B$25</definedName>
    <definedName name="template_label_the_steps_to_follow_for_the_other_tables">Translations!$B$425</definedName>
    <definedName name="template_label_this_converter_is_intended_solely_to_illustrate_how_energy_consumption_in_mwh">Translations!$B$376</definedName>
    <definedName name="template_label_time_horizons_of_any_climate_related_hazards_and_transition_events_identified">Translations!$B$283</definedName>
    <definedName name="template_label_title_of_report">Translations!$B$20</definedName>
    <definedName name="template_label_to">Translations!$B$95</definedName>
    <definedName name="template_label_total_amount_of_fines_for_the_violation_of_anti_corruption_and_anti_bribery_laws">Translations!$B$356</definedName>
    <definedName name="template_label_total_amount_of_waste_generated">Translations!$B$260</definedName>
    <definedName name="template_label_total_amount_of_water_withdrawn_from_all_sites">Translations!$B$244</definedName>
    <definedName name="template_label_total_annual_mass_flow_of_relevant_materials_used_mass">Translations!$B$276</definedName>
    <definedName name="template_label_total_annual_mass_flow_of_relevant_materials_used_volume">Translations!$B$278</definedName>
    <definedName name="template_label_total_employees">Translations!$B$294</definedName>
    <definedName name="template_label_total_energy">Translations!$B$397</definedName>
    <definedName name="template_label_total_energy_consumption">Translations!$B$175</definedName>
    <definedName name="template_label_total_hazardous_waste_generated_mass">Translations!$B$259</definedName>
    <definedName name="template_label_total_hazardous_waste_generated_volume">Translations!$B$263</definedName>
    <definedName name="template_label_total_non_hazardous_waste_generated_mass">Translations!$B$261</definedName>
    <definedName name="template_label_total_non_hazardous_waste_generated_volume">Translations!$B$265</definedName>
    <definedName name="template_label_total_nonrenewable_energy">Translations!$B$399</definedName>
    <definedName name="template_label_total_number_of_convictions_for_the_violation_of_anti_corruption_and_anti_bribery_laws">Translations!$B$355</definedName>
    <definedName name="template_label_total_number_of_employees_in_headcount">Translations!$B$322</definedName>
    <definedName name="template_label_total_number_of_hours_worked_in_a_year_by_all_employees_in_the_reporting_period">Translations!$B$307</definedName>
    <definedName name="template_label_total_number_of_training_hours_offered_to_and_completed_by_employees">Translations!$B$321</definedName>
    <definedName name="template_label_total_renewable_and_nonrenewable">Translations!$B$180</definedName>
    <definedName name="template_label_total_renewable_energy">Translations!$B$398</definedName>
    <definedName name="template_label_total_revenues_derived_from_fossil_fuel_sector">Translations!$B$365</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lf_employed_workers_without_personnel_that_are_working_exclusively_for_the_undertaking">Translations!$B$332</definedName>
    <definedName name="template_label_total_temporary_workers_provided_by_undertakings_primarily_engaged_in_employment_activities">Translations!$B$333</definedName>
    <definedName name="template_label_total_waste_generated_mass">Translations!$B$262</definedName>
    <definedName name="template_label_total_waste_generated_percent">Translations!$B$271</definedName>
    <definedName name="template_label_total_waste_generated_volume">Translations!$B$266</definedName>
    <definedName name="template_label_total_waste_percentage_preparation_mass">Translations!$B$268</definedName>
    <definedName name="template_label_total_waste_percentage_preparation_volume">Translations!$B$270</definedName>
    <definedName name="template_label_total_waste_percentage_recycling_mass">Translations!$B$267</definedName>
    <definedName name="template_label_total_waste_percentage_recycling_volume">Translations!$B$269</definedName>
    <definedName name="template_label_total_water_consumption">Translations!$B$249</definedName>
    <definedName name="template_label_transfer_the_total_results_to_the_b3_fuel_energy_consumption_reporting_cell">Translations!$B$396</definedName>
    <definedName name="template_label_turnover_in">Translations!$B$124</definedName>
    <definedName name="template_label_type_of_contract">Translations!$B$291</definedName>
    <definedName name="template_label_type_of_waste">Translations!$B$254</definedName>
    <definedName name="template_label_type_of_waste_warning">Translations!$B$457</definedName>
    <definedName name="template_label_typical_renewable_state">Translations!$B$383</definedName>
    <definedName name="template_label_undertaking_applies_circular_economy_principles">Translations!$B$251</definedName>
    <definedName name="template_label_undertaking_has_a_practice_policy_and_or_future_initiative_that_is_publicly_available">Translations!$B$146</definedName>
    <definedName name="template_label_undertaking_has_set_a_target_which_is_related_to_a_policy">Translations!$B$147</definedName>
    <definedName name="template_label_undertaking_operating_in_more_than_one_country">Translations!$B$303</definedName>
    <definedName name="template_label_undertakings_legal_form">Translations!$B$120</definedName>
    <definedName name="template_label_unit_of_measurement">Translations!$B$255</definedName>
    <definedName name="template_label_unit_of_measurement_converter">Translations!$B$410</definedName>
    <definedName name="template_label_unit_of_measurement_of_density_converter">Translations!$B$418</definedName>
    <definedName name="template_label_unit_of_measurement_of_density_converter_list">Translations!$B$430</definedName>
    <definedName name="template_label_unit_of_measurement_of_energy_consumption_per_hour">Translations!$B$414</definedName>
    <definedName name="template_label_unit_of_measurement_of_energy_converter_list">Translations!$B$429</definedName>
    <definedName name="template_label_unit_of_measurement_of_mass_converter">Translations!$B$412</definedName>
    <definedName name="template_label_unit_of_measurement_of_mass_converter_list">Translations!$B$427</definedName>
    <definedName name="template_label_unit_of_measurement_of_ncv_converter">Translations!$B$415</definedName>
    <definedName name="template_label_unit_of_measurement_of_ncv_converter_list">Translations!$B$431</definedName>
    <definedName name="template_label_unit_of_measurement_of_volume_converter">Translations!$B$413</definedName>
    <definedName name="template_label_unit_of_measurement_of_volume_converter_list">Translations!$B$428</definedName>
    <definedName name="template_label_usage_of_fuel_converter">Translations!$B$385</definedName>
    <definedName name="template_label_usage_of_unit_of_measurement_converter">Translations!$B$419</definedName>
    <definedName name="template_label_validation_classified_or_sensitive_information">Translations!$B$48</definedName>
    <definedName name="template_label_validation_missing_value_error_value_inconsistency_invalid_url">Translations!$B$44</definedName>
    <definedName name="template_label_validation_missing_value_error_velue_inconsistency_invalid_url">Translations!$B$44</definedName>
    <definedName name="template_label_validation_ok">Translations!$B$46</definedName>
    <definedName name="template_label_value_inconsistency">Translations!$B$437</definedName>
    <definedName name="template_label_version">Translations!$B$15</definedName>
    <definedName name="template_label_volume">Translations!$B$474</definedName>
    <definedName name="template_label_vs_digital_template">Translations!$B$24</definedName>
    <definedName name="template_label_warning_microsoft_excel">Translations!$B$466</definedName>
    <definedName name="template_label_warning_total_energy_consumption_amount">Translations!$B$470</definedName>
    <definedName name="template_label_warning_values_greater_than_zero">Translations!$B$468</definedName>
    <definedName name="template_label_water_and_marine_resources">Translations!$B$150</definedName>
    <definedName name="template_label_water_discharge_from_undertaking_production_processes">Translations!$B$247</definedName>
    <definedName name="template_label_weight_or_volume_of_waste_generated">Translations!$B$258</definedName>
    <definedName name="template_label_workers_in_the_value_chain">Translations!$B$154</definedName>
    <definedName name="template_label_XBRL_facts_in_report">Translations!$B$14</definedName>
    <definedName name="template_label_year">Translations!$B$222</definedName>
    <definedName name="template_label_year_date">Translations!$B$191</definedName>
    <definedName name="template_language_selection">Translations!$B$18</definedName>
    <definedName name="template_narrative_content_provided_as_external_docx_file">Translations!$B$54</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Introduction!$C$12</definedName>
    <definedName name="template_reporting_template_version">Introduction!$C$1</definedName>
    <definedName name="template_reporting_title">Introduction!$C$11</definedName>
    <definedName name="template_selected_display_language">'Language Selection'!$G$7</definedName>
    <definedName name="template_starting_date_display">'Technical Sheet'!$B$2</definedName>
    <definedName name="template_translations">Translations!$C$3:$N$3</definedName>
    <definedName name="template_vs_digital_template_sample">Translations!$B$471</definedName>
    <definedName name="TimeHorizonsOfAnyClimateRelatedHazardsAndTransitionEventsIdentified">'Environmental Disclosures'!$E$539</definedName>
    <definedName name="TotalAmountOfFinesForTheViolationOfAnticorruptionAndAntibriberyLaws">'Governance Disclosures'!$H$7</definedName>
    <definedName name="TotalAmountOfWaterWithdrawnFromAllSites">'Environmental Disclosures'!$D$296</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Disclosures'!$J$416:$L$416</definedName>
    <definedName name="TotalHazardousWasteGeneratedMass_unit">'Environmental Disclosures'!$G$416:$I$416</definedName>
    <definedName name="TotalHazardousWasteGeneratedVolume">'Environmental Disclosures'!$J$419:$L$419</definedName>
    <definedName name="TotalHazardousWasteGeneratedVolume_unit">'Environmental Disclosures'!$G$419:$I$419</definedName>
    <definedName name="TotalMassOfMaterialUsed">'Environmental Disclosures'!$G$532</definedName>
    <definedName name="TotalMassOfMaterialUsed_unit">'Environmental Disclosures'!$J$532</definedName>
    <definedName name="TotalNonHazardousWasteGeneratedMass">'Environmental Disclosures'!$J$417:$L$417</definedName>
    <definedName name="TotalNonHazardousWasteGeneratedMass_unit">'Environmental Disclosures'!$G$417:$I$417</definedName>
    <definedName name="TotalNonHazardousWasteGeneratedVolume">'Environmental Disclosures'!$J$420:$L$420</definedName>
    <definedName name="TotalNonHazardousWasteGeneratedVolume_unit">'Environmental Disclosures'!$G$420:$I$420</definedName>
    <definedName name="TotalNumberOfConvictionsForTheViolationOfAntiCorruptionAndAntiBriberyLaws">'Governance Disclosures'!$H$6</definedName>
    <definedName name="TotalNumberOfSelfEmployedWorkersWithoutPersonnelThatAreWorkingExclusivelyForTheUndertaking">'Social Disclosures'!$D$165</definedName>
    <definedName name="TotalNumberOfTemporaryWorkersProvidedByUndertakingsPrimarilyEngagedInEmploymentActivities">'Social Disclosures'!$D$166</definedName>
    <definedName name="TotalRevenuesDerivedFromFossilFuelCoalOilAndGasSector">'Governance Disclosures'!$H$17</definedName>
    <definedName name="TotalVolumeOfMaterialUsed">'Environmental Disclosures'!$G$533</definedName>
    <definedName name="TotalVolumeOfMaterialUsed_unit">'Environmental Disclosures'!$J$533</definedName>
    <definedName name="TotalWasteGeneratedMass">'Environmental Disclosures'!$J$418:$L$418</definedName>
    <definedName name="TotalWasteGeneratedMass_unit">'Environmental Disclosures'!$G$418:$I$418</definedName>
    <definedName name="TotalWasteGeneratedVolume">'Environmental Disclosures'!$J$421:$L$421</definedName>
    <definedName name="TotalWasteGeneratedVolume_unit">'Environmental Disclosures'!$G$421:$I$421</definedName>
    <definedName name="TotalWaterConsumption">'Environmental Disclosures'!$D$303</definedName>
    <definedName name="Turnover">'General Information'!$E$279</definedName>
    <definedName name="TypeOfContentCoveredByTheCodeOfConductOrHumanRightsPolicyForItsOwnWorkforce">'Social Disclosures'!$D$171:$H$176</definedName>
    <definedName name="TypeOfHumanRightRelatedToTheConfirmedIncident">'Social Disclosures'!$D$183:$H$187</definedName>
    <definedName name="TypeOfNumberOfEmployees">'General Information'!$E$282</definedName>
    <definedName name="TypeOfPollutantAxis">'Environmental Disclosures'!$D$74:$F$173</definedName>
    <definedName name="TypeOfWasteAxis">'Environmental Disclosures'!$D$316:$F$415</definedName>
    <definedName name="UndertakingAppliesCircularEconomyPrinciples">'Environmental Disclosures'!$D$309</definedName>
    <definedName name="UndertakingHasACodeOfConductOrHumanRightsPolicyForItsOwnWorkforce">'Social Disclosures'!$D$169</definedName>
    <definedName name="UndertakingHasAComplaintHandlingMechanismForItsOwnWorkforce">'Social Disclosures'!$D$178</definedName>
    <definedName name="UndertakingHasConfirmedHumanRightsIncidentsInItsOwnWorkforce">'Social Disclosures'!$D$181</definedName>
    <definedName name="UndertakingHasSetATargetWhichIsRelatedToAPolicy">'General Information'!$O$508</definedName>
    <definedName name="UndertakingIsAwareOfAnyConfirmedIncidentsInvolvingWorkersInTheValueChainAffectedCommunitiesConsumersAndEndUsers">'Social Disclosures'!$D$190</definedName>
    <definedName name="UndertakingsLegalForm">'General Information'!$E$176</definedName>
    <definedName name="URLOrLinkToThePubliclyAvailableDisclosure">'Environmental Disclosures'!$G$70</definedName>
    <definedName name="VolumeOfMaterialUsed">'Environmental Disclosures'!$G$432:$I$531</definedName>
    <definedName name="VolumeOfMaterialUsed_unit">'Environmental Disclosures'!$J$432:$J$531</definedName>
    <definedName name="WasteGeneratedMass">'Environmental Disclosures'!$J$316:$J$415</definedName>
    <definedName name="WasteGeneratedMass_unit">'Environmental Disclosures'!$G$316:$I$415</definedName>
    <definedName name="WasteGeneratedTable">'Environmental Disclosures'!$D$316:$L$415</definedName>
    <definedName name="WasteGeneratedVolume">'Environmental Disclosures'!$J$316:$J$415</definedName>
    <definedName name="WasteGeneratedVolume_unit">'Environmental Disclosures'!$G$316:$I$415</definedName>
    <definedName name="WaterDischargeFromUndertakingProductionProcesses">'Environmental Disclosures'!$D$302</definedName>
    <definedName name="WeightOfMaterialUsed">'Environmental Disclosures'!$G$432:$I$531</definedName>
    <definedName name="WeightOfMaterialUsed_unit">'Environmental Disclosures'!$J$432:$J$531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4" i="12" l="1"/>
  <c r="D161" i="12"/>
  <c r="B476" i="17"/>
  <c r="L59" i="1"/>
  <c r="I134" i="12"/>
  <c r="I136" i="12"/>
  <c r="H25" i="7"/>
  <c r="J23" i="7" s="1"/>
  <c r="G4" i="11" l="1"/>
  <c r="G5" i="11"/>
  <c r="G6" i="11"/>
  <c r="G7" i="11"/>
  <c r="G8" i="11"/>
  <c r="G9" i="11"/>
  <c r="G11" i="11"/>
  <c r="G12" i="11"/>
  <c r="G13" i="11"/>
  <c r="G14"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1" i="11"/>
  <c r="G102" i="11"/>
  <c r="K402" i="3" l="1"/>
  <c r="D2" i="11" s="1"/>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D21" i="11"/>
  <c r="E21" i="11" s="1"/>
  <c r="D22" i="11"/>
  <c r="E22" i="11" s="1"/>
  <c r="D23" i="11"/>
  <c r="E23" i="11" s="1"/>
  <c r="D24" i="11"/>
  <c r="E24" i="11" s="1"/>
  <c r="J424" i="3" s="1"/>
  <c r="D25" i="11"/>
  <c r="E25" i="11" s="1"/>
  <c r="D26" i="11"/>
  <c r="E26" i="11" s="1"/>
  <c r="J426" i="3" s="1"/>
  <c r="D27" i="11"/>
  <c r="E27" i="11" s="1"/>
  <c r="D28" i="11"/>
  <c r="E28" i="11" s="1"/>
  <c r="D29" i="11"/>
  <c r="E29" i="11" s="1"/>
  <c r="D30" i="11"/>
  <c r="E30" i="11" s="1"/>
  <c r="D31" i="11"/>
  <c r="E31" i="11" s="1"/>
  <c r="D32" i="11"/>
  <c r="E32" i="11" s="1"/>
  <c r="D33" i="11"/>
  <c r="E33" i="11" s="1"/>
  <c r="D34" i="11"/>
  <c r="E34" i="11" s="1"/>
  <c r="D35" i="11"/>
  <c r="E35" i="11" s="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F102" i="11" s="1"/>
  <c r="D103" i="11"/>
  <c r="F103" i="11" s="1"/>
  <c r="D9" i="3"/>
  <c r="D13" i="3"/>
  <c r="F27" i="11" l="1"/>
  <c r="F24" i="11"/>
  <c r="F23" i="11"/>
  <c r="F31" i="11"/>
  <c r="E103" i="11"/>
  <c r="E102" i="11"/>
  <c r="F29" i="11"/>
  <c r="F28" i="11"/>
  <c r="F26" i="11"/>
  <c r="F22" i="11"/>
  <c r="F30" i="11"/>
  <c r="F25" i="11"/>
  <c r="J432" i="3"/>
  <c r="J431" i="3"/>
  <c r="F35" i="11"/>
  <c r="J435" i="3" s="1"/>
  <c r="J430" i="3"/>
  <c r="F34" i="11"/>
  <c r="J429" i="3"/>
  <c r="F33" i="11"/>
  <c r="J433" i="3" s="1"/>
  <c r="F21" i="11"/>
  <c r="J421" i="3" s="1"/>
  <c r="J428" i="3"/>
  <c r="F32" i="11"/>
  <c r="J427" i="3"/>
  <c r="J425" i="3"/>
  <c r="J434" i="3"/>
  <c r="J423" i="3"/>
  <c r="J422" i="3"/>
  <c r="E36" i="11"/>
  <c r="F36" i="11"/>
  <c r="E37" i="11"/>
  <c r="F37" i="11"/>
  <c r="E38" i="11"/>
  <c r="F38" i="11"/>
  <c r="E39" i="11"/>
  <c r="F39" i="11"/>
  <c r="E40" i="11"/>
  <c r="F40" i="11"/>
  <c r="E41" i="11"/>
  <c r="F41" i="11"/>
  <c r="E42" i="11"/>
  <c r="F42" i="11"/>
  <c r="E43" i="11"/>
  <c r="F43" i="11"/>
  <c r="E44" i="11"/>
  <c r="F44" i="11"/>
  <c r="E45" i="11"/>
  <c r="F45" i="11"/>
  <c r="E46" i="11"/>
  <c r="F46" i="11"/>
  <c r="E47" i="11"/>
  <c r="F47" i="11"/>
  <c r="E48" i="11"/>
  <c r="F48" i="11"/>
  <c r="E49" i="11"/>
  <c r="F49" i="11"/>
  <c r="F76" i="11"/>
  <c r="E76" i="11"/>
  <c r="F77" i="11"/>
  <c r="E77" i="11"/>
  <c r="J477" i="3" s="1"/>
  <c r="F78" i="11"/>
  <c r="E78" i="11"/>
  <c r="F79" i="11"/>
  <c r="E79" i="11"/>
  <c r="J479" i="3" s="1"/>
  <c r="F80" i="11"/>
  <c r="E80" i="11"/>
  <c r="J480" i="3" s="1"/>
  <c r="E81" i="11"/>
  <c r="F81" i="11"/>
  <c r="F82" i="11"/>
  <c r="E82" i="11"/>
  <c r="F83" i="11"/>
  <c r="E83" i="11"/>
  <c r="J483" i="3" s="1"/>
  <c r="F84" i="11"/>
  <c r="E84" i="11"/>
  <c r="E85" i="11"/>
  <c r="F85" i="11"/>
  <c r="E86" i="11"/>
  <c r="F86" i="11"/>
  <c r="F87" i="11"/>
  <c r="E87" i="11"/>
  <c r="J487" i="3" s="1"/>
  <c r="F88" i="11"/>
  <c r="E88" i="11"/>
  <c r="F89" i="11"/>
  <c r="E89" i="11"/>
  <c r="J489" i="3" s="1"/>
  <c r="F90" i="11"/>
  <c r="E90" i="11"/>
  <c r="F91" i="11"/>
  <c r="E91" i="11"/>
  <c r="J491" i="3" s="1"/>
  <c r="F92" i="11"/>
  <c r="E92" i="11"/>
  <c r="J492" i="3" s="1"/>
  <c r="F93" i="11"/>
  <c r="E93" i="11"/>
  <c r="J493" i="3" s="1"/>
  <c r="F94" i="11"/>
  <c r="E94" i="11"/>
  <c r="F95" i="11"/>
  <c r="E95" i="11"/>
  <c r="J495" i="3" s="1"/>
  <c r="F96" i="11"/>
  <c r="E96" i="11"/>
  <c r="E97" i="11"/>
  <c r="F97" i="11"/>
  <c r="F98" i="11"/>
  <c r="E98" i="11"/>
  <c r="J498" i="3" s="1"/>
  <c r="E100" i="11"/>
  <c r="F100" i="11"/>
  <c r="F101" i="11"/>
  <c r="E101" i="11"/>
  <c r="J501" i="3" s="1"/>
  <c r="F50" i="11"/>
  <c r="E50" i="11"/>
  <c r="J450" i="3" s="1"/>
  <c r="F51" i="11"/>
  <c r="E51" i="11"/>
  <c r="F52" i="11"/>
  <c r="E52" i="11"/>
  <c r="J452" i="3" s="1"/>
  <c r="F53" i="11"/>
  <c r="E53" i="11"/>
  <c r="J453" i="3" s="1"/>
  <c r="F54" i="11"/>
  <c r="E54" i="11"/>
  <c r="J454" i="3" s="1"/>
  <c r="F55" i="11"/>
  <c r="E55" i="11"/>
  <c r="F56" i="11"/>
  <c r="E56" i="11"/>
  <c r="J456" i="3" s="1"/>
  <c r="F57" i="11"/>
  <c r="E57" i="11"/>
  <c r="E58" i="11"/>
  <c r="F58" i="11"/>
  <c r="F59" i="11"/>
  <c r="E59" i="11"/>
  <c r="J459" i="3" s="1"/>
  <c r="E60" i="11"/>
  <c r="F60" i="11"/>
  <c r="E61" i="11"/>
  <c r="J461" i="3" s="1"/>
  <c r="F61" i="11"/>
  <c r="F62" i="11"/>
  <c r="E62" i="11"/>
  <c r="J462" i="3" s="1"/>
  <c r="F63" i="11"/>
  <c r="E63" i="11"/>
  <c r="F64" i="11"/>
  <c r="E64" i="11"/>
  <c r="J464" i="3" s="1"/>
  <c r="F65" i="11"/>
  <c r="E65" i="11"/>
  <c r="J465" i="3" s="1"/>
  <c r="E66" i="11"/>
  <c r="F66" i="11"/>
  <c r="E67" i="11"/>
  <c r="J467" i="3" s="1"/>
  <c r="F67" i="11"/>
  <c r="E68" i="11"/>
  <c r="F68" i="11"/>
  <c r="F69" i="11"/>
  <c r="E69" i="11"/>
  <c r="E70" i="11"/>
  <c r="F70" i="11"/>
  <c r="E71" i="11"/>
  <c r="F71" i="11"/>
  <c r="E72" i="11"/>
  <c r="F72" i="11"/>
  <c r="E73" i="11"/>
  <c r="J473" i="3" s="1"/>
  <c r="F73" i="11"/>
  <c r="E74" i="11"/>
  <c r="F74" i="11"/>
  <c r="F75" i="11"/>
  <c r="E75" i="11"/>
  <c r="E99" i="11"/>
  <c r="J499" i="3" s="1"/>
  <c r="F99" i="11"/>
  <c r="G100" i="11" l="1"/>
  <c r="J500" i="3"/>
  <c r="J472" i="3"/>
  <c r="J466" i="3"/>
  <c r="J460" i="3"/>
  <c r="J481" i="3"/>
  <c r="J471" i="3"/>
  <c r="J486" i="3"/>
  <c r="J470" i="3"/>
  <c r="J458" i="3"/>
  <c r="J497" i="3"/>
  <c r="J485" i="3"/>
  <c r="J447" i="3"/>
  <c r="J475" i="3"/>
  <c r="J469" i="3"/>
  <c r="J463" i="3"/>
  <c r="J457" i="3"/>
  <c r="J451" i="3"/>
  <c r="J496" i="3"/>
  <c r="J490" i="3"/>
  <c r="J484" i="3"/>
  <c r="J478" i="3"/>
  <c r="J474" i="3"/>
  <c r="J468" i="3"/>
  <c r="J455" i="3"/>
  <c r="J494" i="3"/>
  <c r="J488" i="3"/>
  <c r="J482" i="3"/>
  <c r="J476" i="3"/>
  <c r="J440" i="3"/>
  <c r="J448" i="3"/>
  <c r="J449" i="3"/>
  <c r="J437" i="3"/>
  <c r="J438" i="3"/>
  <c r="J441" i="3"/>
  <c r="J442" i="3"/>
  <c r="J443" i="3"/>
  <c r="J436" i="3"/>
  <c r="J439" i="3"/>
  <c r="J444" i="3"/>
  <c r="J445" i="3"/>
  <c r="J446" i="3"/>
  <c r="E129" i="12"/>
  <c r="D191" i="1" l="1"/>
  <c r="M319" i="1" l="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D155" i="12"/>
  <c r="A273" i="11" l="1"/>
  <c r="A277" i="11" l="1"/>
  <c r="A257" i="11"/>
  <c r="A264" i="11"/>
  <c r="A265" i="11" s="1"/>
  <c r="A279" i="11"/>
  <c r="A278" i="11"/>
  <c r="A274" i="11"/>
  <c r="A269" i="11"/>
  <c r="A270" i="11" s="1"/>
  <c r="A271" i="11" s="1"/>
  <c r="A268" i="11"/>
  <c r="A267" i="11"/>
  <c r="A260" i="11"/>
  <c r="A261" i="11" s="1"/>
  <c r="A259" i="11"/>
  <c r="A258" i="11"/>
  <c r="A275" i="11" l="1"/>
  <c r="A276" i="11" s="1"/>
  <c r="A272" i="11"/>
  <c r="A266" i="11"/>
  <c r="A262" i="11"/>
  <c r="A263" i="11" l="1"/>
  <c r="B281" i="11"/>
  <c r="B294" i="11"/>
  <c r="B315" i="11"/>
  <c r="B308" i="11"/>
  <c r="B320" i="11"/>
  <c r="B304" i="11"/>
  <c r="B317" i="11"/>
  <c r="B329" i="11"/>
  <c r="B313" i="11"/>
  <c r="B282" i="11"/>
  <c r="B309" i="11"/>
  <c r="B312" i="11" l="1"/>
  <c r="B321" i="11"/>
  <c r="B327" i="11"/>
  <c r="B293" i="11"/>
  <c r="B285" i="11"/>
  <c r="B311" i="11"/>
  <c r="B328" i="11"/>
  <c r="B290" i="11"/>
  <c r="B292" i="11"/>
  <c r="B301" i="11"/>
  <c r="B298" i="11"/>
  <c r="B299" i="11"/>
  <c r="B286" i="11"/>
  <c r="B288" i="11"/>
  <c r="B325" i="11"/>
  <c r="B323" i="11"/>
  <c r="B297" i="11"/>
  <c r="B307" i="11"/>
  <c r="B295" i="11"/>
  <c r="B283" i="11"/>
  <c r="B289" i="11"/>
  <c r="B284" i="11"/>
  <c r="B314" i="11"/>
  <c r="B324" i="11"/>
  <c r="B318" i="11"/>
  <c r="B303" i="11"/>
  <c r="B296" i="11"/>
  <c r="B319" i="11"/>
  <c r="B306" i="11"/>
  <c r="B316" i="11"/>
  <c r="B291" i="11"/>
  <c r="B305" i="11"/>
  <c r="B310" i="11"/>
  <c r="B302" i="11"/>
  <c r="B300" i="11"/>
  <c r="B322" i="11"/>
  <c r="B326" i="11"/>
  <c r="B287" i="11"/>
  <c r="E194" i="11"/>
  <c r="E195" i="11"/>
  <c r="E196" i="11"/>
  <c r="E197" i="11"/>
  <c r="E198" i="11"/>
  <c r="E207" i="11"/>
  <c r="E222" i="11"/>
  <c r="E231" i="11"/>
  <c r="E233" i="11"/>
  <c r="E234" i="11"/>
  <c r="E237" i="11"/>
  <c r="E243" i="11"/>
  <c r="E247" i="11"/>
  <c r="E250" i="11"/>
  <c r="F195" i="11"/>
  <c r="E193" i="11"/>
  <c r="A2" i="18" a="1"/>
  <c r="A3" i="18" a="1"/>
  <c r="A4" i="18" a="1"/>
  <c r="A5" i="18" a="1"/>
  <c r="A6" i="18" a="1"/>
  <c r="A7" i="18" a="1"/>
  <c r="A8" i="18" a="1"/>
  <c r="A9" i="18" a="1"/>
  <c r="A10" i="18" a="1"/>
  <c r="A11" i="18" a="1"/>
  <c r="A12" i="18" a="1"/>
  <c r="A13" i="18" a="1"/>
  <c r="A14" i="18" a="1"/>
  <c r="A15" i="18" a="1"/>
  <c r="A16" i="18" a="1"/>
  <c r="A17" i="18" a="1"/>
  <c r="A18" i="18" a="1"/>
  <c r="A19" i="18" a="1"/>
  <c r="A20" i="18" a="1"/>
  <c r="A21" i="18" a="1"/>
  <c r="A22" i="18" a="1"/>
  <c r="A23" i="18" a="1"/>
  <c r="A24" i="18" a="1"/>
  <c r="A25" i="18" a="1"/>
  <c r="A26" i="18" a="1"/>
  <c r="A27" i="18" a="1"/>
  <c r="A28" i="18" a="1"/>
  <c r="A29" i="18" a="1"/>
  <c r="A30" i="18" a="1"/>
  <c r="A31" i="18" a="1"/>
  <c r="A32" i="18" a="1"/>
  <c r="A33" i="18" a="1"/>
  <c r="A34" i="18" a="1"/>
  <c r="A35" i="18" a="1"/>
  <c r="A36" i="18" a="1"/>
  <c r="A37" i="18" a="1"/>
  <c r="A38" i="18" a="1"/>
  <c r="A39" i="18" a="1"/>
  <c r="A40" i="18" a="1"/>
  <c r="A41" i="18" a="1"/>
  <c r="A42" i="18" a="1"/>
  <c r="A43" i="18" a="1"/>
  <c r="A44" i="18" a="1"/>
  <c r="A45" i="18" a="1"/>
  <c r="A46" i="18" a="1"/>
  <c r="A47" i="18" a="1"/>
  <c r="A48" i="18" a="1"/>
  <c r="A49" i="18" a="1"/>
  <c r="A50" i="18" a="1"/>
  <c r="A51" i="18" a="1"/>
  <c r="A52" i="18" a="1"/>
  <c r="A53" i="18" a="1"/>
  <c r="A54" i="18" a="1"/>
  <c r="A55" i="18" a="1"/>
  <c r="A56" i="18" a="1"/>
  <c r="A57" i="18" a="1"/>
  <c r="A58" i="18" a="1"/>
  <c r="A59" i="18" a="1"/>
  <c r="A60" i="18" a="1"/>
  <c r="A61" i="18" a="1"/>
  <c r="A62" i="18" a="1"/>
  <c r="A63" i="18" a="1"/>
  <c r="A64" i="18" a="1"/>
  <c r="A65" i="18" a="1"/>
  <c r="A66" i="18" a="1"/>
  <c r="A67" i="18" a="1"/>
  <c r="A68" i="18" a="1"/>
  <c r="A69" i="18" a="1"/>
  <c r="A70" i="18" a="1"/>
  <c r="A71" i="18" a="1"/>
  <c r="A72" i="18" a="1"/>
  <c r="A73" i="18" a="1"/>
  <c r="A74" i="18" a="1"/>
  <c r="A75" i="18" a="1"/>
  <c r="A76" i="18" a="1"/>
  <c r="A77" i="18" a="1"/>
  <c r="A78" i="18" a="1"/>
  <c r="A79" i="18" a="1"/>
  <c r="A80" i="18" a="1"/>
  <c r="A81" i="18" a="1"/>
  <c r="A82" i="18" a="1"/>
  <c r="A83" i="18" a="1"/>
  <c r="A84" i="18" a="1"/>
  <c r="A85" i="18" a="1"/>
  <c r="A86" i="18" a="1"/>
  <c r="A87" i="18" a="1"/>
  <c r="A88" i="18" a="1"/>
  <c r="A89" i="18" a="1"/>
  <c r="A90" i="18" a="1"/>
  <c r="A91" i="18" a="1"/>
  <c r="A92" i="18" a="1"/>
  <c r="A93" i="18" a="1"/>
  <c r="A94" i="18" a="1"/>
  <c r="A95" i="18" a="1"/>
  <c r="A96" i="18" a="1"/>
  <c r="A97" i="18" a="1"/>
  <c r="A98" i="18" a="1"/>
  <c r="A99" i="18" a="1"/>
  <c r="A100" i="18" a="1"/>
  <c r="A101" i="18" a="1"/>
  <c r="A102" i="18" a="1"/>
  <c r="A103" i="18" a="1"/>
  <c r="A104" i="18" a="1"/>
  <c r="A105" i="18" a="1"/>
  <c r="A106" i="18" a="1"/>
  <c r="A107" i="18" a="1"/>
  <c r="A108" i="18" a="1"/>
  <c r="A109" i="18" a="1"/>
  <c r="A110" i="18" a="1"/>
  <c r="A111" i="18" a="1"/>
  <c r="A112" i="18" a="1"/>
  <c r="A113" i="18" a="1"/>
  <c r="A114" i="18" a="1"/>
  <c r="A115" i="18" a="1"/>
  <c r="A116" i="18" a="1"/>
  <c r="A117" i="18" a="1"/>
  <c r="A118" i="18" a="1"/>
  <c r="A119" i="18" a="1"/>
  <c r="A120" i="18" a="1"/>
  <c r="A121" i="18" a="1"/>
  <c r="A122" i="18" a="1"/>
  <c r="A123" i="18" a="1"/>
  <c r="A124" i="18" a="1"/>
  <c r="A125" i="18" a="1"/>
  <c r="A126" i="18" a="1"/>
  <c r="A127" i="18" a="1"/>
  <c r="A128" i="18" a="1"/>
  <c r="A129" i="18" a="1"/>
  <c r="A130" i="18" a="1"/>
  <c r="A131" i="18" a="1"/>
  <c r="A132" i="18" a="1"/>
  <c r="A133" i="18" a="1"/>
  <c r="A134" i="18" a="1"/>
  <c r="A135" i="18" a="1"/>
  <c r="A136" i="18" a="1"/>
  <c r="A137" i="18" a="1"/>
  <c r="A138" i="18" a="1"/>
  <c r="A139" i="18" a="1"/>
  <c r="A140" i="18" a="1"/>
  <c r="A141" i="18" a="1"/>
  <c r="A142" i="18" a="1"/>
  <c r="A143" i="18" a="1"/>
  <c r="A144" i="18" a="1"/>
  <c r="H426" i="3" l="1"/>
  <c r="I426" i="3" s="1"/>
  <c r="H452" i="3"/>
  <c r="I452" i="3" s="1"/>
  <c r="H474" i="3"/>
  <c r="I474" i="3" s="1"/>
  <c r="H450" i="3"/>
  <c r="I450" i="3" s="1"/>
  <c r="H440" i="3"/>
  <c r="I440" i="3" s="1"/>
  <c r="H448" i="3"/>
  <c r="I448" i="3" s="1"/>
  <c r="H500" i="3"/>
  <c r="I500" i="3" s="1"/>
  <c r="H488" i="3"/>
  <c r="I488" i="3" s="1"/>
  <c r="H477" i="3"/>
  <c r="I477" i="3" s="1"/>
  <c r="H472" i="3"/>
  <c r="I472" i="3" s="1"/>
  <c r="H476" i="3"/>
  <c r="I476" i="3" s="1"/>
  <c r="H465" i="3"/>
  <c r="I465" i="3" s="1"/>
  <c r="H464" i="3"/>
  <c r="I464" i="3" s="1"/>
  <c r="H496" i="3"/>
  <c r="I496" i="3" s="1"/>
  <c r="H484" i="3"/>
  <c r="I484" i="3" s="1"/>
  <c r="H449" i="3"/>
  <c r="I449" i="3" s="1"/>
  <c r="H453" i="3"/>
  <c r="I453" i="3" s="1"/>
  <c r="H424" i="3"/>
  <c r="I424" i="3" s="1"/>
  <c r="H501" i="3"/>
  <c r="I501" i="3" s="1"/>
  <c r="H497" i="3"/>
  <c r="I497" i="3" s="1"/>
  <c r="H441" i="3"/>
  <c r="I441" i="3" s="1"/>
  <c r="H473" i="3"/>
  <c r="I473" i="3" s="1"/>
  <c r="H436" i="3"/>
  <c r="I436" i="3" s="1"/>
  <c r="H428" i="3"/>
  <c r="I428" i="3" s="1"/>
  <c r="H429" i="3"/>
  <c r="I429" i="3" s="1"/>
  <c r="H460" i="3"/>
  <c r="I460" i="3" s="1"/>
  <c r="H425" i="3"/>
  <c r="I425" i="3" s="1"/>
  <c r="H475" i="3"/>
  <c r="I475" i="3" s="1"/>
  <c r="H451" i="3"/>
  <c r="I451" i="3" s="1"/>
  <c r="H427" i="3"/>
  <c r="I427" i="3" s="1"/>
  <c r="H499" i="3"/>
  <c r="I499" i="3" s="1"/>
  <c r="H498" i="3"/>
  <c r="I498" i="3" s="1"/>
  <c r="H487" i="3"/>
  <c r="I487" i="3" s="1"/>
  <c r="H439" i="3"/>
  <c r="I439" i="3" s="1"/>
  <c r="H463" i="3"/>
  <c r="I463" i="3" s="1"/>
  <c r="H486" i="3"/>
  <c r="I486" i="3" s="1"/>
  <c r="H462" i="3"/>
  <c r="I462" i="3" s="1"/>
  <c r="H438" i="3"/>
  <c r="I438" i="3" s="1"/>
  <c r="H485" i="3"/>
  <c r="I485" i="3" s="1"/>
  <c r="H461" i="3"/>
  <c r="I461" i="3" s="1"/>
  <c r="H437" i="3"/>
  <c r="I437" i="3" s="1"/>
  <c r="H489" i="3"/>
  <c r="I489" i="3" s="1"/>
  <c r="H495" i="3"/>
  <c r="I495" i="3" s="1"/>
  <c r="H459" i="3"/>
  <c r="I459" i="3" s="1"/>
  <c r="H435" i="3"/>
  <c r="I435" i="3" s="1"/>
  <c r="H494" i="3"/>
  <c r="I494" i="3" s="1"/>
  <c r="H434" i="3"/>
  <c r="I434" i="3" s="1"/>
  <c r="H445" i="3"/>
  <c r="I445" i="3" s="1"/>
  <c r="H492" i="3"/>
  <c r="I492" i="3" s="1"/>
  <c r="H468" i="3"/>
  <c r="I468" i="3" s="1"/>
  <c r="H444" i="3"/>
  <c r="I444" i="3" s="1"/>
  <c r="H432" i="3"/>
  <c r="I432" i="3" s="1"/>
  <c r="H491" i="3"/>
  <c r="I491" i="3" s="1"/>
  <c r="H467" i="3"/>
  <c r="I467" i="3" s="1"/>
  <c r="H455" i="3"/>
  <c r="I455" i="3" s="1"/>
  <c r="H443" i="3"/>
  <c r="I443" i="3" s="1"/>
  <c r="H431" i="3"/>
  <c r="I431" i="3" s="1"/>
  <c r="H479" i="3"/>
  <c r="I479" i="3" s="1"/>
  <c r="H490" i="3"/>
  <c r="I490" i="3" s="1"/>
  <c r="H478" i="3"/>
  <c r="I478" i="3" s="1"/>
  <c r="H466" i="3"/>
  <c r="I466" i="3" s="1"/>
  <c r="H454" i="3"/>
  <c r="I454" i="3" s="1"/>
  <c r="H442" i="3"/>
  <c r="I442" i="3" s="1"/>
  <c r="H430" i="3"/>
  <c r="I430" i="3" s="1"/>
  <c r="H471" i="3"/>
  <c r="I471" i="3" s="1"/>
  <c r="H447" i="3"/>
  <c r="I447" i="3" s="1"/>
  <c r="H446" i="3"/>
  <c r="I446" i="3" s="1"/>
  <c r="H493" i="3"/>
  <c r="I493" i="3" s="1"/>
  <c r="H480" i="3"/>
  <c r="I480" i="3" s="1"/>
  <c r="H483" i="3"/>
  <c r="I483" i="3" s="1"/>
  <c r="H470" i="3"/>
  <c r="I470" i="3" s="1"/>
  <c r="H433" i="3"/>
  <c r="I433" i="3" s="1"/>
  <c r="H458" i="3"/>
  <c r="I458" i="3" s="1"/>
  <c r="H481" i="3"/>
  <c r="I481" i="3" s="1"/>
  <c r="H456" i="3"/>
  <c r="I456" i="3" s="1"/>
  <c r="H482" i="3"/>
  <c r="I482" i="3" s="1"/>
  <c r="H457" i="3"/>
  <c r="I457" i="3" s="1"/>
  <c r="H469" i="3"/>
  <c r="I469" i="3" s="1"/>
  <c r="F4" i="12"/>
  <c r="F21" i="3"/>
  <c r="F22" i="3"/>
  <c r="F23" i="3"/>
  <c r="F24" i="3"/>
  <c r="F25" i="3"/>
  <c r="F26" i="3"/>
  <c r="F27" i="3"/>
  <c r="F28" i="3"/>
  <c r="F29" i="3"/>
  <c r="F30" i="3"/>
  <c r="F122" i="3"/>
  <c r="F177"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D29" i="9" l="1" a="1"/>
  <c r="D28" i="9" a="1"/>
  <c r="D22" i="9"/>
  <c r="D18" i="9"/>
  <c r="D14" i="9"/>
  <c r="D10" i="9"/>
  <c r="D6" i="9"/>
  <c r="M3" i="17" l="1"/>
  <c r="N3" i="17" l="1"/>
  <c r="L3" i="17"/>
  <c r="K3" i="17"/>
  <c r="J3" i="17"/>
  <c r="I3" i="17"/>
  <c r="H3" i="17"/>
  <c r="G3" i="17"/>
  <c r="F3" i="17"/>
  <c r="E3" i="17"/>
  <c r="D3" i="17"/>
  <c r="C3" i="17"/>
  <c r="B469" i="17" s="1"/>
  <c r="D30" i="16"/>
  <c r="D20" i="16"/>
  <c r="B289" i="17" l="1"/>
  <c r="B470" i="17"/>
  <c r="M12" i="1" s="1"/>
  <c r="M174" i="1"/>
  <c r="B235" i="17"/>
  <c r="C174" i="1" s="1"/>
  <c r="B23" i="17"/>
  <c r="B468" i="17"/>
  <c r="B56" i="17"/>
  <c r="G280" i="3" s="1"/>
  <c r="B482" i="17"/>
  <c r="B267" i="17"/>
  <c r="D422" i="1" s="1"/>
  <c r="B271" i="17"/>
  <c r="B268" i="17"/>
  <c r="D423" i="1" s="1"/>
  <c r="B269" i="17"/>
  <c r="D424" i="1" s="1"/>
  <c r="B270" i="17"/>
  <c r="D425" i="1" s="1"/>
  <c r="B321" i="17"/>
  <c r="C153" i="12" s="1" a="1"/>
  <c r="B322" i="17"/>
  <c r="B297" i="17"/>
  <c r="B298" i="17"/>
  <c r="B299" i="17"/>
  <c r="B300" i="17"/>
  <c r="B296" i="17"/>
  <c r="B308" i="17"/>
  <c r="B314" i="17"/>
  <c r="B258" i="17"/>
  <c r="B309" i="17"/>
  <c r="B172" i="17"/>
  <c r="B55" i="17"/>
  <c r="E3" i="16" s="1"/>
  <c r="B481" i="17"/>
  <c r="B1525" i="21" s="1"/>
  <c r="B480" i="17"/>
  <c r="C3" i="21" s="1"/>
  <c r="B432" i="17"/>
  <c r="G11" i="9" s="1"/>
  <c r="B467" i="17"/>
  <c r="B2" i="21" s="1"/>
  <c r="B417" i="17"/>
  <c r="A25" i="9" s="1"/>
  <c r="B416" i="17"/>
  <c r="A24" i="9" s="1"/>
  <c r="B477" i="17"/>
  <c r="B18" i="17"/>
  <c r="G5" i="19" s="1"/>
  <c r="B475" i="17"/>
  <c r="B1" i="21"/>
  <c r="B479" i="17"/>
  <c r="B3" i="21" s="1"/>
  <c r="B478" i="17"/>
  <c r="D3" i="21" s="1"/>
  <c r="B474" i="17"/>
  <c r="B473" i="17"/>
  <c r="B19" i="17"/>
  <c r="G6" i="19" s="1"/>
  <c r="B472" i="17"/>
  <c r="D27" i="9" a="1"/>
  <c r="B471" i="17"/>
  <c r="F201" i="11"/>
  <c r="F202" i="11"/>
  <c r="F203" i="11"/>
  <c r="F204" i="11"/>
  <c r="F205" i="11"/>
  <c r="F206" i="11"/>
  <c r="F209" i="11"/>
  <c r="F210" i="11"/>
  <c r="F211" i="11"/>
  <c r="F212" i="11"/>
  <c r="F214" i="11"/>
  <c r="F216" i="11"/>
  <c r="F217" i="11"/>
  <c r="F219" i="11"/>
  <c r="F220" i="11"/>
  <c r="F221" i="11"/>
  <c r="F224" i="11"/>
  <c r="F225" i="11"/>
  <c r="F226" i="11"/>
  <c r="F227" i="11"/>
  <c r="F229" i="11"/>
  <c r="F230" i="11"/>
  <c r="F232" i="11"/>
  <c r="F235" i="11"/>
  <c r="F236" i="11"/>
  <c r="F237" i="11"/>
  <c r="F239" i="11"/>
  <c r="F240" i="11"/>
  <c r="F241" i="11"/>
  <c r="F242" i="11"/>
  <c r="F244" i="11"/>
  <c r="F245" i="11"/>
  <c r="F246" i="11"/>
  <c r="F248" i="11"/>
  <c r="F249" i="11"/>
  <c r="F251" i="11"/>
  <c r="F252" i="11"/>
  <c r="F253" i="11"/>
  <c r="D50" i="16"/>
  <c r="D40" i="16"/>
  <c r="D35" i="16"/>
  <c r="D27" i="16"/>
  <c r="D25" i="16"/>
  <c r="D11" i="16"/>
  <c r="B54" i="17"/>
  <c r="E2" i="16" s="1"/>
  <c r="E304" i="1" l="1"/>
  <c r="E202" i="11"/>
  <c r="J7" i="7"/>
  <c r="C154" i="12"/>
  <c r="C143" i="12"/>
  <c r="C137" i="12"/>
  <c r="C136" i="12"/>
  <c r="J315" i="1"/>
  <c r="J12" i="7"/>
  <c r="J6" i="7"/>
  <c r="G423" i="1"/>
  <c r="G424" i="1"/>
  <c r="G425" i="1"/>
  <c r="G422" i="1"/>
  <c r="E220" i="11"/>
  <c r="E211" i="11"/>
  <c r="E230" i="11"/>
  <c r="E217" i="11"/>
  <c r="E218" i="11"/>
  <c r="E208" i="11"/>
  <c r="E219" i="11"/>
  <c r="E210" i="11"/>
  <c r="E209" i="11"/>
  <c r="E204" i="11"/>
  <c r="E212" i="11"/>
  <c r="E206" i="11"/>
  <c r="E227" i="11"/>
  <c r="E235" i="11"/>
  <c r="E236" i="11"/>
  <c r="E205" i="11"/>
  <c r="E232" i="11"/>
  <c r="E221" i="11"/>
  <c r="E249" i="11"/>
  <c r="E251" i="11"/>
  <c r="E252" i="11"/>
  <c r="E253" i="11"/>
  <c r="E242" i="11"/>
  <c r="E244" i="11"/>
  <c r="E245" i="11"/>
  <c r="E246" i="11"/>
  <c r="E248" i="11"/>
  <c r="E240" i="11"/>
  <c r="E241" i="11"/>
  <c r="E238" i="11"/>
  <c r="E239" i="11"/>
  <c r="E228" i="11"/>
  <c r="E229" i="11"/>
  <c r="E225" i="11"/>
  <c r="E226" i="11"/>
  <c r="E224" i="11"/>
  <c r="E223" i="11"/>
  <c r="E215" i="11"/>
  <c r="E216" i="11"/>
  <c r="E213" i="11"/>
  <c r="E214" i="11"/>
  <c r="E203" i="11"/>
  <c r="E199" i="11"/>
  <c r="E201" i="11"/>
  <c r="F228" i="11"/>
  <c r="F223" i="11"/>
  <c r="F199" i="11"/>
  <c r="F215" i="11"/>
  <c r="F208" i="11"/>
  <c r="F213" i="11"/>
  <c r="F238" i="11"/>
  <c r="F218" i="11"/>
  <c r="E137" i="3" l="1" a="1"/>
  <c r="E138" i="3" a="1"/>
  <c r="E136" i="3" a="1"/>
  <c r="E149" i="3" a="1"/>
  <c r="E148" i="3" a="1"/>
  <c r="E146" i="3" a="1"/>
  <c r="E152" i="3" a="1"/>
  <c r="E151" i="3" a="1"/>
  <c r="E169" i="3" a="1"/>
  <c r="E168" i="3" a="1"/>
  <c r="E139" i="3" a="1"/>
  <c r="E160" i="3" a="1"/>
  <c r="E162" i="3" a="1"/>
  <c r="E172" i="3" a="1"/>
  <c r="E171" i="3" a="1"/>
  <c r="E170" i="3" a="1"/>
  <c r="E135" i="3" a="1"/>
  <c r="E134" i="3" a="1"/>
  <c r="E164" i="3" a="1"/>
  <c r="E130" i="3" a="1"/>
  <c r="E133" i="3" a="1"/>
  <c r="E131" i="3" a="1"/>
  <c r="E132" i="3" a="1"/>
  <c r="E129" i="3" a="1"/>
  <c r="E166" i="3" a="1"/>
  <c r="E140" i="3" a="1"/>
  <c r="E145" i="3" a="1"/>
  <c r="E143" i="3" a="1"/>
  <c r="E144" i="3" a="1"/>
  <c r="E155" i="3" a="1"/>
  <c r="E157" i="3" a="1"/>
  <c r="E142" i="3" a="1"/>
  <c r="E141" i="3" a="1"/>
  <c r="E154" i="3" a="1"/>
  <c r="E159" i="3" a="1"/>
  <c r="E158" i="3" a="1"/>
  <c r="E163" i="3" a="1"/>
  <c r="E150" i="3" a="1"/>
  <c r="E153" i="3" a="1"/>
  <c r="E161" i="3" a="1"/>
  <c r="E167" i="3" a="1"/>
  <c r="E165" i="3" a="1"/>
  <c r="E147" i="3" a="1"/>
  <c r="E156" i="3" a="1"/>
  <c r="E254" i="11"/>
  <c r="D137" i="12"/>
  <c r="D138" i="12" s="1"/>
  <c r="P16" i="8" l="1"/>
  <c r="D215" i="1" l="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G533" i="1" l="1"/>
  <c r="G53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74" i="1"/>
  <c r="L175" i="1"/>
  <c r="L176" i="1"/>
  <c r="L177" i="1"/>
  <c r="L178" i="1"/>
  <c r="L179" i="1"/>
  <c r="L180" i="1"/>
  <c r="L181" i="1"/>
  <c r="L182" i="1"/>
  <c r="L183" i="1"/>
  <c r="L184" i="1"/>
  <c r="K435" i="1" l="1"/>
  <c r="K436" i="1"/>
  <c r="K437" i="1"/>
  <c r="K438" i="1"/>
  <c r="K439" i="1"/>
  <c r="K440" i="1"/>
  <c r="K441" i="1"/>
  <c r="K442" i="1"/>
  <c r="K443" i="1"/>
  <c r="K444" i="1"/>
  <c r="L77" i="1" l="1"/>
  <c r="L78" i="1"/>
  <c r="L79" i="1"/>
  <c r="L80" i="1"/>
  <c r="L81" i="1"/>
  <c r="L82" i="1"/>
  <c r="L83" i="1"/>
  <c r="L70" i="1"/>
  <c r="L58" i="1"/>
  <c r="B460" i="17" l="1"/>
  <c r="G127" i="3" s="1"/>
  <c r="B466" i="17"/>
  <c r="B3" i="4" s="1" a="1"/>
  <c r="B88" i="17"/>
  <c r="T19" i="6" s="1"/>
  <c r="B465" i="17"/>
  <c r="B115" i="17"/>
  <c r="B57" i="17"/>
  <c r="D3" i="16" s="1"/>
  <c r="B75" i="17"/>
  <c r="B48" i="17"/>
  <c r="B35" i="4" s="1"/>
  <c r="B49" i="17"/>
  <c r="C35" i="4" s="1"/>
  <c r="B81" i="17"/>
  <c r="B79" i="17"/>
  <c r="B463" i="17"/>
  <c r="B464" i="17"/>
  <c r="A180" i="12" s="1"/>
  <c r="B444" i="17"/>
  <c r="B462" i="17"/>
  <c r="A516" i="3" s="1"/>
  <c r="B275" i="17"/>
  <c r="B27" i="9" s="1" a="1"/>
  <c r="B60" i="17"/>
  <c r="D2" i="16" s="1"/>
  <c r="B22" i="17"/>
  <c r="B12" i="4" s="1"/>
  <c r="B461" i="17"/>
  <c r="A21" i="1" s="1"/>
  <c r="B303" i="17"/>
  <c r="C27" i="12" s="1"/>
  <c r="B20" i="17"/>
  <c r="B11" i="4" s="1"/>
  <c r="B456" i="17"/>
  <c r="B381" i="17"/>
  <c r="B395" i="17"/>
  <c r="B408" i="17"/>
  <c r="B424" i="17"/>
  <c r="B439" i="17"/>
  <c r="B358" i="17"/>
  <c r="B17" i="17"/>
  <c r="B34" i="17"/>
  <c r="B50" i="17"/>
  <c r="C36" i="4" s="1"/>
  <c r="B86" i="17"/>
  <c r="T17" i="6" s="1"/>
  <c r="B93" i="17"/>
  <c r="B1" i="3" s="1"/>
  <c r="B99" i="17"/>
  <c r="B112" i="17"/>
  <c r="B127" i="17"/>
  <c r="B138" i="17"/>
  <c r="B151" i="17"/>
  <c r="B163" i="17"/>
  <c r="B175" i="17"/>
  <c r="B187" i="17"/>
  <c r="B201" i="17"/>
  <c r="B215" i="17"/>
  <c r="C47" i="1" s="1"/>
  <c r="B251" i="17"/>
  <c r="B264" i="17"/>
  <c r="B281" i="17"/>
  <c r="B294" i="17"/>
  <c r="B326" i="17"/>
  <c r="B316" i="17"/>
  <c r="B346" i="17"/>
  <c r="B10" i="17"/>
  <c r="B454" i="17"/>
  <c r="B386" i="17"/>
  <c r="J10" i="8" s="1"/>
  <c r="B400" i="17"/>
  <c r="B413" i="17"/>
  <c r="B429" i="17"/>
  <c r="B445" i="17"/>
  <c r="B363" i="17"/>
  <c r="B368" i="17"/>
  <c r="B25" i="17"/>
  <c r="B14" i="4" s="1"/>
  <c r="B39" i="17"/>
  <c r="B58" i="17"/>
  <c r="C2" i="16" s="1"/>
  <c r="B104" i="17"/>
  <c r="B118" i="17"/>
  <c r="C127" i="3" s="1"/>
  <c r="B131" i="17"/>
  <c r="B156" i="17"/>
  <c r="B167" i="17"/>
  <c r="B179" i="17"/>
  <c r="B192" i="17"/>
  <c r="B206" i="17"/>
  <c r="B218" i="17"/>
  <c r="B226" i="17"/>
  <c r="B239" i="17"/>
  <c r="B244" i="17"/>
  <c r="B255" i="17"/>
  <c r="B273" i="17"/>
  <c r="C430" i="1" s="1"/>
  <c r="B286" i="17"/>
  <c r="B305" i="17"/>
  <c r="B320" i="17"/>
  <c r="B338" i="17"/>
  <c r="B351" i="17"/>
  <c r="B4" i="17"/>
  <c r="B453" i="17"/>
  <c r="L402" i="3" s="1"/>
  <c r="B375" i="17"/>
  <c r="B389" i="17"/>
  <c r="B402" i="17"/>
  <c r="B418" i="17"/>
  <c r="B433" i="17"/>
  <c r="B366" i="17"/>
  <c r="B371" i="17"/>
  <c r="B28" i="17"/>
  <c r="B42" i="17"/>
  <c r="C31" i="4" s="1"/>
  <c r="B62" i="17"/>
  <c r="B107" i="17"/>
  <c r="B121" i="17"/>
  <c r="B133" i="17"/>
  <c r="B145" i="17"/>
  <c r="B158" i="17"/>
  <c r="B182" i="17"/>
  <c r="B195" i="17"/>
  <c r="B209" i="17"/>
  <c r="B221" i="17"/>
  <c r="B229" i="17"/>
  <c r="B242" i="17"/>
  <c r="B245" i="17"/>
  <c r="B276" i="17"/>
  <c r="B288" i="17"/>
  <c r="B310" i="17"/>
  <c r="B324" i="17"/>
  <c r="B341" i="17"/>
  <c r="B15" i="17"/>
  <c r="B376" i="17"/>
  <c r="B390" i="17"/>
  <c r="B403" i="17"/>
  <c r="B419" i="17"/>
  <c r="B434" i="17"/>
  <c r="B354" i="17"/>
  <c r="B372" i="17"/>
  <c r="B29" i="17"/>
  <c r="B20" i="4" s="1"/>
  <c r="B43" i="17"/>
  <c r="C32" i="4" s="1"/>
  <c r="B63" i="17"/>
  <c r="B108" i="17"/>
  <c r="B122" i="17"/>
  <c r="B134" i="17"/>
  <c r="C392" i="3" s="1"/>
  <c r="B146" i="17"/>
  <c r="B159" i="17"/>
  <c r="B170" i="17"/>
  <c r="C526" i="3" s="1"/>
  <c r="B183" i="17"/>
  <c r="B196" i="17"/>
  <c r="C26" i="1" s="1"/>
  <c r="B210" i="17"/>
  <c r="B222" i="17"/>
  <c r="B230" i="17"/>
  <c r="B246" i="17"/>
  <c r="C301" i="1" s="1"/>
  <c r="B259" i="17"/>
  <c r="B277" i="17"/>
  <c r="B301" i="17"/>
  <c r="B311" i="17"/>
  <c r="B329" i="17"/>
  <c r="B342" i="17"/>
  <c r="B5" i="17"/>
  <c r="B377" i="17"/>
  <c r="B391" i="17"/>
  <c r="B404" i="17"/>
  <c r="B420" i="17"/>
  <c r="B435" i="17"/>
  <c r="B355" i="17"/>
  <c r="B30" i="17"/>
  <c r="B44" i="17"/>
  <c r="B64" i="17"/>
  <c r="B109" i="17"/>
  <c r="B123" i="17"/>
  <c r="B135" i="17"/>
  <c r="B147" i="17"/>
  <c r="O506" i="3" s="1"/>
  <c r="B160" i="17"/>
  <c r="B171" i="17"/>
  <c r="B197" i="17"/>
  <c r="C29" i="1" s="1"/>
  <c r="B211" i="17"/>
  <c r="B223" i="17"/>
  <c r="B231" i="17"/>
  <c r="B247" i="17"/>
  <c r="B260" i="17"/>
  <c r="B278" i="17"/>
  <c r="B290" i="17"/>
  <c r="B302" i="17"/>
  <c r="B330" i="17"/>
  <c r="B343" i="17"/>
  <c r="B6" i="17"/>
  <c r="B382" i="17"/>
  <c r="B426" i="17"/>
  <c r="B356" i="17"/>
  <c r="B32" i="17"/>
  <c r="B94" i="17"/>
  <c r="B106" i="17"/>
  <c r="B148" i="17"/>
  <c r="B185" i="17"/>
  <c r="B205" i="17"/>
  <c r="B240" i="17"/>
  <c r="B252" i="17"/>
  <c r="B295" i="17"/>
  <c r="B312" i="17"/>
  <c r="B336" i="17"/>
  <c r="B8" i="17"/>
  <c r="B452" i="17"/>
  <c r="G178" i="3" s="1"/>
  <c r="B383" i="17"/>
  <c r="B405" i="17"/>
  <c r="B427" i="17"/>
  <c r="B33" i="17"/>
  <c r="B59" i="17"/>
  <c r="B95" i="17"/>
  <c r="B129" i="17"/>
  <c r="B149" i="17"/>
  <c r="B166" i="17"/>
  <c r="B186" i="17"/>
  <c r="G19" i="1" s="1"/>
  <c r="B207" i="17"/>
  <c r="B241" i="17"/>
  <c r="B313" i="17"/>
  <c r="B337" i="17"/>
  <c r="B9" i="17"/>
  <c r="B458" i="17"/>
  <c r="B450" i="17"/>
  <c r="B388" i="17"/>
  <c r="B410" i="17"/>
  <c r="B436" i="17"/>
  <c r="B361" i="17"/>
  <c r="B353" i="17"/>
  <c r="B38" i="17"/>
  <c r="B87" i="17"/>
  <c r="T18" i="6" s="1"/>
  <c r="B154" i="17"/>
  <c r="B191" i="17"/>
  <c r="B214" i="17"/>
  <c r="B227" i="17"/>
  <c r="B257" i="17"/>
  <c r="B283" i="17"/>
  <c r="B319" i="17"/>
  <c r="B14" i="17"/>
  <c r="B449" i="17"/>
  <c r="B394" i="17"/>
  <c r="B414" i="17"/>
  <c r="B440" i="17"/>
  <c r="B365" i="17"/>
  <c r="B21" i="17"/>
  <c r="C11" i="4" s="1"/>
  <c r="B45" i="17"/>
  <c r="B98" i="17"/>
  <c r="C2" i="3" s="1"/>
  <c r="B119" i="17"/>
  <c r="B139" i="17"/>
  <c r="F398" i="3" s="1"/>
  <c r="B176" i="17"/>
  <c r="B198" i="17"/>
  <c r="B233" i="17"/>
  <c r="B243" i="17"/>
  <c r="B263" i="17"/>
  <c r="D419" i="1" s="1"/>
  <c r="B327" i="17"/>
  <c r="B348" i="17"/>
  <c r="B459" i="17"/>
  <c r="J134" i="12" s="1"/>
  <c r="B399" i="17"/>
  <c r="B431" i="17"/>
  <c r="B35" i="17"/>
  <c r="B124" i="17"/>
  <c r="B150" i="17"/>
  <c r="F507" i="3" s="1"/>
  <c r="B203" i="17"/>
  <c r="B225" i="17"/>
  <c r="B279" i="17"/>
  <c r="B325" i="17"/>
  <c r="B334" i="17"/>
  <c r="B13" i="17"/>
  <c r="B380" i="17"/>
  <c r="B411" i="17"/>
  <c r="B443" i="17"/>
  <c r="B370" i="17"/>
  <c r="B46" i="17"/>
  <c r="B102" i="17"/>
  <c r="B132" i="17"/>
  <c r="B161" i="17"/>
  <c r="B184" i="17"/>
  <c r="B237" i="17"/>
  <c r="B254" i="17"/>
  <c r="B287" i="17"/>
  <c r="B307" i="17"/>
  <c r="B345" i="17"/>
  <c r="B387" i="17"/>
  <c r="B421" i="17"/>
  <c r="B357" i="17"/>
  <c r="B52" i="17"/>
  <c r="B91" i="17"/>
  <c r="B110" i="17"/>
  <c r="C19" i="3" s="1"/>
  <c r="B137" i="17"/>
  <c r="B164" i="17"/>
  <c r="B190" i="17"/>
  <c r="B219" i="17"/>
  <c r="B262" i="17"/>
  <c r="B293" i="17"/>
  <c r="B318" i="17"/>
  <c r="B350" i="17"/>
  <c r="B392" i="17"/>
  <c r="B422" i="17"/>
  <c r="B359" i="17"/>
  <c r="C12" i="4"/>
  <c r="B53" i="17"/>
  <c r="B111" i="17"/>
  <c r="B140" i="17"/>
  <c r="B165" i="17"/>
  <c r="B193" i="17"/>
  <c r="B220" i="17"/>
  <c r="C58" i="1" s="1"/>
  <c r="B265" i="17"/>
  <c r="B384" i="17"/>
  <c r="B428" i="17"/>
  <c r="B367" i="17"/>
  <c r="B61" i="17"/>
  <c r="B3" i="16" s="1"/>
  <c r="B103" i="17"/>
  <c r="B143" i="17"/>
  <c r="B180" i="17"/>
  <c r="B224" i="17"/>
  <c r="B249" i="17"/>
  <c r="B291" i="17"/>
  <c r="C9" i="12" s="1"/>
  <c r="B332" i="17"/>
  <c r="B385" i="17"/>
  <c r="B430" i="17"/>
  <c r="B369" i="17"/>
  <c r="B65" i="17"/>
  <c r="B105" i="17"/>
  <c r="B144" i="17"/>
  <c r="B181" i="17"/>
  <c r="B292" i="17"/>
  <c r="B333" i="17"/>
  <c r="C166" i="12" s="1"/>
  <c r="B455" i="17"/>
  <c r="B398" i="17"/>
  <c r="B442" i="17"/>
  <c r="B26" i="17"/>
  <c r="B90" i="17"/>
  <c r="T21" i="6" s="1"/>
  <c r="B120" i="17"/>
  <c r="B157" i="17"/>
  <c r="B199" i="17"/>
  <c r="B232" i="17"/>
  <c r="B261" i="17"/>
  <c r="B344" i="17"/>
  <c r="B407" i="17"/>
  <c r="B360" i="17"/>
  <c r="B36" i="17"/>
  <c r="C27" i="4" s="1"/>
  <c r="B96" i="17"/>
  <c r="B128" i="17"/>
  <c r="B168" i="17"/>
  <c r="B204" i="17"/>
  <c r="B272" i="17"/>
  <c r="B304" i="17"/>
  <c r="B352" i="17"/>
  <c r="B457" i="17"/>
  <c r="N316" i="1" s="1"/>
  <c r="B406" i="17"/>
  <c r="B97" i="17"/>
  <c r="B152" i="17"/>
  <c r="H507" i="3" s="1"/>
  <c r="B202" i="17"/>
  <c r="B11" i="17"/>
  <c r="B423" i="17"/>
  <c r="B24" i="17"/>
  <c r="B113" i="17"/>
  <c r="B162" i="17"/>
  <c r="B216" i="17"/>
  <c r="B256" i="17"/>
  <c r="B315" i="17"/>
  <c r="B374" i="17"/>
  <c r="B438" i="17"/>
  <c r="B37" i="17"/>
  <c r="B125" i="17"/>
  <c r="B174" i="17"/>
  <c r="B274" i="17"/>
  <c r="B331" i="17"/>
  <c r="B378" i="17"/>
  <c r="B441" i="17"/>
  <c r="B40" i="17"/>
  <c r="B126" i="17"/>
  <c r="B177" i="17"/>
  <c r="C10" i="1" s="1"/>
  <c r="B228" i="17"/>
  <c r="B280" i="17"/>
  <c r="C536" i="1" s="1"/>
  <c r="B335" i="17"/>
  <c r="B379" i="17"/>
  <c r="B446" i="17"/>
  <c r="B41" i="17"/>
  <c r="B85" i="17"/>
  <c r="T16" i="6" s="1"/>
  <c r="B130" i="17"/>
  <c r="B178" i="17"/>
  <c r="B234" i="17"/>
  <c r="B282" i="17"/>
  <c r="B339" i="17"/>
  <c r="B153" i="17"/>
  <c r="B236" i="17"/>
  <c r="B396" i="17"/>
  <c r="B16" i="17"/>
  <c r="B92" i="17"/>
  <c r="A1" i="3" s="1"/>
  <c r="B169" i="17"/>
  <c r="B323" i="17"/>
  <c r="B397" i="17"/>
  <c r="B27" i="17"/>
  <c r="B173" i="17"/>
  <c r="B248" i="17"/>
  <c r="C304" i="1" s="1"/>
  <c r="B340" i="17"/>
  <c r="B448" i="17"/>
  <c r="G4" i="3" s="1"/>
  <c r="B47" i="17"/>
  <c r="B116" i="17"/>
  <c r="B217" i="17"/>
  <c r="B317" i="17"/>
  <c r="B409" i="17"/>
  <c r="B141" i="17"/>
  <c r="B7" i="17"/>
  <c r="B412" i="17"/>
  <c r="B142" i="17"/>
  <c r="B250" i="17"/>
  <c r="B12" i="17"/>
  <c r="B373" i="17"/>
  <c r="B136" i="17"/>
  <c r="B393" i="17"/>
  <c r="B194" i="17"/>
  <c r="C24" i="1" s="1"/>
  <c r="B328" i="17"/>
  <c r="B401" i="17"/>
  <c r="B200" i="17"/>
  <c r="B306" i="17"/>
  <c r="B425" i="17"/>
  <c r="B212" i="17"/>
  <c r="B349" i="17"/>
  <c r="B447" i="17"/>
  <c r="B437" i="17"/>
  <c r="B213" i="17"/>
  <c r="B100" i="17"/>
  <c r="B114" i="17"/>
  <c r="B347" i="17"/>
  <c r="C182" i="12" s="1"/>
  <c r="B451" i="17"/>
  <c r="B155" i="17"/>
  <c r="B362" i="17"/>
  <c r="B189" i="17"/>
  <c r="B364" i="17"/>
  <c r="B208" i="17"/>
  <c r="B31" i="17"/>
  <c r="B253" i="17"/>
  <c r="B51" i="17"/>
  <c r="B266" i="17"/>
  <c r="B415" i="17"/>
  <c r="B66" i="17"/>
  <c r="B89" i="17"/>
  <c r="T20" i="6" s="1"/>
  <c r="B101" i="17"/>
  <c r="B188" i="17"/>
  <c r="B238" i="17"/>
  <c r="B284" i="17"/>
  <c r="B285" i="17"/>
  <c r="C541" i="1" s="1"/>
  <c r="I159" i="12" l="1"/>
  <c r="I158" i="12"/>
  <c r="I160" i="12"/>
  <c r="M316" i="1"/>
  <c r="F126" i="3"/>
  <c r="F17" i="3"/>
  <c r="C7" i="16" s="1"/>
  <c r="F7" i="16" s="1"/>
  <c r="L72" i="1" a="1"/>
  <c r="H525" i="3"/>
  <c r="H523" i="3"/>
  <c r="I178" i="12"/>
  <c r="H524" i="3"/>
  <c r="M416" i="1" a="1"/>
  <c r="I190" i="12"/>
  <c r="I181" i="12"/>
  <c r="I169" i="12"/>
  <c r="I145" i="12"/>
  <c r="I144" i="12"/>
  <c r="M318" i="1"/>
  <c r="M317" i="1"/>
  <c r="H517" i="3"/>
  <c r="H518" i="3"/>
  <c r="H527" i="3"/>
  <c r="F289" i="3"/>
  <c r="F290" i="3"/>
  <c r="F180" i="3"/>
  <c r="L74" i="1"/>
  <c r="L69" i="1" a="1"/>
  <c r="H309" i="1"/>
  <c r="L23" i="1"/>
  <c r="L22" i="1"/>
  <c r="L5" i="1"/>
  <c r="E296" i="1"/>
  <c r="C28" i="16" s="1"/>
  <c r="H519" i="3"/>
  <c r="I30" i="7"/>
  <c r="C65" i="16" s="1"/>
  <c r="F65" i="16" s="1"/>
  <c r="I12" i="7"/>
  <c r="C60" i="16" s="1"/>
  <c r="F60" i="16" s="1"/>
  <c r="I197" i="12"/>
  <c r="C64" i="16" s="1"/>
  <c r="F64" i="16" s="1"/>
  <c r="I189" i="12"/>
  <c r="K434" i="1"/>
  <c r="K433" i="1"/>
  <c r="L541" i="1"/>
  <c r="L76" i="1"/>
  <c r="L24" i="1"/>
  <c r="C63" i="16"/>
  <c r="F63" i="16" s="1"/>
  <c r="F179" i="3"/>
  <c r="I153" i="12"/>
  <c r="I154" i="12"/>
  <c r="B38" i="16"/>
  <c r="C24" i="12"/>
  <c r="B42" i="16"/>
  <c r="B33" i="16"/>
  <c r="B23" i="16"/>
  <c r="C16" i="1"/>
  <c r="B22" i="16"/>
  <c r="B29" i="16"/>
  <c r="B26" i="16"/>
  <c r="B16" i="16"/>
  <c r="B28" i="16"/>
  <c r="B36" i="16"/>
  <c r="C6" i="12"/>
  <c r="B41" i="16"/>
  <c r="E127" i="3" s="1" a="1"/>
  <c r="B51" i="16"/>
  <c r="G16" i="1"/>
  <c r="B13" i="16"/>
  <c r="B21" i="16"/>
  <c r="B17" i="16"/>
  <c r="B60" i="16"/>
  <c r="B37" i="16"/>
  <c r="C14" i="12"/>
  <c r="B14" i="16"/>
  <c r="E128" i="3" s="1" a="1"/>
  <c r="B32" i="16"/>
  <c r="B18" i="16"/>
  <c r="I188" i="12"/>
  <c r="H310" i="1"/>
  <c r="I191" i="12"/>
  <c r="L540" i="1"/>
  <c r="L539" i="1"/>
  <c r="L538" i="1"/>
  <c r="L537" i="1"/>
  <c r="L52" i="1"/>
  <c r="C52" i="16" s="1"/>
  <c r="F52" i="16" s="1"/>
  <c r="I177" i="12"/>
  <c r="I393" i="3"/>
  <c r="C15" i="16" s="1"/>
  <c r="F15" i="16" s="1"/>
  <c r="F288" i="3"/>
  <c r="B53" i="16"/>
  <c r="C268" i="11"/>
  <c r="B63" i="16"/>
  <c r="C277" i="11"/>
  <c r="B64" i="16"/>
  <c r="C278" i="11"/>
  <c r="C274" i="11"/>
  <c r="C276" i="11"/>
  <c r="C275" i="11"/>
  <c r="C273" i="11"/>
  <c r="C263" i="11"/>
  <c r="C262" i="11"/>
  <c r="C261" i="11"/>
  <c r="C260" i="11"/>
  <c r="B31" i="16"/>
  <c r="C259" i="11"/>
  <c r="B15" i="16"/>
  <c r="C258" i="11"/>
  <c r="I183" i="12" a="1"/>
  <c r="C265" i="11"/>
  <c r="C266" i="11"/>
  <c r="C264" i="11"/>
  <c r="B7" i="16"/>
  <c r="C257" i="11"/>
  <c r="B52" i="16"/>
  <c r="C267" i="11"/>
  <c r="B65" i="16"/>
  <c r="C279" i="11"/>
  <c r="C271" i="11"/>
  <c r="C270" i="11"/>
  <c r="C269" i="11"/>
  <c r="C272" i="11"/>
  <c r="C4" i="12"/>
  <c r="C125" i="3"/>
  <c r="F5" i="3"/>
  <c r="F10" i="3"/>
  <c r="F6" i="3" s="1"/>
  <c r="F4" i="3"/>
  <c r="F3" i="3"/>
  <c r="F280" i="3"/>
  <c r="F278" i="3"/>
  <c r="F175" i="3"/>
  <c r="F279" i="3"/>
  <c r="F282" i="3"/>
  <c r="F281" i="3"/>
  <c r="F283" i="3"/>
  <c r="F176" i="3"/>
  <c r="F178" i="3"/>
  <c r="F125" i="3"/>
  <c r="C21" i="9"/>
  <c r="C27" i="9"/>
  <c r="A21" i="9"/>
  <c r="A27" i="9"/>
  <c r="I162" i="12"/>
  <c r="I171" i="12"/>
  <c r="I166" i="12"/>
  <c r="I23" i="7"/>
  <c r="I165" i="12"/>
  <c r="I7" i="7"/>
  <c r="I24" i="7"/>
  <c r="I163" i="12"/>
  <c r="I6" i="7"/>
  <c r="E514" i="3"/>
  <c r="E513" i="3"/>
  <c r="E302" i="1"/>
  <c r="E512" i="3"/>
  <c r="P508" i="3"/>
  <c r="C17" i="16" s="1"/>
  <c r="F17" i="16" s="1"/>
  <c r="L30" i="1" a="1"/>
  <c r="L21" i="1"/>
  <c r="L75" i="1"/>
  <c r="B12" i="16"/>
  <c r="A55" i="1"/>
  <c r="G9" i="8"/>
  <c r="K432" i="1"/>
  <c r="I133" i="12"/>
  <c r="I139" i="12"/>
  <c r="C8" i="16"/>
  <c r="J29" i="12"/>
  <c r="I18" i="12"/>
  <c r="G6" i="3"/>
  <c r="G10" i="3"/>
  <c r="J187" i="12"/>
  <c r="J176" i="12"/>
  <c r="G176" i="3"/>
  <c r="G22" i="3"/>
  <c r="L434" i="1"/>
  <c r="N318" i="1"/>
  <c r="G288" i="3"/>
  <c r="L404" i="3"/>
  <c r="J31" i="12"/>
  <c r="C56" i="16" l="1" a="1"/>
  <c r="J422" i="1" a="1"/>
  <c r="C14" i="16"/>
  <c r="F14" i="16" s="1"/>
  <c r="C42" i="16"/>
  <c r="J424" i="1" a="1"/>
  <c r="J420" i="1"/>
  <c r="J417" i="1"/>
  <c r="C33" i="16"/>
  <c r="F33" i="16" s="1"/>
  <c r="J419" i="1"/>
  <c r="J416" i="1"/>
  <c r="C29" i="16"/>
  <c r="F29" i="16" s="1"/>
  <c r="C54" i="16"/>
  <c r="F54" i="16" s="1" a="1"/>
  <c r="C48" i="16"/>
  <c r="C18" i="16" a="1"/>
  <c r="C51" i="16"/>
  <c r="F51" i="16" s="1"/>
  <c r="C44" i="16"/>
  <c r="F44" i="16" s="1"/>
  <c r="C61" i="16"/>
  <c r="F61" i="16" s="1"/>
  <c r="C12" i="16"/>
  <c r="C57" i="16"/>
  <c r="F57" i="16" s="1"/>
  <c r="C47" i="16"/>
  <c r="F47" i="16" s="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J418" i="1" l="1"/>
  <c r="J421" i="1"/>
  <c r="T12" i="8"/>
  <c r="E11" i="8" s="1"/>
  <c r="X11" i="8"/>
  <c r="W18" i="8"/>
  <c r="AJ11" i="8"/>
  <c r="X12" i="8"/>
  <c r="E12" i="8" s="1"/>
  <c r="AR11" i="8"/>
  <c r="T11" i="8"/>
  <c r="AB11" i="8"/>
  <c r="AZ11" i="8"/>
  <c r="AV11" i="8"/>
  <c r="AN11" i="8"/>
  <c r="AF11" i="8"/>
  <c r="D14" i="8" s="1"/>
  <c r="I147" i="12" l="1"/>
  <c r="F42" i="16"/>
  <c r="I142" i="12"/>
  <c r="D13" i="8"/>
  <c r="D11" i="8"/>
  <c r="D17" i="8"/>
  <c r="D16" i="8"/>
  <c r="D19" i="8"/>
  <c r="D15" i="8"/>
  <c r="D18" i="8"/>
  <c r="D12" i="8"/>
  <c r="P10" i="8"/>
  <c r="O18" i="8" s="1"/>
  <c r="P17" i="8"/>
  <c r="P18" i="8" s="1"/>
  <c r="C41" i="16" l="1"/>
  <c r="F41" i="16" s="1"/>
  <c r="P12" i="8"/>
  <c r="E10" i="8" s="1"/>
  <c r="P11" i="8"/>
  <c r="D10" i="8" s="1"/>
  <c r="C40" i="16" l="1"/>
  <c r="Q16" i="8"/>
  <c r="O19" i="8"/>
  <c r="O20" i="8" s="1"/>
  <c r="O21" i="8" s="1"/>
  <c r="B2" i="11"/>
  <c r="D62" i="1"/>
  <c r="B3" i="11"/>
  <c r="C21" i="7" s="1"/>
  <c r="C15" i="3" l="1"/>
  <c r="C529" i="3"/>
  <c r="C510" i="3"/>
  <c r="C389" i="3"/>
  <c r="C195" i="12"/>
  <c r="C132" i="12"/>
  <c r="C535" i="1"/>
  <c r="C516" i="3"/>
  <c r="C65" i="1"/>
  <c r="C503" i="3"/>
  <c r="C141" i="12"/>
  <c r="C543" i="1"/>
  <c r="C427" i="1"/>
  <c r="C180" i="12"/>
  <c r="C49" i="1"/>
  <c r="C150" i="12"/>
  <c r="C522" i="3"/>
  <c r="C157" i="12"/>
  <c r="C124" i="3"/>
  <c r="C395" i="3"/>
  <c r="C285" i="3"/>
  <c r="C186" i="1"/>
  <c r="C9" i="7"/>
  <c r="C168" i="12"/>
  <c r="C7" i="1"/>
  <c r="C174" i="3"/>
  <c r="C55" i="1"/>
  <c r="C298" i="1"/>
  <c r="C293" i="1"/>
  <c r="C306" i="1"/>
  <c r="C312" i="1"/>
  <c r="C28" i="7"/>
  <c r="C2" i="7"/>
  <c r="C2" i="1"/>
  <c r="O23" i="8"/>
  <c r="A16" i="9"/>
  <c r="A1" i="9"/>
  <c r="G13" i="9"/>
  <c r="A4" i="9"/>
  <c r="G18" i="9"/>
  <c r="A8" i="9"/>
  <c r="A20" i="9"/>
  <c r="A12" i="9"/>
  <c r="G21" i="9"/>
  <c r="G4" i="9"/>
  <c r="G24" i="9"/>
  <c r="G5" i="9"/>
  <c r="G31" i="9"/>
  <c r="G6" i="9"/>
  <c r="G7" i="9"/>
  <c r="G8" i="9"/>
  <c r="G9" i="9"/>
  <c r="G10" i="9"/>
  <c r="G12" i="9"/>
  <c r="A5" i="8"/>
  <c r="A39" i="8"/>
  <c r="A48" i="8"/>
  <c r="J12" i="8"/>
  <c r="A43" i="8"/>
  <c r="A40" i="8"/>
  <c r="J9" i="8"/>
  <c r="J13" i="8"/>
  <c r="A2" i="8"/>
  <c r="A9" i="8"/>
  <c r="A28" i="8"/>
  <c r="J19" i="8"/>
  <c r="D9" i="8"/>
  <c r="A44" i="8"/>
  <c r="J17" i="8"/>
  <c r="A46" i="8"/>
  <c r="A31" i="8"/>
  <c r="A23" i="8"/>
  <c r="F9" i="8"/>
  <c r="E9" i="8"/>
  <c r="C9" i="8"/>
  <c r="J16" i="8"/>
  <c r="B31" i="8"/>
  <c r="A4" i="8"/>
  <c r="A36" i="8"/>
  <c r="A1" i="8"/>
  <c r="J14" i="8"/>
  <c r="J11" i="8"/>
  <c r="A3" i="8"/>
  <c r="A37" i="8"/>
  <c r="B6" i="8"/>
  <c r="A42" i="8"/>
  <c r="A47" i="8"/>
  <c r="J18" i="8"/>
  <c r="J15" i="8"/>
  <c r="C175" i="12"/>
  <c r="B1" i="4"/>
  <c r="B33" i="4"/>
  <c r="B28" i="4"/>
  <c r="B44" i="4"/>
  <c r="B17" i="4"/>
  <c r="C28" i="4"/>
  <c r="B18" i="4"/>
  <c r="B29" i="4"/>
  <c r="B19" i="4"/>
  <c r="C29" i="4"/>
  <c r="B43" i="4"/>
  <c r="B21" i="4"/>
  <c r="B24" i="4"/>
  <c r="B10" i="4"/>
  <c r="C37" i="4"/>
  <c r="B13" i="4"/>
  <c r="B22" i="4"/>
  <c r="B23" i="4"/>
  <c r="C33" i="4"/>
  <c r="B2" i="4"/>
  <c r="C34" i="4"/>
  <c r="B26" i="4"/>
  <c r="B27" i="4"/>
  <c r="B62" i="16"/>
  <c r="C6" i="3"/>
  <c r="C122" i="3"/>
  <c r="C176" i="3"/>
  <c r="C281" i="3"/>
  <c r="C4" i="16"/>
  <c r="E287" i="3"/>
  <c r="F48" i="16" s="1"/>
  <c r="D398" i="3"/>
  <c r="G507" i="3"/>
  <c r="B54" i="16"/>
  <c r="C7" i="3"/>
  <c r="C13" i="3"/>
  <c r="C177" i="3"/>
  <c r="C282" i="3"/>
  <c r="E398" i="3"/>
  <c r="B6" i="16"/>
  <c r="D506" i="3"/>
  <c r="B8" i="16"/>
  <c r="B56" i="16"/>
  <c r="C8" i="3"/>
  <c r="C178" i="3"/>
  <c r="C283" i="3"/>
  <c r="B9" i="16"/>
  <c r="B57" i="16"/>
  <c r="G398" i="3"/>
  <c r="N506" i="3"/>
  <c r="I507" i="3"/>
  <c r="B58" i="16"/>
  <c r="C3" i="3"/>
  <c r="C9" i="3"/>
  <c r="C278" i="3"/>
  <c r="C393" i="3"/>
  <c r="H398" i="3"/>
  <c r="J507" i="3"/>
  <c r="D287" i="3"/>
  <c r="C4" i="3"/>
  <c r="C5" i="3"/>
  <c r="C175" i="3"/>
  <c r="C10" i="3"/>
  <c r="C279" i="3"/>
  <c r="B2" i="16"/>
  <c r="H399" i="3"/>
  <c r="C11" i="3"/>
  <c r="B61" i="16"/>
  <c r="C21" i="3"/>
  <c r="D507" i="3"/>
  <c r="C22" i="3"/>
  <c r="E507" i="3"/>
  <c r="C525" i="3"/>
  <c r="C155" i="12"/>
  <c r="B1" i="11"/>
  <c r="D59" i="1"/>
  <c r="D60" i="1"/>
  <c r="K507" i="3"/>
  <c r="C5" i="1"/>
  <c r="C21" i="1"/>
  <c r="L507" i="3"/>
  <c r="C22" i="1"/>
  <c r="C41" i="1"/>
  <c r="C69" i="1"/>
  <c r="C303" i="1"/>
  <c r="B9" i="8"/>
  <c r="D431" i="1"/>
  <c r="C11" i="12"/>
  <c r="C134" i="12"/>
  <c r="C181" i="12"/>
  <c r="C517" i="3"/>
  <c r="C33" i="1"/>
  <c r="C42" i="1"/>
  <c r="C70" i="1"/>
  <c r="K315" i="1"/>
  <c r="C146" i="12"/>
  <c r="C164" i="12"/>
  <c r="C190" i="12"/>
  <c r="C17" i="7"/>
  <c r="B1" i="12"/>
  <c r="G190" i="1"/>
  <c r="C302" i="1"/>
  <c r="J532" i="1"/>
  <c r="C10" i="12"/>
  <c r="C160" i="12"/>
  <c r="C163" i="12"/>
  <c r="C15" i="7"/>
  <c r="C512" i="3"/>
  <c r="C523" i="3"/>
  <c r="D20" i="1"/>
  <c r="C30" i="1"/>
  <c r="C39" i="1"/>
  <c r="D73" i="1"/>
  <c r="J190" i="1"/>
  <c r="C533" i="1"/>
  <c r="C161" i="12"/>
  <c r="C5" i="7"/>
  <c r="G20" i="1"/>
  <c r="C309" i="1"/>
  <c r="C142" i="12"/>
  <c r="C165" i="12"/>
  <c r="C16" i="7"/>
  <c r="C513" i="3"/>
  <c r="C524" i="3"/>
  <c r="G11" i="1"/>
  <c r="C40" i="1"/>
  <c r="D416" i="1"/>
  <c r="K11" i="1"/>
  <c r="C38" i="1"/>
  <c r="C57" i="1"/>
  <c r="C68" i="1"/>
  <c r="D190" i="1"/>
  <c r="D421" i="1"/>
  <c r="C133" i="12"/>
  <c r="C178" i="12"/>
  <c r="C191" i="12"/>
  <c r="C12" i="1"/>
  <c r="C25" i="1"/>
  <c r="C71" i="1"/>
  <c r="K190" i="1"/>
  <c r="C18" i="7"/>
  <c r="C22" i="7"/>
  <c r="M507" i="3"/>
  <c r="C13" i="1"/>
  <c r="C43" i="1"/>
  <c r="C59" i="1"/>
  <c r="D315" i="1"/>
  <c r="C537" i="1"/>
  <c r="C28" i="12"/>
  <c r="C135" i="12"/>
  <c r="C23" i="7"/>
  <c r="C31" i="1"/>
  <c r="G73" i="1"/>
  <c r="C416" i="1"/>
  <c r="C538" i="1"/>
  <c r="C139" i="12"/>
  <c r="C6" i="7"/>
  <c r="C514" i="3"/>
  <c r="C527" i="3"/>
  <c r="C32" i="1"/>
  <c r="C45" i="1"/>
  <c r="D61" i="1"/>
  <c r="D417" i="1"/>
  <c r="G431" i="1"/>
  <c r="C539" i="1"/>
  <c r="C169" i="12"/>
  <c r="C25" i="7"/>
  <c r="C34" i="1"/>
  <c r="C46" i="1"/>
  <c r="J73" i="1"/>
  <c r="C540" i="1"/>
  <c r="C170" i="12"/>
  <c r="J20" i="1"/>
  <c r="C35" i="1"/>
  <c r="K73" i="1"/>
  <c r="D418" i="1"/>
  <c r="C158" i="12"/>
  <c r="C14" i="1"/>
  <c r="C44" i="1"/>
  <c r="L315" i="1"/>
  <c r="C138" i="12"/>
  <c r="C24" i="7"/>
  <c r="K20" i="1"/>
  <c r="C310" i="1"/>
  <c r="C2" i="12"/>
  <c r="C147" i="12"/>
  <c r="C188" i="12"/>
  <c r="C3" i="12"/>
  <c r="C148" i="12"/>
  <c r="C23" i="1"/>
  <c r="C189" i="12"/>
  <c r="C518" i="3"/>
  <c r="C189" i="1"/>
  <c r="C519" i="3"/>
  <c r="C36" i="1"/>
  <c r="C10" i="7"/>
  <c r="D420" i="1"/>
  <c r="H11" i="7"/>
  <c r="C37" i="1"/>
  <c r="C190" i="1"/>
  <c r="C162" i="12"/>
  <c r="C12" i="7"/>
  <c r="C532" i="1"/>
  <c r="C13" i="7"/>
  <c r="C159" i="12"/>
  <c r="J11" i="1"/>
  <c r="C177" i="12"/>
  <c r="C296" i="1"/>
  <c r="C14" i="7"/>
  <c r="C56" i="1"/>
  <c r="D21" i="1"/>
  <c r="F10" i="8" l="1"/>
  <c r="G10" i="8" s="1"/>
  <c r="C7" i="7"/>
  <c r="A17" i="9"/>
  <c r="A13" i="9"/>
  <c r="A5" i="9"/>
  <c r="A9" i="9"/>
  <c r="C13" i="9"/>
  <c r="C5" i="9"/>
  <c r="C9" i="9"/>
  <c r="C17" i="9"/>
  <c r="C144" i="12"/>
  <c r="C145" i="12"/>
  <c r="C30" i="4"/>
  <c r="B7" i="8"/>
  <c r="B1" i="1"/>
  <c r="A1" i="1"/>
  <c r="A1" i="12"/>
  <c r="C18" i="12"/>
  <c r="C185" i="12"/>
  <c r="C173" i="12"/>
  <c r="C172" i="12"/>
  <c r="C184" i="12"/>
  <c r="C17" i="12"/>
  <c r="C280" i="3"/>
  <c r="E28" i="12"/>
  <c r="D17" i="12"/>
  <c r="D9" i="12"/>
  <c r="C183" i="12"/>
  <c r="C171" i="12"/>
  <c r="C20" i="12"/>
  <c r="C21" i="12"/>
  <c r="C174" i="12"/>
  <c r="C186" i="12"/>
  <c r="C19" i="12"/>
  <c r="C129" i="12"/>
  <c r="C22" i="12"/>
  <c r="C12" i="12"/>
  <c r="C187" i="12"/>
  <c r="C176" i="12"/>
  <c r="B5" i="16"/>
  <c r="B46" i="16"/>
  <c r="B10" i="16"/>
  <c r="J431" i="1"/>
  <c r="G315" i="1"/>
  <c r="G420" i="1"/>
  <c r="J533" i="1"/>
  <c r="G419" i="1"/>
  <c r="G421" i="1"/>
  <c r="C431" i="1"/>
  <c r="C315" i="1"/>
  <c r="C73" i="1"/>
  <c r="C398" i="3"/>
  <c r="C287" i="3"/>
  <c r="C506" i="3"/>
  <c r="K31" i="1"/>
  <c r="K32" i="1"/>
  <c r="K33" i="1"/>
  <c r="K34" i="1"/>
  <c r="K35" i="1"/>
  <c r="K36" i="1"/>
  <c r="K37" i="1"/>
  <c r="K38" i="1"/>
  <c r="K39" i="1"/>
  <c r="K40" i="1"/>
  <c r="K41" i="1"/>
  <c r="K42" i="1"/>
  <c r="K43" i="1"/>
  <c r="K44" i="1"/>
  <c r="K30" i="1"/>
  <c r="C6" i="16" l="1"/>
  <c r="G25" i="1"/>
  <c r="J25" i="1"/>
  <c r="D209" i="1" l="1"/>
  <c r="L209" i="1" s="1"/>
  <c r="D208" i="1"/>
  <c r="L208" i="1" s="1"/>
  <c r="D204" i="1"/>
  <c r="L204" i="1" s="1"/>
  <c r="D192" i="1"/>
  <c r="L192" i="1" s="1"/>
  <c r="L191" i="1"/>
  <c r="D193" i="1"/>
  <c r="L193" i="1" s="1"/>
  <c r="D194" i="1"/>
  <c r="L194" i="1" s="1"/>
  <c r="D195" i="1"/>
  <c r="L195" i="1" s="1"/>
  <c r="D196" i="1"/>
  <c r="L196" i="1" s="1"/>
  <c r="D197" i="1"/>
  <c r="L197" i="1" s="1"/>
  <c r="D198" i="1"/>
  <c r="L198" i="1" s="1"/>
  <c r="D199" i="1"/>
  <c r="L199" i="1" s="1"/>
  <c r="D200" i="1"/>
  <c r="L200" i="1" s="1"/>
  <c r="D201" i="1"/>
  <c r="L201" i="1" s="1"/>
  <c r="D202" i="1"/>
  <c r="L202" i="1" s="1"/>
  <c r="D203" i="1"/>
  <c r="L203" i="1" s="1"/>
  <c r="D205" i="1"/>
  <c r="L205" i="1" s="1"/>
  <c r="D206" i="1"/>
  <c r="L206" i="1" s="1"/>
  <c r="D207" i="1"/>
  <c r="L207" i="1" s="1"/>
  <c r="D210" i="1"/>
  <c r="L210" i="1" s="1"/>
  <c r="D211" i="1"/>
  <c r="L211" i="1" s="1"/>
  <c r="D212" i="1"/>
  <c r="L212" i="1" s="1"/>
  <c r="D213" i="1"/>
  <c r="L213" i="1" s="1"/>
  <c r="D214" i="1"/>
  <c r="L214" i="1" s="1"/>
  <c r="D289" i="1"/>
  <c r="L289" i="1" s="1"/>
  <c r="D290" i="1"/>
  <c r="L290" i="1" s="1"/>
  <c r="K23" i="1"/>
  <c r="K24" i="1"/>
  <c r="K22" i="1"/>
  <c r="AS26" i="8"/>
  <c r="AY18" i="8"/>
  <c r="AZ18" i="8"/>
  <c r="AY19" i="8" s="1"/>
  <c r="AO26" i="8"/>
  <c r="AU18" i="8"/>
  <c r="AV18" i="8"/>
  <c r="AU19" i="8" s="1"/>
  <c r="AK26" i="8"/>
  <c r="AQ18" i="8"/>
  <c r="AR18" i="8"/>
  <c r="AQ19" i="8" s="1"/>
  <c r="AG26" i="8"/>
  <c r="AM18" i="8"/>
  <c r="AN18" i="8"/>
  <c r="AM19" i="8" s="1"/>
  <c r="AC26" i="8"/>
  <c r="AI18" i="8"/>
  <c r="AJ18" i="8"/>
  <c r="AI19" i="8" s="1"/>
  <c r="Y26" i="8"/>
  <c r="AE18" i="8"/>
  <c r="AF18" i="8"/>
  <c r="AE19" i="8" s="1"/>
  <c r="U26" i="8"/>
  <c r="AA18" i="8"/>
  <c r="AB18" i="8"/>
  <c r="AA19" i="8" s="1"/>
  <c r="Q26" i="8"/>
  <c r="X18" i="8"/>
  <c r="M26" i="8"/>
  <c r="T18" i="8"/>
  <c r="S19" i="8" s="1"/>
  <c r="C26" i="16" l="1"/>
  <c r="W19" i="8"/>
  <c r="W20" i="8" s="1"/>
  <c r="W21" i="8" s="1"/>
  <c r="S20" i="8"/>
  <c r="S21" i="8" s="1"/>
  <c r="AY20" i="8"/>
  <c r="AY21" i="8" s="1"/>
  <c r="AM20" i="8"/>
  <c r="F26" i="16" l="1"/>
  <c r="C27" i="16"/>
  <c r="C25" i="16"/>
  <c r="G417" i="1"/>
  <c r="G418" i="1"/>
  <c r="G45" i="1" l="1"/>
  <c r="G47" i="1" s="1"/>
  <c r="D303" i="1"/>
  <c r="F28" i="16" s="1"/>
  <c r="D148" i="12" l="1"/>
  <c r="D146" i="12"/>
  <c r="C39" i="16"/>
  <c r="F39" i="16" s="1"/>
  <c r="I31" i="12"/>
  <c r="D22" i="12"/>
  <c r="D12" i="12"/>
  <c r="D11" i="12" s="1"/>
  <c r="F3" i="12"/>
  <c r="F2" i="12"/>
  <c r="K418" i="3"/>
  <c r="D18" i="11" s="1"/>
  <c r="F18" i="11" l="1"/>
  <c r="E18" i="11"/>
  <c r="I30" i="12"/>
  <c r="I29" i="12"/>
  <c r="P22" i="8"/>
  <c r="H17" i="7"/>
  <c r="C38" i="16" l="1"/>
  <c r="F38" i="16" s="1"/>
  <c r="J418" i="3"/>
  <c r="J45" i="1" l="1"/>
  <c r="J47" i="1" s="1"/>
  <c r="D45" i="1"/>
  <c r="D46" i="1" s="1"/>
  <c r="K45" i="1" l="1"/>
  <c r="G46" i="1"/>
  <c r="J46" i="1"/>
  <c r="K403" i="3"/>
  <c r="D3" i="11" s="1"/>
  <c r="K404" i="3"/>
  <c r="K405" i="3"/>
  <c r="D5" i="11" s="1"/>
  <c r="K406" i="3"/>
  <c r="D6" i="11" s="1"/>
  <c r="K407" i="3"/>
  <c r="D7" i="11" s="1"/>
  <c r="K408" i="3"/>
  <c r="D8" i="11" s="1"/>
  <c r="K409" i="3"/>
  <c r="D9" i="11" s="1"/>
  <c r="K410" i="3"/>
  <c r="D10" i="11" s="1"/>
  <c r="K411" i="3"/>
  <c r="D11" i="11" s="1"/>
  <c r="K412" i="3"/>
  <c r="D12" i="11" s="1"/>
  <c r="K413" i="3"/>
  <c r="D13" i="11" s="1"/>
  <c r="K414" i="3"/>
  <c r="D14" i="11" s="1"/>
  <c r="K415" i="3"/>
  <c r="D15" i="11" s="1"/>
  <c r="K416" i="3"/>
  <c r="D16" i="11" s="1"/>
  <c r="K417" i="3"/>
  <c r="D17" i="11" s="1"/>
  <c r="K419" i="3"/>
  <c r="D19" i="11" s="1"/>
  <c r="K420" i="3"/>
  <c r="D20" i="11" s="1"/>
  <c r="D47" i="1"/>
  <c r="F6" i="11" l="1"/>
  <c r="E6" i="11"/>
  <c r="F7" i="11"/>
  <c r="E7" i="11"/>
  <c r="J407" i="3" s="1"/>
  <c r="F8" i="11"/>
  <c r="E8" i="11"/>
  <c r="J408" i="3" s="1"/>
  <c r="F9" i="11"/>
  <c r="E9" i="11"/>
  <c r="J409" i="3" s="1"/>
  <c r="F10" i="11"/>
  <c r="E10" i="11"/>
  <c r="F11" i="11"/>
  <c r="E11" i="11"/>
  <c r="F12" i="11"/>
  <c r="E12" i="11"/>
  <c r="F13" i="11"/>
  <c r="E13" i="11"/>
  <c r="J413" i="3" s="1"/>
  <c r="F14" i="11"/>
  <c r="E14" i="11"/>
  <c r="J414" i="3" s="1"/>
  <c r="F15" i="11"/>
  <c r="E15" i="11"/>
  <c r="F16" i="11"/>
  <c r="E16" i="11"/>
  <c r="J416" i="3" s="1"/>
  <c r="F17" i="11"/>
  <c r="E17" i="11"/>
  <c r="F19" i="11"/>
  <c r="E19" i="11"/>
  <c r="F20" i="11"/>
  <c r="E20" i="11"/>
  <c r="J420" i="3" s="1"/>
  <c r="E5" i="11"/>
  <c r="F5" i="11"/>
  <c r="D4" i="11"/>
  <c r="K47" i="1"/>
  <c r="K46" i="1"/>
  <c r="H414" i="3"/>
  <c r="I414" i="3" s="1"/>
  <c r="H418" i="3"/>
  <c r="I418" i="3" s="1"/>
  <c r="J415" i="3" l="1"/>
  <c r="G15" i="11"/>
  <c r="H415" i="3" s="1"/>
  <c r="I415" i="3" s="1"/>
  <c r="J410" i="3"/>
  <c r="G10" i="11"/>
  <c r="H410" i="3" s="1"/>
  <c r="I410" i="3" s="1"/>
  <c r="J406" i="3"/>
  <c r="H406" i="3"/>
  <c r="I406" i="3" s="1"/>
  <c r="J412" i="3"/>
  <c r="J411" i="3"/>
  <c r="J417" i="3"/>
  <c r="H417" i="3"/>
  <c r="I417" i="3" s="1"/>
  <c r="J419" i="3"/>
  <c r="H419" i="3"/>
  <c r="I419" i="3" s="1"/>
  <c r="J405" i="3"/>
  <c r="H405" i="3"/>
  <c r="I405" i="3" s="1"/>
  <c r="F4" i="11"/>
  <c r="E4" i="11"/>
  <c r="J404" i="3" s="1"/>
  <c r="F3" i="11"/>
  <c r="E3" i="11"/>
  <c r="E2" i="11"/>
  <c r="F2" i="11"/>
  <c r="Y16" i="8"/>
  <c r="W23" i="8" s="1"/>
  <c r="F12" i="8" s="1"/>
  <c r="G12" i="8" s="1"/>
  <c r="U16" i="8"/>
  <c r="S23" i="8" s="1"/>
  <c r="BA16" i="8"/>
  <c r="AW16" i="8"/>
  <c r="AU20" i="8"/>
  <c r="AU21" i="8" s="1"/>
  <c r="AS16" i="8"/>
  <c r="AO16" i="8"/>
  <c r="AK16" i="8"/>
  <c r="AG16" i="8"/>
  <c r="AA20" i="8"/>
  <c r="AA21" i="8" s="1"/>
  <c r="AC16" i="8"/>
  <c r="H420" i="3"/>
  <c r="I420" i="3" s="1"/>
  <c r="H413" i="3"/>
  <c r="I413" i="3" s="1"/>
  <c r="H411" i="3"/>
  <c r="I411" i="3" s="1"/>
  <c r="H422" i="3"/>
  <c r="I422" i="3" s="1"/>
  <c r="H412" i="3"/>
  <c r="I412" i="3" s="1"/>
  <c r="H416" i="3"/>
  <c r="I416" i="3" s="1"/>
  <c r="H421" i="3"/>
  <c r="I421" i="3" s="1"/>
  <c r="H407" i="3"/>
  <c r="I407" i="3" s="1"/>
  <c r="H423" i="3"/>
  <c r="I423" i="3" s="1"/>
  <c r="H408" i="3"/>
  <c r="I408" i="3" s="1"/>
  <c r="H409" i="3"/>
  <c r="I409" i="3" s="1"/>
  <c r="J26" i="1"/>
  <c r="G26" i="1"/>
  <c r="D26" i="1"/>
  <c r="K25" i="1"/>
  <c r="D25" i="1"/>
  <c r="J403" i="3" l="1"/>
  <c r="G3" i="11"/>
  <c r="H403" i="3" s="1"/>
  <c r="I403" i="3" s="1"/>
  <c r="G2" i="11"/>
  <c r="H402" i="3" s="1"/>
  <c r="I402" i="3" s="1"/>
  <c r="J402" i="3"/>
  <c r="F11" i="8"/>
  <c r="G11" i="8" s="1"/>
  <c r="AQ20" i="8"/>
  <c r="AQ21" i="8" s="1"/>
  <c r="AQ23" i="8" s="1"/>
  <c r="F17" i="8" s="1"/>
  <c r="G17" i="8" s="1"/>
  <c r="AE20" i="8"/>
  <c r="AE21" i="8" s="1"/>
  <c r="AM21" i="8"/>
  <c r="AM23" i="8" s="1"/>
  <c r="AI20" i="8"/>
  <c r="AA23" i="8"/>
  <c r="AY23" i="8"/>
  <c r="K26" i="1"/>
  <c r="H404" i="3"/>
  <c r="I404" i="3" s="1"/>
  <c r="AU23" i="8"/>
  <c r="X22" i="8"/>
  <c r="D56" i="1" l="1"/>
  <c r="L57" i="1" s="1"/>
  <c r="C53" i="16" s="1"/>
  <c r="F53" i="16" s="1"/>
  <c r="AR22" i="8"/>
  <c r="AB22" i="8"/>
  <c r="F13" i="8"/>
  <c r="G13" i="8" s="1"/>
  <c r="AV22" i="8"/>
  <c r="F18" i="8"/>
  <c r="G18" i="8" s="1"/>
  <c r="AZ22" i="8"/>
  <c r="F19" i="8"/>
  <c r="G19" i="8" s="1"/>
  <c r="AN22" i="8"/>
  <c r="F16" i="8"/>
  <c r="G16" i="8" s="1"/>
  <c r="AI21" i="8"/>
  <c r="AI23" i="8" s="1"/>
  <c r="AJ22" i="8" s="1"/>
  <c r="AE23" i="8"/>
  <c r="T22" i="8"/>
  <c r="C50" i="16" l="1"/>
  <c r="AF22" i="8"/>
  <c r="F14" i="8"/>
  <c r="F15" i="8"/>
  <c r="G15" i="8" s="1"/>
  <c r="G14" i="8" l="1"/>
  <c r="H9" i="8" s="1" a="1"/>
  <c r="K12" i="1" l="1"/>
  <c r="K13" i="1" l="1"/>
  <c r="E3" i="6" l="1"/>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 i="6"/>
  <c r="B73" i="17" l="1"/>
  <c r="B77" i="17"/>
  <c r="B69" i="17"/>
  <c r="B19" i="16" s="1"/>
  <c r="B78" i="17"/>
  <c r="B70" i="17"/>
  <c r="B59" i="16"/>
  <c r="B80" i="17"/>
  <c r="B45" i="16"/>
  <c r="B67" i="17"/>
  <c r="T2" i="6" s="1"/>
  <c r="B82" i="17"/>
  <c r="B34" i="16"/>
  <c r="B71" i="17"/>
  <c r="B76" i="17"/>
  <c r="B84" i="17"/>
  <c r="B72" i="17"/>
  <c r="B74" i="17"/>
  <c r="B83" i="17"/>
  <c r="B68" i="17"/>
  <c r="B44" i="16" l="1"/>
  <c r="T12" i="6"/>
  <c r="B20" i="16"/>
  <c r="T4" i="6"/>
  <c r="B40" i="16"/>
  <c r="T11" i="6"/>
  <c r="B24" i="16"/>
  <c r="T5" i="6"/>
  <c r="T3" i="6"/>
  <c r="B39" i="16"/>
  <c r="T10" i="6"/>
  <c r="B47" i="16"/>
  <c r="T13" i="6"/>
  <c r="B48" i="16"/>
  <c r="T14" i="6"/>
  <c r="B30" i="16"/>
  <c r="T8" i="6"/>
  <c r="B25" i="16"/>
  <c r="T6" i="6"/>
  <c r="B50" i="16"/>
  <c r="T15" i="6"/>
  <c r="B35" i="16"/>
  <c r="T9" i="6"/>
  <c r="B27" i="16"/>
  <c r="T7" i="6"/>
  <c r="B11" i="16"/>
  <c r="B55" i="16"/>
  <c r="B49" i="16"/>
  <c r="B43" i="16"/>
  <c r="C21" i="16" l="1"/>
  <c r="F21" i="16" s="1"/>
  <c r="H18" i="12" l="1"/>
  <c r="C37" i="16" s="1"/>
  <c r="F37" i="16" s="1"/>
  <c r="H10" i="12"/>
  <c r="C36" i="16" s="1"/>
  <c r="F36" i="16" s="1"/>
  <c r="C31" i="16"/>
  <c r="F31" i="16" l="1"/>
  <c r="C35" i="16"/>
  <c r="C16" i="16" l="1"/>
  <c r="F16" i="16" s="1"/>
  <c r="C13" i="16" l="1"/>
  <c r="F13" i="16" s="1"/>
  <c r="C11" i="16" l="1"/>
  <c r="J14" i="1" l="1"/>
  <c r="G14" i="1"/>
  <c r="K14" i="1" l="1"/>
  <c r="L12" i="1" a="1"/>
  <c r="C58" i="16" s="1"/>
  <c r="F58" i="16" s="1"/>
  <c r="J423" i="1" s="1"/>
  <c r="F18" i="16" s="1"/>
  <c r="C32" i="16" l="1"/>
  <c r="F32" i="16" s="1"/>
  <c r="B32" i="8" a="1"/>
  <c r="A32" i="8" a="1"/>
  <c r="C24" i="16"/>
  <c r="F24" i="16" s="1"/>
  <c r="C23" i="16" s="1"/>
  <c r="F23" i="16" s="1"/>
  <c r="C22" i="16" s="1"/>
  <c r="C30" i="16" l="1"/>
  <c r="A29" i="8" a="1"/>
  <c r="F22" i="16"/>
  <c r="C20" i="16"/>
  <c r="J425" i="1" s="1"/>
  <c r="F56" i="16" s="1"/>
  <c r="C3" i="16" l="1" a="1"/>
  <c r="B117" i="17" l="1"/>
  <c r="C126" i="3" s="1"/>
  <c r="I117" i="17"/>
  <c r="D117" i="17"/>
  <c r="N117" i="17"/>
  <c r="F117" i="17"/>
  <c r="M117" i="17"/>
  <c r="G117" i="17"/>
  <c r="J117" i="17"/>
  <c r="K117" i="17"/>
  <c r="H117" i="17"/>
  <c r="L117" i="17"/>
  <c r="E11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tc={0B5ABA9A-3809-40AE-89DB-5C98B4C86275}</author>
  </authors>
  <commentList>
    <comment ref="C517" authorId="0" shapeId="0" xr:uid="{0B5ABA9A-3809-40AE-89DB-5C98B4C86275}">
      <text>
        <t>[Threaded comment]
Your version of Excel allows you to read this threaded comment; however, any edits to it will get removed if the file is opened in a newer version of Excel. Learn more: https://go.microsoft.com/fwlink/?linkid=870924
Comment:
    Maybe put ‘sustainable economy’ instead of ‘sustainable future’ to be more aligned with the module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tc={9B8E6CD1-30E5-4AB3-802F-30BC49F30DDD}</author>
    <author>tc={20E01DFF-755D-48A7-B249-08EB863A2C76}</author>
  </authors>
  <commentList>
    <comment ref="F22" authorId="0" shapeId="0" xr:uid="{9B8E6CD1-30E5-4AB3-802F-30BC49F30DDD}">
      <text>
        <t xml:space="preserve">[Threaded comment]
Your version of Excel allows you to read this threaded comment; however, any edits to it will get removed if the file is opened in a newer version of Excel. Learn more: https://go.microsoft.com/fwlink/?linkid=870924
Comment:
    @Stuart Rowan doesn’t it trigger also a change in the name in the taxonomy? </t>
      </text>
    </comment>
    <comment ref="C119" authorId="1" shapeId="0" xr:uid="{20E01DFF-755D-48A7-B249-08EB863A2C7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@Mathias Mingazzini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<sst xmlns="http://schemas.openxmlformats.org/spreadsheetml/2006/main" count="12553" uniqueCount="11049">
  <si>
    <t>English - Official [en]</t>
  </si>
  <si>
    <t>¬</t>
  </si>
  <si>
    <t>2.0.0</t>
  </si>
  <si>
    <t>https://xbrl.efrag.org/taxonomy/vs/2026-10-16/vs-all.xsd</t>
  </si>
  <si>
    <t>Validation OK</t>
  </si>
  <si>
    <t>[+]</t>
  </si>
  <si>
    <t>LEI</t>
  </si>
  <si>
    <t>EUR</t>
  </si>
  <si>
    <t>Ending day</t>
  </si>
  <si>
    <t>27(a)</t>
  </si>
  <si>
    <t>N/A</t>
  </si>
  <si>
    <t>Option B (Basic Module and Comprehensive Module)</t>
  </si>
  <si>
    <t>27(b)</t>
  </si>
  <si>
    <t>27(c)</t>
  </si>
  <si>
    <t>27(e)(i)</t>
  </si>
  <si>
    <t>27(e)(ii)</t>
  </si>
  <si>
    <t>5-6</t>
  </si>
  <si>
    <t>NACE A - 01.45 Raising of sheep and goats</t>
  </si>
  <si>
    <t>27(e)(iii)</t>
  </si>
  <si>
    <t>27(e)(iv)</t>
  </si>
  <si>
    <t>27(e)(v)</t>
  </si>
  <si>
    <t>7-8</t>
  </si>
  <si>
    <t>At the end of the reporting period</t>
  </si>
  <si>
    <t>27(e)(vi)</t>
  </si>
  <si>
    <t>9</t>
  </si>
  <si>
    <t>27(d)</t>
  </si>
  <si>
    <t>27(e)(vii)</t>
  </si>
  <si>
    <r>
      <rPr>
        <b/>
        <u/>
        <sz val="11"/>
        <color rgb="FF0070C0"/>
        <rFont val="Aptos Narrow"/>
        <family val="2"/>
        <scheme val="minor"/>
      </rPr>
      <t xml:space="preserve">Photon Komoot
</t>
    </r>
    <r>
      <rPr>
        <sz val="11"/>
        <color theme="1"/>
        <rFont val="Aptos Narrow"/>
        <family val="2"/>
        <scheme val="minor"/>
      </rPr>
      <t xml:space="preserve">
</t>
    </r>
    <r>
      <rPr>
        <b/>
        <u/>
        <sz val="11"/>
        <color rgb="FF0070C0"/>
        <rFont val="Aptos Narrow"/>
        <family val="2"/>
        <scheme val="minor"/>
      </rPr>
      <t>Privacy Policy</t>
    </r>
  </si>
  <si>
    <t>29-31</t>
  </si>
  <si>
    <t>14-16</t>
  </si>
  <si>
    <t>46(a)</t>
  </si>
  <si>
    <t>46(b)</t>
  </si>
  <si>
    <t>46(c)</t>
  </si>
  <si>
    <t>46(d)</t>
  </si>
  <si>
    <t>17-27</t>
  </si>
  <si>
    <t>53(b)</t>
  </si>
  <si>
    <t>53(a)</t>
  </si>
  <si>
    <t xml:space="preserve">53(d) </t>
  </si>
  <si>
    <t>28-46</t>
  </si>
  <si>
    <t>155-156</t>
  </si>
  <si>
    <t>49-52</t>
  </si>
  <si>
    <t xml:space="preserve">53(e) </t>
  </si>
  <si>
    <t>157-158</t>
  </si>
  <si>
    <t>159-161</t>
  </si>
  <si>
    <t>A transition plan is not in place and it is not planned to be adopted</t>
  </si>
  <si>
    <t>47-69</t>
  </si>
  <si>
    <t>kilograms (kg)</t>
  </si>
  <si>
    <t>70-73</t>
  </si>
  <si>
    <t>74-81</t>
  </si>
  <si>
    <t>82-91</t>
  </si>
  <si>
    <t>39(a)-39(b)</t>
  </si>
  <si>
    <t>93-104</t>
  </si>
  <si>
    <t>39(c)</t>
  </si>
  <si>
    <t>105-106</t>
  </si>
  <si>
    <t>56(a)</t>
  </si>
  <si>
    <t>164-165</t>
  </si>
  <si>
    <t>56(b)</t>
  </si>
  <si>
    <t>56(c)</t>
  </si>
  <si>
    <t>56(d)</t>
  </si>
  <si>
    <t>40(a)</t>
  </si>
  <si>
    <t>40(b)</t>
  </si>
  <si>
    <t>40(c)</t>
  </si>
  <si>
    <t>41(a)</t>
  </si>
  <si>
    <t>112-116</t>
  </si>
  <si>
    <t>41(b)</t>
  </si>
  <si>
    <t>117-120</t>
  </si>
  <si>
    <t>42(a)</t>
  </si>
  <si>
    <t>121-122</t>
  </si>
  <si>
    <t>42(b)</t>
  </si>
  <si>
    <t>123-131</t>
  </si>
  <si>
    <t>42(c)</t>
  </si>
  <si>
    <t>132-135</t>
  </si>
  <si>
    <t>42(d)</t>
  </si>
  <si>
    <t>136-137</t>
  </si>
  <si>
    <t>166-167</t>
  </si>
  <si>
    <t>168-170</t>
  </si>
  <si>
    <t>171-173</t>
  </si>
  <si>
    <t>61(a)</t>
  </si>
  <si>
    <t>YES</t>
  </si>
  <si>
    <t>61(b)</t>
  </si>
  <si>
    <t>61(c)</t>
  </si>
  <si>
    <t>175-176</t>
  </si>
  <si>
    <t>177-178</t>
  </si>
  <si>
    <t>62(a)</t>
  </si>
  <si>
    <t>62(b)</t>
  </si>
  <si>
    <t>62(c)</t>
  </si>
  <si>
    <t>Paragraph Reference</t>
  </si>
  <si>
    <t>Paragraph Guidance Reference</t>
  </si>
  <si>
    <t>138-141</t>
  </si>
  <si>
    <t>63(a)</t>
  </si>
  <si>
    <t>63(b)</t>
  </si>
  <si>
    <t>63(c)</t>
  </si>
  <si>
    <t>63(d)</t>
  </si>
  <si>
    <t>182-184</t>
  </si>
  <si>
    <t>-</t>
  </si>
  <si>
    <t xml:space="preserve">What is your fuel? </t>
  </si>
  <si>
    <t>State of matter</t>
  </si>
  <si>
    <t>Typical renewability state</t>
  </si>
  <si>
    <t>Unit of measurement</t>
  </si>
  <si>
    <t>Amount</t>
  </si>
  <si>
    <t>Energy [MWh]</t>
  </si>
  <si>
    <t>Fuels</t>
  </si>
  <si>
    <t>Typical NCV [TJ/Gg]</t>
  </si>
  <si>
    <r>
      <t>Typical Density [kg/L</t>
    </r>
    <r>
      <rPr>
        <b/>
        <sz val="11"/>
        <color theme="1"/>
        <rFont val="Aptos Narrow"/>
        <family val="2"/>
      </rPr>
      <t>]</t>
    </r>
  </si>
  <si>
    <r>
      <t>Typical Density [kg/m</t>
    </r>
    <r>
      <rPr>
        <b/>
        <sz val="11"/>
        <color theme="1"/>
        <rFont val="Aptos Narrow"/>
        <family val="2"/>
      </rPr>
      <t>³]</t>
    </r>
  </si>
  <si>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</si>
  <si>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</si>
  <si>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</si>
  <si>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</si>
  <si>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</si>
  <si>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</si>
  <si>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</si>
  <si>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</si>
  <si>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</si>
  <si>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</si>
  <si>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</si>
  <si>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</si>
  <si>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</si>
  <si>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</si>
  <si>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</si>
  <si>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</si>
  <si>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</si>
  <si>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</si>
  <si>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</si>
  <si>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</si>
  <si>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</si>
  <si>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</si>
  <si>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</si>
  <si>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</si>
  <si>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</si>
  <si>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</si>
  <si>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</si>
  <si>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</si>
  <si>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</si>
  <si>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</si>
  <si>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</si>
  <si>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</si>
  <si>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</si>
  <si>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</si>
  <si>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</si>
  <si>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</si>
  <si>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</si>
  <si>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</si>
  <si>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</si>
  <si>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</si>
  <si>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</si>
  <si>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</si>
  <si>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r>
      <t>m</t>
    </r>
    <r>
      <rPr>
        <sz val="11"/>
        <color theme="1"/>
        <rFont val="Aptos Narrow"/>
        <family val="2"/>
      </rPr>
      <t>³ - cubic meters</t>
    </r>
  </si>
  <si>
    <t>TJ - Terajoule</t>
  </si>
  <si>
    <t>Renewable</t>
  </si>
  <si>
    <t>Aviation gasoline</t>
  </si>
  <si>
    <t>Liquid</t>
  </si>
  <si>
    <t>t - tonne</t>
  </si>
  <si>
    <t>L - Liter</t>
  </si>
  <si>
    <t>MWh - Megawatt hours</t>
  </si>
  <si>
    <t>Biodiesel</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</si>
  <si>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</si>
  <si>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</si>
  <si>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</si>
  <si>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</si>
  <si>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</si>
  <si>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</si>
  <si>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</si>
  <si>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</si>
  <si>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</si>
  <si>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</si>
  <si>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</si>
  <si>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</si>
  <si>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</si>
  <si>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</si>
  <si>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</si>
  <si>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</si>
  <si>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</si>
  <si>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</si>
  <si>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</si>
  <si>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</si>
  <si>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</si>
  <si>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</si>
  <si>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</si>
  <si>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</si>
  <si>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</si>
  <si>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</si>
  <si>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</si>
  <si>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</si>
  <si>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</si>
  <si>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Methane</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</si>
  <si>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</si>
  <si>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</si>
  <si>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</si>
  <si>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</si>
  <si>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</si>
  <si>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</si>
  <si>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</si>
  <si>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</si>
  <si>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</si>
  <si>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</si>
  <si>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</si>
  <si>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</si>
  <si>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</si>
  <si>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</si>
  <si>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</si>
  <si>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</si>
  <si>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</si>
  <si>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</si>
  <si>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</si>
  <si>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</si>
  <si>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</si>
  <si>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</si>
  <si>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</si>
  <si>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</si>
  <si>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</si>
  <si>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</si>
  <si>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</si>
  <si>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</si>
  <si>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</si>
  <si>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</si>
  <si>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</si>
  <si>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</si>
  <si>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</si>
  <si>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</si>
  <si>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</si>
  <si>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</si>
  <si>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</si>
  <si>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</si>
  <si>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</si>
  <si>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Wood/Wood waste</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</si>
  <si>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</si>
  <si>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</si>
  <si>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</si>
  <si>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</si>
  <si>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</si>
  <si>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</si>
  <si>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</si>
  <si>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</si>
  <si>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</si>
  <si>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</si>
  <si>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</si>
  <si>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</si>
  <si>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</si>
  <si>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Additional sources (density and NCV values in red cells):</t>
  </si>
  <si>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</si>
  <si>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</si>
  <si>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</si>
  <si>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</si>
  <si>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</si>
  <si>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</si>
  <si>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</si>
  <si>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</si>
  <si>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</si>
  <si>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</si>
  <si>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</si>
  <si>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</si>
  <si>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</si>
  <si>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</si>
  <si>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</si>
  <si>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</si>
  <si>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</si>
  <si>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</si>
  <si>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</si>
  <si>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</si>
  <si>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</si>
  <si>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</si>
  <si>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</si>
  <si>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</si>
  <si>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</si>
  <si>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</si>
  <si>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</si>
  <si>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</si>
  <si>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</si>
  <si>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</si>
  <si>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</si>
  <si>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</si>
  <si>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</si>
  <si>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</si>
  <si>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</si>
  <si>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</si>
  <si>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</si>
  <si>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</si>
  <si>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</si>
  <si>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</si>
  <si>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</si>
  <si>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</si>
  <si>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</si>
  <si>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Gg – Gigagram</t>
  </si>
  <si>
    <t>t – tonne</t>
  </si>
  <si>
    <t>Kg – Kilogram</t>
  </si>
  <si>
    <t>g – gram</t>
  </si>
  <si>
    <t>m³ – cubic meters</t>
  </si>
  <si>
    <t>L – Liter</t>
  </si>
  <si>
    <t>TJ – Terajoule</t>
  </si>
  <si>
    <t>MWh – Megawatt hours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</si>
  <si>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</si>
  <si>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NACE categories</t>
  </si>
  <si>
    <t>Country List</t>
  </si>
  <si>
    <t>CountryAxis</t>
  </si>
  <si>
    <t>Axis</t>
  </si>
  <si>
    <t>List of omitted disclosures (with None)</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</si>
  <si>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</si>
  <si>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Location biodiversity areas</t>
  </si>
  <si>
    <r>
      <t xml:space="preserve">Types of  Wastes </t>
    </r>
    <r>
      <rPr>
        <sz val="11"/>
        <color theme="1"/>
        <rFont val="Aptos Narrow"/>
        <family val="2"/>
        <scheme val="minor"/>
      </rPr>
      <t>(Consolidated text: Commission Decision of 3 May 2000 replacing Decision 94/3/EC establishing a list of wastes pursuant to Article 1(a) of Council Directive 75/442/EEC on waste and Council Decision 94/904/EC establishing a list of hazardous waste pursuant to Article 1(4) of Council Directive 91/689/EEC on hazardous waste (notified under document number C(2000) 1147) (Text with EEA relevance) (2000/532/EC), complementd with COMMISSION DELEGATED DECISION (EU) 2025/934 of 5 March 2025 amending Decision 2000/532/EC as regards an update of the list of waste in relation to battery-related waste)</t>
    </r>
  </si>
  <si>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</si>
  <si>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</si>
  <si>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</si>
  <si>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</si>
  <si>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</si>
  <si>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</si>
  <si>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</si>
  <si>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</si>
  <si>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</si>
  <si>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</si>
  <si>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</si>
  <si>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</si>
  <si>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</si>
  <si>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r>
      <t xml:space="preserve">List of currencies  </t>
    </r>
    <r>
      <rPr>
        <sz val="11"/>
        <color theme="1"/>
        <rFont val="Aptos Narrow"/>
        <family val="2"/>
        <scheme val="minor"/>
      </rPr>
      <t>(ISO 4217)</t>
    </r>
  </si>
  <si>
    <t>Employee methodologies</t>
  </si>
  <si>
    <t>Days</t>
  </si>
  <si>
    <t>Identifier (context identifier scheme)</t>
  </si>
  <si>
    <t>List of options for the modules</t>
  </si>
  <si>
    <t>True or false</t>
  </si>
  <si>
    <t>Mass or Volume</t>
  </si>
  <si>
    <t>NACE All Economic Activities (NACE) / NA [member]</t>
  </si>
  <si>
    <t>NACE A - 01 Crop and animal production, hunting and related service activities</t>
  </si>
  <si>
    <t>Andorra</t>
  </si>
  <si>
    <t>country:AD</t>
  </si>
  <si>
    <t>None</t>
  </si>
  <si>
    <t>Alachlor</t>
  </si>
  <si>
    <t>Located in biodiversity sensitive areas</t>
  </si>
  <si>
    <t>01 - WASTES RESULTING FROM EXPLORATION, MINING, QUARRYING, AND PHYSICAL AND CHEMICAL TREATMENT OF MINERALS</t>
  </si>
  <si>
    <t>private limited liability undertaking</t>
  </si>
  <si>
    <t>Water</t>
  </si>
  <si>
    <t>Climate change</t>
  </si>
  <si>
    <t>hectares (ha)</t>
  </si>
  <si>
    <t>Practice</t>
  </si>
  <si>
    <t>Adoption of a transition plan is planned in the future</t>
  </si>
  <si>
    <t>January</t>
  </si>
  <si>
    <t>01 WASTES RESULTING FROM EXPLORATION, MINING, DRESSING AND FURTHER TREATMENT OF MINERALS AND QUARRY</t>
  </si>
  <si>
    <t>AED</t>
  </si>
  <si>
    <t>Option A (Basic Module only)</t>
  </si>
  <si>
    <t>NACE A - AGRICULTURE, FORESTRY AND FISHING</t>
  </si>
  <si>
    <t>NACE A - 01.1 Growing of non-perennial crops</t>
  </si>
  <si>
    <t>United Arab Emirates</t>
  </si>
  <si>
    <t>country:AE</t>
  </si>
  <si>
    <t>B1 – Basis for preparation</t>
  </si>
  <si>
    <t>Aldrin</t>
  </si>
  <si>
    <t>Located near biodiversity sesnistive areas</t>
  </si>
  <si>
    <t xml:space="preserve">  01 01 - Wastes from mineral excavation</t>
  </si>
  <si>
    <t>sole proprietorship</t>
  </si>
  <si>
    <t>metric tonnes (t)</t>
  </si>
  <si>
    <t>Air</t>
  </si>
  <si>
    <t>Pollution</t>
  </si>
  <si>
    <r>
      <t>squared meters (m2</t>
    </r>
    <r>
      <rPr>
        <sz val="11"/>
        <color theme="1"/>
        <rFont val="Aptos Narrow"/>
        <family val="2"/>
      </rPr>
      <t>)</t>
    </r>
  </si>
  <si>
    <t>NO</t>
  </si>
  <si>
    <t>Policy</t>
  </si>
  <si>
    <t>A transition plan has already been adopted</t>
  </si>
  <si>
    <t>February</t>
  </si>
  <si>
    <t xml:space="preserve">    0101 Wastes from mineral excavation</t>
  </si>
  <si>
    <t>AFN</t>
  </si>
  <si>
    <t>As an average across the reporting period</t>
  </si>
  <si>
    <t>DUNS</t>
  </si>
  <si>
    <t>L</t>
  </si>
  <si>
    <t>NACE A - 01.2 Growing of perennial crops</t>
  </si>
  <si>
    <t>Afghanistan</t>
  </si>
  <si>
    <t>country:AF</t>
  </si>
  <si>
    <t>B2 – Practices, policies and future initiatives for transitioning towards a more sustainable economy</t>
  </si>
  <si>
    <t>Ammonia (NH3)</t>
  </si>
  <si>
    <t xml:space="preserve">    01 01 01 - Non-Hazardous - Wastes from mineral metalliferous excavation</t>
  </si>
  <si>
    <t>partnership</t>
  </si>
  <si>
    <r>
      <t>cubic meters (m3</t>
    </r>
    <r>
      <rPr>
        <sz val="11"/>
        <color theme="1"/>
        <rFont val="Aptos Narrow"/>
        <family val="2"/>
      </rPr>
      <t>)</t>
    </r>
  </si>
  <si>
    <t>Soil</t>
  </si>
  <si>
    <t>Water and marine resources</t>
  </si>
  <si>
    <t>Future Initiative</t>
  </si>
  <si>
    <t>March</t>
  </si>
  <si>
    <t xml:space="preserve">    0102 Wastes from mineral dressing</t>
  </si>
  <si>
    <t>ALL</t>
  </si>
  <si>
    <t>EU ID</t>
  </si>
  <si>
    <t>NACE A - 01.3 Plant propagation</t>
  </si>
  <si>
    <t>Antigua and Barbuda</t>
  </si>
  <si>
    <t>country:AG</t>
  </si>
  <si>
    <t>B3 – Energy and greenhouse gas emissions</t>
  </si>
  <si>
    <t>Anthracene</t>
  </si>
  <si>
    <t xml:space="preserve">    01 01 02 - Non-Hazardous - Wastes from mineral non-metalliferous excavation</t>
  </si>
  <si>
    <t>cooperative</t>
  </si>
  <si>
    <t>Biodiversity and ecosystems</t>
  </si>
  <si>
    <t>April</t>
  </si>
  <si>
    <t xml:space="preserve">    0103 Wastes from further physical and chemical processing of metalliferous minerals</t>
  </si>
  <si>
    <t>AMD</t>
  </si>
  <si>
    <t>PermID</t>
  </si>
  <si>
    <t>NACE A - 01.11 Growing of cereals, other than rice, leguminous crops and oil seeds</t>
  </si>
  <si>
    <t>NACE A - 01.4 Animal production</t>
  </si>
  <si>
    <t>Anguilla</t>
  </si>
  <si>
    <t>country:AI</t>
  </si>
  <si>
    <t>B4 – Pollution of air, water and soil</t>
  </si>
  <si>
    <t>Arsenic and compounds (As)</t>
  </si>
  <si>
    <t xml:space="preserve">  01 03 - Wastes from physical and chemical processing of metalliferous minerals</t>
  </si>
  <si>
    <t>other (please specify the legal form in the row below)</t>
  </si>
  <si>
    <t>Circular economy</t>
  </si>
  <si>
    <t>May</t>
  </si>
  <si>
    <t xml:space="preserve">    0104 Wastes from further physical and chemical processing on non-metalliferous minerals</t>
  </si>
  <si>
    <t>ANG</t>
  </si>
  <si>
    <t>NACE A - 01.12 Growing of rice</t>
  </si>
  <si>
    <t>NACE A - 01.5 Mixed farming</t>
  </si>
  <si>
    <t>Albania</t>
  </si>
  <si>
    <t>country:AL</t>
  </si>
  <si>
    <t>B5 – Biodiversity</t>
  </si>
  <si>
    <t>Asbestos</t>
  </si>
  <si>
    <t xml:space="preserve">    01 03 04 - Hazardous - Acid-generating tailings from processing of sulphide ore</t>
  </si>
  <si>
    <t>Own workforce</t>
  </si>
  <si>
    <t>June</t>
  </si>
  <si>
    <t xml:space="preserve">    0105 Drilling muds and other drilling wastes</t>
  </si>
  <si>
    <t>AOA</t>
  </si>
  <si>
    <t>NACE A - 01.13 Growing of vegetables and melons, roots and tubers</t>
  </si>
  <si>
    <t>NACE A - 01.6 Support activities to agriculture and post-harvest crop activities</t>
  </si>
  <si>
    <t>Armenia</t>
  </si>
  <si>
    <t>country:AM</t>
  </si>
  <si>
    <t>B6 – Water</t>
  </si>
  <si>
    <t>Atrazine</t>
  </si>
  <si>
    <t xml:space="preserve">    01 03 05 - Hazardous - Other tailings containing hazardous substances</t>
  </si>
  <si>
    <t>Workers in the value chain</t>
  </si>
  <si>
    <t>July</t>
  </si>
  <si>
    <t>02 WASTES FROM AGRICULTURAL, HORTICULTURAL, HUNTING, FISHING AND AQUACULTURAL PRIMARY PRODUCTION, FOOD PREPARATION AND PROCESSING</t>
  </si>
  <si>
    <t>ARS</t>
  </si>
  <si>
    <t>NACE A - 01.14 Growing of sugar cane</t>
  </si>
  <si>
    <t>NACE A - 01.7 Hunting, trapping and related service activities</t>
  </si>
  <si>
    <t>Netherlands Antilles (before 2010-12-15)</t>
  </si>
  <si>
    <t>country:AN</t>
  </si>
  <si>
    <t>B7 – Resource use, circular economy and waste management</t>
  </si>
  <si>
    <t>Benzene</t>
  </si>
  <si>
    <t xml:space="preserve">    01 03 06 - Non-Hazardous - Tailings other than those mentioned in 01 03 04 and 01 03 05</t>
  </si>
  <si>
    <t>Affected communities</t>
  </si>
  <si>
    <t>August</t>
  </si>
  <si>
    <t xml:space="preserve">    0201 Primary production wastes</t>
  </si>
  <si>
    <t>AUD</t>
  </si>
  <si>
    <t>NACE A - 01.15 Growing of tobacco</t>
  </si>
  <si>
    <t>NACE A - 02 Forestry and logging</t>
  </si>
  <si>
    <t>Angola</t>
  </si>
  <si>
    <t>country:AO</t>
  </si>
  <si>
    <t>B8 – Workforce – General characteristics</t>
  </si>
  <si>
    <t>Benzo(g,h,i)perylene</t>
  </si>
  <si>
    <t xml:space="preserve">    01 03 07 - Hazardous - Other wastes containing hazardous substances from physical and chemical processing of metalliferous minerals</t>
  </si>
  <si>
    <t>Consumers and end-users</t>
  </si>
  <si>
    <t>September</t>
  </si>
  <si>
    <t xml:space="preserve">    0202 Wastes from the preparation and processing of meat, fish and other foods of animal origin</t>
  </si>
  <si>
    <t>AWG</t>
  </si>
  <si>
    <t>NACE A - 01.16 Growing of fibre crops</t>
  </si>
  <si>
    <t>NACE A - 02.1 Silviculture and other forestry activities</t>
  </si>
  <si>
    <t>Antarctica</t>
  </si>
  <si>
    <t>country:AQ</t>
  </si>
  <si>
    <t>B9 – Workforce – Health and safety</t>
  </si>
  <si>
    <t>Brominated diphenylethers (PBDE)</t>
  </si>
  <si>
    <t xml:space="preserve">    01 03 08 - Non-Hazardous - Dusty and powdery wastes other than those mentioned in 01 03 07</t>
  </si>
  <si>
    <t>Business conduct</t>
  </si>
  <si>
    <t>October</t>
  </si>
  <si>
    <t xml:space="preserve">    0203 Wastes from fruit, vegetables, cereals, edible oils, cocoa, coffee and tobacco preparation and processing; tobacco processing; conserve production</t>
  </si>
  <si>
    <t>AZN</t>
  </si>
  <si>
    <t>NACE A - 01.19 Growing of other non-perennial crops</t>
  </si>
  <si>
    <t>NACE A - 02.2 Logging</t>
  </si>
  <si>
    <t>Argentina</t>
  </si>
  <si>
    <t>country:AR</t>
  </si>
  <si>
    <t>B10 – Workforce – Remuneration, collective bargaining and training</t>
  </si>
  <si>
    <t>Cadmium and compounds (Cd)</t>
  </si>
  <si>
    <t xml:space="preserve">    01 03 09 - Non-Hazardous - Red mud from alumina production other than the wastes mentioned in 01 03 10</t>
  </si>
  <si>
    <t>Other</t>
  </si>
  <si>
    <t>November</t>
  </si>
  <si>
    <t xml:space="preserve">    0204 Wastes from sugar processing</t>
  </si>
  <si>
    <t>BAM</t>
  </si>
  <si>
    <t>NACE A - 02.3 Gathering of wild growing non-wood products</t>
  </si>
  <si>
    <t>American Samoa</t>
  </si>
  <si>
    <t>country:AS</t>
  </si>
  <si>
    <t>B11 – Convictions and fines for corruption and bribery</t>
  </si>
  <si>
    <t>Carbon dioxide (CO2)</t>
  </si>
  <si>
    <t xml:space="preserve">    01 03 10 - Hazardous - Red mud from alumina production containing hazardous substances other than the wastes mentioned in 01 03 07</t>
  </si>
  <si>
    <t>December</t>
  </si>
  <si>
    <t xml:space="preserve">    0205 Wastes from the dairy products industry</t>
  </si>
  <si>
    <t>BBD</t>
  </si>
  <si>
    <t>NACE A - 01.21 Growing of grapes</t>
  </si>
  <si>
    <t>NACE A - 02.4 Support services to forestry</t>
  </si>
  <si>
    <t>Austria</t>
  </si>
  <si>
    <t>country:AT</t>
  </si>
  <si>
    <t>C1 – Strategy: Business Model and Sustainability – Related Initiatives</t>
  </si>
  <si>
    <t>Carbon monoxide (CO)</t>
  </si>
  <si>
    <t xml:space="preserve">    01 03 99 - Non-Hazardous - Wastes not otherwise specified</t>
  </si>
  <si>
    <t xml:space="preserve">    0206 Wastes from the baking and confectionery industry</t>
  </si>
  <si>
    <t>BDT</t>
  </si>
  <si>
    <t>NACE A - 01.22 Growing of tropical and subtropical fruits</t>
  </si>
  <si>
    <t>NACE A - 03 Fishing and aquaculture</t>
  </si>
  <si>
    <t>Australia</t>
  </si>
  <si>
    <t>country:AU</t>
  </si>
  <si>
    <t>C2 – Description of practices, policies and future initiatives for transitioning towards a more sustainable economy</t>
  </si>
  <si>
    <t>Chlordane</t>
  </si>
  <si>
    <t xml:space="preserve">  01 04 - Wastes from physical and chemical processing of non-metalliferous minerals</t>
  </si>
  <si>
    <t xml:space="preserve">    0207 Wastes from the production of alcoholic and non-alcoholic beverages (except coffee, tea and cocoa)</t>
  </si>
  <si>
    <t>BGN</t>
  </si>
  <si>
    <t>NACE A - 01.23 Growing of citrus fruits</t>
  </si>
  <si>
    <t>NACE A - 03.1 Fishing</t>
  </si>
  <si>
    <t>Aruba</t>
  </si>
  <si>
    <t>country:AW</t>
  </si>
  <si>
    <t>C3 – GHG reduction targets and climate transition</t>
  </si>
  <si>
    <t>Chlordecone</t>
  </si>
  <si>
    <t xml:space="preserve">    01 04 07 - Hazardous - Wastes containing hazardous substances from physical and chemical processing of non-metalliferous minerals</t>
  </si>
  <si>
    <t>03 WASTES FROM WOOD PROCESSING AND THE PRODUCTION OF PAPER, CARDBOARD, PULP, PANELS AND FURNITURE</t>
  </si>
  <si>
    <t>BHD</t>
  </si>
  <si>
    <t>NACE A - 01.24 Growing of pome fruits and stone fruits</t>
  </si>
  <si>
    <t>NACE A - 03.2 Aquaculture</t>
  </si>
  <si>
    <t>Åland Islands</t>
  </si>
  <si>
    <t>country:AX</t>
  </si>
  <si>
    <t>C4 – Climate risks</t>
  </si>
  <si>
    <t>Chlorfenvinphos</t>
  </si>
  <si>
    <t xml:space="preserve">    01 04 08 - Non-Hazardous - Waste gravel and crushed rocks other than those mentioned in 01 04 07</t>
  </si>
  <si>
    <t xml:space="preserve">    0301 Wastes from wood processing and the production of panels and furniture</t>
  </si>
  <si>
    <t>BIF</t>
  </si>
  <si>
    <t>NACE A - 01.25 Growing of other tree and bush fruits and nuts</t>
  </si>
  <si>
    <t>NACE A - 03.3 Support activities for fishing and aquaculture</t>
  </si>
  <si>
    <t>Azerbaijan</t>
  </si>
  <si>
    <t>country:AZ</t>
  </si>
  <si>
    <t>C5 – Additional (general) workforce characteristics</t>
  </si>
  <si>
    <t>Chlorides (total Cl)</t>
  </si>
  <si>
    <t xml:space="preserve">    01 04 09 - Non-Hazardous - Waste sand and clays</t>
  </si>
  <si>
    <t xml:space="preserve">    0302 Wood preservation wastes</t>
  </si>
  <si>
    <t>BMD</t>
  </si>
  <si>
    <t>NACE A - 01.26 Growing of oleaginous fruits</t>
  </si>
  <si>
    <t>Bosnia and Herzegovina</t>
  </si>
  <si>
    <t>country:BA</t>
  </si>
  <si>
    <t>C6 – Additional own workforce information - Human rights policies and processes</t>
  </si>
  <si>
    <t>Chlorine and inorganic compounds (HCl)</t>
  </si>
  <si>
    <t xml:space="preserve">    01 04 10 - Non-Hazardous - Dusty and powdery wastes other than those mentioned in 01 04 07</t>
  </si>
  <si>
    <t xml:space="preserve">    0303 Wastes from pulp, paper and cardboard production and processing</t>
  </si>
  <si>
    <t>BND</t>
  </si>
  <si>
    <t>NACE A - 01.27 Growing of beverage crops</t>
  </si>
  <si>
    <t>NACE B - 05 Mining of coal and lignite</t>
  </si>
  <si>
    <t>Barbados</t>
  </si>
  <si>
    <t>country:BB</t>
  </si>
  <si>
    <t>C7 – Severe negative human rights incidents</t>
  </si>
  <si>
    <t>Chloro-alkanes, C10-C13</t>
  </si>
  <si>
    <t xml:space="preserve">    01 04 11 - Non-Hazardous - Wastes from potash and rock salt processing other than those mentioned in 01 04 07</t>
  </si>
  <si>
    <t>04 WASTES FROM THE LEATHER, FUR AND TEXTILE INDUSTRIES</t>
  </si>
  <si>
    <t>BOB</t>
  </si>
  <si>
    <t>NACE A - 01.28 Growing of spices, aromatic, drug and pharmaceutical crops</t>
  </si>
  <si>
    <t>NACE B - 05.1 Mining of hard coal</t>
  </si>
  <si>
    <t>Bangladesh</t>
  </si>
  <si>
    <t>country:BD</t>
  </si>
  <si>
    <t>C8 – Revenues from certain sectors and exclusion from EU reference benchmarks</t>
  </si>
  <si>
    <t>Chlorofluorocarbons (CFCs)</t>
  </si>
  <si>
    <t xml:space="preserve">    01 04 12 - Non-Hazardous - Tailings and other wastes from washing and cleaning of minerals other than those mentioned in 01 04 07 and 01 04 11</t>
  </si>
  <si>
    <t xml:space="preserve">    0401 Wastes from the leather and fur industry</t>
  </si>
  <si>
    <t>BOV</t>
  </si>
  <si>
    <t>NACE A - 01.29 Growing of other perennial crops</t>
  </si>
  <si>
    <t>NACE B - 05.2 Mining of lignite</t>
  </si>
  <si>
    <t>Belgium</t>
  </si>
  <si>
    <t>country:BE</t>
  </si>
  <si>
    <t>C9 – Gender diversity ratio in the governance body</t>
  </si>
  <si>
    <t>Chlorpyrifos</t>
  </si>
  <si>
    <t xml:space="preserve">    01 04 13 - Non-Hazardous - Wastes from stone cutting and sawing other than those mentioned in 01 04 07</t>
  </si>
  <si>
    <t xml:space="preserve">    0402 Wastes from the textile industry</t>
  </si>
  <si>
    <t>BRL</t>
  </si>
  <si>
    <t>NACE B - 06 Extraction of crude petroleum and natural gas</t>
  </si>
  <si>
    <t>Burkina Faso</t>
  </si>
  <si>
    <t>country:BF</t>
  </si>
  <si>
    <t>Chromium and compounds (Cr)</t>
  </si>
  <si>
    <t xml:space="preserve">    01 04 99 - Non-Hazardous - Wastes not otherwise specified</t>
  </si>
  <si>
    <t>05 WASTES FROM PETROLEUM REFINING, NATURAL GAS PURIFICATION AND PYROLYTIC TREATMENT OF COAL</t>
  </si>
  <si>
    <t>BSD</t>
  </si>
  <si>
    <t>NACE A - 01.30 Plant propagation</t>
  </si>
  <si>
    <t>NACE B - 06.1 Extraction of crude petroleum</t>
  </si>
  <si>
    <t>Bulgaria</t>
  </si>
  <si>
    <t>country:BG</t>
  </si>
  <si>
    <t>Copper and compounds (Cu)</t>
  </si>
  <si>
    <t xml:space="preserve">  01 05 - Drilling muds and other drilling wastes</t>
  </si>
  <si>
    <t xml:space="preserve">    0501 Oily sludges and solid wastes</t>
  </si>
  <si>
    <t>BTN</t>
  </si>
  <si>
    <t>NACE B - 06.2 Extraction of natural gas</t>
  </si>
  <si>
    <t>Bahrain</t>
  </si>
  <si>
    <t>country:BH</t>
  </si>
  <si>
    <t>Cyanides (total CN)</t>
  </si>
  <si>
    <t xml:space="preserve">    01 05 04 - Non-Hazardous - Freshwater drilling muds and wastes</t>
  </si>
  <si>
    <t xml:space="preserve">    0502 Non oily sludges and solid wastes</t>
  </si>
  <si>
    <t>BWP</t>
  </si>
  <si>
    <t>NACE A - 01.41 Raising of dairy cattle</t>
  </si>
  <si>
    <t>NACE B - 07 Mining of metal ores</t>
  </si>
  <si>
    <t>Burundi</t>
  </si>
  <si>
    <t>country:BI</t>
  </si>
  <si>
    <t>DDT</t>
  </si>
  <si>
    <t xml:space="preserve">    01 05 05 - Hazardous - Oil-containing drilling muds and wastes</t>
  </si>
  <si>
    <t xml:space="preserve">    0504 Spent filter clays</t>
  </si>
  <si>
    <t>BZD</t>
  </si>
  <si>
    <t>NACE A - 01.42 Raising of other cattle and buffaloes</t>
  </si>
  <si>
    <t>NACE B - 07.1 Mining of iron ores</t>
  </si>
  <si>
    <t>Benin</t>
  </si>
  <si>
    <t>country:BJ</t>
  </si>
  <si>
    <t>Di-(2-ethyl hexyl) phthalate (DEHP)</t>
  </si>
  <si>
    <t xml:space="preserve">    01 05 06 - Hazardous - Drilling muds and other drilling wastes containing hazardous substances</t>
  </si>
  <si>
    <t xml:space="preserve">    0505 Oil desulphurisation wastes</t>
  </si>
  <si>
    <t>CAD</t>
  </si>
  <si>
    <t>NACE A - 01.43 Raising of horses and other equines</t>
  </si>
  <si>
    <t>NACE B - 07.2 Mining of non-ferrous metal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</si>
  <si>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</si>
  <si>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</si>
  <si>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</si>
  <si>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</si>
  <si>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</si>
  <si>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</si>
  <si>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NACE A - 01.44 Raising of camels and camelids</t>
  </si>
  <si>
    <t>NACE B - 08 Other mining and quarrying</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</si>
  <si>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</si>
  <si>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</si>
  <si>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</si>
  <si>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</si>
  <si>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</si>
  <si>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</si>
  <si>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NACE B - 08.1 Quarrying of stone, sand and clay</t>
  </si>
  <si>
    <t>Brunei Darussalam</t>
  </si>
  <si>
    <t>country:BN</t>
  </si>
  <si>
    <t>Dicofol</t>
  </si>
  <si>
    <t xml:space="preserve">    01 05 99 - Non-Hazardous - Wastes not otherwise specified</t>
  </si>
  <si>
    <t xml:space="preserve">    0508 Wastes from oil regeneration</t>
  </si>
  <si>
    <t>CHF</t>
  </si>
  <si>
    <t>NACE A - 01.46 Raising of swine and pigs</t>
  </si>
  <si>
    <t>NACE B - 08.9 Mining and quarrying n.e.c.</t>
  </si>
  <si>
    <t>Bolivia (Plurinational State of)</t>
  </si>
  <si>
    <t>country:BO</t>
  </si>
  <si>
    <t>Dieldrin</t>
  </si>
  <si>
    <t>02 - WASTES FROM AGRICULTURE, HORTICULTURE, AQUACULTURE, FORESTRY, HUNTING AND FISHING, FOOD PREPARATION AND PROCESSING</t>
  </si>
  <si>
    <t>06 WASTES FROM INORGANIC CHEMICAL PROCESSES</t>
  </si>
  <si>
    <t>CHW</t>
  </si>
  <si>
    <t>NACE A - 01.47 Raising of poultry</t>
  </si>
  <si>
    <t>NACE B - 09 Mining support service activities</t>
  </si>
  <si>
    <t>Bonaire, Sint Eustatius and Saba</t>
  </si>
  <si>
    <t>country:BQ</t>
  </si>
  <si>
    <t>Diuron</t>
  </si>
  <si>
    <t xml:space="preserve">  02 01 - Wastes from agriculture, horticulture, aquaculture, forestry, hunting and fishing</t>
  </si>
  <si>
    <t xml:space="preserve">    0601 Waste acidic solutions</t>
  </si>
  <si>
    <t>CLF</t>
  </si>
  <si>
    <t>NACE A - 01.48 Raising of other animals</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</si>
  <si>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</si>
  <si>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</si>
  <si>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</si>
  <si>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</si>
  <si>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</si>
  <si>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</si>
  <si>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</si>
  <si>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NACE B - 09.9 Support activities for other mining and quarrying</t>
  </si>
  <si>
    <t>Bahamas</t>
  </si>
  <si>
    <t>country:BS</t>
  </si>
  <si>
    <t>Endrin</t>
  </si>
  <si>
    <t xml:space="preserve">    02 01 02 - Non-Hazardous - Animal-tissue waste</t>
  </si>
  <si>
    <t xml:space="preserve">    0603 Waste salts and their solutions</t>
  </si>
  <si>
    <t>CNY</t>
  </si>
  <si>
    <t>NACE A - 01.50 Mixed farming</t>
  </si>
  <si>
    <t>NACE B - MINING AND QUARRYING</t>
  </si>
  <si>
    <t>Bhutan</t>
  </si>
  <si>
    <t>country:BT</t>
  </si>
  <si>
    <t>Ethyl benzene</t>
  </si>
  <si>
    <t xml:space="preserve">    02 01 03 - Non-Hazardous - Plant-tissue waste</t>
  </si>
  <si>
    <t xml:space="preserve">    0604 Metal-containing wastes</t>
  </si>
  <si>
    <t>COP</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</si>
  <si>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</si>
  <si>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</si>
  <si>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</si>
  <si>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</si>
  <si>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</si>
  <si>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</si>
  <si>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</si>
  <si>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NACE A - 01.61 Support activities for crop production</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</si>
  <si>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</si>
  <si>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</si>
  <si>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</si>
  <si>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</si>
  <si>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</si>
  <si>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</si>
  <si>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</si>
  <si>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NACE A - 01.62 Support activities for animal production</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</si>
  <si>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</si>
  <si>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</si>
  <si>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</si>
  <si>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</si>
  <si>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</si>
  <si>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</si>
  <si>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</si>
  <si>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NACE A - 01.63 Post-harvest crop activities and seed processing for propagation</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</si>
  <si>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</si>
  <si>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</si>
  <si>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</si>
  <si>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</si>
  <si>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</si>
  <si>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</si>
  <si>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</si>
  <si>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</si>
  <si>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</si>
  <si>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</si>
  <si>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</si>
  <si>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</si>
  <si>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</si>
  <si>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</si>
  <si>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NACE A - 01.70 Hunting, trapping and related service activities</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</si>
  <si>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</si>
  <si>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</si>
  <si>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</si>
  <si>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</si>
  <si>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</si>
  <si>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</si>
  <si>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</si>
  <si>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</si>
  <si>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</si>
  <si>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</si>
  <si>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</si>
  <si>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</si>
  <si>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</si>
  <si>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</si>
  <si>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</si>
  <si>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</si>
  <si>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</si>
  <si>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</si>
  <si>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</si>
  <si>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</si>
  <si>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</si>
  <si>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NACE A - 02.10 Silviculture and other forestry activities</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</si>
  <si>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</si>
  <si>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</si>
  <si>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</si>
  <si>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</si>
  <si>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</si>
  <si>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</si>
  <si>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</si>
  <si>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</si>
  <si>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</si>
  <si>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</si>
  <si>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</si>
  <si>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</si>
  <si>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</si>
  <si>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</si>
  <si>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NACE A - 02.20 Logging</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</si>
  <si>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</si>
  <si>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</si>
  <si>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</si>
  <si>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</si>
  <si>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</si>
  <si>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</si>
  <si>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</si>
  <si>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</si>
  <si>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</si>
  <si>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</si>
  <si>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</si>
  <si>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</si>
  <si>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</si>
  <si>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</si>
  <si>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NACE A - 02.30 Gathering of wild growing non-wood products</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</si>
  <si>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</si>
  <si>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</si>
  <si>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</si>
  <si>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</si>
  <si>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</si>
  <si>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</si>
  <si>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</si>
  <si>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</si>
  <si>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</si>
  <si>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</si>
  <si>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</si>
  <si>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</si>
  <si>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</si>
  <si>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NACE A - 02.40 Support services to forestry</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</si>
  <si>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</si>
  <si>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</si>
  <si>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</si>
  <si>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</si>
  <si>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</si>
  <si>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</si>
  <si>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</si>
  <si>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</si>
  <si>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</si>
  <si>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</si>
  <si>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</si>
  <si>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</si>
  <si>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</si>
  <si>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</si>
  <si>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</si>
  <si>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</si>
  <si>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</si>
  <si>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</si>
  <si>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</si>
  <si>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</si>
  <si>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</si>
  <si>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NACE A - 03.11 Marine fishing</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</si>
  <si>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</si>
  <si>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</si>
  <si>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</si>
  <si>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</si>
  <si>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</si>
  <si>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</si>
  <si>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</si>
  <si>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NACE A - 03.12 Freshwater fishing</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</si>
  <si>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</si>
  <si>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</si>
  <si>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</si>
  <si>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</si>
  <si>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</si>
  <si>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</si>
  <si>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</si>
  <si>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NACE C - 14 Manufacture of wearing apparel</t>
  </si>
  <si>
    <t>Cuba</t>
  </si>
  <si>
    <t>country:CU</t>
  </si>
  <si>
    <t>Methane (CH4)</t>
  </si>
  <si>
    <t xml:space="preserve">    02 03 99 - Non-Hazardous - Wastes not otherwise specified</t>
  </si>
  <si>
    <t xml:space="preserve">    0803 Wastes from MFSU of printing inks</t>
  </si>
  <si>
    <t>GIP</t>
  </si>
  <si>
    <t>NACE A - 03.21 Marine aquaculture</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</si>
  <si>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</si>
  <si>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</si>
  <si>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</si>
  <si>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</si>
  <si>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</si>
  <si>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</si>
  <si>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</si>
  <si>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NACE A - 03.22 Freshwater aquaculture</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</si>
  <si>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</si>
  <si>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</si>
  <si>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</si>
  <si>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</si>
  <si>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</si>
  <si>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</si>
  <si>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</si>
  <si>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</si>
  <si>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</si>
  <si>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</si>
  <si>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</si>
  <si>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</si>
  <si>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</si>
  <si>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</si>
  <si>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NACE A - 03.30 Support activities for fishing and aquaculture</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</si>
  <si>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</si>
  <si>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</si>
  <si>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</si>
  <si>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</si>
  <si>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</si>
  <si>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</si>
  <si>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</si>
  <si>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NACE C - 15.2 Manufacture of footwear</t>
  </si>
  <si>
    <t>Czechia</t>
  </si>
  <si>
    <t>country:CZ</t>
  </si>
  <si>
    <t>Nitrous oxide (N2O)</t>
  </si>
  <si>
    <t xml:space="preserve">    02 04 99 - Non-Hazardous - Wastes not otherwise specified</t>
  </si>
  <si>
    <t>10 INORGANIC WASTES FROM THERMAL PROCESSES</t>
  </si>
  <si>
    <t>HKD</t>
  </si>
  <si>
    <t>NACE C - 16 Manufacture of wood and of products of wood and cork, except furniture; manufacture of articles of straw and plaiting materials</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</si>
  <si>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</si>
  <si>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</si>
  <si>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</si>
  <si>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</si>
  <si>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</si>
  <si>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</si>
  <si>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NACE C - 16.1 Sawmilling and planing of wood; processing and finishing of wood</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</si>
  <si>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</si>
  <si>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</si>
  <si>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</si>
  <si>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</si>
  <si>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</si>
  <si>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</si>
  <si>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NACE B - 05.10 Mining of hard coal</t>
  </si>
  <si>
    <t>NACE C - 16.2 Manufacture of products of wood, cork, straw and plaiting materials</t>
  </si>
  <si>
    <t>Denmark</t>
  </si>
  <si>
    <t>country:DK</t>
  </si>
  <si>
    <t>Octylphenols and Octylphenol ethoxylates</t>
  </si>
  <si>
    <t xml:space="preserve">    02 05 02 - Non-Hazardous - Sludges from on-site effluent treatment</t>
  </si>
  <si>
    <t xml:space="preserve">    1003 Wastes from aluminium thermal metallurgy</t>
  </si>
  <si>
    <t>HTG</t>
  </si>
  <si>
    <t>NACE C - 17 Manufacture of paper and paper products</t>
  </si>
  <si>
    <t>Dominica</t>
  </si>
  <si>
    <t>country:DM</t>
  </si>
  <si>
    <t>Organotin compounds (total Sn)</t>
  </si>
  <si>
    <t xml:space="preserve">    02 05 99 - Non-Hazardous - Wastes not otherwise specified</t>
  </si>
  <si>
    <t xml:space="preserve">    1004 Wastes from lead thermal metallurgy</t>
  </si>
  <si>
    <t>HUF</t>
  </si>
  <si>
    <t>NACE B - 05.20 Mining of lignite</t>
  </si>
  <si>
    <t>NACE C - 17.1 Manufacture of pulp, paper and paperboard</t>
  </si>
  <si>
    <t>Dominican Republic</t>
  </si>
  <si>
    <t>country:DO</t>
  </si>
  <si>
    <t>Particulate matter (PM)</t>
  </si>
  <si>
    <t xml:space="preserve">  02 06 - Wastes from the baking and confectionery industry</t>
  </si>
  <si>
    <t xml:space="preserve">    1005 Wastes from zinc thermal metallurgy</t>
  </si>
  <si>
    <t>IDR</t>
  </si>
  <si>
    <t>NACE C - 17.2 Manufacture of articles of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</si>
  <si>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</si>
  <si>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</si>
  <si>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</si>
  <si>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</si>
  <si>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</si>
  <si>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</si>
  <si>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NACE C - 18 Printing and reproduction of recorded media</t>
  </si>
  <si>
    <t>Ecuador</t>
  </si>
  <si>
    <t>country:EC</t>
  </si>
  <si>
    <t>Pentachlorobenzene</t>
  </si>
  <si>
    <t xml:space="preserve">    02 06 02 - Non-Hazardous - Wastes from preserving agents</t>
  </si>
  <si>
    <t xml:space="preserve">    1007 Wastes from silver, gold and platinum thermal metallurgy</t>
  </si>
  <si>
    <t>INR</t>
  </si>
  <si>
    <t>NACE B - 06.10 Extraction of crude petroleum</t>
  </si>
  <si>
    <t>NACE C - 18.1 Printing and service activities related to printing</t>
  </si>
  <si>
    <t>Estonia</t>
  </si>
  <si>
    <t>country:EE</t>
  </si>
  <si>
    <t>Pentachlorophenol (PCP)</t>
  </si>
  <si>
    <t xml:space="preserve">    02 06 03 - Non-Hazardous - Sludges from on-site effluent treatment</t>
  </si>
  <si>
    <t xml:space="preserve">    1008 Wastes from other non-ferrous thermal metallurgy</t>
  </si>
  <si>
    <t>IQD</t>
  </si>
  <si>
    <t>NACE C - 18.2 Reproduction of recorded media</t>
  </si>
  <si>
    <t>Egypt</t>
  </si>
  <si>
    <t>country:EG</t>
  </si>
  <si>
    <t>Perfluorocarbons (PFCs)</t>
  </si>
  <si>
    <t xml:space="preserve">    02 06 99 - Non-Hazardous - Wastes not otherwise specified</t>
  </si>
  <si>
    <t xml:space="preserve">    1009 Wastes from casting of ferrous pieces</t>
  </si>
  <si>
    <t>IRR</t>
  </si>
  <si>
    <t>NACE B - 06.20 Extraction of natural gas</t>
  </si>
  <si>
    <t>NACE C - 19 Manufacture of coke and refined petroleum products</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</si>
  <si>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</si>
  <si>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</si>
  <si>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</si>
  <si>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</si>
  <si>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</si>
  <si>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</si>
  <si>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NACE C - 19.1 Manufacture of coke oven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</si>
  <si>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</si>
  <si>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</si>
  <si>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</si>
  <si>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</si>
  <si>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</si>
  <si>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</si>
  <si>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NACE C - 19.2 Manufacture of refined petroleum products and fossil fuel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</si>
  <si>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</si>
  <si>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</si>
  <si>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</si>
  <si>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</si>
  <si>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</si>
  <si>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</si>
  <si>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NACE B - 07.10 Mining of iron ores</t>
  </si>
  <si>
    <t>NACE C - 20 Manufacture of chemicals and chemical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</si>
  <si>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</si>
  <si>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</si>
  <si>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</si>
  <si>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</si>
  <si>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</si>
  <si>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</si>
  <si>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NACE C - 20.1 Manufacture of basic chemicals, fertilisers and nitrogen compounds, plastics and synthetic rubber in primary forms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</si>
  <si>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</si>
  <si>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</si>
  <si>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</si>
  <si>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</si>
  <si>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</si>
  <si>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</si>
  <si>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NACE B - 07.21 Mining of uranium and thorium ores</t>
  </si>
  <si>
    <t>NACE C - 20.2 Manufacture of pesticides, disinfectants and other agrochemical products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</si>
  <si>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</si>
  <si>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</si>
  <si>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</si>
  <si>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</si>
  <si>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</si>
  <si>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</si>
  <si>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NACE B - 07.29 Mining of other non-ferrous metal ores</t>
  </si>
  <si>
    <t>NACE C - 20.3 Manufacture of paints, varnishes and similar coatings, printing ink and mastics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</si>
  <si>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</si>
  <si>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</si>
  <si>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</si>
  <si>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</si>
  <si>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</si>
  <si>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</si>
  <si>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NACE C - 20.4 Manufacture of washing, cleaning and polishing preparations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</si>
  <si>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</si>
  <si>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</si>
  <si>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</si>
  <si>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</si>
  <si>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</si>
  <si>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</si>
  <si>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NACE C - 20.5 Manufacture of other chemical products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</si>
  <si>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</si>
  <si>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</si>
  <si>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</si>
  <si>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</si>
  <si>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</si>
  <si>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</si>
  <si>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NACE B - 08.11 Quarrying of ornamental stone, limestone, gypsum, slate and other stone</t>
  </si>
  <si>
    <t>NACE C - 20.6 Manufacture of man-made fibres</t>
  </si>
  <si>
    <t>France</t>
  </si>
  <si>
    <t>country:FR</t>
  </si>
  <si>
    <t>Tetrachloromethane (TCM)</t>
  </si>
  <si>
    <t xml:space="preserve">    03 01 01 - Non-Hazardous - Waste bark and cork</t>
  </si>
  <si>
    <t>12 WASTES FROM SHAPING AND SURFACE TREATMENT OF METALS AND PLASTICS</t>
  </si>
  <si>
    <t>KRW</t>
  </si>
  <si>
    <t>NACE B - 08.12 Operation of gravel and sand pits and mining of clay and kaolin</t>
  </si>
  <si>
    <t>NACE C - 21 Manufacture of basic pharmaceutical products and pharmaceutical preparations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</si>
  <si>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</si>
  <si>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</si>
  <si>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</si>
  <si>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</si>
  <si>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</si>
  <si>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</si>
  <si>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NACE C - 21.1 Manufacture of basic pharmaceutical products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</si>
  <si>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</si>
  <si>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</si>
  <si>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</si>
  <si>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</si>
  <si>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</si>
  <si>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</si>
  <si>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NACE B - 08.91 Mining of chemical and fertiliser minerals</t>
  </si>
  <si>
    <t>NACE C - 21.2 Manufacture of pharmaceutical preparations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</si>
  <si>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</si>
  <si>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</si>
  <si>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</si>
  <si>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</si>
  <si>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</si>
  <si>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</si>
  <si>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NACE B - 08.92 Extraction of peat</t>
  </si>
  <si>
    <t>NACE C - 22 Manufacture of rubber and plastic products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</si>
  <si>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</si>
  <si>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</si>
  <si>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</si>
  <si>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</si>
  <si>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</si>
  <si>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</si>
  <si>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NACE B - 08.93 Extraction of salt</t>
  </si>
  <si>
    <t>NACE C - 22.1 Manufacture of rubber products</t>
  </si>
  <si>
    <t>French Guiana</t>
  </si>
  <si>
    <t>country:GF</t>
  </si>
  <si>
    <t>Total phosphorus</t>
  </si>
  <si>
    <t xml:space="preserve">    03 02 01 - Hazardous - Non-halogenated organic wood preservatives</t>
  </si>
  <si>
    <t xml:space="preserve">    1301 Waste hydraulic oils and brake fluids</t>
  </si>
  <si>
    <t>LBP</t>
  </si>
  <si>
    <t>NACE B - 08.99 Other mining and quarrying n.e.c.</t>
  </si>
  <si>
    <t>NACE C - 22.2 Manufacture of plastic products</t>
  </si>
  <si>
    <t>Guernsey</t>
  </si>
  <si>
    <t>country:GG</t>
  </si>
  <si>
    <t>Toxaphene</t>
  </si>
  <si>
    <t xml:space="preserve">    03 02 02 - Hazardous - Organochlorinated wood preservatives</t>
  </si>
  <si>
    <t xml:space="preserve">    1302 Waste engine, gear and lubricating oils</t>
  </si>
  <si>
    <t>LKR</t>
  </si>
  <si>
    <t>NACE C - 23 Manufacture of other non-metallic mineral products</t>
  </si>
  <si>
    <t>Ghana</t>
  </si>
  <si>
    <t>country:GH</t>
  </si>
  <si>
    <t>Tributyltin and compounds</t>
  </si>
  <si>
    <t xml:space="preserve">    03 02 03 - Hazardous - Organometallic wood preservatives</t>
  </si>
  <si>
    <t xml:space="preserve">    1303 Waste insulating and heat transmission oils and other liquids</t>
  </si>
  <si>
    <t>LRD</t>
  </si>
  <si>
    <t>NACE C - 23.1 Manufacture of glass and glass products</t>
  </si>
  <si>
    <t>Gibraltar</t>
  </si>
  <si>
    <t>country:GI</t>
  </si>
  <si>
    <t>Trichlorobenzenes (TCBs) (all isomers)</t>
  </si>
  <si>
    <t xml:space="preserve">    03 02 04 - Hazardous - Inorganic wood preservatives</t>
  </si>
  <si>
    <t xml:space="preserve">    1304 Bilge oils</t>
  </si>
  <si>
    <t>LSL</t>
  </si>
  <si>
    <t>NACE B - 09.10 Support activities for petroleum and natural gas extraction</t>
  </si>
  <si>
    <t>NACE C - 23.2 Manufacture of refractory products</t>
  </si>
  <si>
    <t>Greenland</t>
  </si>
  <si>
    <t>country:GL</t>
  </si>
  <si>
    <t>1,1,1-trichloroethane</t>
  </si>
  <si>
    <t xml:space="preserve">    03 02 05 - Hazardous - Other wood preservatives containing hazardous substances</t>
  </si>
  <si>
    <t xml:space="preserve">    1305 Oil/water separator contents</t>
  </si>
  <si>
    <t>LYD</t>
  </si>
  <si>
    <t>NACE C - 23.3 Manufacture of clay building materials</t>
  </si>
  <si>
    <t>Gambia</t>
  </si>
  <si>
    <t>country:GM</t>
  </si>
  <si>
    <t>Trichloroethylene</t>
  </si>
  <si>
    <t xml:space="preserve">    03 02 99 - Non-Hazardous - Wood preservatives not otherwise specified</t>
  </si>
  <si>
    <t xml:space="preserve">    1306 Oil waste not otherwise specified</t>
  </si>
  <si>
    <t>MAD</t>
  </si>
  <si>
    <t>NACE B - 09.90 Support activities for other mining and quarrying</t>
  </si>
  <si>
    <t>NACE C - 23.4 Manufacture of other porcelain and ceramic products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</si>
  <si>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</si>
  <si>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</si>
  <si>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</si>
  <si>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</si>
  <si>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</si>
  <si>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</si>
  <si>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NACE C - MANUFACTURING</t>
  </si>
  <si>
    <t>NACE C - 23.5 Manufacture of cement, lime and plaster</t>
  </si>
  <si>
    <t>Guadeloupe</t>
  </si>
  <si>
    <t>country:GP</t>
  </si>
  <si>
    <t>Trifluralin</t>
  </si>
  <si>
    <t xml:space="preserve">    03 03 01 - Non-Hazardous - Waste bark and wood</t>
  </si>
  <si>
    <t xml:space="preserve">    1401 Wastes from metal degreasing and machinery maintenance</t>
  </si>
  <si>
    <t>MGA</t>
  </si>
  <si>
    <t>NACE C - 23.6 Manufacture of articles of concrete, cement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</si>
  <si>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</si>
  <si>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</si>
  <si>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</si>
  <si>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</si>
  <si>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</si>
  <si>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</si>
  <si>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NACE C - 23.7 Cutting, shaping and finishing of stone</t>
  </si>
  <si>
    <t>Greece</t>
  </si>
  <si>
    <t>country:GR</t>
  </si>
  <si>
    <t>Vinyl chloride</t>
  </si>
  <si>
    <t xml:space="preserve">    03 03 05 - Non-Hazardous - De-inking sludges from paper recycling</t>
  </si>
  <si>
    <t xml:space="preserve">    1403 Wastes from the electronic industry</t>
  </si>
  <si>
    <t>MMK</t>
  </si>
  <si>
    <t>NACE C - 10.11 Processing and preserving of meat, except of poultry meat</t>
  </si>
  <si>
    <t>NACE C - 23.9 Manufacture of abrasive products and non-metallic mineral products n.e.c.</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</si>
  <si>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</si>
  <si>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</si>
  <si>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</si>
  <si>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</si>
  <si>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</si>
  <si>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</si>
  <si>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NACE C - 10.12 Processing and preserving of poultry meat</t>
  </si>
  <si>
    <t>NACE C - 24 Manufacture of basic metals</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</si>
  <si>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</si>
  <si>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</si>
  <si>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</si>
  <si>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</si>
  <si>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</si>
  <si>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</si>
  <si>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NACE C - 10.13 Production of meat and poultry meat products</t>
  </si>
  <si>
    <t>NACE C - 24.1 Manufacture of basic iron and steel and of ferro-alloys</t>
  </si>
  <si>
    <t>Guam</t>
  </si>
  <si>
    <t>country:GU</t>
  </si>
  <si>
    <t>Other pollutant</t>
  </si>
  <si>
    <t xml:space="preserve">    03 03 09 - Non-Hazardous - Lime mud waste</t>
  </si>
  <si>
    <t>15 WASTE PACKAGING; ABSORBENTS, WIPING CLOTHS, FILTER MATERIALS AND PROTECTIVE CLOTHING NOT OTHERWISE SPECIFIED</t>
  </si>
  <si>
    <t>MRU</t>
  </si>
  <si>
    <t>NACE C - 24.2 Manufacture of tubes, pipes, hollow profiles and related fittings, of steel</t>
  </si>
  <si>
    <t>Guinea-Bissau</t>
  </si>
  <si>
    <t>country:GW</t>
  </si>
  <si>
    <t xml:space="preserve">    03 03 10 - Non-Hazardous - Fibre rejects, fibre-, filler- and coating-sludges from mechanical separation</t>
  </si>
  <si>
    <t xml:space="preserve">    1501 Packaging</t>
  </si>
  <si>
    <t>MUR</t>
  </si>
  <si>
    <t>NACE C - 10.20 Processing and preserving of fish, crustaceans and molluscs</t>
  </si>
  <si>
    <t>NACE C - 24.3 Manufacture of other products of first processing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</si>
  <si>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</si>
  <si>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</si>
  <si>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</si>
  <si>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</si>
  <si>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</si>
  <si>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NACE C - 24.4 Manufacture of basic precious and other non-ferrous metals</t>
  </si>
  <si>
    <t>Hong Kong</t>
  </si>
  <si>
    <t>country:HK</t>
  </si>
  <si>
    <t xml:space="preserve">    03 03 99 - Non-Hazardous - Wastes not otherwise specified</t>
  </si>
  <si>
    <t>16 WASTES NOT OTHERWISE SPECIFIED IN THE LIST</t>
  </si>
  <si>
    <t>MWK</t>
  </si>
  <si>
    <t>NACE C - 10.31 Processing and preserving of potatoes</t>
  </si>
  <si>
    <t>NACE C - 24.5 Casting of metals</t>
  </si>
  <si>
    <t>Heard Island and McDonald Islands</t>
  </si>
  <si>
    <t>country:HM</t>
  </si>
  <si>
    <t>04 - WASTES FROM THE LEATHER, FUR AND TEXTILE INDUSTRIES</t>
  </si>
  <si>
    <t xml:space="preserve">    1601 End-of-life vehicles and their components</t>
  </si>
  <si>
    <t>MXN</t>
  </si>
  <si>
    <t>NACE C - 10.32 Manufacture of fruit and vegetable juice</t>
  </si>
  <si>
    <t>NACE C - 25 Manufacture of fabricated metal products, except machinery and equipment</t>
  </si>
  <si>
    <t>Honduras</t>
  </si>
  <si>
    <t>country:HN</t>
  </si>
  <si>
    <t xml:space="preserve">  04 01 - Wastes from the leather and fur industry</t>
  </si>
  <si>
    <t xml:space="preserve">    1602 Discarded equipment and its components</t>
  </si>
  <si>
    <t>MXV</t>
  </si>
  <si>
    <t>NACE C - 10.39 Other processing and preserving of fruit and vegetables</t>
  </si>
  <si>
    <t>NACE C - 25.1 Manufacture of structural metal products</t>
  </si>
  <si>
    <t>Croatia</t>
  </si>
  <si>
    <t>country:HR</t>
  </si>
  <si>
    <t xml:space="preserve">    04 01 01 - Non-Hazardous - Fleshings and lime split wastes</t>
  </si>
  <si>
    <t xml:space="preserve">    1603 Off-specification batches</t>
  </si>
  <si>
    <t>MYR</t>
  </si>
  <si>
    <t>NACE C - 25.2 Manufacture of tanks, reservoirs and containers of metal</t>
  </si>
  <si>
    <t>Haiti</t>
  </si>
  <si>
    <t>country:HT</t>
  </si>
  <si>
    <t xml:space="preserve">    04 01 02 - Non-Hazardous - Liming waste</t>
  </si>
  <si>
    <t xml:space="preserve">    1604 Waste explosives</t>
  </si>
  <si>
    <t>MZN</t>
  </si>
  <si>
    <t>NACE C - 10.41 Manufacture of oils and fats</t>
  </si>
  <si>
    <t>NACE C - 25.3 Manufacture of weapons and ammunition</t>
  </si>
  <si>
    <t>Hungary</t>
  </si>
  <si>
    <t>country:HU</t>
  </si>
  <si>
    <t xml:space="preserve">    04 01 03 - Hazardous - Degreasing wastes containing solvents without a liquid phase</t>
  </si>
  <si>
    <t xml:space="preserve">    1605 Chemicals and gases in containers</t>
  </si>
  <si>
    <t>NAD</t>
  </si>
  <si>
    <t>NACE C - 10.42 Manufacture of margarine and similar edible fats</t>
  </si>
  <si>
    <t>NACE C - 25.4 Forging and shaping metal and powder metallurgy</t>
  </si>
  <si>
    <t>Indonesia</t>
  </si>
  <si>
    <t>country:ID</t>
  </si>
  <si>
    <t xml:space="preserve">    04 01 04 - Non-Hazardous - Tanning liquor containing chromium</t>
  </si>
  <si>
    <t xml:space="preserve">    1606 Batteries and accumulators</t>
  </si>
  <si>
    <t>NGN</t>
  </si>
  <si>
    <t>NACE C - 25.5 Treatment and coating of metals; machining</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</si>
  <si>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</si>
  <si>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</si>
  <si>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</si>
  <si>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</si>
  <si>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</si>
  <si>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NACE C - 10.51 Manufacture of dairy products</t>
  </si>
  <si>
    <t>NACE C - 25.6 Manufacture of cutlery, tools and general hardware</t>
  </si>
  <si>
    <t>Israel</t>
  </si>
  <si>
    <t>country:IL</t>
  </si>
  <si>
    <t xml:space="preserve">    04 01 06 - Non-Hazardous - Sludges, in particular from on-site effluent treatment containing chromium</t>
  </si>
  <si>
    <t xml:space="preserve">    1608 Spent catalysts</t>
  </si>
  <si>
    <t>NOK</t>
  </si>
  <si>
    <t>NACE C - 10.52 Manufacture of ice cream and other edible ice</t>
  </si>
  <si>
    <t>NACE C - 25.9 Manufacture of other fabricated metal products</t>
  </si>
  <si>
    <t>Isle of Man</t>
  </si>
  <si>
    <t>country:IM</t>
  </si>
  <si>
    <t xml:space="preserve">    04 01 07 - Non-Hazardous - Sludges, in particular from on-site effluent treatment free of chromium</t>
  </si>
  <si>
    <t>17 CONSTRUCTION AND DEMOLITION WASTES (INCLUDING ROAD CONSTRUCTION)</t>
  </si>
  <si>
    <t>NPR</t>
  </si>
  <si>
    <t>NACE C - 26 Manufacture of computer, electronic and optical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</si>
  <si>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</si>
  <si>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</si>
  <si>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</si>
  <si>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</si>
  <si>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</si>
  <si>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NACE C - 10.61 Manufacture of grain mill products</t>
  </si>
  <si>
    <t>NACE C - 26.1 Manufacture of electronic components and boards</t>
  </si>
  <si>
    <t>British Indian Ocean Territory</t>
  </si>
  <si>
    <t>country:IO</t>
  </si>
  <si>
    <t xml:space="preserve">    04 01 09 - Non-Hazardous - Wastes from dressing and finishing</t>
  </si>
  <si>
    <t xml:space="preserve">    1702 Wood, glass and plastic</t>
  </si>
  <si>
    <t>OMR</t>
  </si>
  <si>
    <t>NACE C - 10.62 Manufacture of starches and starch products</t>
  </si>
  <si>
    <t>NACE C - 26.2 Manufacture of computers and peripheral equipment</t>
  </si>
  <si>
    <t>Iraq</t>
  </si>
  <si>
    <t>country:IQ</t>
  </si>
  <si>
    <t xml:space="preserve">    04 01 99 - Non-Hazardous - Wastes not otherwise specified</t>
  </si>
  <si>
    <t xml:space="preserve">    1703 Asphalt, tar and tarred products</t>
  </si>
  <si>
    <t>PAB</t>
  </si>
  <si>
    <t>NACE C - 26.3 Manufacture of communication equipment</t>
  </si>
  <si>
    <t>Iran (Islamic Republic of)</t>
  </si>
  <si>
    <t>country:IR</t>
  </si>
  <si>
    <t xml:space="preserve">  04 02 - Wastes from the textile industry</t>
  </si>
  <si>
    <t xml:space="preserve">    1704 Metals (including their alloys)</t>
  </si>
  <si>
    <t>PEN</t>
  </si>
  <si>
    <t>NACE C - 10.71 Manufacture of bread; manufacture of fresh pastry goods and cakes</t>
  </si>
  <si>
    <t>NACE C - 26.4 Manufacture of consumer electronics</t>
  </si>
  <si>
    <t>Iceland</t>
  </si>
  <si>
    <t>country:IS</t>
  </si>
  <si>
    <t xml:space="preserve">    04 02 09 - Non-Hazardous - Wastes from composite materials (impregnated textile, elastomer, plastomer)</t>
  </si>
  <si>
    <t xml:space="preserve">    1705 Soil and dredging spoil</t>
  </si>
  <si>
    <t>PGK</t>
  </si>
  <si>
    <t>NACE C - 10.72 Manufacture of rusks, biscuits, preserved pastries and cakes</t>
  </si>
  <si>
    <t>NACE C - 26.5 Manufacture of measuring testing instruments, clocks and watches</t>
  </si>
  <si>
    <t>Italy</t>
  </si>
  <si>
    <t>country:IT</t>
  </si>
  <si>
    <t xml:space="preserve">    04 02 10 - Non-Hazardous - Organic matter from natural products (for example grease, wax)</t>
  </si>
  <si>
    <t xml:space="preserve">    1706 Insulation materials</t>
  </si>
  <si>
    <t>PHP</t>
  </si>
  <si>
    <t>NACE C - 10.73 Manufacture of farinaceous products</t>
  </si>
  <si>
    <t>NACE C - 26.6 Manufacture of irradiation, electromedical and electrotherapeutic equipment</t>
  </si>
  <si>
    <t>Jersey</t>
  </si>
  <si>
    <t>country:JE</t>
  </si>
  <si>
    <t xml:space="preserve">    04 02 14 - Hazardous - Wastes from finishing containing organic solvents</t>
  </si>
  <si>
    <t xml:space="preserve">    1707 Mixed construction and demolition waste</t>
  </si>
  <si>
    <t>PKR</t>
  </si>
  <si>
    <t>NACE C - 26.7 Manufacture of optical instruments, magnetic and optical media and photographic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</si>
  <si>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</si>
  <si>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</si>
  <si>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</si>
  <si>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</si>
  <si>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</si>
  <si>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NACE C - 10.81 Manufacture of sugar</t>
  </si>
  <si>
    <t>NACE C - 27 Manufacture of electrical equipment</t>
  </si>
  <si>
    <t>Jordan</t>
  </si>
  <si>
    <t>country:JO</t>
  </si>
  <si>
    <t xml:space="preserve">    04 02 16 - Hazardous - Dyestuffs and pigments containing hazardous substances</t>
  </si>
  <si>
    <t xml:space="preserve">    1801 Wastes from natal care, diagnosis, treatment or prevention of disease in humans</t>
  </si>
  <si>
    <t>PYG</t>
  </si>
  <si>
    <t>NACE C - 10.82 Manufacture of cocoa, chocolate and sugar confectionery</t>
  </si>
  <si>
    <t>NACE C - 27.1 Manufacture of electric motors, generators, transformers and electricity distribution and control apparatus</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</si>
  <si>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</si>
  <si>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</si>
  <si>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</si>
  <si>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</si>
  <si>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</si>
  <si>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NACE C - 10.83 Processing of tea and coffee</t>
  </si>
  <si>
    <t>NACE C - 27.2 Manufacture of batteries and accumulators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</si>
  <si>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</si>
  <si>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</si>
  <si>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</si>
  <si>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</si>
  <si>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</si>
  <si>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NACE C - 10.84 Manufacture of condiments and seasonings</t>
  </si>
  <si>
    <t>NACE C - 27.3 Manufacture of wiring and wiring devices</t>
  </si>
  <si>
    <t>Kyrgyzstan</t>
  </si>
  <si>
    <t>country:KG</t>
  </si>
  <si>
    <t xml:space="preserve">    04 02 20 - Non-Hazardous - Sludges from on-site effluent treatment other than those mentioned in 04 02 19</t>
  </si>
  <si>
    <t xml:space="preserve">    1901 Wastes from incineration or pyrolysis of waste</t>
  </si>
  <si>
    <t>RSD</t>
  </si>
  <si>
    <t>NACE C - 10.85 Manufacture of prepared meals and dishes</t>
  </si>
  <si>
    <t>NACE C - 27.4 Manufacture of lighting equipment</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</si>
  <si>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</si>
  <si>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</si>
  <si>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</si>
  <si>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</si>
  <si>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</si>
  <si>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NACE C - 10.86 Manufacture of homogenised food preparations and dietetic food</t>
  </si>
  <si>
    <t>NACE C - 27.5 Manufacture of domestic appliances</t>
  </si>
  <si>
    <t>Kiribati</t>
  </si>
  <si>
    <t>country:KI</t>
  </si>
  <si>
    <t xml:space="preserve">    04 02 22 - Non-Hazardous - Wastes from processed textile fibres</t>
  </si>
  <si>
    <t xml:space="preserve">    1903 Stabilised/solidified wastes</t>
  </si>
  <si>
    <t>RWF</t>
  </si>
  <si>
    <t>NACE C - 10.89 Manufacture of other food products n.e.c.</t>
  </si>
  <si>
    <t>NACE C - 27.9 Manufacture of other electrical equipment</t>
  </si>
  <si>
    <t>Comoros</t>
  </si>
  <si>
    <t>country:KM</t>
  </si>
  <si>
    <t xml:space="preserve">    04 02 99 - Non-Hazardous - Wastes not otherwise specified</t>
  </si>
  <si>
    <t xml:space="preserve">    1904 Vitrified waste and wastes from vitrification</t>
  </si>
  <si>
    <t>SAR</t>
  </si>
  <si>
    <t>NACE C - 28 Manufacture of machinery and equipment n.e.c.</t>
  </si>
  <si>
    <t>Saint Kitts and Nevis</t>
  </si>
  <si>
    <t>country:KN</t>
  </si>
  <si>
    <t>05 - WASTES FROM PETROLEUM REFINING, NATURAL GAS PURIFICATION AND PYROLYTIC TREATMENT OF COAL</t>
  </si>
  <si>
    <t xml:space="preserve">    1905 Wastes from aerobic treatment of solid wastes</t>
  </si>
  <si>
    <t>SBD</t>
  </si>
  <si>
    <t>NACE C - 10.91 Manufacture of prepared feeds for farm animals</t>
  </si>
  <si>
    <t>NACE C - 28.1 Manufacture of general-purpose machinery</t>
  </si>
  <si>
    <t>Korea (the Democratic People's Republic of)</t>
  </si>
  <si>
    <t>country:KP</t>
  </si>
  <si>
    <t xml:space="preserve">  05 01 - Wastes from petroleum refining</t>
  </si>
  <si>
    <t xml:space="preserve">    1906 Wastes from anaerobic treatment of waste</t>
  </si>
  <si>
    <t>SCR</t>
  </si>
  <si>
    <t>NACE C - 10.92 Manufacture of prepared pet foods</t>
  </si>
  <si>
    <t>NACE C - 28.2 Manufacture of other general-purpose machinery</t>
  </si>
  <si>
    <t>Korea (the Republic of)</t>
  </si>
  <si>
    <t>country:KR</t>
  </si>
  <si>
    <t xml:space="preserve">    05 01 02 - Hazardous - Desalter sludges</t>
  </si>
  <si>
    <t xml:space="preserve">    1907 Landfill leachate</t>
  </si>
  <si>
    <t>SDG</t>
  </si>
  <si>
    <t>NACE C - 28.3 Manufacture of agricultural and forestry machinery</t>
  </si>
  <si>
    <t>Kuwait</t>
  </si>
  <si>
    <t>country:KW</t>
  </si>
  <si>
    <t xml:space="preserve">    05 01 03 - Hazardous - Tank bottom sludges</t>
  </si>
  <si>
    <t xml:space="preserve">    1908 Wastes from waste water treatment plants not otherwise specified</t>
  </si>
  <si>
    <t>SEK</t>
  </si>
  <si>
    <t>NACE C - 28.4 Manufacture of metal forming machinery and machine tools</t>
  </si>
  <si>
    <t>Cayman Islands</t>
  </si>
  <si>
    <t>country:KY</t>
  </si>
  <si>
    <t xml:space="preserve">    05 01 04 - Hazardous - Acid alkyl sludges</t>
  </si>
  <si>
    <t xml:space="preserve">    1909 Wastes from the preparation of drinking water or water for industrial use</t>
  </si>
  <si>
    <t>SGD</t>
  </si>
  <si>
    <t>NACE C - 11.01 Distilling, rectifying and blending of spirits</t>
  </si>
  <si>
    <t>NACE C - 28.9 Manufacture of other special-purpose machinery</t>
  </si>
  <si>
    <t>Kazakhstan</t>
  </si>
  <si>
    <t>country:KZ</t>
  </si>
  <si>
    <t xml:space="preserve">    05 01 05 - Hazardous - Oil spills</t>
  </si>
  <si>
    <t xml:space="preserve">    1910 Wastes from shredding of metal-containing waste</t>
  </si>
  <si>
    <t>SHP</t>
  </si>
  <si>
    <t>NACE C - 11.02 Manufacture of wine from grape</t>
  </si>
  <si>
    <t>NACE C - 29 Manufacture of motor vehicles, trailers and semi-trailers</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</si>
  <si>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</si>
  <si>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</si>
  <si>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</si>
  <si>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</si>
  <si>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</si>
  <si>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NACE C - 11.03 Manufacture of cider and other fermented fruit beverages</t>
  </si>
  <si>
    <t>NACE C - 29.1 Manufacture of motor vehicles</t>
  </si>
  <si>
    <t>Lebanon</t>
  </si>
  <si>
    <t>country:LB</t>
  </si>
  <si>
    <t xml:space="preserve">    05 01 07 - Hazardous - Acid tars</t>
  </si>
  <si>
    <t xml:space="preserve">    2001 Separately collected fractions</t>
  </si>
  <si>
    <t>SOS</t>
  </si>
  <si>
    <t>NACE C - 11.04 Manufacture of other non-distilled fermented beverages</t>
  </si>
  <si>
    <t>NACE C - 29.2 Manufacture of bodies and coachwork for motor vehicles; manufacture of trailers and semi-trailers</t>
  </si>
  <si>
    <t>Saint Lucia</t>
  </si>
  <si>
    <t>country:LC</t>
  </si>
  <si>
    <t xml:space="preserve">    05 01 08 - Hazardous - Other tars</t>
  </si>
  <si>
    <t xml:space="preserve">    2002 Garden and park wastes (including cemetery waste)</t>
  </si>
  <si>
    <t>SRD</t>
  </si>
  <si>
    <t>NACE C - 11.05 Manufacture of beer</t>
  </si>
  <si>
    <t>NACE C - 29.3 Manufacture of motor vehicle parts and accessories</t>
  </si>
  <si>
    <t>Liechtenstein</t>
  </si>
  <si>
    <t>country:LI</t>
  </si>
  <si>
    <t xml:space="preserve">    05 01 09 - Hazardous - Sludges from on-site effluent treatment containing hazardous substances</t>
  </si>
  <si>
    <t xml:space="preserve">    2003 Other municipal wastes</t>
  </si>
  <si>
    <t>SSP</t>
  </si>
  <si>
    <t>NACE C - 11.06 Manufacture of malt</t>
  </si>
  <si>
    <t>NACE C - 30 Manufacture of other transport equipment</t>
  </si>
  <si>
    <t>Sri Lanka</t>
  </si>
  <si>
    <t>country:LK</t>
  </si>
  <si>
    <t xml:space="preserve">    05 01 10 - Non-Hazardous - Sludges from on-site effluent treatment other than those mentioned in 05 01 09</t>
  </si>
  <si>
    <t>STD</t>
  </si>
  <si>
    <t>NACE C - 11.07 Manufacture of soft drinks and bottled waters</t>
  </si>
  <si>
    <t>NACE C - 30.1 Building of ships and boats</t>
  </si>
  <si>
    <t>Liberia</t>
  </si>
  <si>
    <t>country:LR</t>
  </si>
  <si>
    <t xml:space="preserve">    05 01 11 - Hazardous - Wastes from cleaning of fuels with bases</t>
  </si>
  <si>
    <t>SVC</t>
  </si>
  <si>
    <t>NACE C - 30.2 Manufacture of railway locomotives and rolling stock</t>
  </si>
  <si>
    <t>Lesotho</t>
  </si>
  <si>
    <t>country:LS</t>
  </si>
  <si>
    <t xml:space="preserve">    05 01 12 - Hazardous - Oil containing acids</t>
  </si>
  <si>
    <t>SYP</t>
  </si>
  <si>
    <t>NACE C - 30.3 Manufacture of air and spacecraft and related machinery</t>
  </si>
  <si>
    <t>Lithuania</t>
  </si>
  <si>
    <t>country:LT</t>
  </si>
  <si>
    <t xml:space="preserve">    05 01 13 - Non-Hazardous - Boiler feedwater sludges</t>
  </si>
  <si>
    <t>SZL</t>
  </si>
  <si>
    <t>NACE C - 12.00 Manufacture of tobacco products</t>
  </si>
  <si>
    <t>NACE C - 30.4 Manufacture of military fighting vehicles</t>
  </si>
  <si>
    <t>Luxembourg</t>
  </si>
  <si>
    <t>country:LU</t>
  </si>
  <si>
    <t xml:space="preserve">    05 01 14 - Non-Hazardous - Wastes from cooling columns</t>
  </si>
  <si>
    <t>THB</t>
  </si>
  <si>
    <t>NACE C - 30.9 Manufacture of transport equipment n.e.c.</t>
  </si>
  <si>
    <t>Latvia</t>
  </si>
  <si>
    <t>country:LV</t>
  </si>
  <si>
    <t xml:space="preserve">    05 01 15 - Hazardous - Spent filter clays</t>
  </si>
  <si>
    <t>TJS</t>
  </si>
  <si>
    <t>NACE C - 31 Manufacture of furniture</t>
  </si>
  <si>
    <t>Libya</t>
  </si>
  <si>
    <t>country:LY</t>
  </si>
  <si>
    <t xml:space="preserve">    05 01 16 - Non-Hazardous - Sulphur-containing wastes from petroleum desulphurisation</t>
  </si>
  <si>
    <t>TMT</t>
  </si>
  <si>
    <t>NACE C - 13.10 Preparation and spinning of textile fibres</t>
  </si>
  <si>
    <t>NACE C - 31.0 Manufacture of furniture</t>
  </si>
  <si>
    <t>Morocco</t>
  </si>
  <si>
    <t>country:MA</t>
  </si>
  <si>
    <t xml:space="preserve">    05 01 17 - Non-Hazardous - Bitumen</t>
  </si>
  <si>
    <t>TND</t>
  </si>
  <si>
    <t>NACE C - 32 Other manufacturing</t>
  </si>
  <si>
    <t>Monaco</t>
  </si>
  <si>
    <t>country:MC</t>
  </si>
  <si>
    <t xml:space="preserve">    05 01 99 - Non-Hazardous - Wastes not otherwise specified</t>
  </si>
  <si>
    <t>TOP</t>
  </si>
  <si>
    <t>NACE C - 13.20 Weaving of textiles</t>
  </si>
  <si>
    <t>NACE C - 32.1 Manufacture of jewellery, bijouterie and related articles</t>
  </si>
  <si>
    <t>Moldova (the Republic of)</t>
  </si>
  <si>
    <t>country:MD</t>
  </si>
  <si>
    <t xml:space="preserve">  05 06 - Wastes from the pyrolytic treatment of coal</t>
  </si>
  <si>
    <t>TRY</t>
  </si>
  <si>
    <t>NACE C - 32.2 Manufacture of musical instruments</t>
  </si>
  <si>
    <t>Montenegro</t>
  </si>
  <si>
    <t>country:ME</t>
  </si>
  <si>
    <t xml:space="preserve">    05 06 01 - Hazardous - Acid tars</t>
  </si>
  <si>
    <t>TTD</t>
  </si>
  <si>
    <t>NACE C - 13.30 Finishing of textiles</t>
  </si>
  <si>
    <t>NACE C - 32.3 Manufacture of sports goods</t>
  </si>
  <si>
    <t>Saint Martin (French part)</t>
  </si>
  <si>
    <t>country:MF</t>
  </si>
  <si>
    <t xml:space="preserve">    05 06 03 - Hazardous - Other tars</t>
  </si>
  <si>
    <t>TWD</t>
  </si>
  <si>
    <t>NACE C - 32.4 Manufacture of games and toys</t>
  </si>
  <si>
    <t>Madagascar</t>
  </si>
  <si>
    <t>country:MG</t>
  </si>
  <si>
    <t xml:space="preserve">    05 06 04 - Non-Hazardous - Waste from cooling columns</t>
  </si>
  <si>
    <t>TZS</t>
  </si>
  <si>
    <t>NACE C - 13.91 Manufacture of knitted and crocheted fabrics</t>
  </si>
  <si>
    <t>NACE C - 32.5 Manufacture of medical and dental instruments and supplies</t>
  </si>
  <si>
    <t>Marshall Islands</t>
  </si>
  <si>
    <t>country:MH</t>
  </si>
  <si>
    <t xml:space="preserve">    05 06 99 - Non-Hazardous - Wastes not otherwise specified</t>
  </si>
  <si>
    <t>UAH</t>
  </si>
  <si>
    <t>NACE C - 13.92 Manufacture of household textiles and made-up furnishing articles</t>
  </si>
  <si>
    <t>NACE C - 32.9 Manufacturing n.e.c.</t>
  </si>
  <si>
    <t>North Macedonia</t>
  </si>
  <si>
    <t>country:MK</t>
  </si>
  <si>
    <t xml:space="preserve">  05 07 - Wastes from natural gas purification and transportation</t>
  </si>
  <si>
    <t>UGX</t>
  </si>
  <si>
    <t>NACE C - 13.93 Manufacture of carpets and rugs</t>
  </si>
  <si>
    <t>NACE C - 33 Repair, maintenance and installation of machinery and equipment</t>
  </si>
  <si>
    <t>Mali</t>
  </si>
  <si>
    <t>country:ML</t>
  </si>
  <si>
    <t xml:space="preserve">    05 07 01 - Hazardous - Wastes containing mercury</t>
  </si>
  <si>
    <t>USD</t>
  </si>
  <si>
    <t>NACE C - 13.94 Manufacture of cordage, rope, twine and netting</t>
  </si>
  <si>
    <t>NACE C - 33.1 Repair and maintenance of fabricated metal products, machinery and equipment</t>
  </si>
  <si>
    <t>Myanmar</t>
  </si>
  <si>
    <t>country:MM</t>
  </si>
  <si>
    <t xml:space="preserve">    05 07 02 - Non-Hazardous - Wastes containing sulphur</t>
  </si>
  <si>
    <t>UYI</t>
  </si>
  <si>
    <t>NACE C - 13.95 Manufacture of non-wovens and non-woven articles</t>
  </si>
  <si>
    <t>NACE C - 33.2 Installation of industrial machinery and equipment</t>
  </si>
  <si>
    <t>Mongolia</t>
  </si>
  <si>
    <t>country:MN</t>
  </si>
  <si>
    <t xml:space="preserve">    05 07 99 - Non-Hazardous - Wastes not otherwise specified</t>
  </si>
  <si>
    <t>UYU</t>
  </si>
  <si>
    <t>NACE C - 13.96 Manufacture of other technical and industrial textiles</t>
  </si>
  <si>
    <t>Macao</t>
  </si>
  <si>
    <t>country:MO</t>
  </si>
  <si>
    <t>06 - WASTES FROM INORGANIC CHEMICAL PROCESSES</t>
  </si>
  <si>
    <t>UZS</t>
  </si>
  <si>
    <t>NACE C - 13.99 Manufacture of other textiles n.e.c.</t>
  </si>
  <si>
    <t>NACE D - 35 Electricity, gas, steam and air conditioning supply</t>
  </si>
  <si>
    <t>Northern Mariana Islands</t>
  </si>
  <si>
    <t>country:MP</t>
  </si>
  <si>
    <t xml:space="preserve">  06 01 - Wastes from the manufacture, formulation, supply and use (MFSU) of acids</t>
  </si>
  <si>
    <t>VES</t>
  </si>
  <si>
    <t>NACE D - 35.1 Electric power generation, transmission and distribution</t>
  </si>
  <si>
    <t>Martinique</t>
  </si>
  <si>
    <t>country:MQ</t>
  </si>
  <si>
    <t xml:space="preserve">    06 01 01 - Hazardous - Sulphuric acid and sulphurous acid</t>
  </si>
  <si>
    <t>VND</t>
  </si>
  <si>
    <t>NACE D - 35.2 Manufacture of gas, and distribution of gaseous fuels through mains</t>
  </si>
  <si>
    <t>Mauritania</t>
  </si>
  <si>
    <t>country:MR</t>
  </si>
  <si>
    <t xml:space="preserve">    06 01 02 - Hazardous - Hydrochloric acid</t>
  </si>
  <si>
    <t>VUV</t>
  </si>
  <si>
    <t>NACE C - 14.10 Manufacture of knitted and crocheted apparel</t>
  </si>
  <si>
    <t>NACE D - 35.3 Steam and air conditioning supply</t>
  </si>
  <si>
    <t>Montserrat</t>
  </si>
  <si>
    <t>country:MS</t>
  </si>
  <si>
    <t xml:space="preserve">    06 01 03 - Hazardous - Hydrofluoric acid</t>
  </si>
  <si>
    <t>WST</t>
  </si>
  <si>
    <t>NACE D - 35.4 Activities of brokers and agents for electric power and natural gas</t>
  </si>
  <si>
    <t>Malta</t>
  </si>
  <si>
    <t>country:MT</t>
  </si>
  <si>
    <t xml:space="preserve">    06 01 04 - Hazardous - Phosphoric and phosphorous acid</t>
  </si>
  <si>
    <t>XAF</t>
  </si>
  <si>
    <t>NACE C - 14.21 Manufacture of outerwear</t>
  </si>
  <si>
    <t>NACE D - ELECTRICITY, GAS, STEAM AND AIR CONDITIONING SUPPLY</t>
  </si>
  <si>
    <t>Mauritius</t>
  </si>
  <si>
    <t>country:MU</t>
  </si>
  <si>
    <t xml:space="preserve">    06 01 05 - Hazardous - Nitric acid and nitrous acid</t>
  </si>
  <si>
    <t>XAG</t>
  </si>
  <si>
    <t>NACE C - 14.22 Manufacture of underwear</t>
  </si>
  <si>
    <t>NACE E - 36 Water collection, treatment and supply</t>
  </si>
  <si>
    <t>Maldives</t>
  </si>
  <si>
    <t>country:MV</t>
  </si>
  <si>
    <t xml:space="preserve">    06 01 06 - Hazardous - Other acids</t>
  </si>
  <si>
    <t>XAU</t>
  </si>
  <si>
    <t>NACE C - 14.23 Manufacture of workwear</t>
  </si>
  <si>
    <t>NACE E - 36.0 Water collection, treatment and supply</t>
  </si>
  <si>
    <t>Malawi</t>
  </si>
  <si>
    <t>country:MW</t>
  </si>
  <si>
    <t xml:space="preserve">    06 01 99 - Non-Hazardous - Wastes not otherwise specified</t>
  </si>
  <si>
    <t>XCD</t>
  </si>
  <si>
    <t>NACE C - 14.24 Manufacture of leather clothes and fur apparel</t>
  </si>
  <si>
    <t>NACE E - 37 Sewerage</t>
  </si>
  <si>
    <t>Mexico</t>
  </si>
  <si>
    <t>country:MX</t>
  </si>
  <si>
    <t xml:space="preserve">  06 02 - Wastes from the MFSU of bases</t>
  </si>
  <si>
    <t>XDR</t>
  </si>
  <si>
    <t>NACE C - 14.29 Manufacture of other wearing apparel and accessories n.e.c.</t>
  </si>
  <si>
    <t>NACE E - 37.0 Sewerage</t>
  </si>
  <si>
    <t>Malaysia</t>
  </si>
  <si>
    <t>country:MY</t>
  </si>
  <si>
    <t xml:space="preserve">    06 02 01 - Hazardous - Calcium hydroxide</t>
  </si>
  <si>
    <t>XOF</t>
  </si>
  <si>
    <t>NACE E - 38 Waste collection, recovery and disposal activities</t>
  </si>
  <si>
    <t>Mozambique</t>
  </si>
  <si>
    <t>country:MZ</t>
  </si>
  <si>
    <t xml:space="preserve">    06 02 03 - Hazardous - Ammonium hydroxide</t>
  </si>
  <si>
    <t>XPD</t>
  </si>
  <si>
    <t>NACE E - 38.1 Waste collection</t>
  </si>
  <si>
    <t>Namibia</t>
  </si>
  <si>
    <t>country:NA</t>
  </si>
  <si>
    <t xml:space="preserve">    06 02 04 - Hazardous - Sodium and potassium hydroxide</t>
  </si>
  <si>
    <t>XPF</t>
  </si>
  <si>
    <t>NACE C - 15.11 Tanning, dressing, dyeing of leather and fur</t>
  </si>
  <si>
    <t>NACE E - 38.2 Waste recovery</t>
  </si>
  <si>
    <t>New Caledonia</t>
  </si>
  <si>
    <t>country:NC</t>
  </si>
  <si>
    <t xml:space="preserve">    06 02 05 - Hazardous - Other bases</t>
  </si>
  <si>
    <t>XPT</t>
  </si>
  <si>
    <t>NACE C - 15.12 Manufacture of luggage, handbags, saddlery and harness of any material</t>
  </si>
  <si>
    <t>NACE E - 38.3 Waste disposal without recovery</t>
  </si>
  <si>
    <t>Niger</t>
  </si>
  <si>
    <t>country:NE</t>
  </si>
  <si>
    <t xml:space="preserve">    06 02 99 - Non-Hazardous - Wastes not otherwise specified</t>
  </si>
  <si>
    <t>XSU</t>
  </si>
  <si>
    <t>NACE E - 39 Remediation activities and other waste management service activities</t>
  </si>
  <si>
    <t>Norfolk Island</t>
  </si>
  <si>
    <t>country:NF</t>
  </si>
  <si>
    <t xml:space="preserve">  06 03 - Wastes from the MFSU of salts and their solutions and metallic oxides</t>
  </si>
  <si>
    <t>XUA</t>
  </si>
  <si>
    <t>NACE C - 15.20 Manufacture of footwear</t>
  </si>
  <si>
    <t>NACE E - 39.0 Remediation activities and other waste management service activities</t>
  </si>
  <si>
    <t>Nigeria</t>
  </si>
  <si>
    <t>country:NG</t>
  </si>
  <si>
    <t xml:space="preserve">    06 03 11 - Hazardous - Solid salts and solutions containing cyanides</t>
  </si>
  <si>
    <t>YER</t>
  </si>
  <si>
    <t>NACE E - WATER SUPPLY; SEWERAGE, WASTE MANAGEMENT AND REMEDIATION ACTIVITIES</t>
  </si>
  <si>
    <t>Nicaragua</t>
  </si>
  <si>
    <t>country:NI</t>
  </si>
  <si>
    <t xml:space="preserve">    06 03 13 - Hazardous - Solid salts and solutions containing heavy metals</t>
  </si>
  <si>
    <t>ZAR</t>
  </si>
  <si>
    <t>NACE F - 41 Construction of residential and non-residential buildings</t>
  </si>
  <si>
    <t>Netherlands (Kingdom of the)</t>
  </si>
  <si>
    <t>country:NL</t>
  </si>
  <si>
    <t xml:space="preserve">    06 03 14 - Non-Hazardous - Solid salts and solutions other than those mentioned in 06 03 11 and 06 03 13</t>
  </si>
  <si>
    <t>ZMW</t>
  </si>
  <si>
    <t>NACE C - 16.11 Sawmilling and planing of wood</t>
  </si>
  <si>
    <t>NACE F - 41.0 Construction of residential and non-residential buildings</t>
  </si>
  <si>
    <t>Norway</t>
  </si>
  <si>
    <t>country:NO</t>
  </si>
  <si>
    <t xml:space="preserve">    06 03 15 - Hazardous - Metallic oxides containing heavy metals</t>
  </si>
  <si>
    <t>NACE C - 16.12 Processing and finishing of wood</t>
  </si>
  <si>
    <t>NACE F - 42 Civil engineering</t>
  </si>
  <si>
    <t>Nepal</t>
  </si>
  <si>
    <t>country:NP</t>
  </si>
  <si>
    <t xml:space="preserve">    06 03 16 - Non-Hazardous - Metallic oxides other than those mentioned in 06 03 15</t>
  </si>
  <si>
    <t>NACE F - 42.1 Construction of roads and railways</t>
  </si>
  <si>
    <t>Nauru</t>
  </si>
  <si>
    <t>country:NR</t>
  </si>
  <si>
    <t xml:space="preserve">    06 03 99 - Non-Hazardous - Wastes not otherwise specified</t>
  </si>
  <si>
    <t>NACE C - 16.21 Manufacture of veneer sheets and wood-based panels</t>
  </si>
  <si>
    <t>NACE F - 42.2 Construction of utility projects</t>
  </si>
  <si>
    <t>Neutral Zone (before 1993-07-12)</t>
  </si>
  <si>
    <t>country:NT</t>
  </si>
  <si>
    <t xml:space="preserve">  06 04 - Metal-containing wastes other than those mentioned in 06 03</t>
  </si>
  <si>
    <t>NACE C - 16.22 Manufacture of assembled parquet floors</t>
  </si>
  <si>
    <t>NACE F - 42.9 Construction of other civil engineering projects</t>
  </si>
  <si>
    <t>Niue</t>
  </si>
  <si>
    <t>country:NU</t>
  </si>
  <si>
    <t xml:space="preserve">    06 04 03 - Hazardous - Wastes containing arsenic</t>
  </si>
  <si>
    <t>NACE C - 16.23 Manufacture of other builders’ carpentry and joinery</t>
  </si>
  <si>
    <t>NACE F - 43 Specialised construction activities</t>
  </si>
  <si>
    <t>New Zealand</t>
  </si>
  <si>
    <t>country:NZ</t>
  </si>
  <si>
    <t xml:space="preserve">    06 04 04 - Hazardous - Wastes containing mercury</t>
  </si>
  <si>
    <t>NACE C - 16.24 Manufacture of wooden containers</t>
  </si>
  <si>
    <t>NACE F - 43.1 Demolition and site preparation</t>
  </si>
  <si>
    <t>Oman</t>
  </si>
  <si>
    <t>country:OM</t>
  </si>
  <si>
    <t xml:space="preserve">    06 04 05 - Hazardous - Wastes containing other heavy metals</t>
  </si>
  <si>
    <t>NACE C - 16.25 Manufacture of doors and windows of wood</t>
  </si>
  <si>
    <t>NACE F - 43.2 Electrical, plumbing and other construction installation activities</t>
  </si>
  <si>
    <t>Panama</t>
  </si>
  <si>
    <t>country:PA</t>
  </si>
  <si>
    <t xml:space="preserve">    06 04 99 - Non-Hazardous - Wastes not otherwise specified</t>
  </si>
  <si>
    <t>NACE C - 16.26 Manufacture of solid fuels from vegetable biomass</t>
  </si>
  <si>
    <t>NACE F - 43.3 Building completion and finishing</t>
  </si>
  <si>
    <t>Peru</t>
  </si>
  <si>
    <t>country:PE</t>
  </si>
  <si>
    <t xml:space="preserve">  06 05 - Sludges from on-site effluent treatment</t>
  </si>
  <si>
    <t>NACE C - 16.27 Finishing of wooden products</t>
  </si>
  <si>
    <t>NACE F - 43.4 Specialised construction activities in construction of buildings</t>
  </si>
  <si>
    <t>French Polynesia</t>
  </si>
  <si>
    <t>country:PF</t>
  </si>
  <si>
    <t xml:space="preserve">    06 05 02 - Hazardous - Sludges from on-site effluent treatment containing hazardous substances</t>
  </si>
  <si>
    <t>NACE C - 16.28 Manufacture of other products of wood and articles of cork, straw and plaiting materials</t>
  </si>
  <si>
    <t>NACE F - 43.5 Specialised construction activities in civil engineering</t>
  </si>
  <si>
    <t>Papua New Guinea</t>
  </si>
  <si>
    <t>country:PG</t>
  </si>
  <si>
    <t xml:space="preserve">    06 05 03 - Non-Hazardous - Sludges from on-site effluent treatment other than those mentioned in 06 05 02</t>
  </si>
  <si>
    <t>NACE F - 43.6 Intermediation service activities for specialised construction services</t>
  </si>
  <si>
    <t>Philippines</t>
  </si>
  <si>
    <t>country:PH</t>
  </si>
  <si>
    <t xml:space="preserve">  06 06 - Wastes from the MFSU of sulphur chemicals, sulphur chemical processes and desulphurisation processes</t>
  </si>
  <si>
    <t>NACE F - 43.9 Other specialised construction activities</t>
  </si>
  <si>
    <t>Pakistan</t>
  </si>
  <si>
    <t>country:PK</t>
  </si>
  <si>
    <t xml:space="preserve">    06 06 02 - Hazardous - Wastes containing hazardous sulphides</t>
  </si>
  <si>
    <t>NACE C - 17.11 Manufacture of pulp</t>
  </si>
  <si>
    <t>NACE F - CONSTRUCTION</t>
  </si>
  <si>
    <t>Poland</t>
  </si>
  <si>
    <t>country:PL</t>
  </si>
  <si>
    <t xml:space="preserve">    06 06 03 - Non-Hazardous - Wastes containing sulphides other than those mentioned in 06 06 02</t>
  </si>
  <si>
    <t>NACE C - 17.12 Manufacture of paper and paperboard</t>
  </si>
  <si>
    <t>NACE G - 46 Wholesale trade</t>
  </si>
  <si>
    <t>Saint Pierre and Miquelon</t>
  </si>
  <si>
    <t>country:PM</t>
  </si>
  <si>
    <t xml:space="preserve">    06 06 99 - Non-Hazardous - Wastes not otherwise specified</t>
  </si>
  <si>
    <t>NACE G - 46.1 Wholesale on a fee or contract basis</t>
  </si>
  <si>
    <t>Pitcairn</t>
  </si>
  <si>
    <t>country:PN</t>
  </si>
  <si>
    <t xml:space="preserve">  06 07 - Wastes from the MFSU of halogens and halogen chemical processes</t>
  </si>
  <si>
    <t>NACE C - 17.21 Manufacture of corrugated paper, paperboard and containers of paper and paperboard</t>
  </si>
  <si>
    <t>NACE G - 46.2 Wholesale of agricultural raw materials and live animals</t>
  </si>
  <si>
    <t>Puerto Rico</t>
  </si>
  <si>
    <t>country:PR</t>
  </si>
  <si>
    <t xml:space="preserve">    06 07 01 - Hazardous - Wastes containing asbestos from electrolysis</t>
  </si>
  <si>
    <t>NACE C - 17.22 Manufacture of household and sanitary goods and of toilet requisites</t>
  </si>
  <si>
    <t>NACE G - 46.3 Wholesale of food, beverages and tobacco</t>
  </si>
  <si>
    <t>Palestine, State of</t>
  </si>
  <si>
    <t>country:PS</t>
  </si>
  <si>
    <t xml:space="preserve">    06 07 02 - Hazardous - Activated carbon from chlorine production</t>
  </si>
  <si>
    <t>NACE C - 17.23 Manufacture of paper stationery</t>
  </si>
  <si>
    <t>NACE G - 46.4 Wholesale of household goods</t>
  </si>
  <si>
    <t>Portugal</t>
  </si>
  <si>
    <t>country:PT</t>
  </si>
  <si>
    <t xml:space="preserve">    06 07 03 - Hazardous - Barium sulphate sludge containing mercury</t>
  </si>
  <si>
    <t>NACE C - 17.24 Manufacture of wallpaper</t>
  </si>
  <si>
    <t>NACE G - 46.5 Wholesale of information and communication equipment</t>
  </si>
  <si>
    <t>Palau</t>
  </si>
  <si>
    <t>country:PW</t>
  </si>
  <si>
    <t xml:space="preserve">    06 07 04 - Hazardous - Solutions and acids, for example contact acid</t>
  </si>
  <si>
    <t>NACE C - 17.25 Manufacture of other articles of paper and paperboard</t>
  </si>
  <si>
    <t>NACE G - 46.6 Wholesale of other machinery, equipment and supplies</t>
  </si>
  <si>
    <t>Paraguay</t>
  </si>
  <si>
    <t>country:PY</t>
  </si>
  <si>
    <t xml:space="preserve">    06 07 99 - Non-Hazardous - Wastes not otherwise specified</t>
  </si>
  <si>
    <t>NACE G - 46.7 Wholesale of motor vehicles, motorcycles and related parts and accessories</t>
  </si>
  <si>
    <t>Qatar</t>
  </si>
  <si>
    <t>country:QA</t>
  </si>
  <si>
    <t xml:space="preserve">  06 08 - Wastes from the MFSU of silicon and silicon derivatives</t>
  </si>
  <si>
    <t>NACE G - 46.8 Other specialised wholesale</t>
  </si>
  <si>
    <t>Réunion</t>
  </si>
  <si>
    <t>country:RE</t>
  </si>
  <si>
    <t xml:space="preserve">    06 08 02 - Hazardous - Waste containing hazardous chlorosilanes</t>
  </si>
  <si>
    <t>NACE C - 18.11 Printing of newspapers</t>
  </si>
  <si>
    <t>NACE G - 46.9 Non-specialised wholesale trade</t>
  </si>
  <si>
    <t>Romania</t>
  </si>
  <si>
    <t>country:RO</t>
  </si>
  <si>
    <t xml:space="preserve">    06 08 99 - Non-Hazardous - Wastes not otherwise specified</t>
  </si>
  <si>
    <t>NACE C - 18.12 Other printing</t>
  </si>
  <si>
    <t>NACE G - 47 Retail trade</t>
  </si>
  <si>
    <t>Serbia</t>
  </si>
  <si>
    <t>country:RS</t>
  </si>
  <si>
    <t xml:space="preserve">  06 09 - Wastes from the MSFU of phosphorous chemicals and phosphorous chemical processes</t>
  </si>
  <si>
    <t>NACE C - 18.13 Pre-press and pre-media services</t>
  </si>
  <si>
    <t>NACE G - 47.1 Non-specialised retail sale</t>
  </si>
  <si>
    <t>Russian Federation</t>
  </si>
  <si>
    <t>country:RU</t>
  </si>
  <si>
    <t xml:space="preserve">    06 09 02 - Non-Hazardous - Phosphorous slag</t>
  </si>
  <si>
    <t>NACE C - 18.14 Binding and related services</t>
  </si>
  <si>
    <t>NACE G - 47.2 Retail sale of food, beverages and tobacco</t>
  </si>
  <si>
    <t>Rwanda</t>
  </si>
  <si>
    <t>country:RW</t>
  </si>
  <si>
    <t xml:space="preserve">    06 09 03 - Hazardous - Calcium-based reaction wastes containing or contaminated with hazardous substances</t>
  </si>
  <si>
    <t>NACE G - 47.3 Retail sale of automotive fuel</t>
  </si>
  <si>
    <t>Saudi Arabia</t>
  </si>
  <si>
    <t>country:SA</t>
  </si>
  <si>
    <t xml:space="preserve">    06 09 04 - Non-Hazardous - Calcium-based reaction wastes other than those mentioned in 06 09 03</t>
  </si>
  <si>
    <t>NACE C - 18.20 Reproduction of recorded media</t>
  </si>
  <si>
    <t>NACE G - 47.4 Retail sale of information and communication equipment</t>
  </si>
  <si>
    <t>Solomon Islands</t>
  </si>
  <si>
    <t>country:SB</t>
  </si>
  <si>
    <t xml:space="preserve">    06 09 99 - Non-Hazardous - Wastes not otherwise specified</t>
  </si>
  <si>
    <t>NACE G - 47.5 Retail sale of other household equipment</t>
  </si>
  <si>
    <t>Seychelles</t>
  </si>
  <si>
    <t>country:SC</t>
  </si>
  <si>
    <t xml:space="preserve">  06 10 - Wastes from the MFSU of nitrogen chemicals, nitrogen chemical processes and fertiliser manufacture</t>
  </si>
  <si>
    <t>NACE G - 47.6 Retail sale of cultural and recreation goods</t>
  </si>
  <si>
    <t>Sudan</t>
  </si>
  <si>
    <t>country:SD</t>
  </si>
  <si>
    <t xml:space="preserve">    06 10 02 - Hazardous - Wastes containing hazardous substances</t>
  </si>
  <si>
    <t>NACE C - 19.10 Manufacture of coke oven products</t>
  </si>
  <si>
    <t>NACE G - 47.7 Retail sale of other goods, except motor vehicles and motorcycles</t>
  </si>
  <si>
    <t>Sweden</t>
  </si>
  <si>
    <t>country:SE</t>
  </si>
  <si>
    <t xml:space="preserve">    06 10 99 - Non-Hazardous - Wastes not otherwise specified</t>
  </si>
  <si>
    <t>NACE G - 47.8 Retail sale of motor vehicles, motorcycles and related parts and accessories</t>
  </si>
  <si>
    <t>Singapore</t>
  </si>
  <si>
    <t>country:SG</t>
  </si>
  <si>
    <t xml:space="preserve">  06 11 - Wastes from the manufacture of inorganic pigments and opacificiers</t>
  </si>
  <si>
    <t>NACE C - 19.20 Manufacture of refined petroleum products and fossil fuel products</t>
  </si>
  <si>
    <t>NACE G - 47.9 Intermediation service activities for retail sale</t>
  </si>
  <si>
    <t>Saint Helena, Ascension and Tristan da Cunha</t>
  </si>
  <si>
    <t>country:SH</t>
  </si>
  <si>
    <t xml:space="preserve">    06 11 01 - Non-Hazardous - Calcium-based reaction wastes from titanium dioxide production</t>
  </si>
  <si>
    <t>NACE G - WHOLESALE AND RETAIL TRADE</t>
  </si>
  <si>
    <t>Slovenia</t>
  </si>
  <si>
    <t>country:SI</t>
  </si>
  <si>
    <t xml:space="preserve">    06 11 99 - Non-Hazardous - Wastes not otherwise specified</t>
  </si>
  <si>
    <t>NACE H - 49 Land transport and transport via pipelines</t>
  </si>
  <si>
    <t>Svalbard and Jan Mayen</t>
  </si>
  <si>
    <t>country:SJ</t>
  </si>
  <si>
    <t xml:space="preserve">  06 13 - Wastes from inorganic chemical processes not otherwise specified</t>
  </si>
  <si>
    <t>NACE C - 20.11 Manufacture of industrial gases</t>
  </si>
  <si>
    <t>NACE H - 49.1 Passenger rail transport</t>
  </si>
  <si>
    <t>Slovakia</t>
  </si>
  <si>
    <t>country:SK</t>
  </si>
  <si>
    <t xml:space="preserve">    06 13 01 - Hazardous - Inorganic plant protection products, wood-preserving agents and other biocides.</t>
  </si>
  <si>
    <t>NACE C - 20.12 Manufacture of dyes and pigments</t>
  </si>
  <si>
    <t>NACE H - 49.2 Freight rail transport</t>
  </si>
  <si>
    <t>Sierra Leone</t>
  </si>
  <si>
    <t>country:SL</t>
  </si>
  <si>
    <t xml:space="preserve">    06 13 02 - Hazardous - Spent activated carbon (except 06 07 02)</t>
  </si>
  <si>
    <t>NACE C - 20.13 Manufacture of other inorganic basic chemicals</t>
  </si>
  <si>
    <t>NACE H - 49.3 Other passenger land transport</t>
  </si>
  <si>
    <t>San Marino</t>
  </si>
  <si>
    <t>country:SM</t>
  </si>
  <si>
    <t xml:space="preserve">    06 13 03 - Non-Hazardous - Carbon black</t>
  </si>
  <si>
    <t>NACE C - 20.14 Manufacture of other organic basic chemicals</t>
  </si>
  <si>
    <t>NACE H - 49.4 Freight transport by road and removal services</t>
  </si>
  <si>
    <t>Senegal</t>
  </si>
  <si>
    <t>country:SN</t>
  </si>
  <si>
    <t xml:space="preserve">    06 13 04 - Hazardous - Wastes from asbestos processing</t>
  </si>
  <si>
    <t>NACE C - 20.15 Manufacture of fertilisers and nitrogen compounds</t>
  </si>
  <si>
    <t>NACE H - 49.5 Transport via pipeline</t>
  </si>
  <si>
    <t>Somalia</t>
  </si>
  <si>
    <t>country:SO</t>
  </si>
  <si>
    <t xml:space="preserve">    06 13 05 - Hazardous - Soot</t>
  </si>
  <si>
    <t>NACE C - 20.16 Manufacture of plastics in primary forms</t>
  </si>
  <si>
    <t>NACE H - 50 Water transport</t>
  </si>
  <si>
    <t>Suriname</t>
  </si>
  <si>
    <t>country:SR</t>
  </si>
  <si>
    <t xml:space="preserve">    06 13 99 - Non-Hazardous - Wastes not otherwise specified</t>
  </si>
  <si>
    <t>NACE C - 20.17 Manufacture of synthetic rubber in primary forms</t>
  </si>
  <si>
    <t>NACE H - 50.1 Sea and coastal passenger water transport</t>
  </si>
  <si>
    <t>South Sudan</t>
  </si>
  <si>
    <t>country:SS</t>
  </si>
  <si>
    <t>07 - WASTES FROM ORGANIC CHEMICAL PROCESSES</t>
  </si>
  <si>
    <t>NACE H - 50.2 Sea and coastal freight water transport</t>
  </si>
  <si>
    <t>Sao Tome and Principe</t>
  </si>
  <si>
    <t>country:ST</t>
  </si>
  <si>
    <t xml:space="preserve">  07 01 - Wastes from the manufacture, formulation, supply and use (MFSU) of basic organic chemicals</t>
  </si>
  <si>
    <t>NACE C - 20.20 Manufacture of pesticides, disinfectants and other agrochemical products</t>
  </si>
  <si>
    <t>NACE H - 50.3 Inland passenger water transport</t>
  </si>
  <si>
    <t>El Salvador</t>
  </si>
  <si>
    <t>country:SV</t>
  </si>
  <si>
    <t xml:space="preserve">    07 01 01 - Hazardous - Aqueous washing liquids and mother liquors</t>
  </si>
  <si>
    <t>NACE H - 50.4 Inland freight water transport</t>
  </si>
  <si>
    <t>Sint Maarten (Dutch part)</t>
  </si>
  <si>
    <t>country:SX</t>
  </si>
  <si>
    <t xml:space="preserve">    07 01 03 - Hazardous - Organic halogenated solvents, washing liquids and mother liquors</t>
  </si>
  <si>
    <t>NACE C - 20.30 Manufacture of paints, varnishes and similar coatings, printing ink and mastics</t>
  </si>
  <si>
    <t>NACE H - 51 Air transport</t>
  </si>
  <si>
    <t>Syrian Arab Republic</t>
  </si>
  <si>
    <t>country:SY</t>
  </si>
  <si>
    <t xml:space="preserve">    07 01 04 - Hazardous - Other organic solvents, washing liquids and mother liquors</t>
  </si>
  <si>
    <t>NACE H - 51.1 Passenger air transport</t>
  </si>
  <si>
    <t>Eswatini</t>
  </si>
  <si>
    <t>country:SZ</t>
  </si>
  <si>
    <t xml:space="preserve">    07 01 07 - Hazardous - Halogenated still bottoms and reaction residues</t>
  </si>
  <si>
    <t>NACE C - 20.41 Manufacture of soap and detergents, cleaning and polishing preparations</t>
  </si>
  <si>
    <t>NACE H - 51.2 Freight air transport and space transport</t>
  </si>
  <si>
    <t>Turks and Caicos Islands</t>
  </si>
  <si>
    <t>country:TC</t>
  </si>
  <si>
    <t xml:space="preserve">    07 01 08 - Hazardous - Other still bottoms and reaction residues</t>
  </si>
  <si>
    <t>NACE C - 20.42 Manufacture of perfume and toilet preparations</t>
  </si>
  <si>
    <t>NACE H - 52 Warehousing, storage and support activities for transportation</t>
  </si>
  <si>
    <t>Chad</t>
  </si>
  <si>
    <t>country:TD</t>
  </si>
  <si>
    <t xml:space="preserve">    07 01 09 - Hazardous - Halogenated filter cakes and spent absorbents</t>
  </si>
  <si>
    <t>NACE H - 52.1 Warehousing and storage</t>
  </si>
  <si>
    <t>French Southern Territories</t>
  </si>
  <si>
    <t>country:TF</t>
  </si>
  <si>
    <t xml:space="preserve">    07 01 10 - Hazardous - Other filter cakes and spent absorbents</t>
  </si>
  <si>
    <t>NACE C - 20.51 Manufacture of liquid biofuels</t>
  </si>
  <si>
    <t>NACE H - 52.2 Support activities for transportation</t>
  </si>
  <si>
    <t>Togo</t>
  </si>
  <si>
    <t>country:TG</t>
  </si>
  <si>
    <t xml:space="preserve">    07 01 11 - Hazardous - Sludges from on-site effluent treatment containing hazardous substances</t>
  </si>
  <si>
    <t>NACE C - 20.59 Manufacture of other chemical products n.e.c.</t>
  </si>
  <si>
    <t>NACE H - 52.3 Intermediation service activities for transportation</t>
  </si>
  <si>
    <t>Thailand</t>
  </si>
  <si>
    <t>country:TH</t>
  </si>
  <si>
    <t xml:space="preserve">    07 01 12 - Non-Hazardous - Sludges from on-site effluent treatment other than those mentioned in 07 01 11</t>
  </si>
  <si>
    <t>NACE H - 53 Postal and courier activities</t>
  </si>
  <si>
    <t>Tajikistan</t>
  </si>
  <si>
    <t>country:TJ</t>
  </si>
  <si>
    <t xml:space="preserve">    07 01 99 - Non-Hazardous - Wastes not otherwise specified</t>
  </si>
  <si>
    <t>NACE C - 20.60 Manufacture of man-made fibres</t>
  </si>
  <si>
    <t>NACE H - 53.1 Postal activities under universal service obligation</t>
  </si>
  <si>
    <t>Tokelau</t>
  </si>
  <si>
    <t>country:TK</t>
  </si>
  <si>
    <t xml:space="preserve">  07 02 - Wastes from the MFSU of plastics, synthetic rubber and man-made fibres</t>
  </si>
  <si>
    <t>NACE H - 53.2 Other postal and courier activities</t>
  </si>
  <si>
    <t>Timor-Leste</t>
  </si>
  <si>
    <t>country:TL</t>
  </si>
  <si>
    <t xml:space="preserve">    07 02 01 - Hazardous - Aqueous washing liquids and mother liquors</t>
  </si>
  <si>
    <t>NACE H - 53.3 Intermediation service activities for postal and courier activities</t>
  </si>
  <si>
    <t>Turkmenistan</t>
  </si>
  <si>
    <t>country:TM</t>
  </si>
  <si>
    <t xml:space="preserve">    07 02 03 - Hazardous - Organic halogenated solvents, washing liquids and mother liquors</t>
  </si>
  <si>
    <t>NACE C - 21.10 Manufacture of basic pharmaceutical products</t>
  </si>
  <si>
    <t>NACE H - TRANSPORTATION AND STORAGE</t>
  </si>
  <si>
    <t>Tunisia</t>
  </si>
  <si>
    <t>country:TN</t>
  </si>
  <si>
    <t xml:space="preserve">    07 02 04 - Hazardous - Other organic solvents, washing liquids and mother liquors</t>
  </si>
  <si>
    <t>NACE I - 55 Accommodation</t>
  </si>
  <si>
    <t>Tonga</t>
  </si>
  <si>
    <t>country:TO</t>
  </si>
  <si>
    <t xml:space="preserve">    07 02 07 - Hazardous - Halogenated still bottoms and reaction residues</t>
  </si>
  <si>
    <t>NACE C - 21.20 Manufacture of pharmaceutical preparations</t>
  </si>
  <si>
    <t>NACE I - 55.1 Hotels and similar accommodation</t>
  </si>
  <si>
    <t>East Timor (before 2002-05-20)</t>
  </si>
  <si>
    <t>country:TP</t>
  </si>
  <si>
    <t xml:space="preserve">    07 02 08 - Hazardous - Other still bottoms and reaction residues</t>
  </si>
  <si>
    <t>NACE I - 55.2 Holiday and other short-stay accommodation</t>
  </si>
  <si>
    <t>Türkiye</t>
  </si>
  <si>
    <t>country:TR</t>
  </si>
  <si>
    <t xml:space="preserve">    07 02 09 - Hazardous - Halogenated filter cakes and spent absorbents</t>
  </si>
  <si>
    <t>NACE I - 55.3 Camping grounds and recreational vehicle parks</t>
  </si>
  <si>
    <t>Trinidad and Tobago</t>
  </si>
  <si>
    <t>country:TT</t>
  </si>
  <si>
    <t xml:space="preserve">    07 02 10 - Hazardous - Other filter cakes and spent absorbents</t>
  </si>
  <si>
    <t>NACE C - 22.11 Manufacture, retreading and rebuilding of rubber tyres and manufacture of tubes</t>
  </si>
  <si>
    <t>NACE I - 55.4 Intermediation service activities for accommodation</t>
  </si>
  <si>
    <t>Tuvalu</t>
  </si>
  <si>
    <t>country:TV</t>
  </si>
  <si>
    <t xml:space="preserve">    07 02 11 - Hazardous - Sludges from on-site effluent treatment containing hazardous substances</t>
  </si>
  <si>
    <t>NACE C - 22.12 Manufacture of other rubber products</t>
  </si>
  <si>
    <t>NACE I - 55.9 Other accommodation</t>
  </si>
  <si>
    <t>Taiwan (Province of China)</t>
  </si>
  <si>
    <t>country:TW</t>
  </si>
  <si>
    <t xml:space="preserve">    07 02 12 - Non-Hazardous - Sludges from on-site effluent treatment other than those mentioned in 07 02 11</t>
  </si>
  <si>
    <t>NACE I - 56 Food and beverage service activities</t>
  </si>
  <si>
    <t>Tanzania, the United Republic of</t>
  </si>
  <si>
    <t>country:TZ</t>
  </si>
  <si>
    <t xml:space="preserve">    07 02 13 - Non-Hazardous - Waste plastic</t>
  </si>
  <si>
    <t>NACE C - 22.21 Manufacture of plastic plates, sheets, tubes and profiles</t>
  </si>
  <si>
    <t>NACE I - 56.1 Restaurants and mobile food service activities</t>
  </si>
  <si>
    <t>Ukraine</t>
  </si>
  <si>
    <t>country:UA</t>
  </si>
  <si>
    <t xml:space="preserve">    07 02 14 - Hazardous - Wastes from additives containing hazardous substances</t>
  </si>
  <si>
    <t>NACE C - 22.22 Manufacture of plastic packing goods</t>
  </si>
  <si>
    <t>NACE I - 56.2 Event catering, contract catering service activities and other food service activities</t>
  </si>
  <si>
    <t>Uganda</t>
  </si>
  <si>
    <t>country:UG</t>
  </si>
  <si>
    <t xml:space="preserve">    07 02 15 - Non-Hazardous - Wastes from additives other than those mentioned in 07 02 14</t>
  </si>
  <si>
    <t>NACE C - 22.23 Manufacture of doors and windows of plastic</t>
  </si>
  <si>
    <t>NACE I - 56.21 Event catering activities</t>
  </si>
  <si>
    <t>United States Minor Outlying Islands</t>
  </si>
  <si>
    <t>country:UM</t>
  </si>
  <si>
    <t xml:space="preserve">    07 02 16 - Hazardous - Waste containing hazardous silicones</t>
  </si>
  <si>
    <t>NACE C - 22.24 Manufacture of builders’ ware of plastic</t>
  </si>
  <si>
    <t>NACE I - 56.3 Beverage serving activities</t>
  </si>
  <si>
    <t>United States of America</t>
  </si>
  <si>
    <t>country:US</t>
  </si>
  <si>
    <t xml:space="preserve">    07 02 17 - Non-Hazardous - Waste containing silicones other than those mentioned in 07 02 16</t>
  </si>
  <si>
    <t>NACE C - 22.25 Processing and finishing of plastic products</t>
  </si>
  <si>
    <t>NACE I - 56.4 Intermediation service activities for food and beverage services activities</t>
  </si>
  <si>
    <t>Uruguay</t>
  </si>
  <si>
    <t>country:UY</t>
  </si>
  <si>
    <t xml:space="preserve">    07 02 99 - Non-Hazardous - Wastes not otherwise specified</t>
  </si>
  <si>
    <t>NACE C - 22.26 Manufacture of other plastic products</t>
  </si>
  <si>
    <t>NACE I - ACCOMMODATION AND FOOD SERVICE ACTIVITIES</t>
  </si>
  <si>
    <t>Uzbekistan</t>
  </si>
  <si>
    <t>country:UZ</t>
  </si>
  <si>
    <t xml:space="preserve">  07 03 - Wastes from the MFSU of organic dyes and pigments (except 06 11)</t>
  </si>
  <si>
    <t>NACE J - 58 Publishing activities</t>
  </si>
  <si>
    <t>Holy See</t>
  </si>
  <si>
    <t>country:VA</t>
  </si>
  <si>
    <t xml:space="preserve">    07 03 01 - Hazardous - Aqueous washing liquids and mother liquors</t>
  </si>
  <si>
    <t>NACE J - 58.1 Publishing of books, newspapers and other publishing activities, except software publishing</t>
  </si>
  <si>
    <t>Saint Vincent and the Grenadines</t>
  </si>
  <si>
    <t>country:VC</t>
  </si>
  <si>
    <t xml:space="preserve">    07 03 03 - Hazardous - Organic halogenated solvents, washing liquids and mother liquors</t>
  </si>
  <si>
    <t>NACE C - 23.11 Manufacture of flat glass</t>
  </si>
  <si>
    <t>NACE J - 58.2 Software publishing</t>
  </si>
  <si>
    <t>Venezuela (Bolivarian Republic of)</t>
  </si>
  <si>
    <t>country:VE</t>
  </si>
  <si>
    <t xml:space="preserve">    07 03 04 - Hazardous - Other organic solvents, washing liquids and mother liquors</t>
  </si>
  <si>
    <t>NACE C - 23.12 Shaping and processing of flat glass</t>
  </si>
  <si>
    <t>NACE J - 59 Motion picture, video and television programme production, sound recording and music publishing activities</t>
  </si>
  <si>
    <t>Virgin Islands (British)</t>
  </si>
  <si>
    <t>country:VG</t>
  </si>
  <si>
    <t xml:space="preserve">    07 03 07 - Hazardous - Halogenated still bottoms and reaction residues</t>
  </si>
  <si>
    <t>NACE C - 23.13 Manufacture of hollow glass</t>
  </si>
  <si>
    <t>NACE J - 59.1 Motion picture, video and television programme activities</t>
  </si>
  <si>
    <t>Virgin Islands (U.S.)</t>
  </si>
  <si>
    <t>country:VI</t>
  </si>
  <si>
    <t xml:space="preserve">    07 03 08 - Hazardous - Other still bottoms and reaction residues</t>
  </si>
  <si>
    <t>NACE C - 23.14 Manufacture of glass fibres</t>
  </si>
  <si>
    <t>NACE J - 59.2 Sound recording and music publishing activities</t>
  </si>
  <si>
    <t>Viet Nam</t>
  </si>
  <si>
    <t>country:VN</t>
  </si>
  <si>
    <t xml:space="preserve">    07 03 09 - Hazardous - Halogenated filter cakes and spent absorbents</t>
  </si>
  <si>
    <t>NACE C - 23.15 Manufacture and processing of other glass, including technical glassware</t>
  </si>
  <si>
    <t>NACE J - 60 Programming, broadcasting, news agency and other content distribution activities</t>
  </si>
  <si>
    <t>Vanuatu</t>
  </si>
  <si>
    <t>country:VU</t>
  </si>
  <si>
    <t xml:space="preserve">    07 03 10 - Hazardous - Other filter cakes and spent absorbents</t>
  </si>
  <si>
    <t>NACE J - 60.1 Radio broadcasting and audio distribution activities</t>
  </si>
  <si>
    <t>Wallis and Futuna</t>
  </si>
  <si>
    <t>country:WF</t>
  </si>
  <si>
    <t xml:space="preserve">    07 03 11 - Hazardous - Sludges from on-site effluent treatment containing hazardous substances</t>
  </si>
  <si>
    <t>NACE C - 23.20 Manufacture of refractory products</t>
  </si>
  <si>
    <t>NACE J - 60.2 Television programming, broadcasting and video distribution activities</t>
  </si>
  <si>
    <t>Samoa</t>
  </si>
  <si>
    <t>country:WS</t>
  </si>
  <si>
    <t xml:space="preserve">    07 03 12 - Non-Hazardous - Sludges from on-site effluent treatment other than those mentioned in 07 03 11</t>
  </si>
  <si>
    <t>NACE J - 60.3 News agency and other content distribution activities</t>
  </si>
  <si>
    <t>Yemen</t>
  </si>
  <si>
    <t>country:YE</t>
  </si>
  <si>
    <t xml:space="preserve">    07 03 99 - Non-Hazardous - Wastes not otherwise specified</t>
  </si>
  <si>
    <t>NACE C - 23.31 Manufacture of ceramic tiles and flags</t>
  </si>
  <si>
    <t>NACE J - PUBLISHING, BROADCASTING, AND CONTENT PRODUCTION AND DISTRIBUTION ACTIVITIES</t>
  </si>
  <si>
    <t>Mayotte</t>
  </si>
  <si>
    <t>country:YT</t>
  </si>
  <si>
    <t xml:space="preserve">  07 04 - Wastes from the MFSU of organic plant protection products (except 02 01 08 and 02 01 09), wood preserving agents (except 03 02) and other biocides</t>
  </si>
  <si>
    <t>NACE C - 23.32 Manufacture of bricks, tiles and construction products, in baked clay</t>
  </si>
  <si>
    <t>NACE K - 61 Telecommunication</t>
  </si>
  <si>
    <t>Yugoslavia (before 2003-07-23)</t>
  </si>
  <si>
    <t>country:YU</t>
  </si>
  <si>
    <t xml:space="preserve">    07 04 01 - Hazardous - Aqueous washing liquids and mother liquors</t>
  </si>
  <si>
    <t>NACE K - 61.1 Wired, wireless, and satellite telecommunication activities</t>
  </si>
  <si>
    <t>South Africa</t>
  </si>
  <si>
    <t>country:ZA</t>
  </si>
  <si>
    <t xml:space="preserve">    07 04 03 - Hazardous - Organic halogenated solvents, washing liquids and mother liquors</t>
  </si>
  <si>
    <t>NACE C - 23.41 Manufacture of ceramic household and ornamental articles</t>
  </si>
  <si>
    <t>NACE K - 61.2 Telecommunication reselling activities and intermediation service activities for telecommunication</t>
  </si>
  <si>
    <t>Zambia</t>
  </si>
  <si>
    <t>country:ZM</t>
  </si>
  <si>
    <t xml:space="preserve">    07 04 04 - Hazardous - Other organic solvents, washing liquids and mother liquors</t>
  </si>
  <si>
    <t>NACE C - 23.42 Manufacture of ceramic sanitary fixtures</t>
  </si>
  <si>
    <t>NACE K - 61.9 Other telecommunication activities</t>
  </si>
  <si>
    <t>Zaire (before 1997-07-14)</t>
  </si>
  <si>
    <t>country:ZR</t>
  </si>
  <si>
    <t xml:space="preserve">    07 04 07 - Hazardous - Halogenated still bottoms and reaction residues</t>
  </si>
  <si>
    <t>NACE C - 23.43 Manufacture of ceramic insulators and insulating fittings</t>
  </si>
  <si>
    <t>NACE K - 62 Computer programming, consultancy and related activities</t>
  </si>
  <si>
    <t>Zimbabwe</t>
  </si>
  <si>
    <t>country:ZW</t>
  </si>
  <si>
    <t xml:space="preserve">    07 04 08 - Hazardous - Other still bottoms and reaction residues</t>
  </si>
  <si>
    <t>NACE C - 23.44 Manufacture of other technical ceramic products</t>
  </si>
  <si>
    <t>NACE K - 62.1 Computer programming activities</t>
  </si>
  <si>
    <t xml:space="preserve">    07 04 09 - Hazardous - Halogenated filter cakes and spent absorbents</t>
  </si>
  <si>
    <t>NACE C - 23.45 Manufacture of other ceramic products</t>
  </si>
  <si>
    <t>NACE K - 62.2 Computer consultancy and computer facilities management activities</t>
  </si>
  <si>
    <t xml:space="preserve">    07 04 10 - Hazardous - Other filter cakes and spent absorbents</t>
  </si>
  <si>
    <t>NACE K - 62.9 Other information technology and computer service activities</t>
  </si>
  <si>
    <t xml:space="preserve">    07 04 11 - Hazardous - Sludges from on-site effluent treatment containing hazardous substances</t>
  </si>
  <si>
    <t>NACE C - 23.51 Manufacture of cement</t>
  </si>
  <si>
    <t>NACE K - 63 Computing infrastructure, data processing, hosting and other information service activities</t>
  </si>
  <si>
    <t xml:space="preserve">    07 04 12 - Non-Hazardous - Sludges from on-site effluent treatment other than those mentioned in 07 04 11</t>
  </si>
  <si>
    <t>NACE C - 23.52 Manufacture of lime and plaster</t>
  </si>
  <si>
    <t>NACE K - 63.1 Computing infrastructure, data processing, hosting and related activities</t>
  </si>
  <si>
    <t xml:space="preserve">    07 04 13 - Hazardous - Solid wastes containing hazardous substances</t>
  </si>
  <si>
    <t>NACE K - 63.9 Web search portal activities and other information service activities</t>
  </si>
  <si>
    <t xml:space="preserve">    07 04 99 - Non-Hazardous - Wastes not otherwise specified</t>
  </si>
  <si>
    <t>NACE C - 23.61 Manufacture of concrete products for construction purposes</t>
  </si>
  <si>
    <t>NACE K - TELECOMMUNICATION, COMPUTER PROGRAMMING, CONSULTING, COMPUTING INFRASTRUCTURE AND OTHER INFORMATION SERVICE ACTIVITIES</t>
  </si>
  <si>
    <t xml:space="preserve">  07 05 - Wastes from the MFSU of pharmaceuticals</t>
  </si>
  <si>
    <t>NACE C - 23.62 Manufacture of plaster products for construction purposes</t>
  </si>
  <si>
    <t>NACE L - 64 Financial service activities, except insurance and pension funding</t>
  </si>
  <si>
    <t xml:space="preserve">    07 05 01 - Hazardous - Aqueous washing liquids and mother liquors</t>
  </si>
  <si>
    <t>NACE C - 23.63 Manufacture of ready-mixed concrete</t>
  </si>
  <si>
    <t>NACE L - 64.1 Monetary intermediation</t>
  </si>
  <si>
    <t xml:space="preserve">    07 05 03 - Hazardous - Organic halogenated solvents, washing liquids and mother liquors</t>
  </si>
  <si>
    <t>NACE C - 23.64 Manufacture of mortars</t>
  </si>
  <si>
    <t>NACE L - 64.2 Activities of holding companies and financing conduits</t>
  </si>
  <si>
    <t xml:space="preserve">    07 05 04 - Hazardous - Other organic solvents, washing liquids and mother liquors</t>
  </si>
  <si>
    <t>NACE C - 23.65 Manufacture of fibre cement</t>
  </si>
  <si>
    <t>NACE L - 64.3 Activities of trusts, funds and similar financial entities</t>
  </si>
  <si>
    <t xml:space="preserve">    07 05 07 - Hazardous - Halogenated still bottoms and reaction residues</t>
  </si>
  <si>
    <t>NACE C - 23.66 Manufacture of other articles of concrete, cement and plaster</t>
  </si>
  <si>
    <t>NACE L - 64.9 Other financial service activities, except insurance and pension funding</t>
  </si>
  <si>
    <t xml:space="preserve">    07 05 08 - Hazardous - Other still bottoms and reaction residues</t>
  </si>
  <si>
    <t>NACE L - 65 Insurance, reinsurance and pension funding, except compulsory social security</t>
  </si>
  <si>
    <t xml:space="preserve">    07 05 09 - Hazardous - Halogenated filter cakes and spent absorbents</t>
  </si>
  <si>
    <t>NACE C - 23.70 Cutting, shaping and finishing of stone</t>
  </si>
  <si>
    <t>NACE L - 65.1 Insurance</t>
  </si>
  <si>
    <t xml:space="preserve">    07 05 10 - Hazardous - Other filter cakes and spent absorbents</t>
  </si>
  <si>
    <t>NACE L - 65.2 Reinsurance</t>
  </si>
  <si>
    <t xml:space="preserve">    07 05 11 - Hazardous - Sludges from on-site effluent treatment containing hazardous substances</t>
  </si>
  <si>
    <t>NACE C - 23.91 Manufacture of abrasive products</t>
  </si>
  <si>
    <t>NACE L - 65.3 Pension funding</t>
  </si>
  <si>
    <t xml:space="preserve">    07 05 12 - Non-Hazardous - Sludges from on-site effluent treatment other than those mentioned in 07 05 11</t>
  </si>
  <si>
    <t>NACE C - 23.99 Manufacture of other non-metallic mineral products n.e.c.</t>
  </si>
  <si>
    <t>NACE L - 66 Activities auxiliary to financial services and insurance activities</t>
  </si>
  <si>
    <t xml:space="preserve">    07 05 13 - Hazardous - Solid wastes containing hazardous substances</t>
  </si>
  <si>
    <t>NACE L - 66.1 Activities auxiliary to financial services, except insurance and pension funding</t>
  </si>
  <si>
    <t xml:space="preserve">    07 05 14 - Non-Hazardous - Solid wastes other than those mentioned in 07 05 13</t>
  </si>
  <si>
    <t>NACE L - 66.2 Activities auxiliary to insurance and pension funding</t>
  </si>
  <si>
    <t xml:space="preserve">    07 05 99 - Non-Hazardous - Wastes not otherwise specified</t>
  </si>
  <si>
    <t>NACE C - 24.10 Manufacture of basic iron and steel and of ferro-alloys</t>
  </si>
  <si>
    <t>NACE L - 66.3 Fund management activities</t>
  </si>
  <si>
    <t xml:space="preserve">  07 06 - Wastes from the MFSU of fats, grease, soaps, detergents, disinfectants and cosmetics</t>
  </si>
  <si>
    <t>NACE L - FINANCIAL AND INSURANCE ACTIVITIES</t>
  </si>
  <si>
    <t xml:space="preserve">    07 06 01 - Hazardous - Aqueous washing liquids and mother liquors</t>
  </si>
  <si>
    <t>NACE C - 24.20 Manufacture of tubes, pipes, hollow profiles and related fittings, of steel</t>
  </si>
  <si>
    <t>NACE M - 68 Real estate activities</t>
  </si>
  <si>
    <t xml:space="preserve">    07 06 03 - Hazardous - Organic halogenated solvents, washing liquids and mother liquors</t>
  </si>
  <si>
    <t>NACE M - 68.1 Real estate activities with own property and development of building projects</t>
  </si>
  <si>
    <t xml:space="preserve">    07 06 04 - Hazardous - Other organic solvents, washing liquids and mother liquors</t>
  </si>
  <si>
    <t>NACE C - 24.31 Cold drawing of bars</t>
  </si>
  <si>
    <t>NACE M - 68.2 Rental and operating of own or leased real estate</t>
  </si>
  <si>
    <t xml:space="preserve">    07 06 07 - Hazardous - Halogenated still bottoms and reaction residues</t>
  </si>
  <si>
    <t>NACE C - 24.32 Cold rolling of narrow strip</t>
  </si>
  <si>
    <t>NACE M - 68.3 Real estate activities on a fee or contract basis</t>
  </si>
  <si>
    <t xml:space="preserve">    07 06 08 - Hazardous - Other still bottoms and reaction residues</t>
  </si>
  <si>
    <t>NACE C - 24.33 Cold forming or folding</t>
  </si>
  <si>
    <t>NACE M - REAL ESTATE ACTIVITIES</t>
  </si>
  <si>
    <t xml:space="preserve">    07 06 09 - Hazardous - Halogenated filter cakes and spent absorbents</t>
  </si>
  <si>
    <t>NACE C - 24.34 Cold drawing of wire</t>
  </si>
  <si>
    <t>NACE N - 69 Legal and accounting activities</t>
  </si>
  <si>
    <t xml:space="preserve">    07 06 10 - Hazardous - Other filter cakes and spent absorbents</t>
  </si>
  <si>
    <t>NACE N - 69.1 Legal activities</t>
  </si>
  <si>
    <t xml:space="preserve">    07 06 11 - Hazardous - Sludges from on-site effluent treatment containing hazardous substances</t>
  </si>
  <si>
    <t>NACE C - 24.41 Precious metals production</t>
  </si>
  <si>
    <t>NACE N - 69.2 Accounting, bookkeeping and auditing activities; tax consultancy</t>
  </si>
  <si>
    <t xml:space="preserve">    07 06 12 - Non-Hazardous - Sludges from on-site effluent treatment other than those mentioned in 07 06 11</t>
  </si>
  <si>
    <t>NACE C - 24.42 Aluminium production</t>
  </si>
  <si>
    <t>NACE N - 70 Activities of head offices and management consultancy</t>
  </si>
  <si>
    <t xml:space="preserve">    07 06 99 - Non-Hazardous - Wastes not otherwise specified</t>
  </si>
  <si>
    <t>NACE C - 24.43 Lead, zinc and tin production</t>
  </si>
  <si>
    <t>NACE N - 70.1 Activities of head offices</t>
  </si>
  <si>
    <t xml:space="preserve">  07 07 - Wastes from the MFSU of fine chemicals and chemical products not otherwise specified</t>
  </si>
  <si>
    <t>NACE C - 24.44 Copper production</t>
  </si>
  <si>
    <t>NACE N - 70.2 Business and other management consultancy activities</t>
  </si>
  <si>
    <t xml:space="preserve">    07 07 01 - Hazardous - Aqueous washing liquids and mother liquors</t>
  </si>
  <si>
    <t>NACE C - 24.45 Other non-ferrous metal production</t>
  </si>
  <si>
    <t>NACE N - 71 Architectural and engineering activities; technical testing and analysis</t>
  </si>
  <si>
    <t xml:space="preserve">    07 07 03 - Hazardous - Organic halogenated solvents, washing liquids and mother liquors</t>
  </si>
  <si>
    <t>NACE C - 24.46 Processing of nuclear fuel</t>
  </si>
  <si>
    <t>NACE N - 71.1 Architectural and engineering activities and related technical consultancy</t>
  </si>
  <si>
    <t xml:space="preserve">    07 07 04 - Hazardous - Other organic solvents, washing liquids and mother liquors</t>
  </si>
  <si>
    <t>NACE N - 71.2 Technical testing and analysis</t>
  </si>
  <si>
    <t xml:space="preserve">    07 07 07 - Hazardous - Halogenated still bottoms and reaction residues</t>
  </si>
  <si>
    <t>NACE C - 24.51 Casting of iron</t>
  </si>
  <si>
    <t>NACE N - 72 Scientific research and development</t>
  </si>
  <si>
    <t xml:space="preserve">    07 07 08 - Hazardous - Other still bottoms and reaction residues</t>
  </si>
  <si>
    <t>NACE C - 24.52 Casting of steel</t>
  </si>
  <si>
    <t>NACE N - 72.1 Research and experimental development on natural sciences and engineering</t>
  </si>
  <si>
    <t xml:space="preserve">    07 07 09 - Hazardous - Halogenated filter cakes and spent absorbents</t>
  </si>
  <si>
    <t>NACE C - 24.53 Casting of light metals</t>
  </si>
  <si>
    <t>NACE N - 72.2 Research and experimental development on social sciences and humanities</t>
  </si>
  <si>
    <t xml:space="preserve">    07 07 10 - Hazardous - Other filter cakes and spent absorbents</t>
  </si>
  <si>
    <t>NACE C - 24.54 Casting of other non-ferrous metals</t>
  </si>
  <si>
    <t>NACE N - 73 Activities of advertising, market research and public relations</t>
  </si>
  <si>
    <t xml:space="preserve">    07 07 11 - Hazardous - Sludges from on-site effluent treatment containing hazardous substances</t>
  </si>
  <si>
    <t>NACE N - 73.1 Advertising</t>
  </si>
  <si>
    <t xml:space="preserve">    07 07 12 - Non-Hazardous - Sludges from on-site effluent treatment other than those mentioned in 07 07 11</t>
  </si>
  <si>
    <t>NACE N - 73.2 Market research and public opinion polling</t>
  </si>
  <si>
    <t xml:space="preserve">    07 07 99 - Non-Hazardous - Wastes not otherwise specified</t>
  </si>
  <si>
    <t>NACE C - 25.11 Manufacture of metal structures and parts of structures</t>
  </si>
  <si>
    <t>NACE N - 73.3 Public relations and communication activities</t>
  </si>
  <si>
    <t>08 - WASTES FROM THE MANUFACTURE, FORMULATION, SUPPLY AND USE (MFSU) OF COATINGS (PAINTS, VARNISHES AND VITREOUS ENAMELS), ADHESIVES, SEALANTS AND PRINTING INKS</t>
  </si>
  <si>
    <t>NACE C - 25.12 Manufacture of doors and windows of metal</t>
  </si>
  <si>
    <t>NACE N - 74 Other professional, scientific and technical activities</t>
  </si>
  <si>
    <t xml:space="preserve">  08 01 - Wastes from MFSU and removal of paint and varnish</t>
  </si>
  <si>
    <t>NACE N - 74.1 Specialised design activities</t>
  </si>
  <si>
    <t xml:space="preserve">    08 01 11 - Hazardous - Waste paint and varnish containing organic solvents or other hazardous substances</t>
  </si>
  <si>
    <t>NACE C - 25.21 Manufacture of central heating radiators, steam generators and boilers</t>
  </si>
  <si>
    <t>NACE N - 74.2 Photographic activities</t>
  </si>
  <si>
    <t xml:space="preserve">    08 01 12 - Non-Hazardous - Waste paint and varnish other than those mentioned in 08 01 11</t>
  </si>
  <si>
    <t>NACE C - 25.22 Manufacture of other tanks, reservoirs and containers of metal</t>
  </si>
  <si>
    <t>NACE N - 74.3 Translation and interpretation activities</t>
  </si>
  <si>
    <t xml:space="preserve">    08 01 13 - Hazardous - Sludges from paint or varnish containing organic solvents or other hazardous substances</t>
  </si>
  <si>
    <t>NACE N - 74.9 Other professional, scientific and technical activities n.e.c.</t>
  </si>
  <si>
    <t xml:space="preserve">    08 01 14 - Non-Hazardous - Sludges from paint or varnish other than those mentioned in 08 01 13</t>
  </si>
  <si>
    <t>NACE C - 25.30 Manufacture of weapons and ammunition</t>
  </si>
  <si>
    <t>NACE N - 75 Veterinary activities</t>
  </si>
  <si>
    <t xml:space="preserve">    08 01 15 - Hazardous - Aqueous sludges containing paint or varnish containing organic solvents or other hazardous substances</t>
  </si>
  <si>
    <t>NACE N - 75.0 Veterinary activities</t>
  </si>
  <si>
    <t xml:space="preserve">    08 01 16 - Non-Hazardous - Aqueous sludges containing paint or varnish other than those mentioned in 08 01 15</t>
  </si>
  <si>
    <t>NACE C - 25.40 Forging and shaping metal and powder metallurgy</t>
  </si>
  <si>
    <t>NACE N - PROFESSIONAL, SCIENTIFIC AND TECHNICAL ACTIVITIES</t>
  </si>
  <si>
    <t xml:space="preserve">    08 01 17 - Hazardous - Wastes from paint or varnish removal containing organic solvents or other hazardous substances</t>
  </si>
  <si>
    <t>NACE O - 77 Rental and leasing activities</t>
  </si>
  <si>
    <t xml:space="preserve">    08 01 18 - Non-Hazardous - Wastes from paint or varnish removal other than those mentioned in 08 01 17</t>
  </si>
  <si>
    <t>NACE C - 25.51 Coating of metals</t>
  </si>
  <si>
    <t>NACE O - 77.1 Rental and leasing of motor vehicles</t>
  </si>
  <si>
    <t xml:space="preserve">    08 01 19 - Hazardous - Aqueous suspensions containing paint or varnish containing organic solvents or other hazardous substances</t>
  </si>
  <si>
    <t>NACE C - 25.52 Heat treatment of metals</t>
  </si>
  <si>
    <t>NACE O - 77.2 Rental and leasing of personal and household goods</t>
  </si>
  <si>
    <t xml:space="preserve">    08 01 20 - Non-Hazardous - Aqueous suspensions containing paint or varnish other than those mentioned in 08 01 19</t>
  </si>
  <si>
    <t>NACE C - 25.53 Machining of metals</t>
  </si>
  <si>
    <t>NACE O - 77.3 Rental and leasing of other machinery, equipment and tangible goods</t>
  </si>
  <si>
    <t xml:space="preserve">    08 01 21 - Hazardous - Waste paint or varnish remover</t>
  </si>
  <si>
    <t>NACE O - 77.4 Leasing of intellectual property and similar products, except copyrighted works</t>
  </si>
  <si>
    <t xml:space="preserve">    08 01 99 - Non-Hazardous - Wastes not otherwise specified</t>
  </si>
  <si>
    <t>NACE C - 25.61 Manufacture of cutlery</t>
  </si>
  <si>
    <t>NACE O - 77.5 Intermediation service activities for rental and leasing of tangible goods and non-financial intangible assets</t>
  </si>
  <si>
    <t xml:space="preserve">  08 02 - Wastes from MFSU of other coatings (including ceramic materials)</t>
  </si>
  <si>
    <t>NACE C - 25.62 Manufacture of locks and hinges</t>
  </si>
  <si>
    <t>NACE O - 78 Employment activities</t>
  </si>
  <si>
    <t xml:space="preserve">    08 02 01 - Non-Hazardous - Waste coating powders</t>
  </si>
  <si>
    <t>NACE C - 25.63 Manufacture of tools</t>
  </si>
  <si>
    <t>NACE O - 78.1 Activities of employment placement agencies</t>
  </si>
  <si>
    <t xml:space="preserve">    08 02 02 - Non-Hazardous - Aqueous sludges containing ceramic materials</t>
  </si>
  <si>
    <t>NACE O - 78.2 Temporary employment agency activities and other human resource provisions</t>
  </si>
  <si>
    <t xml:space="preserve">    08 02 03 - Non-Hazardous - Aqueous suspensions containing ceramic materials</t>
  </si>
  <si>
    <t>NACE C - 25.91 Manufacture of steel drums and similar containers</t>
  </si>
  <si>
    <t>NACE O - 79 Travel agency, tour operator and other reservation service and related activities</t>
  </si>
  <si>
    <t xml:space="preserve">    08 02 99 - Non-Hazardous - Wastes not otherwise specified</t>
  </si>
  <si>
    <t>NACE C - 25.92 Manufacture of light metal packaging</t>
  </si>
  <si>
    <t>NACE O - 79.1 Travel agency and tour operator activities</t>
  </si>
  <si>
    <t xml:space="preserve">  08 03 - Wastes from MFSU of printing inks</t>
  </si>
  <si>
    <t>NACE C - 25.93 Manufacture of wire products, chain and springs</t>
  </si>
  <si>
    <t>NACE O - 79.9 Other reservation service and related activities</t>
  </si>
  <si>
    <t xml:space="preserve">    08 03 07 - Non-Hazardous - Aqueous sludges containing ink</t>
  </si>
  <si>
    <t>NACE C - 25.94 Manufacture of fasteners and screw machine products</t>
  </si>
  <si>
    <t>NACE O - 80 Investigation and security activities</t>
  </si>
  <si>
    <t xml:space="preserve">    08 03 08 - Non-Hazardous - Aqueous liquid waste containing ink</t>
  </si>
  <si>
    <t>NACE C - 25.99 Manufacture of other fabricated metal products n.e.c.</t>
  </si>
  <si>
    <t>NACE O - 80.0 Investigation and security activities</t>
  </si>
  <si>
    <t xml:space="preserve">    08 03 12 - Hazardous - Waste ink containing hazardous substances</t>
  </si>
  <si>
    <t>NACE O - 81 Services to buildings and landscape activities</t>
  </si>
  <si>
    <t xml:space="preserve">    08 03 13 - Non-Hazardous - Waste ink other than those mentioned in 08 03 12</t>
  </si>
  <si>
    <t>NACE O - 81.1 Combined facilities support activities</t>
  </si>
  <si>
    <t xml:space="preserve">    08 03 14 - Hazardous - Ink sludges containing hazardous substances</t>
  </si>
  <si>
    <t>NACE C - 26.11 Manufacture of electronic components</t>
  </si>
  <si>
    <t>NACE O - 81.2 Cleaning activities</t>
  </si>
  <si>
    <t xml:space="preserve">    08 03 15 - Non-Hazardous - Ink sludges other than those mentioned in 08 03 14</t>
  </si>
  <si>
    <t>NACE C - 26.12 Manufacture of loaded electronic boards</t>
  </si>
  <si>
    <t>NACE O - 81.3 Landscape service activities</t>
  </si>
  <si>
    <t xml:space="preserve">    08 03 16 - Hazardous - Waste etching solutions</t>
  </si>
  <si>
    <t>NACE O - 82 Office administrative, office support and other business support activities</t>
  </si>
  <si>
    <t xml:space="preserve">    08 03 17 - Hazardous - Waste printing toner containing hazardous substances</t>
  </si>
  <si>
    <t>NACE C - 26.20 Manufacture of computers and peripheral equipment</t>
  </si>
  <si>
    <t>NACE O - 82.1 Office administrative and support activities</t>
  </si>
  <si>
    <t xml:space="preserve">    08 03 18 - Non-Hazardous - Waste printing toner other than those mentioned in 08 03 17</t>
  </si>
  <si>
    <t>NACE O - 82.2 Activities of call centres</t>
  </si>
  <si>
    <t xml:space="preserve">    08 03 19 - Hazardous - Disperse oil</t>
  </si>
  <si>
    <t>NACE C - 26.30 Manufacture of communication equipment</t>
  </si>
  <si>
    <t>NACE O - 82.3 Organisation of conventions and trade shows</t>
  </si>
  <si>
    <t xml:space="preserve">    08 03 99 - Non-Hazardous - Wastes not otherwise specified</t>
  </si>
  <si>
    <t>NACE O - 82.4 Intermediation service activities for business support service activities n.e.c.</t>
  </si>
  <si>
    <t xml:space="preserve">  08 04 - Wastes from MFSU of adhesives and sealants (including waterproofing products)</t>
  </si>
  <si>
    <t>NACE C - 26.40 Manufacture of consumer electronics</t>
  </si>
  <si>
    <t>NACE O - 82.9 Business support service activities n.e.c.</t>
  </si>
  <si>
    <t xml:space="preserve">    08 04 09 - Hazardous - Waste adhesives and sealants containing organic solvents or other hazardous substances</t>
  </si>
  <si>
    <t>NACE O - ADMINISTRATIVE AND SUPPORT SERVICE ACTIVITIES</t>
  </si>
  <si>
    <t xml:space="preserve">    08 04 10 - Non-Hazardous - Waste adhesives and sealants other than those mentioned in 08 04 09</t>
  </si>
  <si>
    <t>NACE C - 26.51 Manufacture of instruments and appliances for measuring, testing and navigation</t>
  </si>
  <si>
    <t>NACE P - 84 Public administration and defence; compulsory social security</t>
  </si>
  <si>
    <t xml:space="preserve">    08 04 11 - Hazardous - Adhesive and sealant sludges containing organic solvents or other hazardous substances</t>
  </si>
  <si>
    <t>NACE C - 26.52 Manufacture of watches and clocks</t>
  </si>
  <si>
    <t>NACE P - 84.1 Administration of the State and the economic, social and environmental policies of the community</t>
  </si>
  <si>
    <t xml:space="preserve">    08 04 12 - Non-Hazardous - Adhesive and sealant sludges other than those mentioned in 08 04 11</t>
  </si>
  <si>
    <t>NACE P - 84.2 Provision of services to the community as a whole</t>
  </si>
  <si>
    <t xml:space="preserve">    08 04 13 - Hazardous - Aqueous sludges containing adhesives or sealants containing organic solvents or other hazardous substances</t>
  </si>
  <si>
    <t>NACE C - 26.60 Manufacture of irradiation, electromedical and electrotherapeutic equipment</t>
  </si>
  <si>
    <t>NACE P - 84.3 Compulsory social security activities</t>
  </si>
  <si>
    <t xml:space="preserve">    08 04 14 - Non-Hazardous - Aqueous sludges containing adhesives or sealants other than those mentioned in 08 04 13</t>
  </si>
  <si>
    <t>NACE P - PUBLIC ADMINISTRATION AND DEFENCE; COMPULSORY SOCIAL SECURITY</t>
  </si>
  <si>
    <t xml:space="preserve">    08 04 15 - Hazardous - Aqueous liquid waste containing adhesives or sealants containing organic solvents or other hazardous substances</t>
  </si>
  <si>
    <t>NACE C - 26.70 Manufacture of optical instruments, magnetic and optical media and photographic equipment</t>
  </si>
  <si>
    <t>NACE Q - 85 Education</t>
  </si>
  <si>
    <t xml:space="preserve">    08 04 16 - Non-Hazardous - Aqueous liquid waste containing adhesives or sealants other than those mentioned in 08 04 15</t>
  </si>
  <si>
    <t>NACE Q - 85.1 Pre-primary education</t>
  </si>
  <si>
    <t xml:space="preserve">    08 04 17 - Hazardous - Rosin oil</t>
  </si>
  <si>
    <t>NACE Q - 85.2 Primary education</t>
  </si>
  <si>
    <t xml:space="preserve">    08 04 99 - Non-Hazardous - Wastes not otherwise specified</t>
  </si>
  <si>
    <t>NACE C - 27.11 Manufacture of electric motors, generators and transformers</t>
  </si>
  <si>
    <t>NACE Q - 85.3 Secondary and post-secondary non-tertiary education</t>
  </si>
  <si>
    <t xml:space="preserve">  08 05 - Wastes not otherwise specified in 08</t>
  </si>
  <si>
    <t>NACE C - 27.12 Manufacture of electricity distribution and control apparatus</t>
  </si>
  <si>
    <t>NACE Q - 85.4 Tertiary education</t>
  </si>
  <si>
    <t xml:space="preserve">    08 05 01 - Hazardous - Waste isocyanates</t>
  </si>
  <si>
    <t>NACE Q - 85.5 Other education</t>
  </si>
  <si>
    <t>09 - WASTES FROM THE PHOTOGRAPHIC INDUSTRY</t>
  </si>
  <si>
    <t>NACE C - 27.20 Manufacture of batteries and accumulators</t>
  </si>
  <si>
    <t>NACE Q - 85.6 Educational support activities</t>
  </si>
  <si>
    <t xml:space="preserve">  09 01 - Wastes from the photographic industry</t>
  </si>
  <si>
    <t>NACE Q - EDUCATION</t>
  </si>
  <si>
    <t xml:space="preserve">    09 01 01 - Hazardous - Water-based developer and activator solutions</t>
  </si>
  <si>
    <t>NACE C - 27.31 Manufacture of fibre optic cables</t>
  </si>
  <si>
    <t>NACE R - 86 Human health activities</t>
  </si>
  <si>
    <t xml:space="preserve">    09 01 02 - Hazardous - Water-based offset plate developer solutions</t>
  </si>
  <si>
    <t>NACE C - 27.32 Manufacture of other electronic and electric wires and cables</t>
  </si>
  <si>
    <t>NACE R - 86.1 Hospital activities</t>
  </si>
  <si>
    <t xml:space="preserve">    09 01 03 - Hazardous - Solvent-based developer solutions</t>
  </si>
  <si>
    <t>NACE C - 27.33 Manufacture of wiring devices</t>
  </si>
  <si>
    <t>NACE R - 86.2 Medical and dental practice activities</t>
  </si>
  <si>
    <t xml:space="preserve">    09 01 04 - Hazardous - Fixer solutions</t>
  </si>
  <si>
    <t>NACE R - 86.9 Other human health activities</t>
  </si>
  <si>
    <t xml:space="preserve">    09 01 05 - Hazardous - Bleach solutions and bleach fixer solutions</t>
  </si>
  <si>
    <t>NACE C - 27.40 Manufacture of lighting equipment</t>
  </si>
  <si>
    <t>NACE R - 87 Residential care activities</t>
  </si>
  <si>
    <t xml:space="preserve">    09 01 06 - Hazardous - Wastes containing silver from on-site treatment of photographic wastes</t>
  </si>
  <si>
    <t>NACE R - 87.1 Residential nursing care activities</t>
  </si>
  <si>
    <t xml:space="preserve">    09 01 07 - Non-Hazardous - Photographic film and paper containing silver or silver compounds</t>
  </si>
  <si>
    <t>NACE C - 27.51 Manufacture of electric domestic appliances</t>
  </si>
  <si>
    <t>NACE R - 87.2 Residential care activities for persons living with or having a diagnosis of a mental illness or substance abuse</t>
  </si>
  <si>
    <t xml:space="preserve">    09 01 08 - Non-Hazardous - Photographic film and paper free of silver or silver compounds</t>
  </si>
  <si>
    <t>NACE C - 27.52 Manufacture of non-electric domestic appliances</t>
  </si>
  <si>
    <t>NACE R - 87.3 Residential care activities for older persons or persons with physical disabilities</t>
  </si>
  <si>
    <t xml:space="preserve">    09 01 10 - Non-Hazardous - Single-use cameras without batteries</t>
  </si>
  <si>
    <t>NACE R - 87.9 Other residential care activities</t>
  </si>
  <si>
    <t xml:space="preserve">    09 01 11 - Hazardous - Single-use cameras containing batteries included in 16 06 01 to 16 06 04, 16 06 07 to 16 06 11 or 16 06 14</t>
  </si>
  <si>
    <t>NACE C - 27.90 Manufacture of other electrical equipment</t>
  </si>
  <si>
    <t>NACE R - 88 Social work activities without accommodation</t>
  </si>
  <si>
    <t xml:space="preserve">    09 01 12 - Non-Hazardous - Single-use cameras containing batteries other than those mentioned in 09 01 11</t>
  </si>
  <si>
    <t>NACE R - 88.1 Social work activities without accommodation for older persons or persons with disabilities</t>
  </si>
  <si>
    <t xml:space="preserve">    09 01 13 - Hazardous - Aqueous liquid waste from on-site reclamation of silver other than those mentioned in 09 01 06</t>
  </si>
  <si>
    <t>NACE R - 88.9 Other social work activities without accommodation</t>
  </si>
  <si>
    <t xml:space="preserve">    09 01 99 - Non-Hazardous - Wastes not otherwise specified</t>
  </si>
  <si>
    <t>NACE C - 28.11 Manufacture of engines and turbines, except aircraft, vehicle and cycle engines</t>
  </si>
  <si>
    <t>NACE R - HUMAN HEALTH AND SOCIAL WORK ACTIVITIES</t>
  </si>
  <si>
    <t>10 - WASTES FROM THERMAL PROCESSES</t>
  </si>
  <si>
    <t>NACE C - 28.12 Manufacture of fluid power equipment</t>
  </si>
  <si>
    <t>NACE S - 90 Arts creation and performing arts activities</t>
  </si>
  <si>
    <t xml:space="preserve">  10 01 - Wastes from power stations and other combustion plants (except 19)</t>
  </si>
  <si>
    <t>NACE C - 28.13 Manufacture of other pumps and compressors</t>
  </si>
  <si>
    <t>NACE S - 90.1 Arts creation activities</t>
  </si>
  <si>
    <t xml:space="preserve">    10 01 01 - Non-Hazardous - Bottom ash, slag and boiler dust (excluding boiler dust mentioned in 10 01 04)</t>
  </si>
  <si>
    <t>NACE C - 28.14 Manufacture of other taps and valves</t>
  </si>
  <si>
    <t>NACE S - 90.2 Activities of performing arts</t>
  </si>
  <si>
    <t xml:space="preserve">    10 01 02 - Non-Hazardous - Coal fly ash</t>
  </si>
  <si>
    <t>NACE C - 28.15 Manufacture of bearings, gears, gearing and driving elements</t>
  </si>
  <si>
    <t>NACE S - 90.3 Support activities to arts creation and performing arts</t>
  </si>
  <si>
    <t xml:space="preserve">    10 01 03 - Non-Hazardous - Fly ash from peat and untreated wood</t>
  </si>
  <si>
    <t>NACE S - 91 Libraries, archives, museums and other cultural activities</t>
  </si>
  <si>
    <t xml:space="preserve">    10 01 04 - Hazardous - Oil fly ash and boiler dust</t>
  </si>
  <si>
    <t>NACE C - 28.21 Manufacture of ovens, furnaces and permanent household heating equipment</t>
  </si>
  <si>
    <t>NACE S - 91.1 Library and archive activities</t>
  </si>
  <si>
    <t xml:space="preserve">    10 01 05 - Non-Hazardous - Calcium-based reaction wastes from flue-gas desulphurisation in solid form</t>
  </si>
  <si>
    <t>NACE C - 28.22 Manufacture of lifting and handling equipment</t>
  </si>
  <si>
    <t>NACE S - 91.2 Museum, collection, historical site and monument activities</t>
  </si>
  <si>
    <t xml:space="preserve">    10 01 07 - Non-Hazardous - Calcium-based reaction wastes from flue-gas desulphurisation in sludge form</t>
  </si>
  <si>
    <t>NACE C - 28.23 Manufacture of office machinery and equipment, except computers and peripheral equipment</t>
  </si>
  <si>
    <t>NACE S - 91.3 Conservation, restoration and other support activities for cultural heritage</t>
  </si>
  <si>
    <t xml:space="preserve">    10 01 09 - Hazardous - Sulphuric acid</t>
  </si>
  <si>
    <t>NACE C - 28.24 Manufacture of power-driven hand tools</t>
  </si>
  <si>
    <t>NACE S - 91.4 Botanical and zoological garden and nature reserve activities</t>
  </si>
  <si>
    <t xml:space="preserve">    10 01 13 - Hazardous - Fly ash from emulsified hydrocarbons used as fuel</t>
  </si>
  <si>
    <t>NACE C - 28.25 Manufacture of non-domestic air conditioning equipment</t>
  </si>
  <si>
    <t>NACE S - 92 Gambling and betting activities</t>
  </si>
  <si>
    <t xml:space="preserve">    10 01 14 - Hazardous - Bottom ash, slag and boiler dust from co-incineration containing hazardous substances</t>
  </si>
  <si>
    <t>NACE C - 28.29 Manufacture of other general-purpose machinery n.e.c.</t>
  </si>
  <si>
    <t>NACE S - 92.0 Gambling and betting activities</t>
  </si>
  <si>
    <t xml:space="preserve">    10 01 15 - Non-Hazardous - Bottom ash, slag and boiler dust from co-incineration other than those mentioned in 10 01 14</t>
  </si>
  <si>
    <t>NACE S - 93 Sports activities and amusement and recreation activities</t>
  </si>
  <si>
    <t xml:space="preserve">    10 01 16 - Hazardous - Fly ash from co-incineration containing hazardous substances</t>
  </si>
  <si>
    <t>NACE C - 28.30 Manufacture of agricultural and forestry machinery</t>
  </si>
  <si>
    <t>NACE S - 93.1 Sports activities</t>
  </si>
  <si>
    <t xml:space="preserve">    10 01 17 - Non-Hazardous - Fly ash from co-incineration other than those mentioned in 10 01 16</t>
  </si>
  <si>
    <t>NACE S - 93.2 Amusement and recreation activities</t>
  </si>
  <si>
    <t xml:space="preserve">    10 01 18 - Hazardous - Wastes from gas cleaning containing hazardous substances</t>
  </si>
  <si>
    <t>NACE C - 28.41 Manufacture of metal forming machinery and machine tools for metal work</t>
  </si>
  <si>
    <t>NACE S - ARTS, SPORTS AND RECREATION</t>
  </si>
  <si>
    <t xml:space="preserve">    10 01 19 - Non-Hazardous - Wastes from gas cleaning other than those mentioned in 10 01 05, 10 01 07 and 10 01 18</t>
  </si>
  <si>
    <t>NACE C - 28.42 Manufacture of other machine tools</t>
  </si>
  <si>
    <t>NACE T - 94 Activities of membership organisations</t>
  </si>
  <si>
    <t xml:space="preserve">    10 01 20 - Hazardous - Sludges from on-site effluent treatment containing hazardous substances</t>
  </si>
  <si>
    <t>NACE T - 94.1 Activities of business, employers and professional membership organisations</t>
  </si>
  <si>
    <t xml:space="preserve">    10 01 21 - Non-Hazardous - Sludges from on-site effluent treatment other than those mentioned in 10 01 20</t>
  </si>
  <si>
    <t>NACE C - 28.91 Manufacture of machinery for metallurgy</t>
  </si>
  <si>
    <t>NACE T - 94.2 Activities of trade unions</t>
  </si>
  <si>
    <t xml:space="preserve">    10 01 22 - Hazardous - Aqueous sludges from boiler cleansing containing hazardous substances</t>
  </si>
  <si>
    <t>NACE C - 28.92 Manufacture of machinery for mining, quarrying and construction</t>
  </si>
  <si>
    <t>NACE T - 94.9 Activities of other membership organisations</t>
  </si>
  <si>
    <t xml:space="preserve">    10 01 23 - Non-Hazardous - Aqueous sludges from boiler cleansing other than those mentioned in 10 01 22</t>
  </si>
  <si>
    <t>NACE C - 28.93 Manufacture of machinery for food, beverage and tobacco processing</t>
  </si>
  <si>
    <t>NACE T - 95 Repair and maintenance of computers, personal and household goods, and motor vehicles and motorcycles</t>
  </si>
  <si>
    <t xml:space="preserve">    10 01 24 - Non-Hazardous - Sands from fluidised beds</t>
  </si>
  <si>
    <t>NACE C - 28.94 Manufacture of machinery for textile, apparel and leather production</t>
  </si>
  <si>
    <t>NACE T - 95.1 Repair and maintenance of computers and communication equipment</t>
  </si>
  <si>
    <t xml:space="preserve">    10 01 25 - Non-Hazardous - Wastes from fuel storage and preparation of coal-fired power plants</t>
  </si>
  <si>
    <t>NACE C - 28.95 Manufacture of machinery for paper and paperboard production</t>
  </si>
  <si>
    <t>NACE T - 95.2 Repair and maintenance of personal and household goods</t>
  </si>
  <si>
    <t xml:space="preserve">    10 01 26 - Non-Hazardous - Wastes from cooling-water treatment</t>
  </si>
  <si>
    <t>NACE C - 28.96 Manufacture of plastics and rubber machinery</t>
  </si>
  <si>
    <t>NACE T - 95.3 Repair and maintenance of motor vehicles and motorcycles</t>
  </si>
  <si>
    <t xml:space="preserve">    10 01 99 - Non-Hazardous - Wastes not otherwise specified</t>
  </si>
  <si>
    <t>NACE C - 28.97 Manufacture of additive manufacturing machinery</t>
  </si>
  <si>
    <t>NACE T - 95.4 Intermediation service activities for repair and maintenance of computers, personal and household goods, and motor vehicles and motorcycles</t>
  </si>
  <si>
    <t xml:space="preserve">  10 02 - Wastes from the iron and steel industry</t>
  </si>
  <si>
    <t>NACE C - 28.99 Manufacture of other special-purpose machinery n.e.c.</t>
  </si>
  <si>
    <t>NACE T - 96 Personal service activities</t>
  </si>
  <si>
    <t xml:space="preserve">    10 02 01 - Non-Hazardous - Wastes from the processing of slag</t>
  </si>
  <si>
    <t>NACE T - 96.1 Washing and cleaning of textile and fur products</t>
  </si>
  <si>
    <t xml:space="preserve">    10 02 02 - Non-Hazardous - Unprocessed slag</t>
  </si>
  <si>
    <t>NACE T - 96.2 Hairdressing, beauty treatment, day spa and similar activities</t>
  </si>
  <si>
    <t xml:space="preserve">    10 02 07 - Hazardous - Solid wastes from gas treatment containing hazardous substances</t>
  </si>
  <si>
    <t>NACE C - 29.10 Manufacture of motor vehicles</t>
  </si>
  <si>
    <t>NACE T - 96.3 Funeral and related activities</t>
  </si>
  <si>
    <t xml:space="preserve">    10 02 08 - Non-Hazardous - Solid wastes from gas treatment other than those mentioned in 10 02 07</t>
  </si>
  <si>
    <t>NACE T - 96.4 Intermediation service activities for personal services</t>
  </si>
  <si>
    <t xml:space="preserve">    10 02 10 - Non-Hazardous - Mill scales</t>
  </si>
  <si>
    <t>NACE C - 29.20 Manufacture of bodies and coachwork for motor vehicles; manufacture of trailers and semi-trailers</t>
  </si>
  <si>
    <t>NACE T - 96.9 Other personal service activities</t>
  </si>
  <si>
    <t xml:space="preserve">    10 02 11 - Hazardous - Wastes from cooling-water treatment containing oil</t>
  </si>
  <si>
    <t>NACE T - OTHER SERVICE ACTIVITIES</t>
  </si>
  <si>
    <t xml:space="preserve">    10 02 12 - Non-Hazardous - Wastes from cooling-water treatment other than those mentioned in 10 02 11</t>
  </si>
  <si>
    <t>NACE C - 29.31 Manufacture of electrical and electronic equipment for motor vehicles</t>
  </si>
  <si>
    <t>NACE U - 97 Activities of households as employers of domestic personnel</t>
  </si>
  <si>
    <t xml:space="preserve">    10 02 13 - Hazardous - Sludges and filter cakes from gas treatment containing hazardous substances</t>
  </si>
  <si>
    <t>NACE C - 29.32 Manufacture of other parts and accessories for motor vehicles</t>
  </si>
  <si>
    <t>NACE U - 97.0 Activities of households as employers of domestic personnel</t>
  </si>
  <si>
    <t xml:space="preserve">    10 02 14 - Non-Hazardous - Sludges and filter cakes from gas treatment other than those mentioned in 10 02 13</t>
  </si>
  <si>
    <t>NACE U - 98 Undifferentiated goods- and service-producing activities of private households for own use</t>
  </si>
  <si>
    <t xml:space="preserve">    10 02 15 - Non-Hazardous - Other sludges and filter cakes</t>
  </si>
  <si>
    <t>NACE U - 98.1 Undifferentiated goods-producing activities of private households for own use</t>
  </si>
  <si>
    <t xml:space="preserve">    10 02 99 - Non-Hazardous - Wastes not otherwise specified</t>
  </si>
  <si>
    <t>NACE C - 30.11 Building of civilian ships and floating structures</t>
  </si>
  <si>
    <t>NACE U - 98.2 Undifferentiated service-producing activities of private households for own use</t>
  </si>
  <si>
    <t xml:space="preserve">  10 03 - Wastes from aluminium thermal metallurgy</t>
  </si>
  <si>
    <t>NACE C - 30.12 Building of pleasure and sporting boats</t>
  </si>
  <si>
    <t>NACE U - ACTIVITIES OF HOUSEHOLDS AS EMPLOYERS AND UNDIFFERENTIATED GOODS – AND SERVICE-PRODUCING ACTIVITIES OF HOUSEHOLDS FOR OWN USE</t>
  </si>
  <si>
    <t xml:space="preserve">    10 03 02 - Non-Hazardous - Anode scraps</t>
  </si>
  <si>
    <t>NACE C - 30.13 Building of military ships and vessels</t>
  </si>
  <si>
    <t>NACE V - 99 Activities of extraterritorial organisations and bodies</t>
  </si>
  <si>
    <t xml:space="preserve">    10 03 04 - Hazardous - Primary production slags</t>
  </si>
  <si>
    <t>NACE V - 99.0 Activities of extraterritorial organisations and bodies</t>
  </si>
  <si>
    <t xml:space="preserve">    10 03 05 - Non-Hazardous - Waste alumina</t>
  </si>
  <si>
    <t>NACE C - 30.20 Manufacture of railway locomotives and rolling stock</t>
  </si>
  <si>
    <t>NACE V - ACTIVITIES OF EXTRATERRITORIAL ORGANISATIONS AND BODIES</t>
  </si>
  <si>
    <t xml:space="preserve">    10 03 08 - Hazardous - Salt slags from secondary production</t>
  </si>
  <si>
    <t xml:space="preserve">    10 03 09 - Hazardous - Black drosses from secondary production</t>
  </si>
  <si>
    <t>NACE C - 30.31 Manufacture of civilian air and spacecraft and related machinery</t>
  </si>
  <si>
    <t xml:space="preserve">    10 03 15 - Hazardous - Skimmings that are flammable or emit, upon contact with water, flammable gases in hazardous quantities</t>
  </si>
  <si>
    <t>NACE C - 30.32 Manufacture of military air and spacecraft and related machinery</t>
  </si>
  <si>
    <t xml:space="preserve">    10 03 16 - Non-Hazardous - Skimmings other than those mentioned in 10 03 15</t>
  </si>
  <si>
    <t xml:space="preserve">    10 03 17 - Hazardous - Tar-containing wastes from anode manufacture</t>
  </si>
  <si>
    <t>NACE C - 30.40 Manufacture of military fighting vehicles</t>
  </si>
  <si>
    <t xml:space="preserve">    10 03 18 - Non-Hazardous - Carbon-containing wastes from anode manufacture other than those mentioned in 10 03 17</t>
  </si>
  <si>
    <t xml:space="preserve">    10 03 19 - Hazardous - Flue-gas dust containing hazardous substances</t>
  </si>
  <si>
    <t>NACE C - 30.91 Manufacture of motorcycles</t>
  </si>
  <si>
    <t xml:space="preserve">    10 03 20 - Non-Hazardous - Flue-gas dust other than those mentioned in 10 03 19</t>
  </si>
  <si>
    <t>NACE C - 30.92 Manufacture of bicycles and invalid carriages</t>
  </si>
  <si>
    <t xml:space="preserve">    10 03 21 - Hazardous - Other particulates and dust (including ball-mill dust) containing hazardous substances</t>
  </si>
  <si>
    <t>NACE C - 30.99 Manufacture of other transport equipment n.e.c.</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</si>
  <si>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</si>
  <si>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</si>
  <si>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</si>
  <si>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NACE C - 31.00 Manufacture of furniture</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</si>
  <si>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</si>
  <si>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</si>
  <si>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</si>
  <si>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NACE C - 32.11 Striking of coins</t>
  </si>
  <si>
    <t xml:space="preserve">    10 03 28 - Non-Hazardous - Wastes from cooling-water treatment other than those mentioned in 10 03 27</t>
  </si>
  <si>
    <t>NACE C - 32.12 Manufacture of jewellery and related articles</t>
  </si>
  <si>
    <t xml:space="preserve">    10 03 29 - Hazardous - Wastes from treatment of salt slags and black drosses containing hazardous substances</t>
  </si>
  <si>
    <t>NACE C - 32.13 Manufacture of imitation jewellery and related articles</t>
  </si>
  <si>
    <t xml:space="preserve">    10 03 30 - Non-Hazardous - Wastes from treatment of salt slags and black drosses other than those mentioned in 10 03 29</t>
  </si>
  <si>
    <t xml:space="preserve">    10 03 99 - Non-Hazardous - Wastes not otherwise specified</t>
  </si>
  <si>
    <t>NACE C - 32.20 Manufacture of musical instruments</t>
  </si>
  <si>
    <t xml:space="preserve">  10 04 - Wastes from lead thermal metallurgy</t>
  </si>
  <si>
    <t xml:space="preserve">    10 04 01 - Hazardous - Slags from primary and secondary production</t>
  </si>
  <si>
    <t>NACE C - 32.30 Manufacture of sports goods</t>
  </si>
  <si>
    <t xml:space="preserve">    10 04 02 - Hazardous - Dross and skimmings from primary and secondary production</t>
  </si>
  <si>
    <t xml:space="preserve">    10 04 03 - Hazardous - Calcium arsenate</t>
  </si>
  <si>
    <t>NACE C - 32.40 Manufacture of games and toys</t>
  </si>
  <si>
    <t xml:space="preserve">    10 04 04 - Hazardous - Flue-gas dust</t>
  </si>
  <si>
    <t xml:space="preserve">    10 04 05 - Hazardous - Other particulates and dust</t>
  </si>
  <si>
    <t>NACE C - 32.50 Manufacture of medical and dental instruments and supplies</t>
  </si>
  <si>
    <t xml:space="preserve">    10 04 06 - Hazardous - Solid wastes from gas treatment</t>
  </si>
  <si>
    <t xml:space="preserve">    10 04 07 - Hazardous - Sludges and filter cakes from gas treatment</t>
  </si>
  <si>
    <t>NACE C - 32.91 Manufacture of brooms and brushes</t>
  </si>
  <si>
    <t xml:space="preserve">    10 04 09 - Hazardous - Wastes from cooling-water treatment containing oil</t>
  </si>
  <si>
    <t>NACE C - 32.99 Other manufacturing n.e.c.</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</si>
  <si>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</si>
  <si>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</si>
  <si>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</si>
  <si>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NACE C - 33.11 Repair and maintenance of fabricated metal products</t>
  </si>
  <si>
    <t xml:space="preserve">    10 05 01 - Non-Hazardous - Slags from primary and secondary production</t>
  </si>
  <si>
    <t>NACE C - 33.12 Repair and maintenance of machinery</t>
  </si>
  <si>
    <t xml:space="preserve">    10 05 03 - Hazardous - Flue-gas dust</t>
  </si>
  <si>
    <t>NACE C - 33.13 Repair and maintenance of electronic and optical equipment</t>
  </si>
  <si>
    <t xml:space="preserve">    10 05 04 - Non-Hazardous - Other particulates and dust</t>
  </si>
  <si>
    <t>NACE C - 33.14 Repair and maintenance of electrical equipment</t>
  </si>
  <si>
    <t xml:space="preserve">    10 05 05 - Hazardous - Solid waste from gas treatment</t>
  </si>
  <si>
    <t>NACE C - 33.15 Repair and maintenance of civilian ships and boats</t>
  </si>
  <si>
    <t xml:space="preserve">    10 05 06 - Hazardous - Sludges and filter cakes from gas treatment</t>
  </si>
  <si>
    <t>NACE C - 33.16 Repair and maintenance of civilian air and spacecraft</t>
  </si>
  <si>
    <t xml:space="preserve">    10 05 08 - Hazardous - Wastes from cooling-water treatment containing oil</t>
  </si>
  <si>
    <t>NACE C - 33.17 Repair and maintenance of other civilian transport equipment</t>
  </si>
  <si>
    <t xml:space="preserve">    10 05 09 - Non-Hazardous - Wastes from cooling-water treatment other than those mentioned in 10 05 08</t>
  </si>
  <si>
    <t>NACE C - 33.18 Repair and maintenance of military fighting vehicles, ships, boats, air and spacecraft</t>
  </si>
  <si>
    <t xml:space="preserve">    10 05 10 - Hazardous - Dross and skimmings that are flammable or emit, upon contact with water, flammable gases in hazardous quantities</t>
  </si>
  <si>
    <t>NACE C - 33.19 Repair and maintenance of other equipment</t>
  </si>
  <si>
    <t xml:space="preserve">    10 05 11 - Non-Hazardous - Dross and skimmings other than those mentioned in 10 05 10</t>
  </si>
  <si>
    <t xml:space="preserve">    10 05 99 - Non-Hazardous - Wastes not otherwise specified</t>
  </si>
  <si>
    <t>NACE C - 33.20 Installation of industrial machinery and equipment</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</si>
  <si>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</si>
  <si>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</si>
  <si>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</si>
  <si>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</si>
  <si>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NACE D - 35.11 Production of electricity from non-renewable sources</t>
  </si>
  <si>
    <t xml:space="preserve">    10 06 04 - Non-Hazardous - Other particulates and dust</t>
  </si>
  <si>
    <t>NACE D - 35.12 Production of electricity from renewable sources</t>
  </si>
  <si>
    <t xml:space="preserve">    10 06 06 - Hazardous - Solid wastes from gas treatment</t>
  </si>
  <si>
    <t>NACE D - 35.13 Transmission of electricity</t>
  </si>
  <si>
    <t xml:space="preserve">    10 06 07 - Hazardous - Sludges and filter cakes from gas treatment</t>
  </si>
  <si>
    <t>NACE D - 35.14 Distribution of electricity</t>
  </si>
  <si>
    <t xml:space="preserve">    10 06 09 - Hazardous - Wastes from cooling-water treatment containing oil</t>
  </si>
  <si>
    <t>NACE D - 35.15 Trade of electricity</t>
  </si>
  <si>
    <t xml:space="preserve">    10 06 10 - Non-Hazardous - Wastes from cooling-water treatment other than those mentioned in 10 06 09</t>
  </si>
  <si>
    <t>NACE D - 35.16 Storage of electricity</t>
  </si>
  <si>
    <t xml:space="preserve">    10 06 99 - Non-Hazardous - Wastes not otherwise specified</t>
  </si>
  <si>
    <t xml:space="preserve">  10 07 - Wastes from silver, gold and platinum thermal metallurgy</t>
  </si>
  <si>
    <t>NACE D - 35.21 Manufacture of gas</t>
  </si>
  <si>
    <t xml:space="preserve">    10 07 01 - Non-Hazardous - Slags from primary and secondary production</t>
  </si>
  <si>
    <t>NACE D - 35.22 Distribution of gaseous fuels through mains</t>
  </si>
  <si>
    <t xml:space="preserve">    10 07 02 - Non-Hazardous - Dross and skimmings from primary and secondary production</t>
  </si>
  <si>
    <t>NACE D - 35.23 Trade of gas through mains</t>
  </si>
  <si>
    <t xml:space="preserve">    10 07 03 - Non-Hazardous - Solid wastes from gas treatment</t>
  </si>
  <si>
    <t>NACE D - 35.24 Storage of gas as part of network supply services</t>
  </si>
  <si>
    <t xml:space="preserve">    10 07 04 - Non-Hazardous - Other particulates and dust</t>
  </si>
  <si>
    <t xml:space="preserve">    10 07 05 - Non-Hazardous - Sludges and filter cakes from gas treatment</t>
  </si>
  <si>
    <t>NACE D - 35.30 Steam and air conditioning supply</t>
  </si>
  <si>
    <t xml:space="preserve">    10 07 07 - Hazardous - Wastes from cooling-water treatment containing oil</t>
  </si>
  <si>
    <t xml:space="preserve">    10 07 08 - Non-Hazardous - Wastes from cooling-water treatment other than those mentioned in 10 07 07</t>
  </si>
  <si>
    <t>NACE D - 35.40 Activities of brokers and agents for electric power and natural gas</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</si>
  <si>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</si>
  <si>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</si>
  <si>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</si>
  <si>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</si>
  <si>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NACE E - 36.00 Water collection, treatment and supply</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</si>
  <si>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</si>
  <si>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</si>
  <si>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</si>
  <si>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NACE E - 37.00 Sewerage</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</si>
  <si>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</si>
  <si>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</si>
  <si>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</si>
  <si>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NACE E - 38.11 Collection of non-hazardous waste</t>
  </si>
  <si>
    <t xml:space="preserve">    10 08 15 - Hazardous - Flue-gas dust containing hazardous substances</t>
  </si>
  <si>
    <t>NACE E - 38.12 Collection of hazardous waste</t>
  </si>
  <si>
    <t xml:space="preserve">    10 08 16 - Non-Hazardous - Flue-gas dust other than those mentioned in 10 08 15</t>
  </si>
  <si>
    <t xml:space="preserve">    10 08 17 - Hazardous - Sludges and filter cakes from flue-gas treatment containing hazardous substances</t>
  </si>
  <si>
    <t>NACE E - 38.21 Materials recovery</t>
  </si>
  <si>
    <t xml:space="preserve">    10 08 18 - Non-Hazardous - Sludges and filter cakes from flue-gas treatment other than those mentioned in 10 08 17</t>
  </si>
  <si>
    <t>NACE E - 38.22 Energy recovery</t>
  </si>
  <si>
    <t xml:space="preserve">    10 08 19 - Hazardous - Wastes from cooling-water treatment containing oil</t>
  </si>
  <si>
    <t>NACE E - 38.23 Other waste recovery</t>
  </si>
  <si>
    <t xml:space="preserve">    10 08 20 - Non-Hazardous - Wastes from cooling-water treatment other than those mentioned in 10 08 19</t>
  </si>
  <si>
    <t xml:space="preserve">    10 08 21 - Hazardous - Slags from waste lithium-based battery recycling containing hazardous substances</t>
  </si>
  <si>
    <t>NACE E - 38.31 Incineration without energy recovery</t>
  </si>
  <si>
    <t xml:space="preserve">    10 08 22 - Non-Hazardous - Slags from waste lithium-based battery recycling other than those mentioned in 10 08 21</t>
  </si>
  <si>
    <t>NACE E - 38.32 Landfilling or permanent storage</t>
  </si>
  <si>
    <t xml:space="preserve">    10 08 23 - Hazardous - Slags from waste nickel-based battery recycling containing hazardous substances</t>
  </si>
  <si>
    <t>NACE E - 38.33 Other waste disposal</t>
  </si>
  <si>
    <t xml:space="preserve">    10 08 24 - Non-Hazardous - Slags from waste nickel-based battery recycling other than those mentioned in 10 08 23</t>
  </si>
  <si>
    <t xml:space="preserve">    10 08 25 - Hazardous - Slags from other waste battery recycling containing hazardous substances except 10 04 01, 10 08 21 and 10 08 23</t>
  </si>
  <si>
    <t xml:space="preserve">    10 08 26 - Non-Hazardous - Slags from other waste battery recycling other than those mentioned in 10 08 25</t>
  </si>
  <si>
    <t>NACE E - 39.00 Remediation activities and other waste management service activities</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</si>
  <si>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</si>
  <si>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</si>
  <si>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</si>
  <si>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</si>
  <si>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NACE F - 41.00 Construction of residential and non-residential buildings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</si>
  <si>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</si>
  <si>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</si>
  <si>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</si>
  <si>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NACE F - 42.11 Construction of roads and motorways</t>
  </si>
  <si>
    <t xml:space="preserve">    10 09 09 - Hazardous - Flue-gas dust containing hazardous substances</t>
  </si>
  <si>
    <t>NACE F - 42.12 Construction of railways and underground railways</t>
  </si>
  <si>
    <t xml:space="preserve">    10 09 10 - Non-Hazardous - Flue-gas dust other than those mentioned in 10 09 09</t>
  </si>
  <si>
    <t>NACE F - 42.13 Construction of bridges and tunnels</t>
  </si>
  <si>
    <t xml:space="preserve">    10 09 11 - Hazardous - Other particulates containing hazardous substances</t>
  </si>
  <si>
    <t xml:space="preserve">    10 09 12 - Non-Hazardous - Other particulates other than those mentioned in 10 09 11</t>
  </si>
  <si>
    <t>NACE F - 42.21 Construction of utility projects for fluids</t>
  </si>
  <si>
    <t xml:space="preserve">    10 09 13 - Hazardous - Waste binders containing hazardous substances</t>
  </si>
  <si>
    <t>NACE F - 42.22 Construction of utility projects for electricity and telecommunications</t>
  </si>
  <si>
    <t xml:space="preserve">    10 09 14 - Non-Hazardous - Waste binders other than those mentioned in 10 09 13</t>
  </si>
  <si>
    <t xml:space="preserve">    10 09 15 - Hazardous - Waste crack-indicating agent containing hazardous substances</t>
  </si>
  <si>
    <t>NACE F - 42.91 Construction of water projects</t>
  </si>
  <si>
    <t xml:space="preserve">    10 09 16 - Non-Hazardous - Waste crack-indicating agent other than those mentioned in 10 09 15</t>
  </si>
  <si>
    <t>NACE F - 42.99 Construction of other civil engineering projects n.e.c.</t>
  </si>
  <si>
    <t xml:space="preserve">    10 09 99 - Non-Hazardous - Wastes not otherwise specified</t>
  </si>
  <si>
    <t xml:space="preserve">  10 10 - Wastes from casting of non-ferrous pieces</t>
  </si>
  <si>
    <t xml:space="preserve">    10 10 03 - Non-Hazardous - Furnace slag</t>
  </si>
  <si>
    <t>NACE F - 43.11 Demolition</t>
  </si>
  <si>
    <t xml:space="preserve">    10 10 05 - Hazardous - Casting cores and moulds which have not undergone pouring, containing hazardous substances</t>
  </si>
  <si>
    <t>NACE F - 43.12 Site preparation</t>
  </si>
  <si>
    <t xml:space="preserve">    10 10 06 - Non-Hazardous - Casting cores and moulds which have not undergone pouring, other than those mentioned in 10 10 05</t>
  </si>
  <si>
    <t>NACE F - 43.13 Test drilling and boring</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</si>
  <si>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</si>
  <si>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</si>
  <si>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NACE F - 43.21 Electrical installation</t>
  </si>
  <si>
    <t xml:space="preserve">    10 10 09 - Hazardous - Flue-gas dust containing hazardous substances</t>
  </si>
  <si>
    <t>NACE F - 43.22 Plumbing, heat and air-conditioning installation</t>
  </si>
  <si>
    <t xml:space="preserve">    10 10 10 - Non-Hazardous - Flue-gas dust other than those mentioned in 10 10 09</t>
  </si>
  <si>
    <t>NACE F - 43.23 Installation of insulation</t>
  </si>
  <si>
    <t xml:space="preserve">    10 10 11 - Hazardous - Other particulates containing hazardous substances</t>
  </si>
  <si>
    <t>NACE F - 43.24 Other construction installation</t>
  </si>
  <si>
    <t xml:space="preserve">    10 10 12 - Non-Hazardous - Other particulates other than those mentioned in 10 10 11</t>
  </si>
  <si>
    <t xml:space="preserve">    10 10 13 - Hazardous - Waste binders containing hazardous substances</t>
  </si>
  <si>
    <t>NACE F - 43.31 Plastering</t>
  </si>
  <si>
    <t xml:space="preserve">    10 10 14 - Non-Hazardous - Waste binders other than those mentioned in 10 10 13</t>
  </si>
  <si>
    <t>NACE F - 43.32 Joinery installation</t>
  </si>
  <si>
    <t xml:space="preserve">    10 10 15 - Hazardous - Waste crack-indicating agent containing hazardous substances</t>
  </si>
  <si>
    <t>NACE F - 43.33 Floor and wall covering</t>
  </si>
  <si>
    <t xml:space="preserve">    10 10 16 - Non-Hazardous - Waste crack-indicating agent other than those mentioned in 10 10 15</t>
  </si>
  <si>
    <t>NACE F - 43.34 Painting and glazing</t>
  </si>
  <si>
    <t xml:space="preserve">    10 10 99 - Non-Hazardous - Wastes not otherwise specified</t>
  </si>
  <si>
    <t>NACE F - 43.35 Other building completion and finishing</t>
  </si>
  <si>
    <t xml:space="preserve">  10 11 - Wastes from manufacture of glass and glass products</t>
  </si>
  <si>
    <t xml:space="preserve">    10 11 03 - Non-Hazardous - Waste glass-based fibrous materials</t>
  </si>
  <si>
    <t>NACE F - 43.41 Roofing activities</t>
  </si>
  <si>
    <t xml:space="preserve">    10 11 05 - Non-Hazardous - Particulates and dust</t>
  </si>
  <si>
    <t>NACE F - 43.42 Other specialised construction activities in construction of buildings</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</si>
  <si>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</si>
  <si>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</si>
  <si>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NACE F - 43.50 Specialised construction activities in civil engineering</t>
  </si>
  <si>
    <t xml:space="preserve">    10 11 11 - Hazardous - Waste glass in small particles and glass powder containing heavy metals (for example from cathode ray tubes)</t>
  </si>
  <si>
    <t xml:space="preserve">    10 11 12 - Non-Hazardous - Waste glass other than those mentioned in 10 11 11</t>
  </si>
  <si>
    <t>NACE F - 43.60 Intermediation service activities for specialised construction services</t>
  </si>
  <si>
    <t xml:space="preserve">    10 11 13 - Hazardous - Glass-polishing and -grinding sludge containing hazardous substances</t>
  </si>
  <si>
    <t xml:space="preserve">    10 11 14 - Non-Hazardous - Glass-polishing and -grinding sludge other than those mentioned in 10 11 13</t>
  </si>
  <si>
    <t>NACE F - 43.91 Masonry and bricklaying activities</t>
  </si>
  <si>
    <t xml:space="preserve">    10 11 15 - Hazardous - Solid wastes from flue-gas treatment containing hazardous substances</t>
  </si>
  <si>
    <t>NACE F - 43.99 Other specialised construction activities n.e.c.</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</si>
  <si>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</si>
  <si>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</si>
  <si>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</si>
  <si>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</si>
  <si>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NACE G - 46.11 Activities of agents involved in the wholesale of agricultural raw materials, live animals, textile raw materials and semi-finished goods</t>
  </si>
  <si>
    <t xml:space="preserve">    10 11 20 - Non-Hazardous - Solid wastes from on-site effluent treatment other than those mentioned in 10 11 19</t>
  </si>
  <si>
    <t>NACE G - 46.12 Activities of agents involved in the wholesale of fuels, ores, metals and industrial chemicals</t>
  </si>
  <si>
    <t xml:space="preserve">    10 11 99 - Non-Hazardous - Wastes not otherwise specified</t>
  </si>
  <si>
    <t>NACE G - 46.13 Activities of agents involved in the wholesale of timber and building materials</t>
  </si>
  <si>
    <t xml:space="preserve">  10 12 - Wastes from manufacture of ceramic goods, bricks, tiles and construction products</t>
  </si>
  <si>
    <t>NACE G - 46.14 Activities of agents involved in the wholesale of machinery, industrial equipment, ships and aircraft</t>
  </si>
  <si>
    <t xml:space="preserve">    10 12 01 - Non-Hazardous - Waste preparation mixture before thermal processing</t>
  </si>
  <si>
    <t>NACE G - 46.15 Activities of agents involved in the wholesale of furniture, household goods, hardware and ironmongery</t>
  </si>
  <si>
    <t xml:space="preserve">    10 12 03 - Non-Hazardous - Particulates and dust</t>
  </si>
  <si>
    <t>NACE G - 46.16 Activities of agents involved in the wholesale of textiles, clothing, fur, footwear and leather goods</t>
  </si>
  <si>
    <t xml:space="preserve">    10 12 05 - Non-Hazardous - Sludges and filter cakes from gas treatment</t>
  </si>
  <si>
    <t>NACE G - 46.17 Activities of agents involved in the wholesale of food, beverages and tobacco</t>
  </si>
  <si>
    <t xml:space="preserve">    10 12 06 - Non-Hazardous - Discarded moulds</t>
  </si>
  <si>
    <t>NACE G - 46.18 Activities of agents involved in the wholesale of other particular products</t>
  </si>
  <si>
    <t xml:space="preserve">    10 12 08 - Non-Hazardous - Waste ceramics, bricks, tiles and construction products (after thermal processing)</t>
  </si>
  <si>
    <t>NACE G - 46.19 Activities of agents involved in non-specialised wholesale</t>
  </si>
  <si>
    <t xml:space="preserve">    10 12 09 - Hazardous - Solid wastes from gas treatment containing hazardous substances</t>
  </si>
  <si>
    <t xml:space="preserve">    10 12 10 - Non-Hazardous - Solid wastes from gas treatment other than those mentioned in 10 12 09</t>
  </si>
  <si>
    <t>NACE G - 46.21 Wholesale of grain, unmanufactured tobacco, seeds and animal feeds</t>
  </si>
  <si>
    <t xml:space="preserve">    10 12 11 - Hazardous - Wastes from glazing containing heavy metals</t>
  </si>
  <si>
    <t>NACE G - 46.22 Wholesale of flowers and plants</t>
  </si>
  <si>
    <t xml:space="preserve">    10 12 12 - Non-Hazardous - Wastes from glazing other than those mentioned in 10 12 11</t>
  </si>
  <si>
    <t>NACE G - 46.23 Wholesale of live animals</t>
  </si>
  <si>
    <t xml:space="preserve">    10 12 13 - Non-Hazardous - Sludge from on-site effluent treatment</t>
  </si>
  <si>
    <t>NACE G - 46.24 Wholesale of hides, skins and leather</t>
  </si>
  <si>
    <t xml:space="preserve">    10 12 99 - Non-Hazardous - Wastes not otherwise specified</t>
  </si>
  <si>
    <t xml:space="preserve">  10 13 - Wastes from manufacture of cement, lime and plaster and articles and products made from them</t>
  </si>
  <si>
    <t>NACE G - 46.31 Wholesale of fruit and vegetables</t>
  </si>
  <si>
    <t xml:space="preserve">    10 13 01 - Non-Hazardous - Waste preparation mixture before thermal processing</t>
  </si>
  <si>
    <t>NACE G - 46.32 Wholesale of meat, meat products, fish and fish products</t>
  </si>
  <si>
    <t xml:space="preserve">    10 13 04 - Non-Hazardous - Wastes from calcination and hydration of lime</t>
  </si>
  <si>
    <t>NACE G - 46.33 Wholesale of dairy products, eggs and edible oils and fats</t>
  </si>
  <si>
    <t xml:space="preserve">    10 13 06 - Non-Hazardous - Particulates and dust (except 10 13 12 and 10 13 13)</t>
  </si>
  <si>
    <t>NACE G - 46.34 Wholesale of beverages</t>
  </si>
  <si>
    <t xml:space="preserve">    10 13 07 - Non-Hazardous - Sludges and filter cakes from gas treatment</t>
  </si>
  <si>
    <t>NACE G - 46.35 Wholesale of tobacco products</t>
  </si>
  <si>
    <t xml:space="preserve">    10 13 09 - Hazardous - Wastes from asbestos-cement manufacture containing asbestos</t>
  </si>
  <si>
    <t>NACE G - 46.36 Wholesale of sugar, chocolate and sugar confectionery</t>
  </si>
  <si>
    <t xml:space="preserve">    10 13 10 - Non-Hazardous - Wastes from asbestos-cement manufacture other than those mentioned in 10 13 09</t>
  </si>
  <si>
    <t>NACE G - 46.37 Wholesale of coffee, tea, cocoa and spices</t>
  </si>
  <si>
    <t xml:space="preserve">    10 13 11 - Non-Hazardous - Wastes from cement-based composite materials other than those mentioned in 10 13 09 and 10 13 10</t>
  </si>
  <si>
    <t>NACE G - 46.38 Wholesale of other food</t>
  </si>
  <si>
    <t xml:space="preserve">    10 13 12 - Hazardous - Solid wastes from gas treatment containing hazardous substances</t>
  </si>
  <si>
    <t>NACE G - 46.39 Non-specialised wholesale of food, beverages and tobacco</t>
  </si>
  <si>
    <t xml:space="preserve">    10 13 13 - Non-Hazardous - Solid wastes from gas treatment other than those mentioned in 10 13 12</t>
  </si>
  <si>
    <t xml:space="preserve">    10 13 14 - Non-Hazardous - Waste concrete and concrete sludge</t>
  </si>
  <si>
    <t>NACE G - 46.41 Wholesale of textiles</t>
  </si>
  <si>
    <t xml:space="preserve">    10 13 99 - Non-Hazardous - Wastes not otherwise specified</t>
  </si>
  <si>
    <t>NACE G - 46.42 Wholesale of clothing and footwear</t>
  </si>
  <si>
    <t xml:space="preserve">  10 14 - Waste from crematoria</t>
  </si>
  <si>
    <t>NACE G - 46.43 Wholesale of electrical household appliances</t>
  </si>
  <si>
    <t xml:space="preserve">    10 14 01 - Hazardous - Waste from gas cleaning containing mercury</t>
  </si>
  <si>
    <t>NACE G - 46.44 Wholesale of china and glassware and cleaning materials</t>
  </si>
  <si>
    <t>11 - WASTES FROM CHEMICAL SURFACE TREATMENT AND COATING OF METALS AND OTHER MATERIALS; NON-FERROUS HYDRO-METALLURGY</t>
  </si>
  <si>
    <t>NACE G - 46.45 Wholesale of perfume and cosmetics</t>
  </si>
  <si>
    <t xml:space="preserve">  11 01 - Wastes from chemical surface treatment and coating of metals and other materials (for example galvanic processes, zinc coating processes, pickling processes, etching, phosphating, alkaline degreasing, anodising)</t>
  </si>
  <si>
    <t>NACE G - 46.46 Wholesale of pharmaceutical and medical goods</t>
  </si>
  <si>
    <t xml:space="preserve">    11 01 05 - Hazardous - Pickling acids</t>
  </si>
  <si>
    <t>NACE G - 46.47 Wholesale of household, office and shop furniture, carpets and lighting equipment</t>
  </si>
  <si>
    <t xml:space="preserve">    11 01 06 - Hazardous - Acids not otherwise specified</t>
  </si>
  <si>
    <t>NACE G - 46.48 Wholesale of watches and jewellery</t>
  </si>
  <si>
    <t xml:space="preserve">    11 01 07 - Hazardous - Pickling bases</t>
  </si>
  <si>
    <t>NACE G - 46.49 Wholesale of other household goods</t>
  </si>
  <si>
    <t xml:space="preserve">    11 01 08 - Hazardous - Phosphatising sludges</t>
  </si>
  <si>
    <t xml:space="preserve">    11 01 09 - Hazardous - Sludges and filter cakes containing hazardous substances</t>
  </si>
  <si>
    <t>NACE G - 46.50 Wholesale of information and communication equipment</t>
  </si>
  <si>
    <t xml:space="preserve">    11 01 10 - Non-Hazardous - Sludges and filter cakes other than those mentioned in 11 01 09</t>
  </si>
  <si>
    <t xml:space="preserve">    11 01 11 - Hazardous - Aqueous rinsing liquids containing hazardous substances</t>
  </si>
  <si>
    <t>NACE G - 46.61 Wholesale of agricultural machinery, equipment and supplies</t>
  </si>
  <si>
    <t xml:space="preserve">    11 01 12 - Non-Hazardous - Aqueous rinsing liquids other than those mentioned in 11 01 11</t>
  </si>
  <si>
    <t>NACE G - 46.62 Wholesale of machine tools</t>
  </si>
  <si>
    <t xml:space="preserve">    11 01 13 - Hazardous - Degreasing wastes containing hazardous substances</t>
  </si>
  <si>
    <t>NACE G - 46.63 Wholesale of mining, construction and civil engineering machinery</t>
  </si>
  <si>
    <t xml:space="preserve">    11 01 14 - Non-Hazardous - Degreasing wastes other than those mentioned in 11 01 13</t>
  </si>
  <si>
    <t>NACE G - 46.64 Wholesale of other machinery and equipment</t>
  </si>
  <si>
    <t xml:space="preserve">    11 01 15 - Hazardous - Eluate and sludges from membrane systems or ion exchange systems containing hazardous substances</t>
  </si>
  <si>
    <t xml:space="preserve">    11 01 16 - Hazardous - Saturated or spent ion exchange resins</t>
  </si>
  <si>
    <t>NACE G - 46.71 Wholesale of motor vehicles</t>
  </si>
  <si>
    <t xml:space="preserve">    11 01 98 - Hazardous - Other wastes containing hazardous substances</t>
  </si>
  <si>
    <t>NACE G - 46.72 Wholesale of motor vehicle parts and accessories</t>
  </si>
  <si>
    <t xml:space="preserve">    11 01 99 - Non-Hazardous - Wastes not otherwise specified</t>
  </si>
  <si>
    <t>NACE G - 46.73 Wholesale of motorcycles, motorcycle parts and accessories</t>
  </si>
  <si>
    <t xml:space="preserve">  11 02 - Wastes from non-ferrous hydrometallurgical processes</t>
  </si>
  <si>
    <t xml:space="preserve">    11 02 02 - Hazardous - Sludges from zinc hydrometallurgy (including jarosite, goethite)</t>
  </si>
  <si>
    <t>NACE G - 46.81 Wholesale of solid, liquid and gaseous fuels and related products</t>
  </si>
  <si>
    <t xml:space="preserve">    11 02 03 - Non-Hazardous - Wastes from the production of anodes for aqueous electrolytical processes</t>
  </si>
  <si>
    <t>NACE G - 46.82 Wholesale of metals and metal ores</t>
  </si>
  <si>
    <t xml:space="preserve">    11 02 05 - Hazardous - Wastes from copper hydrometallurgical processes containing hazardous substances</t>
  </si>
  <si>
    <t>NACE G - 46.83 Wholesale of wood, construction materials and sanitary equipment</t>
  </si>
  <si>
    <t xml:space="preserve">    11 02 06 - Non-Hazardous - Wastes from copper hydrometallurgical processes other than those mentioned in 11 02 05</t>
  </si>
  <si>
    <t>NACE G - 46.84 Wholesale of hardware, plumbing and heating equipment and supplies</t>
  </si>
  <si>
    <t xml:space="preserve">    11 02 07 - Hazardous - Other wastes containing hazardous substances</t>
  </si>
  <si>
    <t>NACE G - 46.85 Wholesale of chemical products</t>
  </si>
  <si>
    <t xml:space="preserve">    11 02 99 - Non-Hazardous - Wastes not otherwise specified</t>
  </si>
  <si>
    <t>NACE G - 46.86 Wholesale of other intermediate products</t>
  </si>
  <si>
    <t xml:space="preserve">  11 03 - Sludges and solids from tempering processes</t>
  </si>
  <si>
    <t>NACE G - 46.87 Wholesale of waste and scrap</t>
  </si>
  <si>
    <t xml:space="preserve">    11 03 01 - Hazardous - Wastes containing cyanide</t>
  </si>
  <si>
    <t>NACE G - 46.89 Other specialised wholesale n.e.c.</t>
  </si>
  <si>
    <t xml:space="preserve">    11 03 02 - Hazardous - Other wastes</t>
  </si>
  <si>
    <t xml:space="preserve">  11 05 - Wastes from hot galvanising processes</t>
  </si>
  <si>
    <t>NACE G - 46.90 Non-specialised wholesale trade</t>
  </si>
  <si>
    <t xml:space="preserve">    11 05 01 - Non-Hazardous - Hard zinc</t>
  </si>
  <si>
    <t xml:space="preserve">    11 05 02 - Non-Hazardous - Zinc ash</t>
  </si>
  <si>
    <t xml:space="preserve">    11 05 03 - Hazardous - Solid wastes from gas treatment</t>
  </si>
  <si>
    <t>NACE G - 47.11 Non-specialised retail sale of predominately food, beverages or tobacco</t>
  </si>
  <si>
    <t xml:space="preserve">    11 05 04 - Hazardous - Spent flux</t>
  </si>
  <si>
    <t>NACE G - 47.12 Other non-specialised retail sale</t>
  </si>
  <si>
    <t xml:space="preserve">    11 05 99 - Non-Hazardous - Wastes not otherwise specified</t>
  </si>
  <si>
    <t>12 - WASTES FROM SHAPING AND PHYSICAL AND MECHANICAL SURFACE TREATMENT OF METALS AND PLASTICS</t>
  </si>
  <si>
    <t>NACE G - 47.21 Retail sale of fruit and vegetables</t>
  </si>
  <si>
    <t xml:space="preserve">  12 01 - Wastes from shaping and physical and mechanical surface treatment of metals and plastics</t>
  </si>
  <si>
    <t>NACE G - 47.22 Retail sale of meat and meat products</t>
  </si>
  <si>
    <t xml:space="preserve">    12 01 01 - Non-Hazardous - Ferrous metal filings and turnings</t>
  </si>
  <si>
    <t>NACE G - 47.23 Retail sale of fish, crustaceans and molluscs</t>
  </si>
  <si>
    <t xml:space="preserve">    12 01 02 - Non-Hazardous - Ferrous metal dust and particles</t>
  </si>
  <si>
    <t>NACE G - 47.24 Retail sale of bread, cake and confectionery</t>
  </si>
  <si>
    <t xml:space="preserve">    12 01 03 - Non-Hazardous - Non-ferrous metal filings and turnings</t>
  </si>
  <si>
    <t>NACE G - 47.25 Retail sale of beverages</t>
  </si>
  <si>
    <t xml:space="preserve">    12 01 04 - Non-Hazardous - Non-ferrous metal dust and particles</t>
  </si>
  <si>
    <t>NACE G - 47.26 Retail sale of tobacco products</t>
  </si>
  <si>
    <t xml:space="preserve">    12 01 05 - Non-Hazardous - Plastics shavings and turnings</t>
  </si>
  <si>
    <t>NACE G - 47.27 Retail sale of other food</t>
  </si>
  <si>
    <t xml:space="preserve">    12 01 06 - Hazardous - Mineral-based machining oils containing halogens (except emulsions and solutions)</t>
  </si>
  <si>
    <t xml:space="preserve">    12 01 07 - Hazardous - Mineral-based machining oils free of halogens (except emulsions and solutions)</t>
  </si>
  <si>
    <t>NACE G - 47.30 Retail sale of automotive fuel</t>
  </si>
  <si>
    <t xml:space="preserve">    12 01 08 - Hazardous - Machining emulsions and solutions containing halogens</t>
  </si>
  <si>
    <t xml:space="preserve">    12 01 09 - Hazardous - Machining emulsions and solutions free of halogens</t>
  </si>
  <si>
    <t>NACE G - 47.40 Retail sale of information and communication equipment</t>
  </si>
  <si>
    <t xml:space="preserve">    12 01 10 - Hazardous - Synthetic machining oils</t>
  </si>
  <si>
    <t xml:space="preserve">    12 01 12 - Hazardous - Spent waxes and fats</t>
  </si>
  <si>
    <t>NACE G - 47.51 Retail sale of textiles</t>
  </si>
  <si>
    <t xml:space="preserve">    12 01 13 - Non-Hazardous - Welding wastes</t>
  </si>
  <si>
    <t>NACE G - 47.52 Retail sale of hardware, building materials, paints and glass</t>
  </si>
  <si>
    <t xml:space="preserve">    12 01 14 - Hazardous - Machining sludges containing hazardous substances</t>
  </si>
  <si>
    <t>NACE G - 47.53 Retail sale of carpets, rugs, wall and floor coverings</t>
  </si>
  <si>
    <t xml:space="preserve">    12 01 15 - Non-Hazardous - Machining sludges other than those mentioned in 12 01 14</t>
  </si>
  <si>
    <t>NACE G - 47.54 Retail sale of electrical household appliances</t>
  </si>
  <si>
    <t xml:space="preserve">    12 01 16 - Hazardous - Waste blasting material containing hazardous substances</t>
  </si>
  <si>
    <t>NACE G - 47.55 Retail sale of furniture, lighting equipment, tableware and other household goods</t>
  </si>
  <si>
    <t xml:space="preserve">    12 01 17 - Non-Hazardous - Waste blasting material other than those mentioned in 12 01 16</t>
  </si>
  <si>
    <t xml:space="preserve">    12 01 18 - Hazardous - Metal sludge (grinding, honing and lapping sludge) containing oil</t>
  </si>
  <si>
    <t>NACE G - 47.61 Retail sale of books</t>
  </si>
  <si>
    <t xml:space="preserve">    12 01 19 - Hazardous - Readily biodegradable machining oil</t>
  </si>
  <si>
    <t>NACE G - 47.62 Retail sale of newspapers, and other periodical publications and stationery</t>
  </si>
  <si>
    <t xml:space="preserve">    12 01 20 - Hazardous - Spent grinding bodies and grinding materials containing hazardous substances</t>
  </si>
  <si>
    <t>NACE G - 47.63 Retail sale of sporting equipment</t>
  </si>
  <si>
    <t xml:space="preserve">    12 01 21 - Non-Hazardous - Spent grinding bodies and grinding materials other than those mentioned in 12 01 20</t>
  </si>
  <si>
    <t>NACE G - 47.64 Retail sale of games and toys</t>
  </si>
  <si>
    <t xml:space="preserve">    12 01 99 - Non-Hazardous - Wastes not otherwise specified</t>
  </si>
  <si>
    <t>NACE G - 47.69 Retail sale of cultural and recreational goods n.e.c.</t>
  </si>
  <si>
    <t xml:space="preserve">  12 03 - Wastes from water and steam degreasing processes (except 11)</t>
  </si>
  <si>
    <t xml:space="preserve">    12 03 01 - Hazardous - Aqueous washing liquids</t>
  </si>
  <si>
    <t>NACE G - 47.71 Retail sale of clothing</t>
  </si>
  <si>
    <t xml:space="preserve">    12 03 02 - Hazardous - Steam degreasing wastes</t>
  </si>
  <si>
    <t>NACE G - 47.72 Retail sale of footwear and leather goods</t>
  </si>
  <si>
    <t>13 - OIL WASTES AND WASTES OF LIQUID FUELS (except edible oils, and those in chapters 05, 12 and 19)</t>
  </si>
  <si>
    <t>NACE G - 47.73 Retail sale of pharmaceutical products</t>
  </si>
  <si>
    <t xml:space="preserve">  13 01 - Waste hydraulic oils</t>
  </si>
  <si>
    <t>NACE G - 47.74 Retail sale of medical and orthopaedic goods</t>
  </si>
  <si>
    <t xml:space="preserve">    13 01 01 - Hazardous - Hydraulic oils, containing PCBs</t>
  </si>
  <si>
    <t>NACE G - 47.75 Retail sale of cosmetic and toilet articles</t>
  </si>
  <si>
    <t xml:space="preserve">    13 01 04 - Hazardous - Chlorinated emulsions</t>
  </si>
  <si>
    <t>NACE G - 47.76 Retail sale of flowers, plants, fertilisers, pets and pet food</t>
  </si>
  <si>
    <t xml:space="preserve">    13 01 05 - Hazardous - Non-chlorinated emulsions</t>
  </si>
  <si>
    <t>NACE G - 47.77 Retail sale of watches and jewellery</t>
  </si>
  <si>
    <t xml:space="preserve">    13 01 09 - Hazardous - Mineral-based chlorinated hydraulic oils</t>
  </si>
  <si>
    <t>NACE G - 47.78 Retail sale of other new goods</t>
  </si>
  <si>
    <t xml:space="preserve">    13 01 10 - Hazardous - Mineral based non-chlorinated hydraulic oils</t>
  </si>
  <si>
    <t>NACE G - 47.79 Retail sale of second-hand goods</t>
  </si>
  <si>
    <t xml:space="preserve">    13 01 11 - Hazardous - Synthetic hydraulic oils</t>
  </si>
  <si>
    <t xml:space="preserve">    13 01 12 - Hazardous - Readily biodegradable hydraulic oils</t>
  </si>
  <si>
    <t>NACE G - 47.81 Retail sale of motor vehicles</t>
  </si>
  <si>
    <t xml:space="preserve">    13 01 13 - Hazardous - Other hydraulic oils</t>
  </si>
  <si>
    <t>NACE G - 47.82 Retail sale of motor vehicle parts and accessories</t>
  </si>
  <si>
    <t xml:space="preserve">  13 02 - Waste engine, gear and lubricating oils</t>
  </si>
  <si>
    <t>NACE G - 47.83 Retail sale of motorcycles, motorcycle parts and accessories</t>
  </si>
  <si>
    <t xml:space="preserve">    13 02 04 - Hazardous - Mineral-based chlorinated engine, gear and lubricating oils</t>
  </si>
  <si>
    <t xml:space="preserve">    13 02 05 - Hazardous - Mineral-based non-chlorinated engine, gear and lubricating oils</t>
  </si>
  <si>
    <t>NACE G - 47.91 Intermediation service activities for non-specialised retail sale</t>
  </si>
  <si>
    <t xml:space="preserve">    13 02 06 - Hazardous - Synthetic engine, gear and lubricating oils</t>
  </si>
  <si>
    <t>NACE G - 47.92 Intermediation service activities for specialised retail sale</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</si>
  <si>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</si>
  <si>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</si>
  <si>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</si>
  <si>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</si>
  <si>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NACE H - 49.11 Passenger heavy rail transport</t>
  </si>
  <si>
    <t xml:space="preserve">    13 03 06 - Hazardous - Mineral-based chlorinated insulating and heat transmission oils other than those mentioned in 13 03 01</t>
  </si>
  <si>
    <t>NACE H - 49.12 Other passenger rail transport</t>
  </si>
  <si>
    <t xml:space="preserve">    13 03 07 - Hazardous - Mineral-based non-chlorinated insulating and heat transmission oils</t>
  </si>
  <si>
    <t xml:space="preserve">    13 03 08 - Hazardous - Synthetic insulating and heat transmission oils</t>
  </si>
  <si>
    <t>NACE H - 49.20 Freight rail transport</t>
  </si>
  <si>
    <t xml:space="preserve">    13 03 09 - Hazardous - Readily biodegradable insulating and heat transmission oils</t>
  </si>
  <si>
    <t xml:space="preserve">    13 03 10 - Hazardous - Other insulating and heat transmission oils</t>
  </si>
  <si>
    <t>NACE H - 49.31 Scheduled passenger transport by road</t>
  </si>
  <si>
    <t xml:space="preserve">  13 04 - Bilge oils</t>
  </si>
  <si>
    <t>NACE H - 49.32 Non-scheduled passenger transport by road</t>
  </si>
  <si>
    <t xml:space="preserve">    13 04 01 - Hazardous - Bilge oils from inland navigation</t>
  </si>
  <si>
    <t>NACE H - 49.33 On-demand passenger transport service activities by vehicle with driver</t>
  </si>
  <si>
    <t xml:space="preserve">    13 04 02 - Hazardous - Bilge oils from jetty sewers</t>
  </si>
  <si>
    <t>NACE H - 49.34 Passenger transport by cableways and ski lifts</t>
  </si>
  <si>
    <t xml:space="preserve">    13 04 03 - Hazardous - Bilge oils from other navigation</t>
  </si>
  <si>
    <t>NACE H - 49.39 Other passenger land transport n.e.c.</t>
  </si>
  <si>
    <t xml:space="preserve">  13 05 - Oil/water separator contents</t>
  </si>
  <si>
    <t xml:space="preserve">    13 05 01 - Hazardous - Solids from grit chambers and oil/water separators</t>
  </si>
  <si>
    <t>NACE H - 49.41 Freight transport by road</t>
  </si>
  <si>
    <t xml:space="preserve">    13 05 02 - Hazardous - Sludges from oil/water separators</t>
  </si>
  <si>
    <t>NACE H - 49.42 Removal services</t>
  </si>
  <si>
    <t xml:space="preserve">    13 05 03 - Hazardous - Interceptor sludges</t>
  </si>
  <si>
    <t xml:space="preserve">    13 05 06 - Hazardous - Oil from oil/water separators</t>
  </si>
  <si>
    <t>NACE H - 49.50 Transport via pipeline</t>
  </si>
  <si>
    <t xml:space="preserve">    13 05 07 - Hazardous - Oily water from oil/water separators</t>
  </si>
  <si>
    <t xml:space="preserve">    13 05 08 - Hazardous - Mixtures of wastes from grit chambers and oil/water separators</t>
  </si>
  <si>
    <t xml:space="preserve">  13 07 - Wastes of liquid fuels</t>
  </si>
  <si>
    <t>NACE H - 50.10 Sea and coastal passenger water transport</t>
  </si>
  <si>
    <t xml:space="preserve">    13 07 01 - Hazardous - Fuel oil and diesel</t>
  </si>
  <si>
    <t xml:space="preserve">    13 07 02 - Hazardous - Petrol</t>
  </si>
  <si>
    <t>NACE H - 50.20 Sea and coastal freight water transport</t>
  </si>
  <si>
    <t xml:space="preserve">    13 07 03 - Hazardous - Other fuels (including mixtures)</t>
  </si>
  <si>
    <t xml:space="preserve">  13 08 - Oil wastes not otherwise specified</t>
  </si>
  <si>
    <t>NACE H - 50.30 Inland passenger water transport</t>
  </si>
  <si>
    <t xml:space="preserve">    13 08 01 - Hazardous - Desalter sludges or emulsions</t>
  </si>
  <si>
    <t xml:space="preserve">    13 08 02 - Hazardous - Other emulsions</t>
  </si>
  <si>
    <t>NACE H - 50.40 Inland freight water transport</t>
  </si>
  <si>
    <t xml:space="preserve">    13 08 99 - Hazardous - Wastes not otherwise specified</t>
  </si>
  <si>
    <t>14 - WASTE ORGANIC SOLVENTS, REFRIGERANTS AND PROPELLANTS (except 07 and 08)</t>
  </si>
  <si>
    <t xml:space="preserve">  14 06 - Waste organic solvents, refrigerants and foam/aerosol propellants</t>
  </si>
  <si>
    <t>NACE H - 51.10 Passenger air transport</t>
  </si>
  <si>
    <t xml:space="preserve">    14 06 01 - Hazardous - Chlorofluorocarbons, HCFC, HFC</t>
  </si>
  <si>
    <t xml:space="preserve">    14 06 02 - Hazardous - Other halogenated solvents and solvent mixtures</t>
  </si>
  <si>
    <t>NACE H - 51.21 Freight air transport</t>
  </si>
  <si>
    <t xml:space="preserve">    14 06 03 - Hazardous - Other solvents and solvent mixtures</t>
  </si>
  <si>
    <t>NACE H - 51.22 Space transport</t>
  </si>
  <si>
    <t xml:space="preserve">    14 06 04 - Hazardous - Sludges or solid wastes containing halogenated solvents</t>
  </si>
  <si>
    <t xml:space="preserve">    14 06 05 - Hazardous - Sludges or solid wastes containing other solvents</t>
  </si>
  <si>
    <t>15 - WASTE PACKAGING; ABSORBENTS, WIPING CLOTHS, FILTER MATERIALS AND PROTECTIVE CLOTHING NOT OTHERWISE SPECIFIED</t>
  </si>
  <si>
    <t>NACE H - 52.10 Warehousing and storage</t>
  </si>
  <si>
    <t xml:space="preserve">  15 01 - Packaging (including separately collected municipal packaging waste)</t>
  </si>
  <si>
    <t xml:space="preserve">    15 01 01 - Non-Hazardous - Paper and cardboard packaging</t>
  </si>
  <si>
    <t>NACE H - 52.21 Service activities incidental to land transportation</t>
  </si>
  <si>
    <t xml:space="preserve">    15 01 02 - Non-Hazardous - Plastic packaging</t>
  </si>
  <si>
    <t>NACE H - 52.22 Service activities incidental to water transportation</t>
  </si>
  <si>
    <t xml:space="preserve">    15 01 03 - Non-Hazardous - Wooden packaging</t>
  </si>
  <si>
    <t>NACE H - 52.23 Service activities incidental to air transportation</t>
  </si>
  <si>
    <t xml:space="preserve">    15 01 04 - Non-Hazardous - Metallic packaging</t>
  </si>
  <si>
    <t>NACE H - 52.24 Cargo handling</t>
  </si>
  <si>
    <t xml:space="preserve">    15 01 05 - Non-Hazardous - Composite packaging</t>
  </si>
  <si>
    <t>NACE H - 52.25 Logistics service activities</t>
  </si>
  <si>
    <t xml:space="preserve">    15 01 06 - Non-Hazardous - Mixed packaging</t>
  </si>
  <si>
    <t>NACE H - 52.26 Other support activities for transportation</t>
  </si>
  <si>
    <t xml:space="preserve">    15 01 07 - Non-Hazardous - Glass packaging</t>
  </si>
  <si>
    <t xml:space="preserve">    15 01 09 - Non-Hazardous - Textile packaging</t>
  </si>
  <si>
    <t>NACE H - 52.31 Intermediation service activities for freight transportation</t>
  </si>
  <si>
    <t xml:space="preserve">    15 01 10 - Hazardous - Packaging containing residues of or contaminated by hazardous substances</t>
  </si>
  <si>
    <t>NACE H - 52.32 Intermediation service activities for passenger transportation</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</si>
  <si>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</si>
  <si>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</si>
  <si>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</si>
  <si>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NACE H - 53.10 Postal activities under universal service obligation</t>
  </si>
  <si>
    <t xml:space="preserve">    15 02 03 - Non-Hazardous - Absorbents, filter materials, wiping cloths and protective clothing other than those mentioned in 15 02 02</t>
  </si>
  <si>
    <t>16 - WASTES NOT OTHERWISE SPECIFIED IN THE LIST</t>
  </si>
  <si>
    <t>NACE H - 53.20 Other postal and courier activities</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</si>
  <si>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</si>
  <si>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</si>
  <si>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NACE H - 53.30 Intermediation service activities for postal and courier activities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</si>
  <si>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</si>
  <si>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</si>
  <si>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</si>
  <si>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</si>
  <si>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NACE I - 55.10 Hotels and similar accommodation</t>
  </si>
  <si>
    <t xml:space="preserve">    16 01 09 - Hazardous - Components containing PCBs</t>
  </si>
  <si>
    <t xml:space="preserve">    16 01 10 - Hazardous - Explosive components (for example air bags)</t>
  </si>
  <si>
    <t>NACE I - 55.20 Holiday and other short-stay accommodation</t>
  </si>
  <si>
    <t xml:space="preserve">    16 01 11 - Hazardous - Brake pads containing asbestos</t>
  </si>
  <si>
    <t xml:space="preserve">    16 01 12 - Non-Hazardous - Brake pads other than those mentioned in 16 01 11</t>
  </si>
  <si>
    <t>NACE I - 55.30 Camping grounds and recreational vehicle parks</t>
  </si>
  <si>
    <t xml:space="preserve">    16 01 13 - Hazardous - Brake fluids</t>
  </si>
  <si>
    <t xml:space="preserve">    16 01 14 - Hazardous - Antifreeze fluids containing hazardous substances</t>
  </si>
  <si>
    <t>NACE I - 55.40 Intermediation service activities for accommodation</t>
  </si>
  <si>
    <t xml:space="preserve">    16 01 15 - Non-Hazardous - Antifreeze fluids other than those mentioned in 16 01 14</t>
  </si>
  <si>
    <t xml:space="preserve">    16 01 16 - Non-Hazardous - Tanks for liquefied gas</t>
  </si>
  <si>
    <t>NACE I - 55.90 Other accommodation</t>
  </si>
  <si>
    <t xml:space="preserve">    16 01 17 - Non-Hazardous - Ferrous metal</t>
  </si>
  <si>
    <t xml:space="preserve">    16 01 18 - Non-Hazardous - Non-ferrous metal</t>
  </si>
  <si>
    <t xml:space="preserve">    16 01 19 - Non-Hazardous - Plastic</t>
  </si>
  <si>
    <t>NACE I - 56.11 Restaurant activities</t>
  </si>
  <si>
    <t xml:space="preserve">    16 01 20 - Non-Hazardous - Glass</t>
  </si>
  <si>
    <t>NACE I - 56.12 Mobile food service activities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</si>
  <si>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</si>
  <si>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</si>
  <si>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</si>
  <si>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NACE I - 56.22 Contract catering service activities and other food service activities</t>
  </si>
  <si>
    <t xml:space="preserve">  16 02 - Wastes from electrical and electronic equipment</t>
  </si>
  <si>
    <t xml:space="preserve">    16 02 09 - Hazardous - Transformers and capacitors containing PCBs</t>
  </si>
  <si>
    <t>NACE I - 56.30 Beverage serving activities</t>
  </si>
  <si>
    <t xml:space="preserve">    16 02 10 - Hazardous - Discarded equipment containing or contaminated by PCBs other than those mentioned in 16 02 09</t>
  </si>
  <si>
    <t xml:space="preserve">    16 02 11 - Hazardous - Discarded equipment containing chlorofluorocarbons, HCFC, HFC</t>
  </si>
  <si>
    <t>NACE I - 56.40 Intermediation service activities for food and beverage services activities</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</si>
  <si>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</si>
  <si>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</si>
  <si>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</si>
  <si>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</si>
  <si>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NACE J - 58.11 Publishing of books</t>
  </si>
  <si>
    <t xml:space="preserve">    16 02 16 - Non-Hazardous - Components removed from discarded equipment other than those mentioned in 16 02 15</t>
  </si>
  <si>
    <t>NACE J - 58.12 Publishing of newspapers</t>
  </si>
  <si>
    <t xml:space="preserve">  16 03 - Off-specification batches and unused products</t>
  </si>
  <si>
    <t>NACE J - 58.13 Publishing of journals and periodicals</t>
  </si>
  <si>
    <t xml:space="preserve">    16 03 03 - Hazardous - Inorganic wastes containing hazardous substances</t>
  </si>
  <si>
    <t>NACE J - 58.19 Other publishing activities, except software publishing</t>
  </si>
  <si>
    <t xml:space="preserve">    16 03 04 - Non-Hazardous - Inorganic wastes other than those mentioned in 16 03 03</t>
  </si>
  <si>
    <t xml:space="preserve">    16 03 05 - Hazardous - Organic wastes containing hazardous substances</t>
  </si>
  <si>
    <t>NACE J - 58.21 Publishing of video games</t>
  </si>
  <si>
    <t xml:space="preserve">    16 03 06 - Non-Hazardous - Organic wastes other than those mentioned in 16 03 05</t>
  </si>
  <si>
    <t>NACE J - 58.29 Other software publishing</t>
  </si>
  <si>
    <t xml:space="preserve">    16 03 07 - Hazardous - Metallic mercury</t>
  </si>
  <si>
    <t xml:space="preserve">  16 04 - Waste explosives</t>
  </si>
  <si>
    <t xml:space="preserve">    16 04 01 - Hazardous - Waste ammunition</t>
  </si>
  <si>
    <t>NACE J - 59.11 Motion picture, video and television programme production activities</t>
  </si>
  <si>
    <t xml:space="preserve">    16 04 02 - Hazardous - Fireworks wastes</t>
  </si>
  <si>
    <t>NACE J - 59.12 Motion picture, video and television programme post-production activities</t>
  </si>
  <si>
    <t xml:space="preserve">    16 04 03 - Hazardous - Other waste explosives</t>
  </si>
  <si>
    <t>NACE J - 59.13 Motion picture and video distribution activities</t>
  </si>
  <si>
    <t xml:space="preserve">  16 05 - Gases in pressure containers and discarded chemicals</t>
  </si>
  <si>
    <t>NACE J - 59.14 Motion picture projection activities</t>
  </si>
  <si>
    <t xml:space="preserve">    16 05 04 - Hazardous - Gases in pressure containers (including halons) containing hazardous substances</t>
  </si>
  <si>
    <t xml:space="preserve">    16 05 05 - Non-Hazardous - Gases in pressure containers other than those mentioned in 16 05 04</t>
  </si>
  <si>
    <t>NACE J - 59.20 Sound recording and music publishing activities</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</si>
  <si>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</si>
  <si>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</si>
  <si>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</si>
  <si>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NACE J - 60.10 Radio broadcasting and audio distribution activities</t>
  </si>
  <si>
    <t xml:space="preserve">    16 05 09 - Non-Hazardous - Discarded chemicals other than those mentioned in 16 05 06, 16 05 07 or 16 05 08</t>
  </si>
  <si>
    <t xml:space="preserve">  16 06 - Wastes from the manufacture, supply and use of batteries</t>
  </si>
  <si>
    <t>NACE J - 60.20 Television programming, broadcasting and video distribution activities</t>
  </si>
  <si>
    <t xml:space="preserve">    16 06 01 - Hazardous - Waste lead-acid batteries</t>
  </si>
  <si>
    <t xml:space="preserve">    16 06 02 - Hazardous - Waste nickel-cadmium batteries</t>
  </si>
  <si>
    <t>NACE J - 60.31 News agency activities</t>
  </si>
  <si>
    <t xml:space="preserve">    16 06 03 - Hazardous - Waste mercury-containing batteries</t>
  </si>
  <si>
    <t>NACE J - 60.39 Other content distribution activities</t>
  </si>
  <si>
    <t xml:space="preserve">    16 06 04 - Hazardous - Waste alkaline-based batteries (other than those mentioned in 16 06 03)</t>
  </si>
  <si>
    <t xml:space="preserve">    16 06 06 - Hazardous - Separately collected electrolyte from waste batteries</t>
  </si>
  <si>
    <t xml:space="preserve">    16 06 07 - Hazardous - Waste lithium-based batteries</t>
  </si>
  <si>
    <t xml:space="preserve">    16 06 08 - Hazardous - Waste nickel-based batteries other than those mentioned in 16 06 02 (for example nimh, na-nicl2)</t>
  </si>
  <si>
    <t>NACE K - 61.10 Wired, wireless, and satellite telecommunication activities</t>
  </si>
  <si>
    <t xml:space="preserve">    16 06 09 - Hazardous - Waste zinc-based batteries, including silver oxide batteries</t>
  </si>
  <si>
    <t xml:space="preserve">    16 06 10 - Hazardous - Waste sodium-based batteries containing hazardous substances (except 16 06 11)</t>
  </si>
  <si>
    <t>NACE K - 61.20 Telecommunication reselling activities and intermediation service activities for telecommunication</t>
  </si>
  <si>
    <t xml:space="preserve">    16 06 11 - Hazardous - Waste sodium sulphur batteries</t>
  </si>
  <si>
    <t xml:space="preserve">    16 06 12 - Non-Hazardous - Other waste sodium-based batteries (except 16 06 10 and 16 06 11)</t>
  </si>
  <si>
    <t>NACE K - 61.90 Other telecommunication activities</t>
  </si>
  <si>
    <t xml:space="preserve">    16 06 13 - Hazardous - Mixed waste batteries</t>
  </si>
  <si>
    <t xml:space="preserve">    16 06 14 - Hazardous - Other waste batteries containing hazardous substances</t>
  </si>
  <si>
    <t xml:space="preserve">    16 06 15 - Non-Hazardous - Waste batteries not otherwise specified other than those mentioned in 16 06 12 and 16 06 14</t>
  </si>
  <si>
    <t>NACE K - 62.10 Computer programming activities</t>
  </si>
  <si>
    <t xml:space="preserve">    16 06 22 - Hazardous - Lead-acid battery manufacturing waste containing hazardous substances (for example lead paste)</t>
  </si>
  <si>
    <t xml:space="preserve">    16 06 23 - Non-Hazardous - Lead-acid battery manufacturing waste other than that mentioned in 16 06 22</t>
  </si>
  <si>
    <t>NACE K - 62.20 Computer consultancy and computer facilities management activities</t>
  </si>
  <si>
    <t xml:space="preserve">    16 06 24 - Hazardous - Lithium-based battery manufacturing waste containing hazardous substances (for example cathode cut-offs, cathode slurry, off specification battery cells, modules and/or packs)</t>
  </si>
  <si>
    <t xml:space="preserve">    16 06 25 - Non-Hazardous - Lithium-based battery manufacturing waste other than those mentioned in 16 06 24 (for example anode cut-offs)</t>
  </si>
  <si>
    <t>NACE K - 62.90 Other information technology and computer service activities</t>
  </si>
  <si>
    <t xml:space="preserve">    16 06 26 - Hazardous - Nickel-based battery manufacturing waste containing hazardous substances (for example liquid and solid cathode material)</t>
  </si>
  <si>
    <t xml:space="preserve">    16 06 27 - Non-Hazardous - Nickel-based battery manufacturing waste other than that mentioned in 16 06 26</t>
  </si>
  <si>
    <t xml:space="preserve">    16 06 28 - Hazardous - Alkaline-based battery manufacturing waste containing hazardous substances</t>
  </si>
  <si>
    <t>NACE K - 63.10 Computing infrastructure, data processing, hosting and related activities</t>
  </si>
  <si>
    <t xml:space="preserve">    16 06 29 - Non-Hazardous - Alkaline-based battery manufacturing waste other than that mentioned in 16 06 28</t>
  </si>
  <si>
    <t xml:space="preserve">    16 06 30 - Hazardous - Zinc-based battery manufacturing waste containing hazardous substances</t>
  </si>
  <si>
    <t>NACE K - 63.91 Web search portal activities</t>
  </si>
  <si>
    <t xml:space="preserve">    16 06 31 - Non-Hazardous - Zinc-based battery manufacturing waste other than that mentioned in 16 06 30</t>
  </si>
  <si>
    <t>NACE K - 63.92 Other information service activities</t>
  </si>
  <si>
    <t xml:space="preserve">    16 06 32 - Hazardous - Sodium-based battery manufacturing waste containing hazardous substances</t>
  </si>
  <si>
    <t xml:space="preserve">    16 06 33 - Non-Hazardous - Sodium-based battery manufacturing waste other than that mentioned in 16 06 32</t>
  </si>
  <si>
    <t xml:space="preserve">    16 06 34 - Hazardous - Battery manufacturing waste containing hazardous substances other than that mentioned in 16 06 22, 16 06 24, 16 06 26, 16 06 28, 16 06 30 and 16 06 32</t>
  </si>
  <si>
    <t xml:space="preserve">    16 06 35 - Non-Hazardous - Battery manufacturing waste other than that mentioned in 16 06 23, 16 06 25, 16 06 27, 16 06 29, 16 06 31 and 16 06 33</t>
  </si>
  <si>
    <t>NACE L - 64.11 Central banking</t>
  </si>
  <si>
    <t xml:space="preserve">  16 07 - Wastes from transport tank, storage tank and barrel cleaning (except 05 and 13)</t>
  </si>
  <si>
    <t>NACE L - 64.19 Other monetary intermediation</t>
  </si>
  <si>
    <t xml:space="preserve">    16 07 08 - Hazardous - Wastes containing oil</t>
  </si>
  <si>
    <t xml:space="preserve">    16 07 09 - Hazardous - Wastes containing other hazardous substances</t>
  </si>
  <si>
    <t>NACE L - 64.21 Activities of holding companies</t>
  </si>
  <si>
    <t xml:space="preserve">    16 07 99 - Non-Hazardous - Wastes not otherwise specified</t>
  </si>
  <si>
    <t>NACE L - 64.22 Activities of financing conduits</t>
  </si>
  <si>
    <t xml:space="preserve">  16 08 - Spent catalysts</t>
  </si>
  <si>
    <t xml:space="preserve">    16 08 01 - Non-Hazardous - Spent catalysts containing gold, silver, rhenium, rhodium, palladium, iridium or platinum (except 16 08 07)</t>
  </si>
  <si>
    <t>NACE L - 64.31 Activities of money market and non-money market investments funds</t>
  </si>
  <si>
    <t xml:space="preserve">    16 08 02 - Hazardous - Spent catalysts containing hazardous transition metals or hazardous transition metal compounds</t>
  </si>
  <si>
    <t>NACE L - 64.32 Activities of trust, estate and agency accounts</t>
  </si>
  <si>
    <t xml:space="preserve">    16 08 03 - Non-Hazardous - Spent catalysts containing transition metals or transition metal compounds not otherwise specified</t>
  </si>
  <si>
    <t xml:space="preserve">    16 08 04 - Non-Hazardous - Spent fluid catalytic cracking catalysts (except 16 08 07)</t>
  </si>
  <si>
    <t>NACE L - 64.91 Financial leasing</t>
  </si>
  <si>
    <t xml:space="preserve">    16 08 05 - Hazardous - Spent catalysts containing phosphoric acid</t>
  </si>
  <si>
    <t>NACE L - 64.92 Other credit granting</t>
  </si>
  <si>
    <t xml:space="preserve">    16 08 06 - Hazardous - Spent liquids used as catalysts</t>
  </si>
  <si>
    <t>NACE L - 64.99 Other financial service activities, except insurance and pension funding n.e.c.</t>
  </si>
  <si>
    <t xml:space="preserve">    16 08 07 - Hazardous - Spent catalysts contaminated with hazardous substances</t>
  </si>
  <si>
    <t xml:space="preserve">  16 09 - Oxidising substances</t>
  </si>
  <si>
    <t xml:space="preserve">    16 09 01 - Hazardous - Permanganates, for example potassium permanganate</t>
  </si>
  <si>
    <t>NACE L - 65.11 Life insurance</t>
  </si>
  <si>
    <t xml:space="preserve">    16 09 02 - Hazardous - Chromates, for example potassium chromate, potassium or sodium dichromate</t>
  </si>
  <si>
    <t>NACE L - 65.12 Non-life insurance</t>
  </si>
  <si>
    <t xml:space="preserve">    16 09 03 - Hazardous - Peroxides, for example hydrogen peroxide</t>
  </si>
  <si>
    <t xml:space="preserve">    16 09 04 - Hazardous - Oxidising substances, not otherwise specified</t>
  </si>
  <si>
    <t>NACE L - 65.20 Reinsurance</t>
  </si>
  <si>
    <t xml:space="preserve">  16 10 - Aqueous liquid wastes destined for off-site treatment</t>
  </si>
  <si>
    <t xml:space="preserve">    16 10 01 - Hazardous - Aqueous liquid wastes containing hazardous substances</t>
  </si>
  <si>
    <t>NACE L - 65.30 Pension funding</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</si>
  <si>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</si>
  <si>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</si>
  <si>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</si>
  <si>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NACE L - 66.11 Administration of financial markets</t>
  </si>
  <si>
    <t xml:space="preserve">  16 11 - Waste linings and refractories</t>
  </si>
  <si>
    <t>NACE L - 66.12 Security and commodity contracts brokerage</t>
  </si>
  <si>
    <t xml:space="preserve">    16 11 01 - Hazardous - Carbon-based linings and refractories from metallurgical processes containing hazardous substances</t>
  </si>
  <si>
    <t>NACE L - 66.19 Other activities auxiliary to financial services, except insurance and pension funding</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</si>
  <si>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</si>
  <si>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</si>
  <si>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NACE L - 66.21 Risk and damage evaluation</t>
  </si>
  <si>
    <t xml:space="preserve">    16 11 04 - Non-Hazardous - Other linings and refractories from metallurgical processes other than those mentioned in 16 11 03</t>
  </si>
  <si>
    <t>NACE L - 66.22 Activities of insurance agents and brokers</t>
  </si>
  <si>
    <t xml:space="preserve">    16 11 05 - Hazardous - Linings and refractories from non-metallurgical processes containing hazardous substances</t>
  </si>
  <si>
    <t>NACE L - 66.29 Activities auxiliary to insurance and pension funding n.e.c.</t>
  </si>
  <si>
    <t xml:space="preserve">    16 11 06 - Non-Hazardous - Linings and refractories from non-metallurgical processes others than those mentioned in 16 11 05</t>
  </si>
  <si>
    <t>17 - CONSTRUCTION AND DEMOLITION WASTES (INCLUDING EXCAVATED SOIL FROM CONTAMINATED SITES)</t>
  </si>
  <si>
    <t>NACE L - 66.30 Fund management activities</t>
  </si>
  <si>
    <t xml:space="preserve">  17 01 - Concrete, bricks, tiles and ceramics</t>
  </si>
  <si>
    <t xml:space="preserve">    17 01 01 - Non-Hazardous - Concrete</t>
  </si>
  <si>
    <t xml:space="preserve">    17 01 02 - Non-Hazardous - Bricks</t>
  </si>
  <si>
    <t xml:space="preserve">    17 01 03 - Non-Hazardous - Tiles and ceramics</t>
  </si>
  <si>
    <t>NACE M - 68.11 Buying and selling of own real estate</t>
  </si>
  <si>
    <t xml:space="preserve">    17 01 06 - Hazardous - Mixtures of, or separate fractions of concrete, bricks, tiles and ceramics containing hazardous substances</t>
  </si>
  <si>
    <t>NACE M - 68.12 Development of building projects</t>
  </si>
  <si>
    <t xml:space="preserve">    17 01 07 - Non-Hazardous - Mixtures of concrete, bricks, tiles and ceramics other than those mentioned in 17 01 06</t>
  </si>
  <si>
    <t xml:space="preserve">  17 02 - Wood, glass and plastic</t>
  </si>
  <si>
    <t>NACE M - 68.20 Rental and operating of own or leased real estate</t>
  </si>
  <si>
    <t xml:space="preserve">    17 02 01 - Non-Hazardous - Wood</t>
  </si>
  <si>
    <t xml:space="preserve">    17 02 02 - Non-Hazardous - Glass</t>
  </si>
  <si>
    <t>NACE M - 68.31 Intermediation service activities for real estate activities</t>
  </si>
  <si>
    <t xml:space="preserve">    17 02 03 - Non-Hazardous - Plastic</t>
  </si>
  <si>
    <t>NACE M - 68.32 Other real estate activities on a fee or contract basis</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</si>
  <si>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</si>
  <si>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</si>
  <si>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</si>
  <si>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</si>
  <si>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NACE N - 69.10 Legal activities</t>
  </si>
  <si>
    <t xml:space="preserve">    17 03 03 - Hazardous - Coal tar and tarred products</t>
  </si>
  <si>
    <t xml:space="preserve">  17 04 - Metals (including their alloys)</t>
  </si>
  <si>
    <t>NACE N - 69.20 Accounting, bookkeeping and auditing activities; tax consultancy</t>
  </si>
  <si>
    <t xml:space="preserve">    17 04 01 - Non-Hazardous - Copper, bronze, brass</t>
  </si>
  <si>
    <t xml:space="preserve">    17 04 02 - Non-Hazardous - Aluminium</t>
  </si>
  <si>
    <t xml:space="preserve">    17 04 03 - Non-Hazardous - Lead</t>
  </si>
  <si>
    <t>NACE N - 70.10 Activities of head offices</t>
  </si>
  <si>
    <t xml:space="preserve">    17 04 04 - Non-Hazardous - Zinc</t>
  </si>
  <si>
    <t xml:space="preserve">    17 04 05 - Non-Hazardous - Iron and steel</t>
  </si>
  <si>
    <t>NACE N - 70.20 Business and other management consultancy activities</t>
  </si>
  <si>
    <t xml:space="preserve">    17 04 06 - Non-Hazardous - Tin</t>
  </si>
  <si>
    <t xml:space="preserve">    17 04 07 - Non-Hazardous - Mixed metals</t>
  </si>
  <si>
    <t xml:space="preserve">    17 04 09 - Hazardous - Metal waste contaminated with hazardous substances</t>
  </si>
  <si>
    <t>NACE N - 71.11 Architectural activities</t>
  </si>
  <si>
    <t xml:space="preserve">    17 04 10 - Hazardous - Cables containing oil, coal tar and other hazardous substances</t>
  </si>
  <si>
    <t>NACE N - 71.12 Engineering activities and related technical consultancy</t>
  </si>
  <si>
    <t xml:space="preserve">    17 04 11 - Non-Hazardous - Cables other than those mentioned in 17 04 10</t>
  </si>
  <si>
    <t xml:space="preserve">  17 05 - Soil (including excavated soil from contaminated sites), stones and dredging spoil</t>
  </si>
  <si>
    <t>NACE N - 71.20 Technical testing and analysis</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</si>
  <si>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</si>
  <si>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</si>
  <si>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</si>
  <si>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NACE N - 72.10 Research and experimental development on natural sciences and engineering</t>
  </si>
  <si>
    <t xml:space="preserve">    17 05 06 - Non-Hazardous - Dredging spoil other than those mentioned in 17 05 05</t>
  </si>
  <si>
    <t xml:space="preserve">    17 05 07 - Hazardous - Track ballast containing hazardous substances</t>
  </si>
  <si>
    <t>NACE N - 72.20 Research and experimental development on social sciences and humanities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</si>
  <si>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</si>
  <si>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</si>
  <si>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</si>
  <si>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NACE N - 73.11 Activities of advertising agencies</t>
  </si>
  <si>
    <t xml:space="preserve">    17 06 03 - Hazardous - Other insulation materials consisting of or containing hazardous substances</t>
  </si>
  <si>
    <t>NACE N - 73.12 Media representation</t>
  </si>
  <si>
    <t xml:space="preserve">    17 06 04 - Non-Hazardous - Insulation materials other than those mentioned in 17 06 01 and 17 06 03</t>
  </si>
  <si>
    <t xml:space="preserve">    17 06 05 - Hazardous - Construction materials containing asbestos</t>
  </si>
  <si>
    <t>NACE N - 73.20 Market research and public opinion polling</t>
  </si>
  <si>
    <t xml:space="preserve">  17 08 - Gypsum-based construction material</t>
  </si>
  <si>
    <t xml:space="preserve">    17 08 01 - Hazardous - Gypsum-based construction materials contaminated with hazardous substances</t>
  </si>
  <si>
    <t>NACE N - 73.30 Public relations and communication activities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</si>
  <si>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</si>
  <si>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</si>
  <si>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</si>
  <si>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NACE N - 74.11 Industrial product and fashion design activities</t>
  </si>
  <si>
    <t xml:space="preserve">    17 09 02 - Hazardous - Construction and demolition wastes containing PCB (for example PCB-containing sealants, PCB-containing resin-based floorings, PCB-containing sealed glazing units, PCB-containing capacitors)</t>
  </si>
  <si>
    <t>NACE N - 74.12 Graphic design and visual communication activities</t>
  </si>
  <si>
    <t xml:space="preserve">    17 09 03 - Hazardous - Other construction and demolition wastes (including mixed wastes) containing hazardous substances</t>
  </si>
  <si>
    <t>NACE N - 74.13 Interior design activities</t>
  </si>
  <si>
    <t xml:space="preserve">    17 09 04 - Non-Hazardous - Mixed construction and demolition wastes other than those mentioned in 17 09 01, 17 09 02 and 17 09 03</t>
  </si>
  <si>
    <t>NACE N - 74.14 Other specialised design activities</t>
  </si>
  <si>
    <t>18 - WASTES FROM HUMAN OR ANIMAL HEALTH CARE AND/OR RELATED RESEARCH (except kitchen and restaurant wastes not arising from immediate health care)</t>
  </si>
  <si>
    <t xml:space="preserve">  18 01 - Wastes from natal care, diagnosis, treatment or prevention of disease in humans</t>
  </si>
  <si>
    <t>NACE N - 74.20 Photographic activities</t>
  </si>
  <si>
    <t xml:space="preserve">    18 01 01 - Non-Hazardous - Sharps (except 18 01 03)</t>
  </si>
  <si>
    <t xml:space="preserve">    18 01 02 - Non-Hazardous - Body parts and organs including blood bags and blood preserves (except 18 01 03)</t>
  </si>
  <si>
    <t>NACE N - 74.30 Translation and interpretation activities</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</si>
  <si>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</si>
  <si>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</si>
  <si>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NACE N - 74.91 Patent brokering and marketing service activities</t>
  </si>
  <si>
    <t xml:space="preserve">    18 01 06 - Hazardous - Chemicals consisting of or containing hazardous substances</t>
  </si>
  <si>
    <t>NACE N - 74.99 All other professional, scientific and technical activities n.e.c.</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</si>
  <si>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</si>
  <si>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</si>
  <si>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</si>
  <si>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NACE N - 75.00 Veterinary activities</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</si>
  <si>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</si>
  <si>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</si>
  <si>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</si>
  <si>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</si>
  <si>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NACE O - 77.11 Rental and leasing of cars and light motor vehicles</t>
  </si>
  <si>
    <t xml:space="preserve">    18 02 03 - Non-Hazardous - Wastes whose collection and disposal is not subject to special requirements in order to prevent infection</t>
  </si>
  <si>
    <t>NACE O - 77.12 Rental and leasing of trucks</t>
  </si>
  <si>
    <t xml:space="preserve">    18 02 05 - Hazardous - Chemicals consisting of or containing hazardous substances</t>
  </si>
  <si>
    <t xml:space="preserve">    18 02 06 - Non-Hazardous - Chemicals other than those mentioned in 18 02 05</t>
  </si>
  <si>
    <t>NACE O - 77.21 Rental and leasing of recreational and sports goods</t>
  </si>
  <si>
    <t xml:space="preserve">    18 02 07 - Hazardous - Cytotoxic and cytostatic medicines</t>
  </si>
  <si>
    <t>NACE O - 77.22 Rental and leasing of other personal and household goods</t>
  </si>
  <si>
    <t xml:space="preserve">    18 02 08 - Non-Hazardous - Medicines other than those mentioned in 18 02 07</t>
  </si>
  <si>
    <t>19 - WASTES FROM WASTE MANAGEMENT FACILITIES, OFF-SITE WASTE WATER TREATMENT PLANTS AND THE PREPARATION OF WATER INTENDED FOR HUMAN CONSUMPTION AND WATER FOR INDUSTRIAL USE</t>
  </si>
  <si>
    <t>NACE O - 77.31 Rental and leasing of agricultural machinery and equipment</t>
  </si>
  <si>
    <t xml:space="preserve">  19 01 - Wastes from incineration or pyrolysis of waste</t>
  </si>
  <si>
    <t>NACE O - 77.32 Rental and leasing of construction and civil engineering machinery and equipment</t>
  </si>
  <si>
    <t xml:space="preserve">    19 01 02 - Non-Hazardous - Ferrous materials removed from bottom ash</t>
  </si>
  <si>
    <t>NACE O - 77.33 Rental and leasing of office machinery, equipment and computers</t>
  </si>
  <si>
    <t xml:space="preserve">    19 01 05 - Hazardous - Filter cake from gas treatment</t>
  </si>
  <si>
    <t>NACE O - 77.34 Rental and leasing of water transport equipment</t>
  </si>
  <si>
    <t xml:space="preserve">    19 01 06 - Hazardous - Aqueous liquid wastes from gas treatment and other aqueous liquid wastes</t>
  </si>
  <si>
    <t>NACE O - 77.35 Rental and leasing of air transport equipment</t>
  </si>
  <si>
    <t xml:space="preserve">    19 01 07 - Hazardous - Solid wastes from gas treatment</t>
  </si>
  <si>
    <t>NACE O - 77.39 Rental and leasing of other machinery, equipment and tangible goods n.e.c.</t>
  </si>
  <si>
    <t xml:space="preserve">    19 01 10 - Hazardous - Spent activated carbon from flue-gas treatment</t>
  </si>
  <si>
    <t xml:space="preserve">    19 01 11 - Hazardous - Bottom ash and slag containing hazardous substances</t>
  </si>
  <si>
    <t>NACE O - 77.40 Leasing of intellectual property and similar products, except copyrighted works</t>
  </si>
  <si>
    <t xml:space="preserve">    19 01 12 - Non-Hazardous - Bottom ash and slag other than those mentioned in 19 01 11</t>
  </si>
  <si>
    <t xml:space="preserve">    19 01 13 - Hazardous - Fly ash containing hazardous substances</t>
  </si>
  <si>
    <t>NACE O - 77.51 Intermediation service activities for rental and leasing of cars, motorhomes and trailers</t>
  </si>
  <si>
    <t xml:space="preserve">    19 01 14 - Non-Hazardous - Fly ash other than those mentioned in 19 01 13</t>
  </si>
  <si>
    <t>NACE O - 77.52 Intermediation service activities for rental and leasing of other tangible goods and non-financial intangible assets</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</si>
  <si>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</si>
  <si>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</si>
  <si>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</si>
  <si>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NACE O - 78.10 Activities of employment placement agencies</t>
  </si>
  <si>
    <t xml:space="preserve">    19 01 18 - Non-Hazardous - Pyrolysis wastes other than those mentioned in 19 01 17</t>
  </si>
  <si>
    <t xml:space="preserve">    19 01 19 - Non-Hazardous - Sands from fluidised beds</t>
  </si>
  <si>
    <t>NACE O - 78.20 Temporary employment agency activities and other human resource provisions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</si>
  <si>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</si>
  <si>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</si>
  <si>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</si>
  <si>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NACE O - 79.11 Travel agency activities</t>
  </si>
  <si>
    <t xml:space="preserve">    19 02 04 - Hazardous - Premixed wastes composed of at least one hazardous waste</t>
  </si>
  <si>
    <t>NACE O - 79.12 Tour operator activities</t>
  </si>
  <si>
    <t xml:space="preserve">    19 02 05 - Hazardous - Sludges from physico/chemical treatment containing hazardous substances</t>
  </si>
  <si>
    <t xml:space="preserve">    19 02 06 - Non-Hazardous - Sludges from physico/chemical treatment other than those mentioned in 19 02 05</t>
  </si>
  <si>
    <t>NACE O - 79.90 Other reservation service and related activities</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</si>
  <si>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</si>
  <si>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</si>
  <si>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</si>
  <si>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NACE O - 80.01 Investigation and private security activities</t>
  </si>
  <si>
    <t xml:space="preserve">    19 02 10 - Non-Hazardous - Combustible wastes other than those mentioned in 19 02 08 and 19 02 09</t>
  </si>
  <si>
    <t>NACE O - 80.09 Security activities n.e.c.</t>
  </si>
  <si>
    <t xml:space="preserve">    19 02 12 - Hazardous - Solid salts and solutions containing heavy metals from battery recycling</t>
  </si>
  <si>
    <t xml:space="preserve">    19 02 13 - Hazardous - Other wastes containing hazardous substances’</t>
  </si>
  <si>
    <t xml:space="preserve">    19 02 99 - Non-Hazardous - Wastes not otherwise specified</t>
  </si>
  <si>
    <t>NACE O - 81.10 Combined facilities support activities</t>
  </si>
  <si>
    <t xml:space="preserve">  19 03 - Stabilised/solidified wastes</t>
  </si>
  <si>
    <t xml:space="preserve">    19 03 04 - Hazardous - Wastes marked as hazardous, partly stabilised other than 19 03 08</t>
  </si>
  <si>
    <t>NACE O - 81.21 General cleaning of buildings</t>
  </si>
  <si>
    <t xml:space="preserve">    19 03 05 - Non-Hazardous - Stabilised wastes other than those mentioned in 19 03 04</t>
  </si>
  <si>
    <t>NACE O - 81.22 Other building and industrial cleaning activities</t>
  </si>
  <si>
    <t xml:space="preserve">    19 03 06 - Hazardous - Wastes marked as hazardous, solidified</t>
  </si>
  <si>
    <t>NACE O - 81.23 Other cleaning activities</t>
  </si>
  <si>
    <t xml:space="preserve">    19 03 07 - Non-Hazardous - Solidified wastes other than those mentioned in 19 03 06</t>
  </si>
  <si>
    <t xml:space="preserve">    19 03 08 - Hazardous - Partly stabilised mercury</t>
  </si>
  <si>
    <t>NACE O - 81.30 Landscape service activities</t>
  </si>
  <si>
    <t xml:space="preserve">  19 04 - Vitrified waste and wastes from vitrification</t>
  </si>
  <si>
    <t xml:space="preserve">    19 04 01 - Non-Hazardous - Vitrified waste</t>
  </si>
  <si>
    <t xml:space="preserve">    19 04 02 - Hazardous - Fly ash and other flue-gas treatment wastes</t>
  </si>
  <si>
    <t>NACE O - 82.10 Office administrative and support activities</t>
  </si>
  <si>
    <t xml:space="preserve">    19 04 03 - Hazardous - Non-vitrified solid phase</t>
  </si>
  <si>
    <t xml:space="preserve">    19 04 04 - Non-Hazardous - Aqueous liquid wastes from vitrified waste tempering</t>
  </si>
  <si>
    <t>NACE O - 82.20 Activities of call centres</t>
  </si>
  <si>
    <t xml:space="preserve">  19 05 - Wastes from aerobic treatment of solid wastes</t>
  </si>
  <si>
    <t xml:space="preserve">    19 05 01 - Non-Hazardous - Non-composted fraction of municipal and similar wastes</t>
  </si>
  <si>
    <t>NACE O - 82.30 Organisation of conventions and trade shows</t>
  </si>
  <si>
    <t xml:space="preserve">    19 05 02 - Non-Hazardous - Non-composted fraction of animal and vegetable waste</t>
  </si>
  <si>
    <t xml:space="preserve">    19 05 03 - Non-Hazardous - Off-specification compost</t>
  </si>
  <si>
    <t>NACE O - 82.40 Intermediation service activities for business support service activities n.e.c.</t>
  </si>
  <si>
    <t xml:space="preserve">    19 05 99 - Non-Hazardous - Wastes not otherwise specified</t>
  </si>
  <si>
    <t xml:space="preserve">  19 06 - Wastes from anaerobic treatment of waste</t>
  </si>
  <si>
    <t>NACE O - 82.91 Activities of collection agencies and credit bureaus</t>
  </si>
  <si>
    <t xml:space="preserve">    19 06 03 - Non-Hazardous - Liquor from anaerobic treatment of municipal waste</t>
  </si>
  <si>
    <t>NACE O - 82.92 Packaging activities</t>
  </si>
  <si>
    <t xml:space="preserve">    19 06 04 - Non-Hazardous - Digestate from anaerobic treatment of municipal waste</t>
  </si>
  <si>
    <t>NACE O - 82.99 Other business support service activities n.e.c.</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</si>
  <si>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</si>
  <si>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</si>
  <si>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</si>
  <si>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</si>
  <si>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NACE P - 84.11 General public administration activities</t>
  </si>
  <si>
    <t xml:space="preserve">    19 07 02 - Hazardous - Landfill leachate containing hazardous substances</t>
  </si>
  <si>
    <t>NACE P - 84.12 Regulation of health care, education, cultural services and other social services</t>
  </si>
  <si>
    <t xml:space="preserve">    19 07 03 - Non-Hazardous - Landfill leachate other than those mentioned in 19 07 02</t>
  </si>
  <si>
    <t>NACE P - 84.13 Regulation of and contribution to more efficient operation of businesses</t>
  </si>
  <si>
    <t xml:space="preserve">  19 08 - Wastes from waste water treatment plants not otherwise specified</t>
  </si>
  <si>
    <t xml:space="preserve">    19 08 01 - Non-Hazardous - Screenings</t>
  </si>
  <si>
    <t>NACE P - 84.21 Foreign affairs</t>
  </si>
  <si>
    <t xml:space="preserve">    19 08 02 - Non-Hazardous - Waste from desanding</t>
  </si>
  <si>
    <t>NACE P - 84.22 Defence activities</t>
  </si>
  <si>
    <t xml:space="preserve">    19 08 05 - Non-Hazardous - Sludges from treatment of urban waste water</t>
  </si>
  <si>
    <t>NACE P - 84.23 Justice and judicial activities</t>
  </si>
  <si>
    <t xml:space="preserve">    19 08 06 - Hazardous - Saturated or spent ion exchange resins</t>
  </si>
  <si>
    <t>NACE P - 84.24 Public order and safety activities</t>
  </si>
  <si>
    <t xml:space="preserve">    19 08 07 - Hazardous - Solutions and sludges from regeneration of ion exchangers</t>
  </si>
  <si>
    <t>NACE P - 84.25 Fire service activities</t>
  </si>
  <si>
    <t xml:space="preserve">    19 08 08 - Hazardous - Membrane system waste containing heavy metals</t>
  </si>
  <si>
    <t xml:space="preserve">    19 08 09 - Non-Hazardous - Grease and oil mixture from oil/water separation containing only edible oil and fats</t>
  </si>
  <si>
    <t>NACE P - 84.30 Compulsory social security activities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</si>
  <si>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</si>
  <si>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</si>
  <si>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</si>
  <si>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</si>
  <si>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NACE Q - 85.10 Pre-primary education</t>
  </si>
  <si>
    <t xml:space="preserve">    19 08 14 - Non-Hazardous - Sludges from other treatment of industrial waste water other than those mentioned in 19 08 13</t>
  </si>
  <si>
    <t xml:space="preserve">    19 08 99 - Non-Hazardous - Wastes not otherwise specified</t>
  </si>
  <si>
    <t>NACE Q - 85.20 Primary education</t>
  </si>
  <si>
    <t xml:space="preserve">  19 09 - Wastes from the preparation of water intended for human consumption or water for industrial use</t>
  </si>
  <si>
    <t xml:space="preserve">    19 09 01 - Non-Hazardous - Solid waste from primary filtration and screenings</t>
  </si>
  <si>
    <t>NACE Q - 85.31 General secondary education</t>
  </si>
  <si>
    <t xml:space="preserve">    19 09 02 - Non-Hazardous - Sludges from water clarification</t>
  </si>
  <si>
    <t>NACE Q - 85.32 Vocational secondary education</t>
  </si>
  <si>
    <t xml:space="preserve">    19 09 03 - Non-Hazardous - Sludges from decarbonation</t>
  </si>
  <si>
    <t>NACE Q - 85.33 Post-secondary non-tertiary education</t>
  </si>
  <si>
    <t xml:space="preserve">    19 09 04 - Non-Hazardous - Spent activated carbon</t>
  </si>
  <si>
    <t xml:space="preserve">    19 09 05 - Non-Hazardous - Saturated or spent ion exchange resins</t>
  </si>
  <si>
    <t>NACE Q - 85.40 Tertiary education</t>
  </si>
  <si>
    <t xml:space="preserve">    19 09 06 - Non-Hazardous - Solutions and sludges from regeneration of ion exchangers</t>
  </si>
  <si>
    <t xml:space="preserve">    19 09 99 - Non-Hazardous - Wastes not otherwise specified</t>
  </si>
  <si>
    <t>NACE Q - 85.51 Sports and recreation education</t>
  </si>
  <si>
    <t xml:space="preserve">  19 10 - Wastes from shredding of metal-containing wastes</t>
  </si>
  <si>
    <t>NACE Q - 85.52 Cultural education</t>
  </si>
  <si>
    <t xml:space="preserve">    19 10 01 - Non-Hazardous - Iron and steel waste</t>
  </si>
  <si>
    <t>NACE Q - 85.53 Driving school activities</t>
  </si>
  <si>
    <t xml:space="preserve">    19 10 02 - Non-Hazardous - Non-ferrous waste</t>
  </si>
  <si>
    <t>NACE Q - 85.59 Other education n.e.c.</t>
  </si>
  <si>
    <t xml:space="preserve">    19 10 03 - Hazardous - Fluff-light fraction and dust containing hazardous substances</t>
  </si>
  <si>
    <t xml:space="preserve">    19 10 04 - Non-Hazardous - Fluff-light fraction and dust other than those mentioned in 19 10 03</t>
  </si>
  <si>
    <t>NACE Q - 85.61 Intermediation service activities for courses and tutors</t>
  </si>
  <si>
    <t xml:space="preserve">    19 10 05 - Hazardous - Other fractions containing hazardous substances</t>
  </si>
  <si>
    <t>NACE Q - 85.69 Educational support activities n.e.c.</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</si>
  <si>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</si>
  <si>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</si>
  <si>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</si>
  <si>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</si>
  <si>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NACE R - 86.10 Hospital activities</t>
  </si>
  <si>
    <t xml:space="preserve">    19 11 03 - Hazardous - Aqueous liquid wastes</t>
  </si>
  <si>
    <t xml:space="preserve">    19 11 04 - Hazardous - Wastes from cleaning of fuel with bases</t>
  </si>
  <si>
    <t>NACE R - 86.21 General medical practice activities</t>
  </si>
  <si>
    <t xml:space="preserve">    19 11 05 - Hazardous - Sludges from on-site effluent treatment containing hazardous substances</t>
  </si>
  <si>
    <t>NACE R - 86.22 Medical specialists activities</t>
  </si>
  <si>
    <t xml:space="preserve">    19 11 06 - Non-Hazardous - Sludges from on-site effluent treatment other than those mentioned in 19 11 05</t>
  </si>
  <si>
    <t>NACE R - 86.23 Dental practice care activities</t>
  </si>
  <si>
    <t xml:space="preserve">    19 11 07 - Hazardous - Wastes from flue-gas cleaning</t>
  </si>
  <si>
    <t xml:space="preserve">    19 11 99 - Non-Hazardous - Wastes not otherwise specified</t>
  </si>
  <si>
    <t>NACE R - 86.91 Diagnostic imaging services and medical laboratory activities</t>
  </si>
  <si>
    <t xml:space="preserve">  19 12 - Wastes from the mechanical treatment of waste (for example sorting, crushing, compacting, pelletising) not otherwise specified</t>
  </si>
  <si>
    <t>NACE R - 86.92 Patient transportation by ambulance</t>
  </si>
  <si>
    <t xml:space="preserve">    19 12 01 - Non-Hazardous - Paper and cardboard</t>
  </si>
  <si>
    <t>NACE R - 86.93 Activities of psychologists and psychotherapists, except medical doctors</t>
  </si>
  <si>
    <t xml:space="preserve">    19 12 02 - Non-Hazardous - Ferrous metal</t>
  </si>
  <si>
    <t>NACE R - 86.94 Nursing and midwifery activities</t>
  </si>
  <si>
    <t xml:space="preserve">    19 12 03 - Non-Hazardous - Non-ferrous metal</t>
  </si>
  <si>
    <t>NACE R - 86.95 Physiotherapy activities</t>
  </si>
  <si>
    <t xml:space="preserve">    19 12 04 - Non-Hazardous - Plastic and rubber</t>
  </si>
  <si>
    <t>NACE R - 86.96 Traditional, complementary and alternative medicine activities</t>
  </si>
  <si>
    <t xml:space="preserve">    19 12 05 - Non-Hazardous - Glass</t>
  </si>
  <si>
    <t>NACE R - 86.97 Intermediation service activities for medical, dental and other human health services</t>
  </si>
  <si>
    <t xml:space="preserve">    19 12 06 - Hazardous - Wood containing hazardous substances</t>
  </si>
  <si>
    <t>NACE R - 86.99 Other human health activities n.e.c.</t>
  </si>
  <si>
    <t xml:space="preserve">    19 12 07 - Non-Hazardous - Wood other than that mentioned in 19 12 06</t>
  </si>
  <si>
    <t xml:space="preserve">    19 12 08 - Non-Hazardous - Textiles</t>
  </si>
  <si>
    <t xml:space="preserve">    19 12 09 - Non-Hazardous - Minerals (for example sand, stones)</t>
  </si>
  <si>
    <t>NACE R - 87.10 Residential nursing care activities</t>
  </si>
  <si>
    <t xml:space="preserve">    19 12 10 - Non-Hazardous - Combustible waste (refuse derived fuel)</t>
  </si>
  <si>
    <t xml:space="preserve">    19 12 11 - Hazardous - Other wastes (including mixtures of materials) from mechanical treatment of waste containing hazardous substances</t>
  </si>
  <si>
    <t>NACE R - 87.20 Residential care activities for persons living with or having a diagnosis of a mental illness or substance abuse</t>
  </si>
  <si>
    <t xml:space="preserve">    19 12 12 - Non-Hazardous - Other wastes (including mixtures of materials) from mechanical treatment of wastes other than those mentioned in 19 12 11</t>
  </si>
  <si>
    <t xml:space="preserve">  19 13 - Wastes from soil and groundwater remediation</t>
  </si>
  <si>
    <t>NACE R - 87.30 Residential care activities for older persons or persons with physical disabilities</t>
  </si>
  <si>
    <t xml:space="preserve">    19 13 01 - Hazardous - Solid wastes from soil remediation containing hazardous substances</t>
  </si>
  <si>
    <t xml:space="preserve">    19 13 02 - Non-Hazardous - Solid wastes from soil remediation other than those mentioned in 19 13 01</t>
  </si>
  <si>
    <t>NACE R - 87.91 Intermediation service activities for residential care activities</t>
  </si>
  <si>
    <t xml:space="preserve">    19 13 03 - Hazardous - Sludges from soil remediation containing hazardous substances</t>
  </si>
  <si>
    <t>NACE R - 87.99 Other residential care activities n.e.c.</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</si>
  <si>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</si>
  <si>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</si>
  <si>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</si>
  <si>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NACE R - 88.10 Social work activities without accommodation for older persons or persons with disabilities</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</si>
  <si>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</si>
  <si>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</si>
  <si>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NACE R - 88.91 Child day-care activities</t>
  </si>
  <si>
    <t xml:space="preserve">  19 14 - Intermediate fractions from the thermal and/or mechanical treatment of waste batteries and of battery manufacturing waste</t>
  </si>
  <si>
    <t>NACE R - 88.99 Other social work activities without accommodation n.e.c.</t>
  </si>
  <si>
    <t xml:space="preserve">    19 14 01 - Hazardous - Intermediate fraction from the thermal and/or mechanical treatment of waste lead-acid batteries and lead-acid battery manufacturing waste containing a mixture of electrode materials</t>
  </si>
  <si>
    <t xml:space="preserve">    19 14 02 - Hazardous - Intermediate fraction from the thermal and/or mechanical treatment of waste lithium-based batteries and lithium-based battery manufacturing waste containing a mixture of electrode materials</t>
  </si>
  <si>
    <t xml:space="preserve">    19 14 03 - Hazardous - Intermediate fraction from the thermal and/or mechanical treatment of waste nickel-based batteries and nickel-based battery manufacturing waste containing a mixture of electrode materials</t>
  </si>
  <si>
    <t xml:space="preserve">    19 14 04 - Hazardous - Intermediate fraction from the thermal and/or mechanical treatment of waste alkaline-based batteries and alkaline-based battery manufacturing waste containing a mixture of electrode materials</t>
  </si>
  <si>
    <t>NACE S - 90.11 Literary creation and musical composition activities</t>
  </si>
  <si>
    <t xml:space="preserve">    19 14 05 - Hazardous - Intermediate fraction from the thermal and/or mechanical treatment of waste zinc-based batteries and zinc-based battery manufacturing waste containing a mixture of electrode materials</t>
  </si>
  <si>
    <t>NACE S - 90.12 Visual arts creation activities</t>
  </si>
  <si>
    <t xml:space="preserve">    19 14 06 - Hazardous - Intermediate fraction from the thermal and/or mechanical treatment of waste sodium-based batteries and sodium-based battery manufacturing waste containing a mixture of electrode materials</t>
  </si>
  <si>
    <t>NACE S - 90.13 Other arts creation activities</t>
  </si>
  <si>
    <t xml:space="preserve">    19 14 07 - Hazardous - Intermediate fraction from the thermal and/or mechanical treatment of waste batteries and battery manufacturing waste containing a mixture of electrode materials, not otherwise specified in 19 14 01 to 19 14 06</t>
  </si>
  <si>
    <t xml:space="preserve">    19 14 08 - Non-Hazardous - Alloys from waste battery recycling (in massive form)</t>
  </si>
  <si>
    <t>NACE S - 90.20 Activities of performing arts</t>
  </si>
  <si>
    <t>20 - MUNICIPAL WASTES (HOUSEHOLD WASTE AND SIMILAR COMMERCIAL, INDUSTRIAL AND INSTITUTIONAL WASTES) INCLUDING SEPARATELY COLLECTED FRACTIONS</t>
  </si>
  <si>
    <t xml:space="preserve">  20 01 - Separately collected fractions (except 15 01)</t>
  </si>
  <si>
    <t>NACE S - 90.31 Operation of arts facilities and sites</t>
  </si>
  <si>
    <t xml:space="preserve">    20 01 01 - Non-Hazardous - Paper and cardboard</t>
  </si>
  <si>
    <t>NACE S - 90.39 Other support activities to arts and performing arts</t>
  </si>
  <si>
    <t xml:space="preserve">    20 01 02 - Non-Hazardous - Glass</t>
  </si>
  <si>
    <t xml:space="preserve">    20 01 08 - Non-Hazardous - Biodegradable kitchen and canteen waste</t>
  </si>
  <si>
    <t xml:space="preserve">    20 01 10 - Non-Hazardous - Clothes</t>
  </si>
  <si>
    <t>NACE S - 91.11 Library activities</t>
  </si>
  <si>
    <t xml:space="preserve">    20 01 11 - Non-Hazardous - Textiles</t>
  </si>
  <si>
    <t>NACE S - 91.12 Archive activities</t>
  </si>
  <si>
    <t xml:space="preserve">    20 01 13 - Hazardous - Solvents</t>
  </si>
  <si>
    <t xml:space="preserve">    20 01 14 - Hazardous - Acids</t>
  </si>
  <si>
    <t>NACE S - 91.21 Museum and collection activities</t>
  </si>
  <si>
    <t xml:space="preserve">    20 01 15 - Hazardous - Alkalines</t>
  </si>
  <si>
    <t>NACE S - 91.22 Historical site and monument activities</t>
  </si>
  <si>
    <t xml:space="preserve">    20 01 17 - Hazardous - Photochemicals</t>
  </si>
  <si>
    <t xml:space="preserve">    20 01 19 - Hazardous - Pesticides</t>
  </si>
  <si>
    <t>NACE S - 91.30 Conservation, restoration and other support activities for cultural heritage</t>
  </si>
  <si>
    <t xml:space="preserve">    20 01 21 - Hazardous - Fluorescent tubes and other mercury-containing waste</t>
  </si>
  <si>
    <t xml:space="preserve">    20 01 23 - Hazardous - Discarded equipment containing chlorofluorocarbons</t>
  </si>
  <si>
    <t>NACE S - 91.41 Botanical and zoological garden activities</t>
  </si>
  <si>
    <t xml:space="preserve">    20 01 25 - Non-Hazardous - Edible oil and fat</t>
  </si>
  <si>
    <t>NACE S - 91.42 Nature reserve activities</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</si>
  <si>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</si>
  <si>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</si>
  <si>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</si>
  <si>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NACE S - 92.00 Gambling and betting activities</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</si>
  <si>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</si>
  <si>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</si>
  <si>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</si>
  <si>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NACE S - 93.11 Operation of sports facilities</t>
  </si>
  <si>
    <t xml:space="preserve">    20 01 32 - Non-Hazardous - Medicines other than those mentioned in 20 01 31</t>
  </si>
  <si>
    <t>NACE S - 93.12 Activities of sports clubs</t>
  </si>
  <si>
    <t xml:space="preserve">    20 01 35 - Hazardous - Discarded electrical and electronic equipment other than those mentioned in 20 01 21 and 20 01 23 containing hazardous components (3)</t>
  </si>
  <si>
    <t>NACE S - 93.13 Activities of fitness centres</t>
  </si>
  <si>
    <t xml:space="preserve">    20 01 36 - Non-Hazardous - Discarded electrical and electronic equipment other than those mentioned in 20 01 21, 20 01 23 and 20 01 35</t>
  </si>
  <si>
    <t>NACE S - 93.19 Sports activities n.e.c.</t>
  </si>
  <si>
    <t xml:space="preserve">    20 01 37 - Hazardous - Wood containing hazardous substances</t>
  </si>
  <si>
    <t xml:space="preserve">    20 01 38 - Non-Hazardous - Wood other than that mentioned in 20 01 37</t>
  </si>
  <si>
    <t>NACE S - 93.21 Activities of amusement parks and theme parks</t>
  </si>
  <si>
    <t xml:space="preserve">    20 01 39 - Non-Hazardous - Plastics</t>
  </si>
  <si>
    <t>NACE S - 93.29 Amusement and recreation activities n.e.c.</t>
  </si>
  <si>
    <t xml:space="preserve">    20 01 40 - Non-Hazardous - Metals</t>
  </si>
  <si>
    <t xml:space="preserve">    20 01 41 - Non-Hazardous - Wastes from chimney sweeping</t>
  </si>
  <si>
    <t xml:space="preserve">    20 01 42 - Hazardous - Waste batteries included in 16 06 01 to 16 06 04, 16 06 08 to 16 06 11 or 16 06 14 and mixed waste batteries containing those waste batteries including also 16 06 07</t>
  </si>
  <si>
    <t xml:space="preserve">    20 01 43 - Hazardous - Waste lithium-based batteries included in 16 06 07</t>
  </si>
  <si>
    <t>NACE T - 94.11 Activities of business and employers membership organisations</t>
  </si>
  <si>
    <t xml:space="preserve">    20 01 44 - Non-Hazardous - Waste batteries other than those mentioned in 20 01 42 and 20 01 43</t>
  </si>
  <si>
    <t>NACE T - 94.12 Activities of professional membership organisations</t>
  </si>
  <si>
    <t xml:space="preserve">    20 01 99 - Non-Hazardous - Other fractions not otherwise specified</t>
  </si>
  <si>
    <t xml:space="preserve">  20 02 - Garden and park wastes (including cemetery waste)</t>
  </si>
  <si>
    <t>NACE T - 94.20 Activities of trade unions</t>
  </si>
  <si>
    <t xml:space="preserve">    20 02 01 - Non-Hazardous - Biodegradable waste</t>
  </si>
  <si>
    <t xml:space="preserve">    20 02 02 - Non-Hazardous - Soil and stones</t>
  </si>
  <si>
    <t>NACE T - 94.91 Activities of religious organisations</t>
  </si>
  <si>
    <t xml:space="preserve">    20 02 03 - Non-Hazardous - Other non-biodegradable wastes</t>
  </si>
  <si>
    <t>NACE T - 94.92 Activities of political organisations</t>
  </si>
  <si>
    <t xml:space="preserve">  20 03 - Other municipal wastes</t>
  </si>
  <si>
    <t>NACE T - 94.99 Activities of other membership organisations n.e.c.</t>
  </si>
  <si>
    <t xml:space="preserve">    20 03 01 - Non-Hazardous - Mixed municipal waste</t>
  </si>
  <si>
    <t xml:space="preserve">    20 03 02 - Non-Hazardous - Waste from markets</t>
  </si>
  <si>
    <t xml:space="preserve">    20 03 03 - Non-Hazardous - Street-cleaning residues</t>
  </si>
  <si>
    <t>NACE T - 95.10 Repair and maintenance of computers and communication equipment</t>
  </si>
  <si>
    <t xml:space="preserve">    20 03 04 - Non-Hazardous - Septic tank sludge</t>
  </si>
  <si>
    <t xml:space="preserve">    20 03 06 - Non-Hazardous - Waste from sewage cleaning</t>
  </si>
  <si>
    <t>NACE T - 95.21 Repair and maintenance of consumer electronics</t>
  </si>
  <si>
    <t xml:space="preserve">    20 03 07 - Non-Hazardous - Bulky waste</t>
  </si>
  <si>
    <t>NACE T - 95.22 Repair and maintenance of household appliances and home and garden equipment</t>
  </si>
  <si>
    <t xml:space="preserve">    20 03 99 - Non-Hazardous - Municipal wastes not otherwise specified</t>
  </si>
  <si>
    <t>NACE T - 95.23 Repair and maintenance of footwear and leather goods</t>
  </si>
  <si>
    <t>NACE T - 95.24 Repair and maintenance of furniture and home furnishings</t>
  </si>
  <si>
    <t>NACE T - 95.25 Repair and maintenance of watches, clocks and jewellery</t>
  </si>
  <si>
    <t>NACE T - 95.29 Repair and maintenance of personal and household goods n.e.c.</t>
  </si>
  <si>
    <t>NACE T - 95.31 Repair and maintenance of motor vehicles</t>
  </si>
  <si>
    <t>NACE T - 95.32 Repair and maintenance of motorcycles</t>
  </si>
  <si>
    <t>NACE T - 95.40 Intermediation service activities for repair and maintenance of computers, personal and household goods, and motor vehicles and motorcycles</t>
  </si>
  <si>
    <t>NACE T - 96.10 Washing and cleaning of textile and fur products</t>
  </si>
  <si>
    <t>NACE T - 96.21 Hairdressing and barber activities</t>
  </si>
  <si>
    <t>NACE T - 96.22 Beauty care and other beauty treatment activities</t>
  </si>
  <si>
    <t>NACE T - 96.23 Day spa, sauna and steam bath activities</t>
  </si>
  <si>
    <t>NACE T - 96.30 Funeral and related activities</t>
  </si>
  <si>
    <t>NACE T - 96.40 Intermediation service activities for personal services</t>
  </si>
  <si>
    <t>NACE T - 96.91 Provision of domestic personal service activities</t>
  </si>
  <si>
    <t>NACE T - 96.99 Other personal service activities n.e.c.</t>
  </si>
  <si>
    <t>NACE U - 97.00 Activities of households as employers of domestic personnel</t>
  </si>
  <si>
    <t>NACE U - 98.10 Undifferentiated goods-producing activities of private households for own use</t>
  </si>
  <si>
    <t>NACE U - 98.20 Undifferentiated service-producing activities of private households for own use</t>
  </si>
  <si>
    <t>NACE V - 99.00 Activities of extraterritorial organisations and bodies</t>
  </si>
  <si>
    <t>Label ID</t>
  </si>
  <si>
    <t>Translation (according to the language selected in the first sheet)</t>
  </si>
  <si>
    <t>English - Official</t>
  </si>
  <si>
    <t>Danish - Reviewed translation by Danish Standard Setter</t>
  </si>
  <si>
    <t>Dutch - Reviewed translation by Ducth Standard Setter</t>
  </si>
  <si>
    <t>French - Reviewed translation by French Standard Setter</t>
  </si>
  <si>
    <t>German - Reviewed translation by German Standard Setter</t>
  </si>
  <si>
    <t>Irish - Reviewed translation by Irish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</si>
  <si>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</si>
  <si>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</si>
  <si>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</si>
  <si>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</si>
  <si>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Slovenian - Reviewed translation by Slovenian Standard Setter</t>
  </si>
  <si>
    <t>Spanish - Reviewed translation by Spanish Standard Setter</t>
  </si>
  <si>
    <t>en</t>
  </si>
  <si>
    <t>da</t>
  </si>
  <si>
    <t>nl</t>
  </si>
  <si>
    <t>fr</t>
  </si>
  <si>
    <t>de</t>
  </si>
  <si>
    <t>ga</t>
  </si>
  <si>
    <t>it</t>
  </si>
  <si>
    <t>lt</t>
  </si>
  <si>
    <t>pl</t>
  </si>
  <si>
    <t>pt</t>
  </si>
  <si>
    <t>sl</t>
  </si>
  <si>
    <t>es</t>
  </si>
  <si>
    <t>template_label_entity_name_document_information</t>
  </si>
  <si>
    <t>Entity Name</t>
  </si>
  <si>
    <t>Virksomhedens navn</t>
  </si>
  <si>
    <t>Entiteitsnaam</t>
  </si>
  <si>
    <t>Nom de l'entreprise</t>
  </si>
  <si>
    <t>Unternehmensname</t>
  </si>
  <si>
    <t>Ainm Aonáin</t>
  </si>
  <si>
    <t>Nome del soggetto che redige la relazione</t>
  </si>
  <si>
    <t>Įmonės pavadinimas</t>
  </si>
  <si>
    <t>Nazwa jednostki</t>
  </si>
  <si>
    <t>Nome da Entidade</t>
  </si>
  <si>
    <t>Firma podjetja, ki poroča</t>
  </si>
  <si>
    <t>Nombre de la entidad</t>
  </si>
  <si>
    <t>template_label_entity_identifier_document_information</t>
  </si>
  <si>
    <t>Entity Identifier</t>
  </si>
  <si>
    <t>Entitetsidentifikator</t>
  </si>
  <si>
    <t>KVK Nummer eniteit</t>
  </si>
  <si>
    <t>Identifiant de l'entreprise</t>
  </si>
  <si>
    <t>Unternehmenskennung (ID)</t>
  </si>
  <si>
    <t>Aitheantóir Aonáin</t>
  </si>
  <si>
    <t>Identificatore del soggetto</t>
  </si>
  <si>
    <t>Įmonės identifikatorius</t>
  </si>
  <si>
    <t>Identyfikator jednostki</t>
  </si>
  <si>
    <t>Identificador da Entidade</t>
  </si>
  <si>
    <t>Idetifikacijska številka podjetja</t>
  </si>
  <si>
    <t>Identificador de entidad</t>
  </si>
  <si>
    <t>template_label_entity_identifier_scheme_document_information</t>
  </si>
  <si>
    <t>Entity Identifier Scheme</t>
  </si>
  <si>
    <t xml:space="preserve">Virksomhedsindentifikationsskema </t>
  </si>
  <si>
    <t>Mij niet duidelijk waar deze wordt gebruikt</t>
  </si>
  <si>
    <t>Schéma d'identification de l'entreprise</t>
  </si>
  <si>
    <t>System zur Unternehmenskennung</t>
  </si>
  <si>
    <t>Scéim Aitheantais Aonáin</t>
  </si>
  <si>
    <t>Codice di identificazione del soggetto</t>
  </si>
  <si>
    <t>Įmonės schema</t>
  </si>
  <si>
    <t>Schemat identyfikatora jednostki</t>
  </si>
  <si>
    <t>Esquema de Identificador da Entidade</t>
  </si>
  <si>
    <t>Vrsta identifikacijske številke</t>
  </si>
  <si>
    <t>Esquema de Identificador de Entidad</t>
  </si>
  <si>
    <t>template_label_report_currency_document_information</t>
  </si>
  <si>
    <t>Report currency</t>
  </si>
  <si>
    <t>Rapporteringsvaluta</t>
  </si>
  <si>
    <t>Devise utilisée dans le rapport</t>
  </si>
  <si>
    <t>Berichtswährung</t>
  </si>
  <si>
    <t>Tuairiscigh airgeadra</t>
  </si>
  <si>
    <t>Valuta della relazione</t>
  </si>
  <si>
    <t>Ataskaitos valiuta</t>
  </si>
  <si>
    <t xml:space="preserve">Waluta sprawozdania </t>
  </si>
  <si>
    <t>Moeda de reporte</t>
  </si>
  <si>
    <t>Valuta, ki se uporablja v poročilu</t>
  </si>
  <si>
    <t>Divisa del informe</t>
  </si>
  <si>
    <t>template_label_decimal_separator_document_information</t>
  </si>
  <si>
    <t>Decimal separator</t>
  </si>
  <si>
    <t>Decimaal scheidingsteken</t>
  </si>
  <si>
    <t>Séparateur décimal</t>
  </si>
  <si>
    <t>Dezimaltrennzeichen</t>
  </si>
  <si>
    <t>Deighilteoir deachúil</t>
  </si>
  <si>
    <t>Separatore decimale</t>
  </si>
  <si>
    <t>Dešimtainis skirtukas</t>
  </si>
  <si>
    <t>Separator dziesiętny</t>
  </si>
  <si>
    <t>Separador decimal</t>
  </si>
  <si>
    <t>Decimalno ločilo</t>
  </si>
  <si>
    <t>template_label_report_period_document_information</t>
  </si>
  <si>
    <t>Report period</t>
  </si>
  <si>
    <t>Rapporteringsperiode</t>
  </si>
  <si>
    <t>Rapportageperiode</t>
  </si>
  <si>
    <t>Période de reporting</t>
  </si>
  <si>
    <t xml:space="preserve">Berichtszeitraum
</t>
  </si>
  <si>
    <t>Tréimhse tuairiscithe</t>
  </si>
  <si>
    <t>Periodo di riferimento</t>
  </si>
  <si>
    <t>Ataskaitos laikotarpis</t>
  </si>
  <si>
    <t>Okres sprawozdawczy</t>
  </si>
  <si>
    <t>Período do relatório</t>
  </si>
  <si>
    <t>Obdobje poročanja</t>
  </si>
  <si>
    <t>Periodo del informe</t>
  </si>
  <si>
    <t>template_label_report_generated</t>
  </si>
  <si>
    <t>Report generated</t>
  </si>
  <si>
    <t>Rapport genereret</t>
  </si>
  <si>
    <t>Datum waarop rapport is gegenereerd</t>
  </si>
  <si>
    <t>Rapport généré</t>
  </si>
  <si>
    <t>Bericht erstellt</t>
  </si>
  <si>
    <t>Tuairisc ginte</t>
  </si>
  <si>
    <t>Relazione generata</t>
  </si>
  <si>
    <t>Ataskaita sugeneruota</t>
  </si>
  <si>
    <t>Wygenerowane sprawozdanie</t>
  </si>
  <si>
    <t>Relatório gerado</t>
  </si>
  <si>
    <t>Poročilo ustvarjeno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</si>
  <si>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</si>
  <si>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</si>
  <si>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</si>
  <si>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</si>
  <si>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 xml:space="preserve"> De rapportage heeft betrekking op de bovenstaande rapportageperiode tenzij anders vermeld.</t>
  </si>
  <si>
    <t>Toutes les informations se rapportent à la période de reporting ci-dessus, sauf indication contraire.</t>
  </si>
  <si>
    <t>Alle Angaben beziehen sich auf den oben genannten Berichtszeitraum, sofern nicht anders angegeben.</t>
  </si>
  <si>
    <t>Baineann gach nochtadh leis an tréimhse tuairiscithe thuas mura sonraítear a mhalairt.</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</si>
  <si>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</si>
  <si>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</si>
  <si>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</si>
  <si>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</si>
  <si>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Vsa razkritja se nanašajo na zgoraj navedeno obdobje, razen če ni navedeno drugače.</t>
  </si>
  <si>
    <t>Todas las divulgaciones se refieren al período de reporte indicado arriba, salvo que se especifique lo contrario.</t>
  </si>
  <si>
    <t>template_label_table_of_contents</t>
  </si>
  <si>
    <t>Table of Contents</t>
  </si>
  <si>
    <t xml:space="preserve">Indholdsfortegnelse
</t>
  </si>
  <si>
    <t xml:space="preserve">Inhoudsopgave
</t>
  </si>
  <si>
    <t>Table des matières</t>
  </si>
  <si>
    <t>Inhaltsverzeichnis</t>
  </si>
  <si>
    <t>Clár ábhair</t>
  </si>
  <si>
    <t>Sommario</t>
  </si>
  <si>
    <t>Turinys</t>
  </si>
  <si>
    <t>Spis treści</t>
  </si>
  <si>
    <t>Índice</t>
  </si>
  <si>
    <t>Kazalo vsebine</t>
  </si>
  <si>
    <t>Tabla de contenido</t>
  </si>
  <si>
    <t>template_label_reporting_period</t>
  </si>
  <si>
    <t>Reporting period:</t>
  </si>
  <si>
    <t>Rapporteringsperiode:</t>
  </si>
  <si>
    <t>Rapportageperiode:</t>
  </si>
  <si>
    <t>Période de reporting :</t>
  </si>
  <si>
    <t>Berichtszeitraum:</t>
  </si>
  <si>
    <t>Tréimhse tuairiscithe:</t>
  </si>
  <si>
    <t>Ataskaitos laikotarpis:</t>
  </si>
  <si>
    <t>Período de reporte:</t>
  </si>
  <si>
    <t>Obdobje poročanja:</t>
  </si>
  <si>
    <t>Periodo de reporte:</t>
  </si>
  <si>
    <t>template_label_XBRL_facts_in_report</t>
  </si>
  <si>
    <t>This report contains {{ ns.fact_count }} XBRL facts ({{ facts | count }} unique facts).</t>
  </si>
  <si>
    <t>Denne rapport indeholder {{ ns.fact_count }} XBRL-fakta ({{ facts | count }} unikke fakta).</t>
  </si>
  <si>
    <t>Dit rapport bevat</t>
  </si>
  <si>
    <t>Ce rapport contient</t>
  </si>
  <si>
    <t>Dieser Bericht enthält {{ ns.fact_count }} XBRL facts ({{ facts | count }} unique facts).</t>
  </si>
  <si>
    <t>Tá fíricí XBRL {{ ns.fíric_comhaireamh }} sa tuarascáil seo ({{ fíricí | comhaireamh }} fíricí uathúla).</t>
  </si>
  <si>
    <t>Questa relazione contiene</t>
  </si>
  <si>
    <t>Ši ataskaita apima</t>
  </si>
  <si>
    <t>Niniejszy raport zawiera {{ ns.fact_count }} elementów XBRL ({{ facts | count }} unikalnych elementów).</t>
  </si>
  <si>
    <t>Este relatório contém {{ ns.fact_count }} fatos XBRL ({{ facts | count }} fatos únicos).</t>
  </si>
  <si>
    <t>To poročilo vsebuje {{ ns.fact_count }} elementov XBRL ({{ facts | count }} edinstvenih elementov).</t>
  </si>
  <si>
    <t>Este informe contiene {{ ns.fact_count }} elementos XBRL ({{ facts | count }} elementos únicos).</t>
  </si>
  <si>
    <t>template_label_version</t>
  </si>
  <si>
    <t>Version:</t>
  </si>
  <si>
    <t>Versie:</t>
  </si>
  <si>
    <t>Version :</t>
  </si>
  <si>
    <t>Leagan:</t>
  </si>
  <si>
    <t>Versione:</t>
  </si>
  <si>
    <t>Versija:</t>
  </si>
  <si>
    <t xml:space="preserve">Wersja: </t>
  </si>
  <si>
    <t>Versão:</t>
  </si>
  <si>
    <t>Različica:</t>
  </si>
  <si>
    <t>Versión:</t>
  </si>
  <si>
    <t>template_label_publication_date</t>
  </si>
  <si>
    <t>Publication date:</t>
  </si>
  <si>
    <t>Publikationsdato:</t>
  </si>
  <si>
    <t>Publicatiedatum:</t>
  </si>
  <si>
    <t>Date de publication :</t>
  </si>
  <si>
    <t>Veröffentlichungsdatum:</t>
  </si>
  <si>
    <t>Dáta foilsithe:</t>
  </si>
  <si>
    <t>Data di pubblicazione:</t>
  </si>
  <si>
    <t>Publikavimo data:</t>
  </si>
  <si>
    <t>Data publikacji:</t>
  </si>
  <si>
    <t>Data de publicação:</t>
  </si>
  <si>
    <t>Datum objave:</t>
  </si>
  <si>
    <t>Fecha de publicación:</t>
  </si>
  <si>
    <t>template_label_taxonomy_entry_point</t>
  </si>
  <si>
    <t>Taxonomy entry point:</t>
  </si>
  <si>
    <t>Indgangspunkt til taksonomi:</t>
  </si>
  <si>
    <t>Toegepaste versie Taxonomie</t>
  </si>
  <si>
    <t>Point d'entrée de la taxonomie XBRL :</t>
  </si>
  <si>
    <t>Taxonomie-Zugangspunkt (entry point)</t>
  </si>
  <si>
    <t>Pointe iontrála tacsanomaíochta:</t>
  </si>
  <si>
    <t>Punto di accesso della tassonomia:</t>
  </si>
  <si>
    <t>Taksonomijos pradinė nuoroda</t>
  </si>
  <si>
    <t>Punkt wejścia do taksonomii:</t>
  </si>
  <si>
    <t>Ponto de entrada na taxonomia:</t>
  </si>
  <si>
    <t>Vstopna točka taksonomije:</t>
  </si>
  <si>
    <t>Punto de entrada a la taxonomía:</t>
  </si>
  <si>
    <t>template_language_selection</t>
  </si>
  <si>
    <t>Language selection</t>
  </si>
  <si>
    <t>Sprogvalg</t>
  </si>
  <si>
    <t>Taalkeuze</t>
  </si>
  <si>
    <t>Sélection de la langue</t>
  </si>
  <si>
    <t>Sprachauswahl</t>
  </si>
  <si>
    <t>Roghnú teanga</t>
  </si>
  <si>
    <t>Selezione della lingua</t>
  </si>
  <si>
    <t>Kalbos pasirinkimas</t>
  </si>
  <si>
    <t>Wybór języka</t>
  </si>
  <si>
    <t>Seleção de idioma</t>
  </si>
  <si>
    <t>Izbira jezika</t>
  </si>
  <si>
    <t>Selección de idiomas</t>
  </si>
  <si>
    <t>template_label_select_template_display_language</t>
  </si>
  <si>
    <t>VS Digital Template enables translations into different EU languages.
Please select the language from the dropdown below.</t>
  </si>
  <si>
    <t>VSME Digital Template muliggør oversættelser til forskellige EU-sprog.
Vælg venligst sproget fra dropdown-menuen nedenfor.</t>
  </si>
  <si>
    <t>VSME Digital Template maakt vertalingen naar verschillende EU-talen mogelijk.
Selecteer de taal in de onderstaande keuzemenu.</t>
  </si>
  <si>
    <t>Le modèle numérique VSME permet des traductions dans différentes langues de l’UE.
Veuillez sélectionner la langue dans le menu déroulant ci-dessous.</t>
  </si>
  <si>
    <t>VSME Digital Template ermöglicht Übersetzungen in verschiedene EU-Sprachen.
Bitte wählen Sie die Sprache aus dem Dropdown-Menü unten.</t>
  </si>
  <si>
    <t>Cuireann Teimpléad Digiteach VSME ar chumas aistriúcháin a dhéanamh go teangacha éagsúla de chuid an AE.
Roghnaigh an teanga ón anuas thíos.</t>
  </si>
  <si>
    <t>Il VSME Digital Template consente traduzioni in diverse lingue dell'UE.
Seleziona la lingua dal menu a tendina qui sotto.</t>
  </si>
  <si>
    <t>VSME skaitmeninis šablonas leidžia versti į įvairias ES kalbas.
Pasirinkite kalbą iš žemiau esančio išskleidžiamojo meniu.</t>
  </si>
  <si>
    <t>Szablon VSME Digital umożliwia tłumaczenia na różne języki UE.
Proszę wybrać język z rozwijanego menu poniżej.</t>
  </si>
  <si>
    <t>O Template Digital VSME permite traduções para diferentes idiomas da UE.
Por favor, selecione o idioma no menu suspenso abaixo.</t>
  </si>
  <si>
    <t>VSME Digital Template omogoča prevode v različne jezike EU.
Prosimo, izberite jezik iz spustnega menija spodaj.</t>
  </si>
  <si>
    <t>La plantilla digital VSME permite traducciones a diferentes idiomas de la UE.
Por favor, selecciona el idioma en el desplegable de abajo.</t>
  </si>
  <si>
    <t>template_label_title_of_report</t>
  </si>
  <si>
    <t>Main title of the report</t>
  </si>
  <si>
    <t xml:space="preserve">Rapportens hovedtitel </t>
  </si>
  <si>
    <t>Hoofdtitel van het rapport</t>
  </si>
  <si>
    <t>Titre du rapport</t>
  </si>
  <si>
    <t>Überschrift des Berichts</t>
  </si>
  <si>
    <t>Príomhtheideal na tuarascála</t>
  </si>
  <si>
    <t>Titolo principale della relazione</t>
  </si>
  <si>
    <t>Pagrindinis ataskaitos pavadinimas</t>
  </si>
  <si>
    <t>Główny tytuł sprawozdania</t>
  </si>
  <si>
    <t>Título principal do relatório</t>
  </si>
  <si>
    <t>Glavni naslov poročila</t>
  </si>
  <si>
    <t>Título principal del informe</t>
  </si>
  <si>
    <t>template_label_main_title_of_report_text</t>
  </si>
  <si>
    <t xml:space="preserve">Sustainability Report </t>
  </si>
  <si>
    <t>Bæredygtighedsrapport</t>
  </si>
  <si>
    <t>Duurzaamheidsrapportering</t>
  </si>
  <si>
    <t>Rapport de durabilité</t>
  </si>
  <si>
    <t>Nachhaltigkeitsbericht</t>
  </si>
  <si>
    <t>Tuarascáil Inbhuanaitheachta</t>
  </si>
  <si>
    <t xml:space="preserve">Relazione sulla sostenibilità
</t>
  </si>
  <si>
    <t>Tvarumo ataskaita</t>
  </si>
  <si>
    <t>Sprawozdanie w zakresie zrównoważonego rozwoju</t>
  </si>
  <si>
    <t>Relatório de Sustentabilidade</t>
  </si>
  <si>
    <t>Poročilo o trajnostnosti</t>
  </si>
  <si>
    <t>Informe de Sostenibilidad</t>
  </si>
  <si>
    <t>template_label_subtitle_of_report</t>
  </si>
  <si>
    <t>Subtitle of the report</t>
  </si>
  <si>
    <t>Rapportens undertitel</t>
  </si>
  <si>
    <t>Ondertitel van het rapport</t>
  </si>
  <si>
    <t>Sous-titre du rapport</t>
  </si>
  <si>
    <t>Untertitel des Berichts</t>
  </si>
  <si>
    <t>Fotheideal na tuarascála</t>
  </si>
  <si>
    <t xml:space="preserve">Sottotitolo della relazione
</t>
  </si>
  <si>
    <t>Ataskaitos antraštė</t>
  </si>
  <si>
    <t>Podtytuł sprawozdania</t>
  </si>
  <si>
    <t>Subtítulo do relatório</t>
  </si>
  <si>
    <t>Podnaslov poročila</t>
  </si>
  <si>
    <t xml:space="preserve">Subtítulo del informe
</t>
  </si>
  <si>
    <t>template_label_subtitle_of_report_text</t>
  </si>
  <si>
    <t xml:space="preserve">Prepared in accordance with the  Voluntary Standard (Annex I of  Commission Delegated Regulation (EU) 2026/1560) published in the Official Journal on 21 September 2026. </t>
  </si>
  <si>
    <t>Udarbejdet i overensstemmelse med den frivillige standard for bæredygtighedsrapportering for ikke-børsnoterede SMV'er (VSME), udgivet af Europa-Kommissionen den 30. juli 2025.</t>
  </si>
  <si>
    <t>Opgesteld in overeenstemming met de vrijwillige duurzaamheidsrapportagestandaard voor niet-beursgenoteerde kleine en middelgrote ondernemingen (VSME), uitgebracht door de Europese Commissie op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</si>
  <si>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</si>
  <si>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</si>
  <si>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Ullmhaithe i gcomhréir leis an gCaighdeán Deonach um Thuairisciú Inbhuanaitheachta do FBManna Neamhliostaithe (VSME), a d'eisigh an Coimisiún Eorpach an 30 Iúil 2025.</t>
  </si>
  <si>
    <t>Redatto in conformità al principio volontario di rendicontazione di sostenibilità per le piccole e medie imprese (PMI) non quotate (VSME), pubblicato dalla Commissione Europea il 30 luglio 2025.</t>
  </si>
  <si>
    <t>Parengta laikantis Neįtrauktų į biržos sąrašą mažųjų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</si>
  <si>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</si>
  <si>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</si>
  <si>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Pripravljeno v skladu s standardom prostovoljnega poročanja o trajnostnosti za mala in srednje velika podjetja (VSME), ki ga je Evropska komisija objavila 30. julija 2025.</t>
  </si>
  <si>
    <t>Preparado de conformidad con la Norma Voluntaria de Información sobre Sostenibilidad para pequeñas y medianas empresas (VSME), publicada por la Comisión Europea el 30 de julio de 2025.</t>
  </si>
  <si>
    <t>template_label_vs_digital_template</t>
  </si>
  <si>
    <t>VS Digital Template</t>
  </si>
  <si>
    <t>VSME Digital Skabelon</t>
  </si>
  <si>
    <t>VSME Digitaal Sjabloon</t>
  </si>
  <si>
    <t>Format numérique VSME</t>
  </si>
  <si>
    <t>Digitale VSME-Vorlage</t>
  </si>
  <si>
    <t>Teimpléad Digiteach VSME</t>
  </si>
  <si>
    <t>Modello Digitale VSME</t>
  </si>
  <si>
    <t>VSME Skaitmeninis šablonas</t>
  </si>
  <si>
    <t>Elektroniczny szablon VSME</t>
  </si>
  <si>
    <t>Modelo Digital VSME</t>
  </si>
  <si>
    <t>Digitalna predloga VSME</t>
  </si>
  <si>
    <t>Plantilla Digital VSME</t>
  </si>
  <si>
    <t>template_label_the_purpose_of_this_digital_template_is_to_illustrate_how_vs_reporting_can_be_implemented_in_a_digital_template</t>
  </si>
  <si>
    <t>The purpose of this digital template is to illustrate how VS reporting can be implemented in a digital template. The template reflects the Voluntary Standard (Annex I of  Commission Delegated Regulation (EU) 2026/1560) as published by the European Commission in the Official Journal on 21 September 2026. The template is accompanied by a digital VS XBRL taxonomy, which represents the digital data model of the disclosures and is available on EFRAG's website.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Voluntary Standard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</si>
  <si>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</si>
  <si>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</si>
  <si>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</si>
  <si>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</si>
  <si>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</si>
  <si>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</si>
  <si>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</si>
  <si>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</si>
  <si>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</si>
  <si>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
Namen te digitalne predloge je ponazoriti, kako je mogoče poročanje po VSME izvesti v digitalni predlogi. Predloga odraža Priporočilo o VSME, kot ga je Evropska komisija objavila 30. julija 2025. Predlogi je priložena digitalna taksonomija VSME XBRL, ki predstavlja digitalni podatkovni model razkritij in je na voljo na spletni strani EFRAG. VSME zahteva razkritje primerjalnih informacij o metrikah (odstavek 12). Ta predloga omogoča poročanje samo za eno poročevalsko obdobje, zato je primerna predvsem za poročanje v prvem letu. Pričakuje se, da bodo rešitve za poročanje omogočale prenos (roll-forward) poročevalskih obdobij, kar bo samodejno zagotovilo potrebne primerjalne informacije.
Ta predloga se lahko uporablja za vnos in validacijo podatkov. Z uporabo XBRL pretvornika na spletni strani EFRAG jo je mogoče shraniti kot XBRL poročilo v brezplačnem in odprtem podatkovnem formatu. Za pripravo razkritij se uporabljajo poimenovani Excel obsegi (ranges). Polja, ki so prazna in nimajo nobene vrednosti (niti besedila niti številke), se ne bodo štela kot poročana in ne bodo vključena v XBRL poročilo pri uporabi pretvornika Excel-v-XBRL.
Nekateri spustni izbirni meniji v VSME vsebujejo več kot 100 vnosov (npr. kode NACE v razdelku B1, seznam onesnaževal v B4, seznam vrst odpadkov v B7). Za iskanje po seznamu lahko uporabniki preprosto začnejo vnašati ključne besede v polje.
Če se prikaže varnostno opozorilo, izberite »Enable Content«, da omogočite samodejni izračun GPS-koordinat za seznam lokacij v razdelku B1. Na internet ne bodo poslani nobeni podatki razen vnesenega naslova; podatki, ki se delijo s ponudnikom, so opisani v pravilniku Nominatim Usage Policy (Geocoding Policy) in v Pravilniku o zasebnosti.
Vsi materiali, ki jih je razvilo tajništvo EFRAG, so objavljeni brezplačno in odprtokodno (licenca MIT), kar omogoča, da jih lahko kateri koli deležnik dodatno razvija in vključi v komercialne rešitve. Ob upoštevanju licenčnih pogojev pa morajo ponudniki teh komercialnih rešitev navesti sklic na EFRAG. Licenco MIT je mogoče pregledati v posebnem zavihku.
Če želite prijaviti težavo v zvezi z digitalno predlogo VSME ali pretvornikom digitalne predloge v XBRL, to storite z odprtjem nove zadeve (issue) v projektu na GitHubu.</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</si>
  <si>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</si>
  <si>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</si>
  <si>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</si>
  <si>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</si>
  <si>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Hoe te gebruiken:</t>
  </si>
  <si>
    <t>Comment l'utiliser :</t>
  </si>
  <si>
    <t>Anleitung:</t>
  </si>
  <si>
    <t>Conas é a úsáid:</t>
  </si>
  <si>
    <t>Come usarlo:</t>
  </si>
  <si>
    <t>Kaip tai naudoti:</t>
  </si>
  <si>
    <t>Jak korzystać:</t>
  </si>
  <si>
    <t>Como usar:</t>
  </si>
  <si>
    <t>Kako jo uporabljati:</t>
  </si>
  <si>
    <t>Cómo utilizarlo:</t>
  </si>
  <si>
    <t>template_label_0_provide_information_that_is_mandatory_in_order_to_generate_the_vs_and_xbrl_report</t>
  </si>
  <si>
    <t>0. Provide information that is mandatory in order to generate the VS and XBRL Report.</t>
  </si>
  <si>
    <t>0. Indtast de obligatoriske oplysninger for at kunne generere VSME- og XBRL-rapport</t>
  </si>
  <si>
    <t>0. Verstrek informatie die verplicht is om het VSME- en XBRL-rapport te genereren.</t>
  </si>
  <si>
    <t>0. Fournissez les informations obligatoires pour générer le rapport VSME et XBRL.</t>
  </si>
  <si>
    <t>0. Geben Sie die Informationen an, die für die Erstellung des VSME- und XBRL-Berichts verpflichtend anzugeben sind.</t>
  </si>
  <si>
    <t>0. Faisnéis atá éigeantach a sholáthar chun an Tuarascáil VSME agus XBRL a ghiniúint.</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</si>
  <si>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</si>
  <si>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</si>
  <si>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</si>
  <si>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</si>
  <si>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Navedite podatke, ki so obvezni za ustvarjanje poročila VSME in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</si>
  <si>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</si>
  <si>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</si>
  <si>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</si>
  <si>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</si>
  <si>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</si>
  <si>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</si>
  <si>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</si>
  <si>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</si>
  <si>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</si>
  <si>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</si>
  <si>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</si>
  <si>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</si>
  <si>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Izpolnite razkritja na štirih delovnih listih (Splošne informacije, Okoljska razkritja, Družbena razkritja, Upravljavska razkritja) v belih poljih, uokvirjenih s črnim robom. Ne vnašajte informacij zunaj teh polij. Iskanje v spustnih menijih je mogoče z vnosom v polje. Namigi (vnosna sporočila) so prikazani v več poljih, ko jih izberete.</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</si>
  <si>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</si>
  <si>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template_label_2_find_more_information_on_the_actual_disclosure_requirements_in_the_voluntary_standard</t>
  </si>
  <si>
    <t>2. Find more information on the actual disclosure requirements in the Voluntary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</si>
  <si>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</si>
  <si>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</si>
  <si>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</si>
  <si>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</si>
  <si>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Faigh tuilleadh faisnéise faoi na ceanglais nochta iarbhír i gCaighdeán VSME agus sa treoir ghaolmhar atá nasctha le gach cill. Is féidir nochtadh breise nó eintiteas-shonrach a sholáthar i ngach bosca téacs ag deireadh gach bileog oibre.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</si>
  <si>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</si>
  <si>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</si>
  <si>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</si>
  <si>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</si>
  <si>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Več informacij o dejanskih zahtevah glede razkritja najdete v standardu VSME in povezanih smernicah, povezanih z vsakim poljem. Dodatna ali za posamezno podjetje specifična razkritja so lahko navedena v vsakem besedilnem polju na koncu vsakega delovnega lista.</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</si>
  <si>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</si>
  <si>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</si>
  <si>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</si>
  <si>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</si>
  <si>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</si>
  <si>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</si>
  <si>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</si>
  <si>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</si>
  <si>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</si>
  <si>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</si>
  <si>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</si>
  <si>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</si>
  <si>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V odprtih tabelah, kot je Seznam odvisnih družb/lokacij, povečajte število prikazanih vrstic klikom na ikono plus [+] na levi strani. Če potrebujete še več vrstic, jih lahko dodate tako, da jih vstavite med prvo in zadnjo vrstico. ID-ji vrstic v odprtih tabelah morajo biti unikatni za vsako tabelo.</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</si>
  <si>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</si>
  <si>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</si>
  <si>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</si>
  <si>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</si>
  <si>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 xml:space="preserve">Valideer de ingevoerde gegevens door de validatiestatus te controleren. Het rapport wordt als onvolledig of foutief beschouwd indien de validatie faalt, wat kan resulteren in een ongeldig XBRL-rapport. 
</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</si>
  <si>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</si>
  <si>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</si>
  <si>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Bailíochtaigh na sonraí a iontráladh tríd an stádas bailíochtaithe a sheiceáil. Meastar go bhfuil an tuarascáil neamhiomlán nó earráideach má theipeann ar an mbailíochtú, rud a d'fhéadfadh tuarascáil XBRL neamhbhailí a bheith mar thoradh air.</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</si>
  <si>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</si>
  <si>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</si>
  <si>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</si>
  <si>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</si>
  <si>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Preverite vnesene podatke in rezultat preverjanja njihove pravilnosti. Če preverjanje ni uspešno, se poročilo šteje za nepopolno ali nepravilno, kar lahko povzroči neveljavnost XBRL poročila.</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</si>
  <si>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</si>
  <si>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</si>
  <si>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https://xbrl.efrag.org/convert/. Pay attention to the XBRL validation performed by the validator.</t>
  </si>
  <si>
    <t>5. Konverter denne skabelon til en Inline XBRL-rapport (eller XBRL-JSON, XBRL-CSV) ved brug af denne online-konverter: https://xbrl.efrag.org/convert/. Vær opmærksom på den XBRL-validering, der udføres af validatoren.</t>
  </si>
  <si>
    <t xml:space="preserve">Converteer dit sjabloon naar een Inline XBRL-rapport (of XBRL-JSON, XBRL-CSV) met behulp van deze online converter: https://xbrl.efrag.org/convert/. Let op de uitkomsten van de XBRL-validatie die door de validator wordt uitgevoerd. 
</t>
  </si>
  <si>
    <t>5. Convertissez ce format en rapport Inline XBRL (ou XBRL-JSON, XBRL-CSV), en utilisant le convertisseur en ligne: https://xbrl.efrag.org/convert/. Faites attention à la validation XBRL effectuée par l'outil de validation.</t>
  </si>
  <si>
    <t>5. Konvertieren Sie diese VSME-Vorlage mit dem Online-Konverter in einen Inline-XBRL-Bericht (oder XBRL-JSON, XBRL-CSV): https://xbrl.efrag.org/convert/. Achten Sie auf die vom Validator durchgeführte XBRL-Validierung.</t>
  </si>
  <si>
    <t>5. Tiontaigh an teimpléad seo go tuarascáil XBRL Inlíne (nó XBRL-JSON, XBRL-CSV), ag baint úsáide as an tiontaire ar líne: https://xbrl.efrag.org/convert/. Tabhair aird ar an mbailíochtú XBRL a dhéanann an bailíochtóir.</t>
  </si>
  <si>
    <t>5. Converti questo modello in una relazione Inline XBRL (o XBRL-JSON, XBRL-CSV), utilizzando questo convertitore online: https://xbrl.efrag.org/convert/. Presta attenzione alla validazione XBRL eseguita dal validatore.</t>
  </si>
  <si>
    <t>5. Šį šabloną konvertuokite į Inline XBRL ataskaitą (arba XBRL-JSON, XBRL-CSV), naudodami šį internetinį konvertavimo įrankį: https://xbrl.efrag.org/convert/. Atkreipkite dėmesį į XBRL patikros rezultatus, kuriuos pateikia tikrinimo įrankis.</t>
  </si>
  <si>
    <t>5. Przekonwertuj ten uzupełniony szablon na raport Inline XBRL (lub XBRL-JSON, XBRL-CSV) korzystając z konwertera online: https://xbrl.efrag.org/convert/. Zwróć uwagę na walidację XBRL przeprowadzaną przez walidator.</t>
  </si>
  <si>
    <t>5. Converta este modelo para um relatório Inline XBRL (ou XBRL-JSON, XBRL-CSV), utilizando el conversor online: https://xbrl.efrag.org/convert/. Esteja atento à validação XBRL efetuada pelo validador.</t>
  </si>
  <si>
    <t>5. Pretvorite to predlogo v Inline XBRL poročilo (ali XBRL-JSON, XBRL-CSV) s pomočjo spletnega pretvornika. Bodite pozorni na preverjanje pravilnosti XBRL, ki jo izvaja pretvornik.</t>
  </si>
  <si>
    <t>5. Convierte esta plantilla en un informe Inline XBRL (o XBRL-JSON, XBRL-CSV) utilizando el convertidor en línea: https://xbrl.efrag.org/convert/.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</si>
  <si>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</si>
  <si>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</si>
  <si>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</si>
  <si>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De onderneming mag het rapport ook uploaden naar openbare databases of een webpagina.</t>
  </si>
  <si>
    <t>6. L'entreprise peut aussi télécharger le rapport dans des registres publics en ligne ou sur une page web</t>
  </si>
  <si>
    <t xml:space="preserve">6. Das Unternehmen kann den Bericht auch in öffentlichen Archiven oder auf einer Webseite hochladen. </t>
  </si>
  <si>
    <t>6. Féadfaidh an gnóthas an tuarascáil a uaslódáil freisin chuig stórtha poiblí nó ar leathanach gréasáin.</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</si>
  <si>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</si>
  <si>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</si>
  <si>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</si>
  <si>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</si>
  <si>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Podjetje lahko poročilo naloži tudi v javne repozitorije ali na spletno stran.</t>
  </si>
  <si>
    <t>6. El empresario también podrá subir el informe a repositorios públicos o a una página web.</t>
  </si>
  <si>
    <t>template_label_cell_background_color_index</t>
  </si>
  <si>
    <t>Cell background color index:</t>
  </si>
  <si>
    <t>Farveindeks for cellebaggrund:</t>
  </si>
  <si>
    <t>Cel achtergrondkleurindex:</t>
  </si>
  <si>
    <t>Légende couleur des cellules :</t>
  </si>
  <si>
    <t>Die Hintergrundfarben der Zellen haben folgende Bedeutungen:</t>
  </si>
  <si>
    <t>Innéacs dath cúlra na cille:</t>
  </si>
  <si>
    <t>Indice colore dello sfondo della cella:</t>
  </si>
  <si>
    <t>Langelio fono spalvos indeksas:</t>
  </si>
  <si>
    <t>Indeks koloru tła komórki:</t>
  </si>
  <si>
    <t>Índice da cor de fundo da célula:</t>
  </si>
  <si>
    <t>Indeks barv ozadja polja:</t>
  </si>
  <si>
    <t>Índice de color de fondo de celda:</t>
  </si>
  <si>
    <t>template_label_general_principles</t>
  </si>
  <si>
    <t>General Principles</t>
  </si>
  <si>
    <t>Generelle principper</t>
  </si>
  <si>
    <t>Algemene vereisten</t>
  </si>
  <si>
    <t>Principes généraux</t>
  </si>
  <si>
    <t>Allgemeine Grundsätze</t>
  </si>
  <si>
    <t>Prionsabail Ghinearálta</t>
  </si>
  <si>
    <t>Principi Generali</t>
  </si>
  <si>
    <t>Bendrieji principai</t>
  </si>
  <si>
    <t>Zasady ogólne</t>
  </si>
  <si>
    <t>Princípios Gerais</t>
  </si>
  <si>
    <t>Splošna načela</t>
  </si>
  <si>
    <t xml:space="preserve">Principios generales
</t>
  </si>
  <si>
    <t>template_label_indicates_that_the_disclosure_is_from_the_general_principles_of_the_vs</t>
  </si>
  <si>
    <t>Indicates that the disclosure is from the general principles of the Voluntary Standard.</t>
  </si>
  <si>
    <t>Angiver, at oplysningerne stammer fra de generelle principper for VSME.</t>
  </si>
  <si>
    <t>Geeft aan dat de  rapportage afkomstig is van de algemene  vereisten van de VSME.</t>
  </si>
  <si>
    <t>Indique que la divulgation relève des principes généraux de VSME</t>
  </si>
  <si>
    <t>Bedeutet, dass die Angabe sich auf die allgemeinen Grundsätze des VSME bezieht.</t>
  </si>
  <si>
    <t>Tugann sé le fios go bhfuil an nochtadh ó phrionsabail ghinearálta an VSME.</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</si>
  <si>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</si>
  <si>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</si>
  <si>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</si>
  <si>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</si>
  <si>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Označuje, da razkritje izhaja iz splošnih načel VSME.</t>
  </si>
  <si>
    <t>Indica que la divulgación proviene de los principios generales del VSME.</t>
  </si>
  <si>
    <t>template_label_basic_module</t>
  </si>
  <si>
    <t>Basic Module</t>
  </si>
  <si>
    <t xml:space="preserve">Basismondul </t>
  </si>
  <si>
    <t>Basismodule</t>
  </si>
  <si>
    <t>Indique que la divulgation provient du module de base VSME.</t>
  </si>
  <si>
    <t>Basismodul</t>
  </si>
  <si>
    <t>Modúl Bunúsach</t>
  </si>
  <si>
    <t>Modulo base</t>
  </si>
  <si>
    <t>Bazinis modulis</t>
  </si>
  <si>
    <t>Moduł podstawowy</t>
  </si>
  <si>
    <t>Módulo de base</t>
  </si>
  <si>
    <t>Osnovni modul</t>
  </si>
  <si>
    <t>Módulo básico</t>
  </si>
  <si>
    <t>template_label_indicates_that_the_disclosure_is_from_the_vs_basic_module</t>
  </si>
  <si>
    <t>Indicates that the disclosure is from the Voluntary Standard Basic Module.</t>
  </si>
  <si>
    <t>Angiver, at oplysningen stammer fra basismodulet i VSME.</t>
  </si>
  <si>
    <t>Geeft aan dat de  rapportage afkomstig is van de VSME basismodule.</t>
  </si>
  <si>
    <t>Module complet</t>
  </si>
  <si>
    <t>Bedeutet, dass die Angabe aus dem VSME-Basismodul stammt.</t>
  </si>
  <si>
    <t>Léiríonn sé go bhfuil an nochtadh ón Modúl Bunúsach VSME.</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</si>
  <si>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</si>
  <si>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</si>
  <si>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</si>
  <si>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</si>
  <si>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Označuje, da razkritje izhaja iz osnovnega modula VSME.</t>
  </si>
  <si>
    <t>Indica que la divulgación proviene del Módulo Básico VSME.</t>
  </si>
  <si>
    <t>template_label_comprehensive_module</t>
  </si>
  <si>
    <t>Comprehensive Module</t>
  </si>
  <si>
    <t>Udvidet modul</t>
  </si>
  <si>
    <t>Uitgebreide module</t>
  </si>
  <si>
    <t>Indique que la divulgation provient du module complet VSME.</t>
  </si>
  <si>
    <t>Zusatzmodul</t>
  </si>
  <si>
    <t>Modúl Cuimsitheach</t>
  </si>
  <si>
    <t>Modulo Onnicomprensivo</t>
  </si>
  <si>
    <t>Išsamusis modulis</t>
  </si>
  <si>
    <t>Moduł kompleksowy</t>
  </si>
  <si>
    <t>Celovit modul</t>
  </si>
  <si>
    <t>Módulo completo</t>
  </si>
  <si>
    <t>template_label_indicates_that_the_disclosure_is_from_the_vs_comprehensive_module</t>
  </si>
  <si>
    <t>Indicates that the disclosure is from the Voluntary Standard Comprehensive Module.</t>
  </si>
  <si>
    <t>Angiver, at oplysningen stammer fra det udvidede modul i VSME.</t>
  </si>
  <si>
    <t>Geeft aan dat de  rapportage afkomstig is uit de VSME uitgebreide module.</t>
  </si>
  <si>
    <t>Indique que la cellule est calculée automatiquement et qu’aucune saisie de données n’est requise.</t>
  </si>
  <si>
    <t>Bedeutet, dass die Angabe aus dem VSME-Zusatzmodul stammt.</t>
  </si>
  <si>
    <t>Tugann sé le fios go bhfuil an nochtadh ón Modúl Cuimsitheach VSME.</t>
  </si>
  <si>
    <t>Indica che l'informativa proviene dal Modulo Onnicomprensivo del VSME.</t>
  </si>
  <si>
    <t>Nurodo, kad atskleidimas pateikiamas pagal VSME Išsamųjį modulį.</t>
  </si>
  <si>
    <t>Wskazuje, że ujawnienie pochodzi z modułu kompleksowego VSME.</t>
  </si>
  <si>
    <t>Označuje, da razkritje izhaja iz celovitega modula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</si>
  <si>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</si>
  <si>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</si>
  <si>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</si>
  <si>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</si>
  <si>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Geeft aan dat de cel automatisch wordt berekend en dat er geen gegevensinvoer vereist is.</t>
  </si>
  <si>
    <t>Bedeutet, dass die Zelle automatisch berechnet wird und keine Dateneingabe erforderlich ist.</t>
  </si>
  <si>
    <t>Léiríonn sé go ríomhtar an chill go huathoibríoch agus nach bhfuil aon iontráil sonraí ag teastáil.</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</si>
  <si>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</si>
  <si>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</si>
  <si>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</si>
  <si>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</si>
  <si>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Označuje, da se razkritje v polju izračuna samodejno in da vnos podatkov ni potreben.</t>
  </si>
  <si>
    <t xml:space="preserve">Indica que la celda se calcula automáticamente y que no se requiere introducir datos. 
</t>
  </si>
  <si>
    <t>template_label_indicates_that_the_datapoint_often_a_condition_will_not_be_included_in_the_vs_and_digital_xbrl_report</t>
  </si>
  <si>
    <t>Indicates that the datapoint (often a condition) will not be included in the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by overwriting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</si>
  <si>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</si>
  <si>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</si>
  <si>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</si>
  <si>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</si>
  <si>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</si>
  <si>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</si>
  <si>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</si>
  <si>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</si>
  <si>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</si>
  <si>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Označuje, da podatkovna točka (pogosto pogoj) ne bo vključena v poročilo VSME in digitalno poročilo XBRL. Ta polja so namenjene lažjemu izpolnjevanju razkritja, saj bodisi sprožijo primernost razkritja bodisi omogočajo samodejni izračun razkritja. Če se rumena polja ne uporabljajo za izračun vrednosti, se lahko skupni znesek, ki ga je treba razkriti, vnese ročno in prepiše s formulo.</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</si>
  <si>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</si>
  <si>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</si>
  <si>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this cell will turn white.</t>
  </si>
  <si>
    <t>Angiver, at dataindtastning ikke er nødvendig, medmindre visse logikker vælges i selve oplysningen. Når en af disse logikker vælges, bliver cellen hvid</t>
  </si>
  <si>
    <t>Geeft aan dat geen gegevensinvoer vereist is tenzij bepaalde rekenregels in de  rapportage zelf worden geselecteerd. Wanneer een van deze rekenregels wordt geselecteerd, wordt deze cel wit.</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</si>
  <si>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</si>
  <si>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</si>
  <si>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Tugann sé le fios nach bhfuil aon iontráil sonraí ag teastáil mura roghnaítear loighic áirithe sa nochtadh féin. Nuair a roghnaítear ceann de na loighicí seo, casfaidh an chill seo bán.</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</si>
  <si>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</si>
  <si>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</si>
  <si>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</si>
  <si>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</si>
  <si>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Označuje, da vnos podatkov ni potreben, razen če so v samem razkritju izbrane določene logike. Ko je izbrana ena od teh logik, se ta polje obarva belo.</t>
  </si>
  <si>
    <t>Indica que no se requiere ninguna entrada de datos a menos que se seleccionen ciertas lógicas en la propia divulgación. Cuando se selecciona una de estas lógicas, entonces esta celda se pondrá blanca.</t>
  </si>
  <si>
    <t>template_label_validation_missing_value_error_value_inconsistency_invalid_url</t>
  </si>
  <si>
    <t>Validation MISSING VALUE/ERROR/VALUE INCONSISTENCY/INVALID URL</t>
  </si>
  <si>
    <t>Validering MANGLENDE VÆRDI/FEJL/UOVERENSSTEMMELSE I VÆRDI/UGYLDIG URL</t>
  </si>
  <si>
    <t>Validatie MISSENDE WAARDE/FOUT/WAARDE-INCONSISTENTIE/ONGELDIGE URL</t>
  </si>
  <si>
    <t>Validation VALEUR MANQUANTE/ERREUR/VALEUR INCOHERENTE/URL NON VALIDE</t>
  </si>
  <si>
    <t>Validierung FEHLENDER WERT/FEHLER/INKONSISTENTER WERT/UNGÜLTIGE URL</t>
  </si>
  <si>
    <t>Bailíochtú LUACH IN EASNAMH/BOTÚN/NEAMHRÉIREACHT LUACHA/URL NEAMHBHAILÍ</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</si>
  <si>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</si>
  <si>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</si>
  <si>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</si>
  <si>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</si>
  <si>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Preverjanje MANJKAJOČA VREDNOST/NAPAKA/NEKONSISTENTNA VREDNOST/NEVELJAVEN URL</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</si>
  <si>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</si>
  <si>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</si>
  <si>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</si>
  <si>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</si>
  <si>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Geeft aan dat de gegevensinvoer ofwel onjuist is qua formaat, of dat bepaalde informatie ontbreekt om correct te kunnen rapporteren.</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</si>
  <si>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</si>
  <si>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</si>
  <si>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Tugann sé le fios go bhfuil iontráil sonraí mícheart ó thaobh na formáide de nó go bhfuil faisnéis áirithe in easnamh chun tuairisciú ceart a dhéanamh ar an nochtadh.</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</si>
  <si>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</si>
  <si>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</si>
  <si>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</si>
  <si>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</si>
  <si>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Označuje, da je vnos podatkov napačni obliki ali da manjkajo določene informacije za pravilno poročanje informacij.</t>
  </si>
  <si>
    <t>Indica que la entrada de datos es incorrecta en cuanto al formato o que falta cierta información para informar correctamente sobre la divulgación.</t>
  </si>
  <si>
    <t>template_label_validation_ok</t>
  </si>
  <si>
    <t>Validering OK</t>
  </si>
  <si>
    <t>Validatie OK</t>
  </si>
  <si>
    <t>Validierung OK</t>
  </si>
  <si>
    <t>Bailíochtú ceart go leor</t>
  </si>
  <si>
    <t>Validazione OK</t>
  </si>
  <si>
    <t>Patvirtinimas GERAI</t>
  </si>
  <si>
    <t>Walidacja OK</t>
  </si>
  <si>
    <t>Validação OK</t>
  </si>
  <si>
    <t>Preverjanje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</si>
  <si>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</si>
  <si>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</si>
  <si>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</si>
  <si>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</si>
  <si>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 xml:space="preserve">Geeft aan dat de gegevensinvoer in orde is en dat de onderneming kan doorgaan naar  het volgende rapportagevereiste. 
</t>
  </si>
  <si>
    <t>Indique que la saisie des données est OK et que l'entreprise peut passer à la divulgation suivante.</t>
  </si>
  <si>
    <t>Bedeutet, dass die Dateneingabe in Ordnung ist und das Unternehmen mit der nächsten Angabe fortfahren kann.</t>
  </si>
  <si>
    <t>Tugann sé le fios go bhfuil iontráil sonraí ceart go leor agus gur féidir leis an ngnóthas dul ar aghaidh go dtí an chéad nochtadh eile.</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</si>
  <si>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</si>
  <si>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</si>
  <si>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</si>
  <si>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</si>
  <si>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Označuje, da je vnos podatkov v redu in da lahko podjetje nadaljuje z naslednjim razkritjem.</t>
  </si>
  <si>
    <t>Indica que la entrada de datos es correcta y que la empresa puede proceder a la siguiente divulgación.</t>
  </si>
  <si>
    <t>template_label_validation_classified_or_sensitive_information</t>
  </si>
  <si>
    <t>Validation CLASSIFIED OR SENSITIVE INFORMATION</t>
  </si>
  <si>
    <t>Validering KLASSIFICEREDE ELLER FØLSOMME OPLYSNINGER</t>
  </si>
  <si>
    <t>Validatie GECLASSIFICEERDE OF GEVOELIGE INFORMATIE</t>
  </si>
  <si>
    <t>Validation INFORMATIONS CLASSIFIÉES OU SENSIBLES</t>
  </si>
  <si>
    <t>Validierung KLASSIFIZIERTE ODER SENSIBLE INFORMATIONEN</t>
  </si>
  <si>
    <t>Bailíochtú FAISNÉIS RÚNAICMITHE NÓ ÍOGAIR</t>
  </si>
  <si>
    <t>Validazione INFORMAZIONI CLASSIFICATE O SENSIBILI</t>
  </si>
  <si>
    <t>Patvirtinimas ĮSLAPTINTA ARBA NESKELBTINA INFORMACIJA</t>
  </si>
  <si>
    <t>Walidacja INFORMACJE TAJNE LUB WRAŻLIWE</t>
  </si>
  <si>
    <t>Validação INFORMAÇÕES CLASSIFICADAS OU SENSÍVEIS</t>
  </si>
  <si>
    <t>Ovrednotenje ZAUPNIH ALI OBČUTLJIVIH INFORMACIJ</t>
  </si>
  <si>
    <t>Validación INFORMACIÓN CLASIFICADA O SENSIBLE</t>
  </si>
  <si>
    <t>template_label_indicates_that_the_undertaking_has_omitted_the_data_entry_as_it_is_deemed_to_be_classified_or_sensitive_information</t>
  </si>
  <si>
    <t>Indicates that the undertaking has omitted the data entry as it is deemed to be classified or sensitive information.</t>
  </si>
  <si>
    <t>Indikerer, at projektet har udeladt dataindtastningen, da den anses for at være klassificeret eller følsomme oplysninger.</t>
  </si>
  <si>
    <t>Geeft aan dat de onderneming de gegevensinvoer heeft weggelaten omdat deze als geclassificeerde of gevoelige informatie wordt beschouwd.</t>
  </si>
  <si>
    <t>Indique que l’engagement a omis la saisie de données car elle est considérée comme classifiée ou sensible.</t>
  </si>
  <si>
    <t>Zeigt an, dass das Unternehmen die Dateneingabe ausgelassen hat, da diese als klassifizierte oder sensible Informationen gelten.</t>
  </si>
  <si>
    <t>Cuirtear in iúl gur fhág an gnóthas an iontráil sonraí ar lár toisc go meastar gur faisnéis rúnaicmithe nó íogair í.</t>
  </si>
  <si>
    <t>Indica che l'impegno ha omesso l'inserimento dati in quanto considerato classificato o informazioni sensibili.</t>
  </si>
  <si>
    <t>Nurodoma, kad įmonė neįvedė duomenų, nes jie laikomi įslaptinta arba neskelbtina informacija.</t>
  </si>
  <si>
    <t>Wskazuje, że zobowiązanie pominęło wprowadzanie danych, ponieważ uznaje się je za informacje tajne lub wrażliwe.</t>
  </si>
  <si>
    <t>Indica que o compromisso omitiu a entrada de dados, pois é considerada informação classificada ou sensível.</t>
  </si>
  <si>
    <t>Označuje, da je podjetje izpustilo vnos podatkov, ker se štejejo za tajne ali občutljive informacije.</t>
  </si>
  <si>
    <t>Indica que el compromiso ha omitido la entrada de datos ya que se considera información clasificada o sensible.</t>
  </si>
  <si>
    <t>template_label_no_value_can_be_entered_in_the_cell</t>
  </si>
  <si>
    <t>No value can be entered in the cell.</t>
  </si>
  <si>
    <t>Der kan ikke indtastes nogen værdi i cellen.</t>
  </si>
  <si>
    <t>Er kan geen waarde in de cel worden ingevoerd.</t>
  </si>
  <si>
    <t>Aucune valeur ne peut être saisie dans la cellule.</t>
  </si>
  <si>
    <t>In diese Zelle kann kein Wert eingegeben werden.</t>
  </si>
  <si>
    <t>Ní féidir aon luach a iontráil sa chill.</t>
  </si>
  <si>
    <t>Non è possibile inserire alcun valore nella cella.</t>
  </si>
  <si>
    <t>Į langelį negalima įvesti jokios reikšmės.</t>
  </si>
  <si>
    <t>W komórce nie można wprowadzić żadnej wartości.</t>
  </si>
  <si>
    <t>Nenhum valor pode ser inserido na célula.</t>
  </si>
  <si>
    <t>V polje ni mogoče vnesti nobene vrednosti.</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</si>
  <si>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</si>
  <si>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</si>
  <si>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</si>
  <si>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</si>
  <si>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Lijsten kunnen worden uitgebreid  door de plus [+] knop aan de linkerkant te gebruiken. Als het aantal rijen niet voldoende is, kunnen extra rijen worden toegevoegd door met de rechtermuisknop op de tweede rij te klikken en "Rij invoegen" te selecteren.</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</si>
  <si>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</si>
  <si>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</si>
  <si>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Is féidir liostaí a leathnú ag baint úsáide as an gcnaipe móide [+] ar chlé. Mura leor líon na sraitheanna, is féidir sraitheanna breise a chur leis trí chliceáil ar dheis ar an dara sraith agus "Ionsáigh as a chéile" a roghnú.</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</si>
  <si>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</si>
  <si>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</si>
  <si>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</si>
  <si>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</si>
  <si>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Sezname lahko razširite z gumbom plus [+] na levi. Če število vrstic ni zadostno, lahko dodate dodatne vrstice tako, da z desno miškino tipko kliknete drugo vrstico in izberete »Vstavi vrstico«.</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</si>
  <si>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</si>
  <si>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</si>
  <si>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</si>
  <si>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</si>
  <si>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</si>
  <si>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</si>
  <si>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</si>
  <si>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</si>
  <si>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</si>
  <si>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</si>
  <si>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</si>
  <si>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</si>
  <si>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financira Evropska unija prek programa za enotni trg, v katerem sodelujejo države EEA-EFTA (Norveška, Islandija in Lihtenštajn) ter Kosovo. Vsa izražena stališča in mnenja pa so zgolj stališča avtorja(-jev) in ne odražajo nujno stališč Evropske unije, Evropske komisije ali držav, ki sodelujejo v programu za enotni trg. Niti Evropska unija, Evropska komisija niti države, ki sodelujejo v programu za enotni trg, ne morejo biti odgovorne zanje. © 2025 EFRAG Vse pravice pridržane.</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</si>
  <si>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</si>
  <si>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template_label_for_further_information_contact_email</t>
  </si>
  <si>
    <t>For further details please contact efragsecretariat@efrag.org</t>
  </si>
  <si>
    <t>Reproduktions- og brugsrettigheder er strengt begrænsede. For yderligere oplysninger bedes du kontakte efragsecretariat@efrag.org</t>
  </si>
  <si>
    <t xml:space="preserve">Reproductie- en gebruiksrechten zijn strikt beperkt. Voor meer informatie kunt u contact opnemen met efragsecretariat@efrag.org
</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</si>
  <si>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</si>
  <si>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</si>
  <si>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Tá cearta atáirgthe agus úsáide teoranta go docht. Chun tuilleadh eolais a fháil, déan teagmháil le do thoil efragsecretariat@efrag.org</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</si>
  <si>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</si>
  <si>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</si>
  <si>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</si>
  <si>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</si>
  <si>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Pravice do reprodukcije in uporabe so strogo omejene. Za več podrobnosti se obrnite na efragsecretariat@efrag.org.</t>
  </si>
  <si>
    <t xml:space="preserve">Los derechos de reproducción y uso están estrictamente limitados. Para más detalles, por favor contacte a efragsecretariat@efrag.org
</t>
  </si>
  <si>
    <t>template_narrative_content_provided_as_external_docx_file</t>
  </si>
  <si>
    <t>Narrative content provided as external DOCX file</t>
  </si>
  <si>
    <t>template_box_for_customizable_docx_files_for_narrative_disclosures</t>
  </si>
  <si>
    <t>Checking this box will allow users to customizable DOCX files for narrative disclosures</t>
  </si>
  <si>
    <t>Hvis du markerer denne boks, kan brugerne tilpasse DOCX-filer til narrative afsløringer</t>
  </si>
  <si>
    <t>Als du markerer denne boks, kan brugerne tilpasse DOCX-filer til narrative afsløringer</t>
  </si>
  <si>
    <t>template_label_microenterprise_validation</t>
  </si>
  <si>
    <t>Undertaking with 10 or less employees: Please note that certain cells will be greyed out in the template</t>
  </si>
  <si>
    <t>MICROENTERPRISE: bemærk at få celler vil være gråtonede</t>
  </si>
  <si>
    <t>MICROENTERPRISE : bemærk at få celler vil være gråtonede</t>
  </si>
  <si>
    <t>MICROENTERPRISE : bemærk at få celler vil være gråtonede</t>
  </si>
  <si>
    <t>template_filling_sensitive_checkboxes</t>
  </si>
  <si>
    <t>Filling the checkboxes below will fill automatically the list of omitted disclosures in B1 (from row 123 to 172 within General Information sheet)</t>
  </si>
  <si>
    <t>Ved at udfylde afkrydsningsfelterne nedenfor udfyldes automatisk listen over udeladte oplysninger i B1 (fra række 123 til 172 i det generelle informationsark)</t>
  </si>
  <si>
    <t>Door de onderstaande selectievakjes in te vullen, vult automatisch de lijst met weggelaten meldingen in B1 (van rij 123 tot 172 in het algemene informatieblad) in.</t>
  </si>
  <si>
    <t>Remplir les cases ci-dessous remplira automatiquement la liste des divulgations omises dans B1 (de la ligne 123 à la 172 dans la fiche d’information générale)</t>
  </si>
  <si>
    <t>Das Ausfüllen der untenstehenden Kontrollkästchen füllt automatisch die Liste der ausgelassenen Offenlegungen in B1 (von Zeile 123 bis 172 im allgemeinen Informationsblatt) aus.</t>
  </si>
  <si>
    <t>Má líontar na boscaí seiceála thíos, líonfar go huathoibríoch liosta na nochtadh ar lár i B1 (ó shraith 123 go 172 laistigh den bhileog faisnéise ginearálta)</t>
  </si>
  <si>
    <t>Compilando le caselle di spunta qui sotto si riempirà automaticamente la lista delle dichiarazioni omesse in B1 (dalla riga 123 alla 172 all'interno del foglio informativo generale)</t>
  </si>
  <si>
    <t>Užpildžius toliau pateiktus žymimuosius langelius, automatiškai bus užpildytas praleistos informacijos sąrašas B1 (nuo 123 iki 172 eilutės Bendrosios informacijos lape)</t>
  </si>
  <si>
    <t>Wypełnienie poniższych pól automatycznie wypełni listę pominiętych ujawnień w formularzu B1 (od wiersza 123 do 172 w arkuszu informacji ogólnych)</t>
  </si>
  <si>
    <t>Preenchendo as caixas abaixo, a lista de divulgações omitidas no B1 (da linha 123 à 172 dentro da folha de Informações Gerais) será preenchida automaticamente</t>
  </si>
  <si>
    <t>Z izpolnjevanjem spodnjih polj se bo samodejno izpolnil seznam izpuščenih razkritij v B1 (od vrstice 123 do 172 v listu Splošne informacije)</t>
  </si>
  <si>
    <t>Rellenar las casillas de verificación a continuación se llenará automáticamente la lista de divulgaciones omitidas en B1 (de la fila 123 a la 172 dentro de la hoja de información general)</t>
  </si>
  <si>
    <t>template_label_overall_validation_status_validation</t>
  </si>
  <si>
    <t>Overall Validation Status</t>
  </si>
  <si>
    <t>Samlet valideringsstatus</t>
  </si>
  <si>
    <t>Algemene validatiestatus</t>
  </si>
  <si>
    <t xml:space="preserve">Statut global de validation
</t>
  </si>
  <si>
    <t>Gesamtstatus der Validierung</t>
  </si>
  <si>
    <t>Stádas Foriomlán Bailíochtaithe</t>
  </si>
  <si>
    <t>Stato complessivo di convalida</t>
  </si>
  <si>
    <t>Bendras patikrinimo statusas</t>
  </si>
  <si>
    <t>Ogólny status walidacji</t>
  </si>
  <si>
    <t>Estado Global da Validação</t>
  </si>
  <si>
    <t>Splošno stanje validacije</t>
  </si>
  <si>
    <t>Estado general de validación</t>
  </si>
  <si>
    <t>template_label_table_of_contents_validation</t>
  </si>
  <si>
    <t>Indholdsfortegnelse</t>
  </si>
  <si>
    <t>Inhoudsopgave</t>
  </si>
  <si>
    <t>Clár Ábhair</t>
  </si>
  <si>
    <t>template_classified_or_sensitive_information</t>
  </si>
  <si>
    <t>Classified or sensitive information</t>
  </si>
  <si>
    <t>Klassificerede eller følsomme oplysninger</t>
  </si>
  <si>
    <t>Geheime of gevoelige informatie</t>
  </si>
  <si>
    <t>Informations classifiées ou sensibles</t>
  </si>
  <si>
    <t>Geheime oder sensible Informationen</t>
  </si>
  <si>
    <t>Geheime oder sensible Information</t>
  </si>
  <si>
    <t>Informazioni classificate o sensibili</t>
  </si>
  <si>
    <t>Įslaptinta arba neskelbtina informacija</t>
  </si>
  <si>
    <t>Informacje tajne lub wrażliwe</t>
  </si>
  <si>
    <t>Informações classificadas ou sensíveis</t>
  </si>
  <si>
    <t>Zaupne ali občutljive informacije</t>
  </si>
  <si>
    <t>Información clasificada o sensible</t>
  </si>
  <si>
    <t>template_label_contents_grouping_follows_templates_framework_validation</t>
  </si>
  <si>
    <t>Contents grouping follows template's framework</t>
  </si>
  <si>
    <t>Gruppering af indhold følger skabelonens ramme</t>
  </si>
  <si>
    <t xml:space="preserve">Inhoudsgroepering volgt het raamwerk van de template
</t>
  </si>
  <si>
    <t>Le regroupement des contenus suit le cadre du format</t>
  </si>
  <si>
    <t>Die Gruppierung der Inhalte folgt dem Aufbau der VSME-Vorlage</t>
  </si>
  <si>
    <t>Leanann grúpáil ábhair creatlach an teimpléid</t>
  </si>
  <si>
    <t>Il raggruppamento dei contenuti segue il quadro del modello</t>
  </si>
  <si>
    <t>Turinio grupavimas atitinka šablono struktūrą</t>
  </si>
  <si>
    <t>Grupowanie treści jest zgodne ze strukturą szablonu</t>
  </si>
  <si>
    <t>Agrupamento de conteúdos segue a estrutura do modelo</t>
  </si>
  <si>
    <t>Združevanje vsebin v skupine sledi strukturi predloge</t>
  </si>
  <si>
    <t>La agrupación de contenidos sigue el marco del modelo</t>
  </si>
  <si>
    <t>template_label_specific_content_validation_status_validation</t>
  </si>
  <si>
    <t>Specific Content Validation Status</t>
  </si>
  <si>
    <t xml:space="preserve">Valideringsstatus for indhold </t>
  </si>
  <si>
    <t xml:space="preserve">Validatiestatus van specifieke inhoud </t>
  </si>
  <si>
    <t>Statut de validation du contenu spécifique</t>
  </si>
  <si>
    <t>Spezifischer Validierungsstatus des Inhalts</t>
  </si>
  <si>
    <t>Stádas Bailíochtaithe Ábhair Sonrach</t>
  </si>
  <si>
    <t>Stato di convalida specifico del contenuto</t>
  </si>
  <si>
    <t>Specifinė turinio tikrinimo būsena</t>
  </si>
  <si>
    <t>Status walidacji konkretnej treści</t>
  </si>
  <si>
    <t>Estado de Validação de Conteúdo Específico</t>
  </si>
  <si>
    <t>Stanje preverjanja specifične vsebine</t>
  </si>
  <si>
    <t>Estado de Validación de Contenido Específico</t>
  </si>
  <si>
    <t>template_label_general_information_validation</t>
  </si>
  <si>
    <t>General Information</t>
  </si>
  <si>
    <t>Generel information</t>
  </si>
  <si>
    <t xml:space="preserve">Algemene informatie
</t>
  </si>
  <si>
    <t>Informations générales</t>
  </si>
  <si>
    <t xml:space="preserve">Allgemeine Informationen
</t>
  </si>
  <si>
    <t>Eolas Ginearálta</t>
  </si>
  <si>
    <t xml:space="preserve">Informazioni generali
</t>
  </si>
  <si>
    <t>Bendroji informacija</t>
  </si>
  <si>
    <t>Informacje ogólne</t>
  </si>
  <si>
    <t xml:space="preserve">Informação Geral
</t>
  </si>
  <si>
    <t>Splošne informacije</t>
  </si>
  <si>
    <t>Información general</t>
  </si>
  <si>
    <t>template_label_information_on_the_report_necessary_for_xbrl_validation</t>
  </si>
  <si>
    <t>Information on the report necessary for  XBRL</t>
  </si>
  <si>
    <t>Oplysninger i rapporten, der er nødvendige for XBRL</t>
  </si>
  <si>
    <t>Informatie over het rapport die noodzakelijk is voor XBRL</t>
  </si>
  <si>
    <t>Informations sur le rapport nécessaires pour XBRL</t>
  </si>
  <si>
    <t>Informationen über den Bericht, die für XBRL erforderlich sind</t>
  </si>
  <si>
    <t>Faisnéis maidir leis an tuarascáil is gá le haghaidh XBRL</t>
  </si>
  <si>
    <t>Informazioni sulla relazione necessarie per XBRL</t>
  </si>
  <si>
    <t>Informacija apie ataskaitą, reikalinga XBRL</t>
  </si>
  <si>
    <t>Informacje o sprawozdaniu niezbędne dla XBRL</t>
  </si>
  <si>
    <t>Informações no relatório necessárias para XBRL</t>
  </si>
  <si>
    <t>Informacije o poročilu, potrebne za XBRL</t>
  </si>
  <si>
    <t>Información del informe necesaria para XBRL</t>
  </si>
  <si>
    <t>template_label_information_on_previous_reporting_period_validation</t>
  </si>
  <si>
    <t>Information on previous reporting period</t>
  </si>
  <si>
    <t>Oplysninger om den foregående rapporteringsperiode</t>
  </si>
  <si>
    <t xml:space="preserve">
"Informatie over de vorige rapportageperiode "
</t>
  </si>
  <si>
    <t>Informations sur la période de reporting précédente</t>
  </si>
  <si>
    <t>Informationen zum vorherigen Berichtszeitraum</t>
  </si>
  <si>
    <t>Faisnéis maidir leis an tréimhse tuairiscithe roimhe seo</t>
  </si>
  <si>
    <t>Informazioni sul periodo di riferimento precedente</t>
  </si>
  <si>
    <t>Informacija apie ankstesnį ataskaitinį laikotarpį</t>
  </si>
  <si>
    <t>Informacje o poprzednim okresie sprawozdawczym</t>
  </si>
  <si>
    <t>Informação sobre o período de reporte anterior</t>
  </si>
  <si>
    <t>Podatki o preteklem poročevalskem obdobju</t>
  </si>
  <si>
    <t>Información sobre el periodo de reporte anterior</t>
  </si>
  <si>
    <t>template_label_basic_module_validation</t>
  </si>
  <si>
    <t>Module de base</t>
  </si>
  <si>
    <t>template_label_b1_basis_for_preparation_validation</t>
  </si>
  <si>
    <t>B1 - Basis for Preparation</t>
  </si>
  <si>
    <t>B1 – Grundlag for udarbejdelse</t>
  </si>
  <si>
    <t>B1 - Grondslag voor het opstellen van informatie</t>
  </si>
  <si>
    <t>B1 – Base de préparation</t>
  </si>
  <si>
    <t>B1 - Grundlagen für die Erstellung</t>
  </si>
  <si>
    <t>B1 - Bunús le haghaidh Ullmhúcháin</t>
  </si>
  <si>
    <t>B1 – Criteri per la redazione</t>
  </si>
  <si>
    <t>B1. Ataskaitos rengimo pagrindas</t>
  </si>
  <si>
    <t>B1 – Podstawa sporządzenia</t>
  </si>
  <si>
    <t>B1 — Base para a elaboração</t>
  </si>
  <si>
    <t>B1 - Osnova za pripravo</t>
  </si>
  <si>
    <t>B1 – Base para la elaboración</t>
  </si>
  <si>
    <t>template_label_b2_practices_policies_and_future_initiatives_for_transitioning_towards_a_more_sustainable_economy_validation</t>
  </si>
  <si>
    <t xml:space="preserve">B2 - Practices, policies and future initiatives for transitioning towards a more sustainable economy </t>
  </si>
  <si>
    <t xml:space="preserve">B2 - Praksisser, politikker og fremtidige initiativer for omstilling til en mere bæredygtig økonomi </t>
  </si>
  <si>
    <t xml:space="preserve">B2 — Praktijken, beleid en toekomstige initiatieven voor de transitie naar een duurzamere economie </t>
  </si>
  <si>
    <t xml:space="preserve">B2 – Pratiques, politiques et initiatives futures en vue de la transition vers une économie plus durable </t>
  </si>
  <si>
    <t xml:space="preserve">B2 - Verfahrensweisen, Richtlinien und künftige Initiativen für den Übergang zu einer nachhaltigeren Wirtschaft </t>
  </si>
  <si>
    <t xml:space="preserve">B2 - Cleachtais, beartais agus tionscnaimh amach anseo chun aistriú i dtreo geilleagar níos inbhuanaithe </t>
  </si>
  <si>
    <t xml:space="preserve">B2 - Pratiche, politiche e iniziative future per la transizione verso un'economia più sostenibile </t>
  </si>
  <si>
    <t xml:space="preserve">B2 - Praktikos, politikos ir būsimos iniciatyvos pereinant prie tvaresnės ekonomikos </t>
  </si>
  <si>
    <t xml:space="preserve">B2 – Praktyki, polityki i przyszłe inicjatywy na rzecz przejścia na bardziej zrównoważoną gospodarkę </t>
  </si>
  <si>
    <t xml:space="preserve">B2 — Práticas, políticas e iniciativas futuras para a transição para uma economia mais sustentável </t>
  </si>
  <si>
    <t>B2 - Prakse, politike in prihodnje pobude za prehod na bolj trajnostno gospodarstvo</t>
  </si>
  <si>
    <t xml:space="preserve">B2 – Prácticas, políticas e iniciativas futuras para la transición hacia una economía más sostenible </t>
  </si>
  <si>
    <t>template_label_environmental_disclosures_validation</t>
  </si>
  <si>
    <t>Environmental Disclosures</t>
  </si>
  <si>
    <t>Miljømæssige oplysninger</t>
  </si>
  <si>
    <t>Milieu-rapportage</t>
  </si>
  <si>
    <t>Informations environnementales</t>
  </si>
  <si>
    <t>Umweltangaben</t>
  </si>
  <si>
    <t>Nochtadh Comhshaoil</t>
  </si>
  <si>
    <t>Informative ambientali</t>
  </si>
  <si>
    <t>Aplinkosaugos atskleidimai</t>
  </si>
  <si>
    <t>Ujawnienia środowiskowe</t>
  </si>
  <si>
    <t>Divulgações Ambientais</t>
  </si>
  <si>
    <t>Okoljska razkritja</t>
  </si>
  <si>
    <t>Divulgaciones Ambientales</t>
  </si>
  <si>
    <t>template_label_b3_energy_and_greenhouse_gas_emissions_validation</t>
  </si>
  <si>
    <t>B3 - Energy and greenhouse gas emissions</t>
  </si>
  <si>
    <t xml:space="preserve">B3 - Energi og drivhusgasudledninger </t>
  </si>
  <si>
    <t>B3 - Energie en broeikasgasemissies</t>
  </si>
  <si>
    <t>B3 – Énergie et émissions de gaz à effet de serre</t>
  </si>
  <si>
    <t>B3 - Energie und Treibhausgasemissionen</t>
  </si>
  <si>
    <t>B3 - Fuinneamh agus astaíochtaí gás ceaptha teasa</t>
  </si>
  <si>
    <t>B3 - Energia ed emissioni di gas a effetto serra</t>
  </si>
  <si>
    <t>B3 – Energija ir šiltnamio efektą sukeliančios dujos</t>
  </si>
  <si>
    <t>B3 – Energia i emisje gazów cieplarnianych</t>
  </si>
  <si>
    <t>B3 — Energia e emissões de gases com efeito de estufa</t>
  </si>
  <si>
    <t>B3 - Energija in emisije toplogrednih plinov</t>
  </si>
  <si>
    <t>B3 - Energía y emisiones de gases de efecto invernadero</t>
  </si>
  <si>
    <t>template_label_b4_pollution_of_air_water_and_soil_validation</t>
  </si>
  <si>
    <t>B4 - Pollution of air, water and soil</t>
  </si>
  <si>
    <t>B4 – Forurening af luft, vand og jord</t>
  </si>
  <si>
    <t>B4 –  Verontreiniging van lucht, water en bodem</t>
  </si>
  <si>
    <t>B4 - Pollution de l’air, de l’eau et des sols</t>
  </si>
  <si>
    <t>B4 - Luft-, Wasser- und Bodenverschmutzung</t>
  </si>
  <si>
    <t>B4 - Truailliú aeir, uisce agus ithreach</t>
  </si>
  <si>
    <t>B4 – Inquinamento di aria, acqua e suolo</t>
  </si>
  <si>
    <t>B4. Oro, vandens ir dirvožemio tarša</t>
  </si>
  <si>
    <t>B4 – Zanieczyszczenie powietrza, wody i gleby</t>
  </si>
  <si>
    <t>B4 — Poluição do ar, da água e do solo</t>
  </si>
  <si>
    <t>B4 - Onesnaževanje zraka, vode in tal</t>
  </si>
  <si>
    <t>B4 – Contaminación de la atmósfera, del agua y del suelo</t>
  </si>
  <si>
    <t>template_label_b5_biodiversity_validation</t>
  </si>
  <si>
    <t>B5 - Biodiversity</t>
  </si>
  <si>
    <t>B5 – Biodiversitet</t>
  </si>
  <si>
    <t>B5 — Biodiversiteit</t>
  </si>
  <si>
    <t xml:space="preserve">B5 – Biodiversité
</t>
  </si>
  <si>
    <t>B5 - Biodiversität</t>
  </si>
  <si>
    <t>B5 - Bithéagsúlacht</t>
  </si>
  <si>
    <t>B5 – Biodiversità</t>
  </si>
  <si>
    <t xml:space="preserve">B5. Biologinė įvairovė
</t>
  </si>
  <si>
    <t>B5 – Bioróżnorodność</t>
  </si>
  <si>
    <t>B5 — Biodiversidade</t>
  </si>
  <si>
    <t>B5 - Biotska raznovrstnost</t>
  </si>
  <si>
    <t>B5 – Biodiversidad</t>
  </si>
  <si>
    <t>template_label_b6_water_validation</t>
  </si>
  <si>
    <t>B6 - Water</t>
  </si>
  <si>
    <t>B6 – Vand</t>
  </si>
  <si>
    <t>B6 — Water</t>
  </si>
  <si>
    <t>B6 – Eau</t>
  </si>
  <si>
    <t>B6 - Wasser</t>
  </si>
  <si>
    <t>B6 - Uisce</t>
  </si>
  <si>
    <t>B6 –   Acque</t>
  </si>
  <si>
    <t>B6 – Vanduo</t>
  </si>
  <si>
    <t>B6 – Woda</t>
  </si>
  <si>
    <t>B6 – Água</t>
  </si>
  <si>
    <t>B6 - Voda</t>
  </si>
  <si>
    <t>B6 – Agua</t>
  </si>
  <si>
    <t>template_label_b7_resource_use_circular_economy_and_waste_management_validation</t>
  </si>
  <si>
    <t>B7 - Resource use, circular economy and waste management</t>
  </si>
  <si>
    <t>B7 –   Ressourceforbrug, cirkulær økonomi og affaldshåndtering</t>
  </si>
  <si>
    <t>B7 — Gebruik van hulpbronnen, circulaire economie en afvalbeheer</t>
  </si>
  <si>
    <t>B7 - Utilisation des ressources, économie circulaire et gestion des déchets</t>
  </si>
  <si>
    <t>B7 - Ressourcennutzung, Kreislaufwirtschaft und Abfallwirtschaft</t>
  </si>
  <si>
    <t>B7 - Úsáid acmhainní, geilleagar ciorclach agus bainistiú dramhaíola</t>
  </si>
  <si>
    <t>B7 – Uso delle risorse, economia circolare e gestione dei rifiuti</t>
  </si>
  <si>
    <t>B7 - Išteklių naudojimas, žiedinė ekonomika ir atliekų tvarkymas</t>
  </si>
  <si>
    <t>B7 – Wykorzystanie zasobów, gospodarka o obiegu zamkniętym i gospodarowanie odpadami</t>
  </si>
  <si>
    <t>B7 - Utilização dos recursos, economia circular e gestão de resíduos</t>
  </si>
  <si>
    <t>B7 - Raba virov, krožno gospodarstvo in ravnanje z odpadki</t>
  </si>
  <si>
    <t>B7 - Uso de los recursos, economía circular y gestión de residuos</t>
  </si>
  <si>
    <t>template_label_social_disclosures_validation</t>
  </si>
  <si>
    <t>Social Disclosures</t>
  </si>
  <si>
    <t>Sociale oplysninger</t>
  </si>
  <si>
    <t xml:space="preserve">Sociale rapportage </t>
  </si>
  <si>
    <t>Informations sociales</t>
  </si>
  <si>
    <t>Sozialangaben</t>
  </si>
  <si>
    <t>Nochtaí Sóisialta</t>
  </si>
  <si>
    <t>Informative sociali</t>
  </si>
  <si>
    <t>Socialinių rodiklių atskleidimai</t>
  </si>
  <si>
    <t>Ujawnienia społeczne</t>
  </si>
  <si>
    <t>Divulgações Sociais</t>
  </si>
  <si>
    <t>Družbena razkritja</t>
  </si>
  <si>
    <t>Divulgaciones Sociales</t>
  </si>
  <si>
    <t>template_label_b8_workforce_general_characteristics_validation</t>
  </si>
  <si>
    <t>B8 - Workforce - General characteristics</t>
  </si>
  <si>
    <t>B8 - Arbejdsstyrke - Generelle karakteristika</t>
  </si>
  <si>
    <t>B8 - Personeel - Algemene kenmerken</t>
  </si>
  <si>
    <t>B8 – Personnel – Caractéristiques générales</t>
  </si>
  <si>
    <t>B8 - Arbeitskräfte – Allgemeine Merkmale</t>
  </si>
  <si>
    <t>B8 - Lucht saothair - Saintréithe ginearálta</t>
  </si>
  <si>
    <t>B8 - Forza lavoro - Caratteristiche generali</t>
  </si>
  <si>
    <t>B8 - Darbuotojai - Bendrieji rodikliai</t>
  </si>
  <si>
    <t>B8 – Zasoby pracownicze – Charakterystyka ogólna</t>
  </si>
  <si>
    <t>B8 – Força de trabalho – Características gerais</t>
  </si>
  <si>
    <t>B8 - Delovna sila - Splošne značilnosti</t>
  </si>
  <si>
    <t>B8 – Trabajadores – Características generales</t>
  </si>
  <si>
    <t>template_label_b9_workforce_health_and_safety_validation</t>
  </si>
  <si>
    <t>B9 - Workforce - Health and safety</t>
  </si>
  <si>
    <t>B9 – Arbejdsstyrke – Sundhed og sikkerhed</t>
  </si>
  <si>
    <t>B9 - Personeel – Gezondheid en veiligheid</t>
  </si>
  <si>
    <t>B9 – Personnel – Santé et sécurité</t>
  </si>
  <si>
    <t>B9 - Arbeitskräfte – Gesundheitsschutz und Sicherheit</t>
  </si>
  <si>
    <t>B9 - Lucht saothair – Sláinte agus sábháilteacht</t>
  </si>
  <si>
    <t>B9 – Forza lavoro – Salute e sicurezza</t>
  </si>
  <si>
    <t>B9 - Darbuotojai - Sveikata ir sauga</t>
  </si>
  <si>
    <t>B9 - Zasoby pracownicze – Bezpieczeństwo i higiena pracy</t>
  </si>
  <si>
    <t>B9 — Mão-de-obra — Saúde e segurança</t>
  </si>
  <si>
    <t>B9 – Delovna sila – Zdravje in varnost</t>
  </si>
  <si>
    <t>B9 – Trabajadores – Salud y seguridad</t>
  </si>
  <si>
    <t>template_label_b10_workforce_remuneration_collective_bargaining_and_training_validation</t>
  </si>
  <si>
    <t>B10 - Workforce - Remuneration, collective bargaining and training</t>
  </si>
  <si>
    <t>B10 - Arbejdsstyrke - Vederlag, kollektive overenskomster og uddannelse</t>
  </si>
  <si>
    <t>B10 – Personeel – Vergoeding, collectieve onderhandelingen en opleiding</t>
  </si>
  <si>
    <t>B10 –   Personnel – Rémunération, négociation collective et formation</t>
  </si>
  <si>
    <t>B10 - Arbeitskräfte – Vergütung, Tarif-/Kollektivverhandlungen und Schulung</t>
  </si>
  <si>
    <t>B10 - Lucht saothair – Luach saothair, cómhargáil agus oiliúint</t>
  </si>
  <si>
    <t xml:space="preserve">B10 – Forza lavoro – Retribuzione, contrattazione collettiva e formazione
</t>
  </si>
  <si>
    <t>B10 - Darbuotojai – Atlyginimas, kolektyvinės derybos ir mokymai</t>
  </si>
  <si>
    <t>B10 – Zasoby pracownicze – wynagrodzenie, rokowania zbiorowe i szkolenia</t>
  </si>
  <si>
    <t>B10 - Mão-de-obra – Remuneração, negociação coletiva e formação</t>
  </si>
  <si>
    <t>B10 – Delovna sila – Plačilo, kolektivna pogajanja in usposabljanje</t>
  </si>
  <si>
    <t>B10 – Trabajadores – Retribución, negociación colectiva y formación</t>
  </si>
  <si>
    <t>template_label_governance_disclosures_validation</t>
  </si>
  <si>
    <t>Governance Disclosures</t>
  </si>
  <si>
    <t>Ledelsesmæssige oplysninger</t>
  </si>
  <si>
    <t xml:space="preserve">Governance rapportage </t>
  </si>
  <si>
    <t>Informations de gouvernance</t>
  </si>
  <si>
    <t>Governance-Angaben</t>
  </si>
  <si>
    <t>Nochtaí Rialachais</t>
  </si>
  <si>
    <t>Informative sulla governance</t>
  </si>
  <si>
    <t>Valdysenos rodiklių atskleidimai</t>
  </si>
  <si>
    <t>Ujawnienia odnoszące się do ładu korporacyjnego</t>
  </si>
  <si>
    <t>Divulgações de Governança</t>
  </si>
  <si>
    <t>Upravljavska razkritja</t>
  </si>
  <si>
    <t>Información sobre Gobernanza</t>
  </si>
  <si>
    <t>template_label_b11_convictions_and_fines_for_corruption_and_bribery_validation</t>
  </si>
  <si>
    <t>B11 - Convictions and fines for corruption and bribery</t>
  </si>
  <si>
    <t>B11 – Domme og bøder for korruption og bestikkelse</t>
  </si>
  <si>
    <t>B11 – Veroordelingen en boetes voor corruptie en omkoping</t>
  </si>
  <si>
    <t>B11 – Condamnations et amendes pour corruption et pots-de-vin</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</si>
  <si>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</si>
  <si>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</si>
  <si>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</si>
  <si>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</si>
  <si>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</si>
  <si>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</si>
  <si>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Obsodbe in globe za korupcijo in podkupovanje</t>
  </si>
  <si>
    <t>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</si>
  <si>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</si>
  <si>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</si>
  <si>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</si>
  <si>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</si>
  <si>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</si>
  <si>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</si>
  <si>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C1 - Strategy: Business Model and Sustainability - Related Initiatives</t>
  </si>
  <si>
    <t xml:space="preserve">C1 – Strategi: Forretningsmodel og bæredygtighedsrelaterede initiativer
</t>
  </si>
  <si>
    <t>C1 – Strategie: l businessmodel en duurzaamheid – Gerelateerde initiatieven</t>
  </si>
  <si>
    <t xml:space="preserve">C1 – Stratégie : modèle économique et durabilité – initiatives associées
</t>
  </si>
  <si>
    <t>C1 - Strategie: Geschäftsmodell und Nachhaltigkeit – Zugehörige Initiativen</t>
  </si>
  <si>
    <t>C1 - Straitéis: Múnla Gnó agus Inbhuanaitheacht – Tionscnaimh Gaolmhara</t>
  </si>
  <si>
    <t>C1 - Strategia: modello aziendale e iniziative connesse alla sostenibilità</t>
  </si>
  <si>
    <t>C1. Strategija: verslo modelis ir su tvarumu susijusios iniciatyvos</t>
  </si>
  <si>
    <t>C1 – Strategia: model biznesowy i zrównoważony rozwój – powiązane inicjatywy</t>
  </si>
  <si>
    <t>C1 - Estratégia: Modelo de negócio e sustentabilidade — Iniciativas conexas</t>
  </si>
  <si>
    <t>C1 - Strategija: Poslovni model in trajnostnost – povezane pobude</t>
  </si>
  <si>
    <t>C1 – Estrategia: modelo de negocio y sostenibilidad – Iniciativas relacionadas</t>
  </si>
  <si>
    <t>template_label_c2_description_of_practices_policies_and_future_initiatives_for_transitioning_towards_a_more_sustainable_economy_validation</t>
  </si>
  <si>
    <t>C2 - Description of practices, policies and future initiatives for transitioning towards a more sustainable economy</t>
  </si>
  <si>
    <t xml:space="preserve">C2 - Beskrivelse af praksisser, politikker og fremtidige initiativer for omstillingen til en mere bæredygtig økonomi </t>
  </si>
  <si>
    <t>C2 – Beschrijving van praktijken, beleid en toekomstige initiatieven voor de transitie naar een duurzamere economie</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</si>
  <si>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</si>
  <si>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</si>
  <si>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Cur síos ar chleachtais, ar bheartais agus ar thionscnaimh amach anseo chun aistriú i dtreo geilleagar níos inbhuanaithe</t>
  </si>
  <si>
    <t>C2 – Descrizione delle pratiche, delle politiche e delle iniziative future per la transizione verso un'economia più sostenibile</t>
  </si>
  <si>
    <t>C2. Perėjimo prie tvaresnės ekonomikos praktikų,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</si>
  <si>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</si>
  <si>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</si>
  <si>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Opis praks, politik in prihodnjih pobud za prehod na bolj trajnostno gospodarstvo</t>
  </si>
  <si>
    <t>C2 – Descripción de las prácticas, políticas e iniciativas futuras para la transición hacia una economía más sostenible</t>
  </si>
  <si>
    <t>template_label_c3_ghg_reduction_targets_and_climate_transition_validation</t>
  </si>
  <si>
    <t>C3 - GHG reduction targets and climate transition</t>
  </si>
  <si>
    <t>C3 - Mål for reduktion af drivhusgasser og klimaomstilling</t>
  </si>
  <si>
    <t>C3 - Streefcijfers voor broeikasgasreductie en klimaattransitie</t>
  </si>
  <si>
    <t>C3 –   Cibles de réduction des émissions de GES et transition climatique</t>
  </si>
  <si>
    <t>C3 - THG-Reduktionsziele und Übergang für den Klimaschutz</t>
  </si>
  <si>
    <t>C3 - Spriocanna laghdaithe gás ceaptha teasa agus aistriú aeráide</t>
  </si>
  <si>
    <t>C3 – Obiettivi di riduzione delle emissioni di gas a effetto serra e transizione climatica</t>
  </si>
  <si>
    <t>C3 – ŠESD emisijų mažinimo tikslai ir klimato perėjimo planas</t>
  </si>
  <si>
    <t>C3 – Cele redukcji emisji gazów cieplarnianych i transformacja klimatyczna</t>
  </si>
  <si>
    <t>C3 - Objetivos de redução de GEE e transição climática</t>
  </si>
  <si>
    <t>C3 - Cilji zmanjšanja emisij toplogrednih plinov in podnebni prehod</t>
  </si>
  <si>
    <t>C3 - Metas de reducción de GEI y transición climática</t>
  </si>
  <si>
    <t>template_label_c4_climate_risks_validation</t>
  </si>
  <si>
    <t>C4 - Climate risks</t>
  </si>
  <si>
    <t>C4 - Klimarisici</t>
  </si>
  <si>
    <t>C4 – Klimaatrisico’s</t>
  </si>
  <si>
    <t>C4 – Risques climatiques</t>
  </si>
  <si>
    <t>C4 - Klimabedingte Risiken</t>
  </si>
  <si>
    <t>C4 - Rioscaí aeráide</t>
  </si>
  <si>
    <t>C4 - Rischi climatici</t>
  </si>
  <si>
    <t>C4 – Klimato rizikos</t>
  </si>
  <si>
    <t>C4 – Ryzyka związane z klimatem</t>
  </si>
  <si>
    <t>C4 – Riscos climáticos</t>
  </si>
  <si>
    <t>C4 - Podnebna tveganja</t>
  </si>
  <si>
    <t>C4 - Riesgos climáticos</t>
  </si>
  <si>
    <t>template_label_c5_additional_general_workforce_characteristics_validation</t>
  </si>
  <si>
    <t>C5 - Additional (general) workforce characteristics</t>
  </si>
  <si>
    <t>C5 - Supplerende (generelle) oplysninger om arbejdsstyrken</t>
  </si>
  <si>
    <t>C5 - Aanvullende (algemene) kenmerken van het personeelsbestand</t>
  </si>
  <si>
    <t>C5 – Caractéristiques supplémentaires (générales) du personnel</t>
  </si>
  <si>
    <t>C5 - Zusätzliche (allgemeine) Merkmale der Arbeitskräfte</t>
  </si>
  <si>
    <t>C5 - Saintréithe breise (ginearálta) den lucht saothair</t>
  </si>
  <si>
    <t>C5 – Altre caratteristiche (generali) della forza lavoro</t>
  </si>
  <si>
    <t>C5 - Papildomi (bendrieji) darbuotojų rodikliai</t>
  </si>
  <si>
    <t>C5 – Dodatkowa (ogólna) charakterystyka pracowników</t>
  </si>
  <si>
    <t>C5 - Características adicionais (gerais) da mão-de-obra</t>
  </si>
  <si>
    <t>C5 - Dodatne (splošne) značilnosti delovne sile</t>
  </si>
  <si>
    <t>C5 – Características (generales) adicionales de los trabajadores</t>
  </si>
  <si>
    <t>template_label_c6_additional_own_workforce_information_human_rights_policies_and_processes_validation</t>
  </si>
  <si>
    <t>C6 - Additional own workforce information - Human rights policies and processes</t>
  </si>
  <si>
    <t>C6 - Yderligere oplysninger om egen arbejdsstyrke - Politikker og processer vedrørende menneskerettigheder</t>
  </si>
  <si>
    <t>C6 — Aanvullende informatie over het personeel — Mensenrechtenbeleid en -processen</t>
  </si>
  <si>
    <t>C6 – Informations supplémentaires sur le personnel – Politiques et procédures en matière de droits de l’homme</t>
  </si>
  <si>
    <t>C6 - Zusätzliche Informationen über die Arbeitskräfte des Unternehmens – Richtlinien für die Achtung der Menschenrechte und diesbezügliche Prozesse</t>
  </si>
  <si>
    <t>C6 - Faisnéis bhreise faoin lucht saothair féin - Beartais agus próisis chearta an duine</t>
  </si>
  <si>
    <t>C6 - Altre informazioni sulla forza lavoro propria – Politiche e procedure in materia di diritti umani</t>
  </si>
  <si>
    <t>C6 - Papildoma darbuotojų informacija - Žmogaus teisių politika ir procesai</t>
  </si>
  <si>
    <t>C6 – Dodatkowe informacje dotyczące własnych zasobów pracowniczych – polityki i procesy dotyczące praw człowieka</t>
  </si>
  <si>
    <t xml:space="preserve">C6 — Informações adicionais sobre a própria mão-de-obra — Políticas e processos em matéria de direitos humanos
  </t>
  </si>
  <si>
    <t>C6 - Dodatne informacije o lastni delovni sili - Politika in postopki na področju človekovih pravic</t>
  </si>
  <si>
    <t>C6 – Información adicional sobre el personal propio – Políticas y procesos en materia de derechos humanos</t>
  </si>
  <si>
    <t>template_label_c7_human_rights_incidents_validation</t>
  </si>
  <si>
    <t>C7 - Human rights incidents</t>
  </si>
  <si>
    <t>C7 – Alvorlige negative menneskerettighedshændelser</t>
  </si>
  <si>
    <t>C7 - Ernstige negatieve incidenten met betrekking tot mensenrechten</t>
  </si>
  <si>
    <t>C7 – Incidents graves en matière de droits de l’homme</t>
  </si>
  <si>
    <t>C7 - Schwerwiegende Vorfälle im Zusammenhang mit Menschenrechten</t>
  </si>
  <si>
    <t>C7 – Teagmhais dhiúltacha thromchúiseacha a bhaineann le cearta an duine</t>
  </si>
  <si>
    <t xml:space="preserve">C7 - Incidenti gravi in materia di diritti umani
</t>
  </si>
  <si>
    <t>C7 - Dideli neigiami incidentai žmogaus teisių srityje</t>
  </si>
  <si>
    <t>C7 – Poważne incydenty dotyczące praw człowieka</t>
  </si>
  <si>
    <t>C7 - Incidentes negativos graves em matéria de direitos humanos</t>
  </si>
  <si>
    <t>C7 - Resni incidenti v zvezi s človekovimi pravicami</t>
  </si>
  <si>
    <t>C7 - Incidentes graves negativos de derechos humanos</t>
  </si>
  <si>
    <t>template_label_c8_revenues_from_certain_activities_validation</t>
  </si>
  <si>
    <t>C8 - Revenues from certain activities</t>
  </si>
  <si>
    <t xml:space="preserve">C8 - Indtægter fra bestemte aktiviteter og udelukkelse fra EU-referencebenchmarks </t>
  </si>
  <si>
    <t>C8 — Ontvangsten uit bepaalde activiteiten en uitsluiting van EU-referentiebenchmarks</t>
  </si>
  <si>
    <t>C8 – Chiffre d’affaires de certains secteurs et exclusion des indices de référence de l’Union européenne</t>
  </si>
  <si>
    <t>C8 - Umsatzerlöse aus bestimmten Tätigkeiten und Ausnahme von EU-Referenzwerten</t>
  </si>
  <si>
    <t>C8 - Ioncaim ó ghníomhaíochtaí áirithe agus eisiamh ó thagarmharcanna tagartha an AE</t>
  </si>
  <si>
    <t>C8 – Ricavi da determinate attività ed esclusione dagli indici di riferimento dell'UE</t>
  </si>
  <si>
    <t>C8 – Pajamos iš tam tikrų sektorių ir neįtraukimai į ES lyginamuosius etalonus</t>
  </si>
  <si>
    <t>C8 – Przychody z niektórych rodzajów działalności i wykluczenie z unijnych wskaźników referencyjnych</t>
  </si>
  <si>
    <t>C8 – Rédito de determinadas atividades e exclusão dos índices de referência da UE</t>
  </si>
  <si>
    <t>C8 - Prihodki iz dejavnosti in izključitev iz referenčnih vrednosti EU</t>
  </si>
  <si>
    <t>C8 – Ingresos de determinadas actividades y exclusión de los índices de referencia de la UE</t>
  </si>
  <si>
    <t>template_label_c9_gender_diversity_ratio_in_the_governance_body_validation</t>
  </si>
  <si>
    <t>C9 - Gender diversity ratio in the governance body</t>
  </si>
  <si>
    <t>C9 – Kønsfordeling i ledelsesorganet</t>
  </si>
  <si>
    <t>C9 — Genderdiversiteitsverhouding in het bestuursorgaan</t>
  </si>
  <si>
    <t>C9 – Ratio de mixité au sein de l’organe de gouvernance</t>
  </si>
  <si>
    <t>C9 - Geschlechtervielfalt im Leitungsorgan</t>
  </si>
  <si>
    <t>C9 - Cóimheas éagsúlachta inscne sa chomhlacht rialachais</t>
  </si>
  <si>
    <t>C9 - Diversità di genere nell'organo di governance</t>
  </si>
  <si>
    <t>C9 - Lyčių įvairovės rodiklis valdymo organe</t>
  </si>
  <si>
    <t>C9 - Wskaźnik zróżnicowania organu zarządzającego pod względem płci</t>
  </si>
  <si>
    <t>C9 - Rácio de diversidade de género no órgão de governação</t>
  </si>
  <si>
    <t>C9 - Razmerje pri zastopanosti spolov v organu upravljanja</t>
  </si>
  <si>
    <t>C9 – Índice de diversidad de género en el órgano de gobierno</t>
  </si>
  <si>
    <t>template_label_additional_disclosures_validation</t>
  </si>
  <si>
    <t>Additional Disclosures</t>
  </si>
  <si>
    <t>Yderligere oplysninger</t>
  </si>
  <si>
    <t xml:space="preserve">Aanvullende rapportage </t>
  </si>
  <si>
    <t>Informations supplémentaires</t>
  </si>
  <si>
    <t>Zusätzliche Angaben</t>
  </si>
  <si>
    <t>Nochtaí Breise</t>
  </si>
  <si>
    <t>Ulteriori informative</t>
  </si>
  <si>
    <t>Papildomi atskleidimai</t>
  </si>
  <si>
    <t>Dodatkowe ujawnienia</t>
  </si>
  <si>
    <t>Divulgações Adicionais</t>
  </si>
  <si>
    <t>Dodatna razkritja</t>
  </si>
  <si>
    <t>Divulgaciones adicionales</t>
  </si>
  <si>
    <t>template_label_paragraph_reference</t>
  </si>
  <si>
    <t>Reference til paragraf</t>
  </si>
  <si>
    <t>Paragraafverwijzing</t>
  </si>
  <si>
    <t>Référence de paragraphe</t>
  </si>
  <si>
    <t>Verweis auf Absatz/ Nummer</t>
  </si>
  <si>
    <t>Tagairt na Míre</t>
  </si>
  <si>
    <t>Riferimento al paragrafo</t>
  </si>
  <si>
    <t>Pastraipos nuoroda</t>
  </si>
  <si>
    <t>Odniesienie do paragrafu</t>
  </si>
  <si>
    <t>Referência do parágrafo</t>
  </si>
  <si>
    <t>Sklic na odstavek</t>
  </si>
  <si>
    <t>Referencia de párrafo</t>
  </si>
  <si>
    <t>template_label_paragraph_guidance_reference</t>
  </si>
  <si>
    <t xml:space="preserve">Reference til paragrafvejledning </t>
  </si>
  <si>
    <t>Paragraaf  Handreiking Referentie</t>
  </si>
  <si>
    <t>Référence de paragraphe des orientations</t>
  </si>
  <si>
    <t>Verweis auf Leitlinien-absatz/ -nummer</t>
  </si>
  <si>
    <t>Tagairt Threorach do Mhír</t>
  </si>
  <si>
    <t xml:space="preserve">Riferimento al paragrafo degli orientamenti
</t>
  </si>
  <si>
    <t>Gairių pastaipos nuoroda</t>
  </si>
  <si>
    <t>Odniesienie do wytycznych w paragrafie</t>
  </si>
  <si>
    <t>Referência de Orientação do Parágrafo</t>
  </si>
  <si>
    <t>Sklic na smernice za odstavke</t>
  </si>
  <si>
    <t>Referencia al párrafo de la Guía</t>
  </si>
  <si>
    <t>template_label_from</t>
  </si>
  <si>
    <t>from</t>
  </si>
  <si>
    <t>fra</t>
  </si>
  <si>
    <t>van</t>
  </si>
  <si>
    <t>du</t>
  </si>
  <si>
    <t>vom</t>
  </si>
  <si>
    <t>ó</t>
  </si>
  <si>
    <t>iš</t>
  </si>
  <si>
    <t>z</t>
  </si>
  <si>
    <t>od</t>
  </si>
  <si>
    <t>template_label_to</t>
  </si>
  <si>
    <t>to</t>
  </si>
  <si>
    <t>til</t>
  </si>
  <si>
    <t>naar</t>
  </si>
  <si>
    <t>au</t>
  </si>
  <si>
    <t>bis</t>
  </si>
  <si>
    <t>go</t>
  </si>
  <si>
    <t>a</t>
  </si>
  <si>
    <t>į</t>
  </si>
  <si>
    <t>do</t>
  </si>
  <si>
    <t>para</t>
  </si>
  <si>
    <t>template_label_at</t>
  </si>
  <si>
    <t>at</t>
  </si>
  <si>
    <t xml:space="preserve">
Den</t>
  </si>
  <si>
    <t>bij</t>
  </si>
  <si>
    <t>à</t>
  </si>
  <si>
    <t>zum</t>
  </si>
  <si>
    <t>ag</t>
  </si>
  <si>
    <t>Vietoje:</t>
  </si>
  <si>
    <t>w</t>
  </si>
  <si>
    <t>em</t>
  </si>
  <si>
    <t>pri</t>
  </si>
  <si>
    <t>template_label_amount_in</t>
  </si>
  <si>
    <t>amount in</t>
  </si>
  <si>
    <t xml:space="preserve">
beløb i
</t>
  </si>
  <si>
    <t>bedrag in</t>
  </si>
  <si>
    <t>montant en</t>
  </si>
  <si>
    <t>Betrag in</t>
  </si>
  <si>
    <t>méid i</t>
  </si>
  <si>
    <t>importo in</t>
  </si>
  <si>
    <t>kiekis/suma</t>
  </si>
  <si>
    <t>kwota w</t>
  </si>
  <si>
    <t>montante em</t>
  </si>
  <si>
    <t>znesek v</t>
  </si>
  <si>
    <t>importe en</t>
  </si>
  <si>
    <t>template_label_information_on_the_report_necessary_for_xbrl</t>
  </si>
  <si>
    <t>Informatie over het rapport dat noodzakelijk is voor XBRL</t>
  </si>
  <si>
    <t>Informacija, reikalinga ataskaitai XBRL formatu</t>
  </si>
  <si>
    <t>Informacje dotyczące sprawozdania niezbędne dla XBRL</t>
  </si>
  <si>
    <t>Información sobre el informe necesaria para XBRL</t>
  </si>
  <si>
    <t>template_label_name_of_the_reporting_entity</t>
  </si>
  <si>
    <t>Name of the reporting entity</t>
  </si>
  <si>
    <t>Navn på den rapporterende virksomhed</t>
  </si>
  <si>
    <t>Naam van de rapporterende entiteit</t>
  </si>
  <si>
    <t xml:space="preserve">Nom de l'entreprise déclarante
</t>
  </si>
  <si>
    <t>Name des berichterstattenden Unternehmens</t>
  </si>
  <si>
    <t>Ainm an eintitis tuairiscithe</t>
  </si>
  <si>
    <t>Nome dell'impresa che redige la relazione</t>
  </si>
  <si>
    <t>Ataskaitą teikiančios įmonės pavadinimas</t>
  </si>
  <si>
    <t>Nazwa jednostki sporządzającej sprawozdanie</t>
  </si>
  <si>
    <t>Nome da entidade que reporta</t>
  </si>
  <si>
    <t>Ime podjetja, ki je poslalo poročilo</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</si>
  <si>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</si>
  <si>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</si>
  <si>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</si>
  <si>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</si>
  <si>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</si>
  <si>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</si>
  <si>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Aitheantóir an eintitis tuairiscithe (roghnaigh agus sonraigh ar dheis)</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</si>
  <si>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</si>
  <si>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</si>
  <si>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</si>
  <si>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</si>
  <si>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Identifikacijska številka podjetja, ki poroča (izberite in navedite na desni)</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</si>
  <si>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</si>
  <si>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</si>
  <si>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</si>
  <si>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</si>
  <si>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 xml:space="preserve">Valuta van de monetaire waarden in het rapport </t>
  </si>
  <si>
    <t>Devise utilisée pour les valeurs monétaires dans le rapport</t>
  </si>
  <si>
    <t>Währung der monetären Angaben im Bericht</t>
  </si>
  <si>
    <t>Airgeadra na luachanna airgeadaíochta sa tuarascáil</t>
  </si>
  <si>
    <t>Valuta dei valori monetari nella relazione</t>
  </si>
  <si>
    <t>Ataskaitoje naudojama valiuta</t>
  </si>
  <si>
    <t>Waluta wartości pieniężnych w sprawozdaniu</t>
  </si>
  <si>
    <t>Moeda em que os valores monetários do relatório estão expressos</t>
  </si>
  <si>
    <t>Valuta denarnih vrednosti v poročilu</t>
  </si>
  <si>
    <t>Divisa de los valores monetarios en el informe</t>
  </si>
  <si>
    <t>template_label_starting_year</t>
  </si>
  <si>
    <t>Starting year</t>
  </si>
  <si>
    <t>Startår</t>
  </si>
  <si>
    <t>Jaartal startpunt</t>
  </si>
  <si>
    <t>Année de début</t>
  </si>
  <si>
    <t>Beginn: Jahr</t>
  </si>
  <si>
    <t>Bliain tosaigh</t>
  </si>
  <si>
    <t>Anno di inizio</t>
  </si>
  <si>
    <t>Ataskaitiniai metai, prasidedantys (metai)</t>
  </si>
  <si>
    <t>Rok rozpoczęcia</t>
  </si>
  <si>
    <t>Ano de início</t>
  </si>
  <si>
    <t>Začetno leto</t>
  </si>
  <si>
    <t>Año de inicio</t>
  </si>
  <si>
    <t>template_label_starting_month</t>
  </si>
  <si>
    <t>Starting month</t>
  </si>
  <si>
    <t>Startmåned</t>
  </si>
  <si>
    <t xml:space="preserve">Startmaand
</t>
  </si>
  <si>
    <t>Mois de début</t>
  </si>
  <si>
    <t>Beginn: Monat</t>
  </si>
  <si>
    <t>Mí tosaigh</t>
  </si>
  <si>
    <t>Mese di inizio</t>
  </si>
  <si>
    <t>Ataskaitiniai metai, prasidedantys (mėnuo)</t>
  </si>
  <si>
    <t>Miesiąc rozpoczęcia</t>
  </si>
  <si>
    <t>Mês de início</t>
  </si>
  <si>
    <t>Začetni mesec</t>
  </si>
  <si>
    <t>Mes de inicio</t>
  </si>
  <si>
    <t>template_label_starting_day</t>
  </si>
  <si>
    <t>Starting day</t>
  </si>
  <si>
    <t>Startdato</t>
  </si>
  <si>
    <t>Startdag</t>
  </si>
  <si>
    <t>Jour de début</t>
  </si>
  <si>
    <t>Beginn: Tag</t>
  </si>
  <si>
    <t>Lá tosaigh</t>
  </si>
  <si>
    <t>Giorno di inizio</t>
  </si>
  <si>
    <t>Ataskaitiniai metai, prasidedantys (diena)</t>
  </si>
  <si>
    <t>Dzień rozpoczęcia</t>
  </si>
  <si>
    <t>Dia de início</t>
  </si>
  <si>
    <t>Začetni dan</t>
  </si>
  <si>
    <t>Día de inicio</t>
  </si>
  <si>
    <t>template_label_reporting_period_start_date</t>
  </si>
  <si>
    <t>Reporting period start date (yyyy-mm-dd)</t>
  </si>
  <si>
    <t>Rapporteringsperiodens startdato (åååå-mm-dd)</t>
  </si>
  <si>
    <t xml:space="preserve"> Startdatum rapportageperiode (jjjj-mm-dd)</t>
  </si>
  <si>
    <t>Date de début de la période de reporting (aaaa-mm-jj)</t>
  </si>
  <si>
    <t>Beginn des Berichtszeitraums (yyyy-mm-dd)</t>
  </si>
  <si>
    <t>Dáta tosaigh na tréimhse tuairiscithe (bbbb-mm-ll)</t>
  </si>
  <si>
    <t>Data di inizio del periodo di riferimento (gg-mm-aaaa)</t>
  </si>
  <si>
    <t>Ataskaitinio laikotarpio pradžia (yyyy-mm-dd)</t>
  </si>
  <si>
    <t>Data rozpoczęcia okresu sprawozdawczego (rrrr-mm-dd)</t>
  </si>
  <si>
    <t>Data de início do período de reporte (aaaa-mm-dd)</t>
  </si>
  <si>
    <t>Začetni datum poročevalskega obdobja (llll-mm-dd)</t>
  </si>
  <si>
    <t>Fecha de inicio del período informado (aaaa-mm-dd)</t>
  </si>
  <si>
    <t>template_label_ending_year</t>
  </si>
  <si>
    <t>Ending year</t>
  </si>
  <si>
    <t>Slutår</t>
  </si>
  <si>
    <t>Jaartal eindpunt</t>
  </si>
  <si>
    <t xml:space="preserve">Année de fin
</t>
  </si>
  <si>
    <t>Ende: Jahr</t>
  </si>
  <si>
    <t>Deireadh na bliana</t>
  </si>
  <si>
    <t>Anno di chiusura</t>
  </si>
  <si>
    <t>Ataskaitiniai metai, besibaigiantys (metai)</t>
  </si>
  <si>
    <t>Rok zakończenia</t>
  </si>
  <si>
    <t>Ano de término</t>
  </si>
  <si>
    <t>Končno leto</t>
  </si>
  <si>
    <t>Año de finalización</t>
  </si>
  <si>
    <t>template_label_ending_month</t>
  </si>
  <si>
    <t>Ending month</t>
  </si>
  <si>
    <t xml:space="preserve">Slutmåned
</t>
  </si>
  <si>
    <t>Eindmaand</t>
  </si>
  <si>
    <t>Mois de fin</t>
  </si>
  <si>
    <t>Ende: Monat</t>
  </si>
  <si>
    <t>Deireadh na míosa</t>
  </si>
  <si>
    <t>Mese di chiusura</t>
  </si>
  <si>
    <t>Ataskaitiniai metai, besibaigiantys (mėnuo)</t>
  </si>
  <si>
    <t>Miesiąc zakończenia</t>
  </si>
  <si>
    <t>Mês final</t>
  </si>
  <si>
    <t>Končni mesec</t>
  </si>
  <si>
    <t>Mes de finalización</t>
  </si>
  <si>
    <t>template_label_ending_day</t>
  </si>
  <si>
    <t>Slutdato</t>
  </si>
  <si>
    <t xml:space="preserve">Einddag
</t>
  </si>
  <si>
    <t>Jour de fin</t>
  </si>
  <si>
    <t>Ende: Tag</t>
  </si>
  <si>
    <t>Lá deiridh</t>
  </si>
  <si>
    <t>Giorno di chiusura</t>
  </si>
  <si>
    <t>Ataskaitiniai metai, besibaigiantys (diena)</t>
  </si>
  <si>
    <t>Dzień zakończenia</t>
  </si>
  <si>
    <t>Dia final</t>
  </si>
  <si>
    <t>Končni dan</t>
  </si>
  <si>
    <t>Día final</t>
  </si>
  <si>
    <t>template_label_reporting_period_end_date</t>
  </si>
  <si>
    <t>Reporting period end date  (yyyy-mm-dd)</t>
  </si>
  <si>
    <t>Rapporteringsperiodens slutdato (åååå-mm-dd)</t>
  </si>
  <si>
    <t>Einddatum rapportageperiode  (jjjj-mm-dd)</t>
  </si>
  <si>
    <t>Date de fin de la période de reporting (aaaa-mm-jj)</t>
  </si>
  <si>
    <t>Ende des Berichtszeitraums (yyyy-mm-dd)</t>
  </si>
  <si>
    <t>Dáta deiridh na tréimhse tuairiscithe (bbbb-mm-ll)</t>
  </si>
  <si>
    <t>Data di chiusura del periodo di riferimento (gg-mm-aaaa)</t>
  </si>
  <si>
    <t>Ataskaitinio laikotarpio pabaiga (yyyy-mm-dd)</t>
  </si>
  <si>
    <t>Data zakończenia okresu sprawozdawczego (rrrr-mm-dd)</t>
  </si>
  <si>
    <t>Data final do período de reporte (aaaa-mm-dd)</t>
  </si>
  <si>
    <t>Končni datum poročevalskega obdobja (llll-mm-dd)</t>
  </si>
  <si>
    <t>Fecha de finalización del período de reporte (aaaa-mm-dd)</t>
  </si>
  <si>
    <t>template_label_information_on_previous_reporting_period</t>
  </si>
  <si>
    <t>Oplysninger om forrige rapporteringsperiode</t>
  </si>
  <si>
    <t xml:space="preserve">Informatie over de vorige  rapportageperiode
</t>
  </si>
  <si>
    <t>Informacje dotyczące poprzedniego okresu sprawozdawczego</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</si>
  <si>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</si>
  <si>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</si>
  <si>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</si>
  <si>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Dit rapport bevat  de rapportages uit de vorige  rapportageperiode die ongewijzigd zijn gebleven.</t>
  </si>
  <si>
    <t>Ce rapport contient des informations de la période de reporting précédente qui restent inchangées.</t>
  </si>
  <si>
    <t xml:space="preserve">Dieser Bericht enthält Angaben, die sich gegenüber dem vorherigen Berichtszeitraum nicht verändert haben.
</t>
  </si>
  <si>
    <t>Cuimsíonn an tuarascáil seo nochtaí ón tréimhse tuairiscithe roimhe sin nach bhfuil athraithe orthu</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</si>
  <si>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</si>
  <si>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</si>
  <si>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</si>
  <si>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</si>
  <si>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To poročilo vsebuje razkritja iz prejšnjega poročilnega obdobja, ki ostajajo nespremenjena.</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</si>
  <si>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</si>
  <si>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</si>
  <si>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</si>
  <si>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</si>
  <si>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 xml:space="preserve">Lijst van  rapportages waarvoor geen wijzigingen zijn gerapporteerd in vergelijking met de rapportage over de voorgaande periode
</t>
  </si>
  <si>
    <t>Liste des informations pour lesquelles aucun changement n’est signalé par rapport à la période de reporting précédente</t>
  </si>
  <si>
    <t>Liste der Angaben, für die im Vergleich zum vorherigen Berichtszeitraum keine Änderungen gemeldet werden</t>
  </si>
  <si>
    <t>Liosta de nochtaí nach bhfuil aon athruithe tuairiscithe ina leith i gcomparáid leis an tréimhse roimhe sin a thuairiscítear</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</si>
  <si>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</si>
  <si>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</si>
  <si>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</si>
  <si>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</si>
  <si>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Seznam razkritij, za katera ni bilo sprememb v primerjavi s poročilom iz prejšnjega obdobja</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</si>
  <si>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</si>
  <si>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</si>
  <si>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</si>
  <si>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</si>
  <si>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Verwijzing naar vorig  rapport met ongewijzigde rapportages</t>
  </si>
  <si>
    <t>Lien vers le rapport précédent contenant des informations inchangées</t>
  </si>
  <si>
    <t>Link zum vorherigen Bericht mit Angaben, die unverändert bleiben</t>
  </si>
  <si>
    <t>Nasc chuig an tuarascáil roimhe seo ina bhfuil nochtaí nach bhfuil athruithe</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</si>
  <si>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</si>
  <si>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</si>
  <si>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</si>
  <si>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</si>
  <si>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Povezava do prejšnjega poročila z razkritji, ki ostajajo nespremenjena</t>
  </si>
  <si>
    <t>Enlace al informe anterior que contiene divulgaciones que permanecen sin cambios</t>
  </si>
  <si>
    <t>template_label_b1_basis_for_preparation</t>
  </si>
  <si>
    <t>B1 - Basis for Preparation &amp; Module</t>
  </si>
  <si>
    <t>B1 - Grundlag for udarbejdelse &amp; modul</t>
  </si>
  <si>
    <t>B1 - Grondslag voor het opstellen van informatie &amp; Module</t>
  </si>
  <si>
    <t>B1 - Base de préparation &amp; Module</t>
  </si>
  <si>
    <t>B1 – Grundlagen für die Erstellung &amp; modul</t>
  </si>
  <si>
    <t>B1 - Bunús Ullmhúcháin &amp; Modúl</t>
  </si>
  <si>
    <t>B1 - Criteri per la redazione e informazioni generali dell'impresa &amp; Modulo</t>
  </si>
  <si>
    <t>B1 – Ataskaitos rengimo pagrindas &amp; modulis</t>
  </si>
  <si>
    <t>B1 – Podstawa sporządzenia &amp; moduł</t>
  </si>
  <si>
    <t>B1 - Base de preparação &amp; Módulo</t>
  </si>
  <si>
    <t>B1 - Osnova za pripravo in modul</t>
  </si>
  <si>
    <t>B1 - Base para la elaboración &amp; Módulo</t>
  </si>
  <si>
    <t>template_label_b1_other_undertakings_general_information</t>
  </si>
  <si>
    <t>B1 - Other undertaking's general information</t>
  </si>
  <si>
    <t>B1 - Øvrige generelle oplysninger om virksomheden</t>
  </si>
  <si>
    <t>B1 - Algemene informatie over andere ondernemingen</t>
  </si>
  <si>
    <t>B1 - Autres informations générales de l'entreprise</t>
  </si>
  <si>
    <t>B1 – Allgemeine Informationen zum Unternehmen</t>
  </si>
  <si>
    <t>B1 - Faisnéis ghinearálta gnóthais eile</t>
  </si>
  <si>
    <t>B1 - Informazioni generali dell'impresa</t>
  </si>
  <si>
    <t>B1 – Kita įmonės bendroji informacija</t>
  </si>
  <si>
    <t>B1 – Ogólne informacje o jednostce</t>
  </si>
  <si>
    <t>B1 - Outras informações gerais da entidade</t>
  </si>
  <si>
    <t>B1 - Splošne informacije o drugih podjetjih</t>
  </si>
  <si>
    <t>B1 - Otra información general del empresario</t>
  </si>
  <si>
    <t>template_label_basis_for_preparation</t>
  </si>
  <si>
    <t>Basis for preparation (Basic Module Only or Basic &amp; Comprehensive Module)</t>
  </si>
  <si>
    <t>Grundlag for udarbejdelse (Basismodul alene eller Basismodul &amp; Udvidet modul)</t>
  </si>
  <si>
    <t>Grondslag voor het opstellen van informatie (alleen Basismodule of Basismodule &amp; Uitgebreide Module)</t>
  </si>
  <si>
    <t>Base de préparation (Module de base uniquement ou Modules de base &amp; complet)</t>
  </si>
  <si>
    <t>Grundlagen für die Erstellung (Nur Basismodul oder Basismodul &amp; Zusatzmodul)</t>
  </si>
  <si>
    <t>Bunús ullmhúcháin (Modúl Bunúsach Amháin nó Modúl Bunúsach &amp; Cuimsitheach)</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</si>
  <si>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</si>
  <si>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</si>
  <si>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</si>
  <si>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</si>
  <si>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Osnova za pripravo (samo osnovni modul ali osnovni in celovit modul)</t>
  </si>
  <si>
    <t>Base para la preparación (Solo Módulo Básico o Módulo Básico y Comprensivo)</t>
  </si>
  <si>
    <t>template_label_statement_of_compliance</t>
  </si>
  <si>
    <t xml:space="preserve">Explicit statement of compliance </t>
  </si>
  <si>
    <t>template_label_list_of_omitted_disclosures</t>
  </si>
  <si>
    <t>Liste over udeladte oplysninger, der anses for at være klassificerede eller følsomme oplysninger</t>
  </si>
  <si>
    <t xml:space="preserve">Lijst van  ontbrekende toelichtingen over informatie die wordt beschouwd als concurrentiegevoelig of bedrijfsgeheim </t>
  </si>
  <si>
    <t>Liste des informations omises jugées comme informations classifiées ou sensibles</t>
  </si>
  <si>
    <t>Liste der weggelassenen Angaben, die als Verschlusssachen oder vertrauliche Informationen eingestuft werden</t>
  </si>
  <si>
    <t>Liosta de nochtaí fágtha ar lár a mheastar a bheith faoi rún nó ina bhfaisnéis íogair</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</si>
  <si>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</si>
  <si>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</si>
  <si>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</si>
  <si>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</si>
  <si>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Seznam izpuščenih razkritij, ki vsebujejo tajne ali občutljive podatke</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</si>
  <si>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</si>
  <si>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</si>
  <si>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</si>
  <si>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</si>
  <si>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Grondslag voor rapportage (geconsolideerd of enkelvoudig )</t>
  </si>
  <si>
    <t>Base de présentation (consolidée ou individuelle)</t>
  </si>
  <si>
    <t>Berichtsgrundlage (konsolidiert oder einzeln)</t>
  </si>
  <si>
    <t>An bonn le haghaidh tuairiscithe (bonn comhdhlúite nó ar bhonn aonair)</t>
  </si>
  <si>
    <t>Base per la rendicontazione (su base consolidata o individuale)</t>
  </si>
  <si>
    <t>Atskaitomybės pagrindas (konsoliduota ar individuali)</t>
  </si>
  <si>
    <t>Podstawa sprawozdawczości (w ujęciu skonsolidowanym lub jednostkowym)</t>
  </si>
  <si>
    <t>Base de reporte (consolidada ou individual)</t>
  </si>
  <si>
    <t>Osnova za poročilo (konsolidirana ali individualna osnova)</t>
  </si>
  <si>
    <t>Base para la presentación de informes (base consolidada o individual)</t>
  </si>
  <si>
    <t>template_label_undertakings_legal_form</t>
  </si>
  <si>
    <t>Undertakings legal form</t>
  </si>
  <si>
    <t>Virksomhedens juridiske form</t>
  </si>
  <si>
    <t>Rechtsvorm van de onderneming</t>
  </si>
  <si>
    <t>Forme juridique de l’entreprise</t>
  </si>
  <si>
    <t>Rechtsform des Unternehmens</t>
  </si>
  <si>
    <t>Foirm dhlíthiúil na ngnóthas</t>
  </si>
  <si>
    <t>Forma giuridica dell'impresa</t>
  </si>
  <si>
    <t>Įmonės teisinė forma</t>
  </si>
  <si>
    <t>Forma prawna jednostki</t>
  </si>
  <si>
    <t>Forma jurídica da empresa</t>
  </si>
  <si>
    <t>Pravna oblika podjetja</t>
  </si>
  <si>
    <t>Forma jurídica de la entidad</t>
  </si>
  <si>
    <t>template_label_other_undertakings_legal_form_specification</t>
  </si>
  <si>
    <t>Other undertaking's legal form specification</t>
  </si>
  <si>
    <t>Specifikation af anden juridisk form for virksomheden</t>
  </si>
  <si>
    <t>Specificatie van de rechtsvorm van de andere onderneming</t>
  </si>
  <si>
    <t>Autre spécification sur la forme juridique de entreprise</t>
  </si>
  <si>
    <t>"Sonstige" Rechtsform des Unternehmens</t>
  </si>
  <si>
    <t>Foirm dhlíthiúil an ghnóthais eile</t>
  </si>
  <si>
    <t>Dettagli sulla forma giuridica dell'impresa "altro"</t>
  </si>
  <si>
    <t>Kitos įmonės teisinės formos specifikacija</t>
  </si>
  <si>
    <t>Inna specyfikacja formy prawnej jednostki</t>
  </si>
  <si>
    <t>Especificação da forma jurídica de outra entidade</t>
  </si>
  <si>
    <t>Specifikacija druge pravne oblike podjetja</t>
  </si>
  <si>
    <t>Especificación de la forma jurídica de otra empresa</t>
  </si>
  <si>
    <t>template_label_nace_sector_classification_code</t>
  </si>
  <si>
    <t>NACE sector classification code(s)</t>
  </si>
  <si>
    <t>NACE sektor klassifikationskode(r)</t>
  </si>
  <si>
    <t>NACE-sectorclassificatiecode(s)</t>
  </si>
  <si>
    <t>Code(s) de la nomenclature sectorielle NACE</t>
  </si>
  <si>
    <t>NACE-Code(s) zur Klassifikation der Wirtschaftszweige</t>
  </si>
  <si>
    <t>Cód aicmithe earnála NACE</t>
  </si>
  <si>
    <t>Codice(i) di classificazione settoriale NACE</t>
  </si>
  <si>
    <t>NACE sektoriaus klasifikacijos kodas(-ai)</t>
  </si>
  <si>
    <t>Kod(y) klasyfikacji sektorowej NACE</t>
  </si>
  <si>
    <t xml:space="preserve">Código(s) NACE de classificação setorial </t>
  </si>
  <si>
    <t>Koda(-e) sektorske klasifikacije NACE</t>
  </si>
  <si>
    <t>Códigos de clasificación sectorial NACE</t>
  </si>
  <si>
    <t>template_label_size_of_balance_sheet_in</t>
  </si>
  <si>
    <t>Size of balance sheet (total assets) in</t>
  </si>
  <si>
    <t xml:space="preserve">Balancens størrelse (samlede aktiver) i </t>
  </si>
  <si>
    <t>Omvang van de balans (totale activa) in</t>
  </si>
  <si>
    <t>Total du bilan (total des actifs) en</t>
  </si>
  <si>
    <t>Bilanzsumme in</t>
  </si>
  <si>
    <t>Méid an chláir chomhardaithe (sócmhainní iomlána) i</t>
  </si>
  <si>
    <t>Entità dello stato patrimoniale (totale degli attivi)</t>
  </si>
  <si>
    <t>Balanso dydis (turtas iš viso), matavimo vienetai</t>
  </si>
  <si>
    <t>Wielkość bilansu (aktywa ogółem) w</t>
  </si>
  <si>
    <t>Valor do balanço (total de ativos) em</t>
  </si>
  <si>
    <t>Velikost bilančni sredstev (skupna sredstva v</t>
  </si>
  <si>
    <t>Volumen del balance (total de activos) en</t>
  </si>
  <si>
    <t>template_label_turnover_in</t>
  </si>
  <si>
    <t>Turnover in</t>
  </si>
  <si>
    <t>Omsætning (i)</t>
  </si>
  <si>
    <t>Omzet in</t>
  </si>
  <si>
    <t>Chiffre d'affaires en</t>
  </si>
  <si>
    <t>Umsatzerlöse in</t>
  </si>
  <si>
    <t>Láimhdeachas i</t>
  </si>
  <si>
    <t>Ricavi delle vendite e delle prestazioni</t>
  </si>
  <si>
    <t>Apyvarta (matavimo vienetai)</t>
  </si>
  <si>
    <t xml:space="preserve">Obrót w </t>
  </si>
  <si>
    <t>Volume de negócios em</t>
  </si>
  <si>
    <t>Promet v</t>
  </si>
  <si>
    <t>Volumen de negocios en</t>
  </si>
  <si>
    <t>template_label_number_of_employees</t>
  </si>
  <si>
    <t>Number of employees</t>
  </si>
  <si>
    <t>Antal ansatte</t>
  </si>
  <si>
    <t>Aantal werknemers</t>
  </si>
  <si>
    <t>Nombre de salariés</t>
  </si>
  <si>
    <t>Anzahl der Beschäftigten</t>
  </si>
  <si>
    <t>Líon na bhfostaithe</t>
  </si>
  <si>
    <t>Numero di dipendenti</t>
  </si>
  <si>
    <t>Darbuotojų skaičius</t>
  </si>
  <si>
    <t>Liczba pracowników</t>
  </si>
  <si>
    <t>Número de trabalhadores</t>
  </si>
  <si>
    <t>Število zaposlenih</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</si>
  <si>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</si>
  <si>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</si>
  <si>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</si>
  <si>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</si>
  <si>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Methodologie voor het tellen van werknemers (Aan het einde van de verslagperiode of als een gemiddelde gedurende de verslagperiode)</t>
  </si>
  <si>
    <t>Méthodologie de comptage des salariés (à la fin de la période de reporting, ou en moyenne pendant la période de reporting)</t>
  </si>
  <si>
    <t>Art der Zählung von Beschäftigten (am Ende des Berichtszeitraums oder als Durchschnitt während des Berichtszeitraums)</t>
  </si>
  <si>
    <t>Modheolaíocht comhairimh fostaithe (Ag deireadh na tréimhse tuairiscithe nó mar mheán le linn na tréimhse tuairiscithe)</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</si>
  <si>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</si>
  <si>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</si>
  <si>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</si>
  <si>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</si>
  <si>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Metodologija štetja zaposlenih (ob koncu obdobja zaposlovanja ali kot povprečje v obdobju zaposlovanja)</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</si>
  <si>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</si>
  <si>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</si>
  <si>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</si>
  <si>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</si>
  <si>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Werknemers telmethode (aantal personen of voltijdsequivalent - FTE)</t>
  </si>
  <si>
    <t>Méthodologie de comptage des salariés (effectif ou équivalent temps plein)</t>
  </si>
  <si>
    <t>Art der Zählung von Beschäftigten (Beschäftigtenzahl oder Vollzeitäquivalente)</t>
  </si>
  <si>
    <t>Modheolaíocht comhairimh fostaithe (Líon na nDaoine nó Coibhéis Lánaimseartha)</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</si>
  <si>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</si>
  <si>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</si>
  <si>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</si>
  <si>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</si>
  <si>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Metodologija štetja zaposlenih (število zaposlenih ali ekvivalent polnega delovnega časa)</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</si>
  <si>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</si>
  <si>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</si>
  <si>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</si>
  <si>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</si>
  <si>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Land waar de primaire bedrijfsactiviteiten plaatsvinden en de locatie van materiële activa</t>
  </si>
  <si>
    <t>Pays où sont exercées les activités principales et localisation d'un ou de plusieurs actifs présentant un intérêt significatif</t>
  </si>
  <si>
    <t>Land der Hauptgeschäftstätigkeit und Standort des/der wesentlichen Vermögenswerte(s)</t>
  </si>
  <si>
    <t>Tír príomhoibríochtaí agus suíomh sócmhainn(í) suntasacha</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</si>
  <si>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</si>
  <si>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</si>
  <si>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</si>
  <si>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</si>
  <si>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Država glavnih dejavnosti in lokacija pomembnega(-ih) sredstva(-ov)</t>
  </si>
  <si>
    <t>País de las operaciones principales y ubicación del activo o activos significativos</t>
  </si>
  <si>
    <t>template_label_b1_list_of_subsidiaries</t>
  </si>
  <si>
    <t>B1 - List of subsidiaries</t>
  </si>
  <si>
    <t>B1 - Liste over datterselskaber</t>
  </si>
  <si>
    <t>B1 - Lijst van dochterondernemingen</t>
  </si>
  <si>
    <t>B1 - Liste des filiales</t>
  </si>
  <si>
    <t>B1 - Liste der Tochterunternehmen</t>
  </si>
  <si>
    <t>B1 - Liosta na bhfochuideachtaí</t>
  </si>
  <si>
    <t>B1 - Elenco delle imprese figlie</t>
  </si>
  <si>
    <t>B1 - Dukterinių įmonių sąrašas</t>
  </si>
  <si>
    <t>B1 – Lista jednostek zależnych</t>
  </si>
  <si>
    <t>B1 - Lista de subsidiárias</t>
  </si>
  <si>
    <t>B1 - Seznam odvisnih družb</t>
  </si>
  <si>
    <t>B1 - Lista de filiales</t>
  </si>
  <si>
    <t>template_label_id</t>
  </si>
  <si>
    <t>ID</t>
  </si>
  <si>
    <t>Nr.</t>
  </si>
  <si>
    <t>Aitheantas</t>
  </si>
  <si>
    <t>template_label_name</t>
  </si>
  <si>
    <t>Name</t>
  </si>
  <si>
    <t>Navn</t>
  </si>
  <si>
    <t>Naam</t>
  </si>
  <si>
    <t>Nom</t>
  </si>
  <si>
    <t>Ainm</t>
  </si>
  <si>
    <t>Nome</t>
  </si>
  <si>
    <t>Pavadinimas</t>
  </si>
  <si>
    <t>Nazwa</t>
  </si>
  <si>
    <t>Ime</t>
  </si>
  <si>
    <t>Nombre</t>
  </si>
  <si>
    <t>template_label_registered_address</t>
  </si>
  <si>
    <t>Registered Address</t>
  </si>
  <si>
    <t>Registreret adresse</t>
  </si>
  <si>
    <t>Geregistreerd adres</t>
  </si>
  <si>
    <t>Adresse du siège social</t>
  </si>
  <si>
    <t>eingetragene Adresse (=offizielle Anschrift des Unternehmens)</t>
  </si>
  <si>
    <t>Seoladh Cláraithe</t>
  </si>
  <si>
    <t>Sede legale</t>
  </si>
  <si>
    <t>Registruotas adresas</t>
  </si>
  <si>
    <t>Adres siedziby</t>
  </si>
  <si>
    <t>Sede social</t>
  </si>
  <si>
    <t>Registrirani naslov</t>
  </si>
  <si>
    <t>Domicilio social</t>
  </si>
  <si>
    <t>template_label_b1_disclosure_of_sustainability_related_certification_or_label</t>
  </si>
  <si>
    <t>B1 - Disclosure of sustainability-related certification(s) or label(s)</t>
  </si>
  <si>
    <t>B1 - Oplysning om bæredygtighedsrelaterede certificeringer eller mærker</t>
  </si>
  <si>
    <t>B1 -  Rapportage van duurzaamheidsgerelateerde certificering(en) of label(s)</t>
  </si>
  <si>
    <t>B1 - Publication de la ou des certification(s) ou label(s) liés à la durabilité</t>
  </si>
  <si>
    <t>B1 - Angabe von nachhaltigkeitsbezogenen Zertifizierung(en) oder Siegel(n)</t>
  </si>
  <si>
    <t>Aon deimhniú nó lipéad i ndáil le hinbhuanaitheacht a nochtadh</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</si>
  <si>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</si>
  <si>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</si>
  <si>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</si>
  <si>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</si>
  <si>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Razkritje certifikata(-ov) ali oznake(-) v zvezi s trajnostjo</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</si>
  <si>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</si>
  <si>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</si>
  <si>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</si>
  <si>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</si>
  <si>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Heeft de onderneming een of meer duurzaamheidsgerelateerde certificering(en) of label(s) verkregen?</t>
  </si>
  <si>
    <t>L'entreprise a-t-elle obtenu une ou plusieurs certification(s) ou label(s) liés à la durabilité ?</t>
  </si>
  <si>
    <t>Hat das Unternehmen nachhaltigkeitsbezogene Zertifizierung(en) oder Siegel erhalten?</t>
  </si>
  <si>
    <t>An bhfuair an gnóthas aon deimhniú nó lipéad i ndáil le hinbhuanaitheacht?</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</si>
  <si>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</si>
  <si>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</si>
  <si>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</si>
  <si>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</si>
  <si>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Ali je podjetje pridobilo kakršne koli certifikate ali oznake, povezane s trajnostjo?</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</si>
  <si>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</si>
  <si>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</si>
  <si>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</si>
  <si>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</si>
  <si>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Indien de onderneming een duurzaamheidscertificering of -keurmerk heeft verkregen, verstrekt zij een korte beschrijving daarvan (met inbegrip van, in voorkomend geval, de instelling die de certificering of het keurmerk heeft afgegeven, de datum en de 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</si>
  <si>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</si>
  <si>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</si>
  <si>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Tuairisc ar dheimhniú(í) nó ar lipéad a bhaineann le hinbhuanaitheacht, lena n-áirítear, i gcás inarb ábhartha, eisitheoirí an deimhniúcháin nó an lipéad, dáta agus scór rátála</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</si>
  <si>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</si>
  <si>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</si>
  <si>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</si>
  <si>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</si>
  <si>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 xml:space="preserve">Opis certifikata(-ov) ali oznake(-) v zvezi s trajnostjo, vključno z izdajatelji certifikata(-ov) ali oznake(-), datumom in oceno, kjer je to primerno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</si>
  <si>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</si>
  <si>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</si>
  <si>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</si>
  <si>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</si>
  <si>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Lijst van  bedrijfslocaties</t>
  </si>
  <si>
    <t>B1 - Liste des site(s)</t>
  </si>
  <si>
    <t>B1 - Liste der Standorte</t>
  </si>
  <si>
    <t>B1 - Liosta láithreáin/láithreán</t>
  </si>
  <si>
    <t>Elenco del/i sito(i) B1</t>
  </si>
  <si>
    <t>B1 - Objektų sąrašas</t>
  </si>
  <si>
    <t>B1 - Lista lokalizacji</t>
  </si>
  <si>
    <t>B1 - Lista de locais</t>
  </si>
  <si>
    <t>B1 - Seznam lokacij</t>
  </si>
  <si>
    <t>B1 - Listado de emplazamiento(s)</t>
  </si>
  <si>
    <t>template_label_address</t>
  </si>
  <si>
    <t>Address</t>
  </si>
  <si>
    <t>Adresse</t>
  </si>
  <si>
    <t>Adres</t>
  </si>
  <si>
    <t>Seoladh</t>
  </si>
  <si>
    <t>Indirizzo</t>
  </si>
  <si>
    <t>Adresas</t>
  </si>
  <si>
    <t>Morada</t>
  </si>
  <si>
    <t>Naslov</t>
  </si>
  <si>
    <t>Dirección</t>
  </si>
  <si>
    <t>template_label_postal_code</t>
  </si>
  <si>
    <t>Postal code</t>
  </si>
  <si>
    <t>Postnummer</t>
  </si>
  <si>
    <t>Postcode</t>
  </si>
  <si>
    <t>Code postal</t>
  </si>
  <si>
    <t>Postleitzahl</t>
  </si>
  <si>
    <t>Cód poist / Éirchód</t>
  </si>
  <si>
    <t>Codice postale</t>
  </si>
  <si>
    <t>Pašto kodas</t>
  </si>
  <si>
    <t>Kod pocztowy</t>
  </si>
  <si>
    <t>Código postal</t>
  </si>
  <si>
    <t>Poštna številka</t>
  </si>
  <si>
    <t>template_label_city</t>
  </si>
  <si>
    <t>City</t>
  </si>
  <si>
    <t>By</t>
  </si>
  <si>
    <t>Stad</t>
  </si>
  <si>
    <t>Ville</t>
  </si>
  <si>
    <t xml:space="preserve">Stadt
</t>
  </si>
  <si>
    <t>Cathair</t>
  </si>
  <si>
    <t>Città</t>
  </si>
  <si>
    <t xml:space="preserve">Miestas
</t>
  </si>
  <si>
    <t>Miasto</t>
  </si>
  <si>
    <t>Cidade</t>
  </si>
  <si>
    <t>Mesto</t>
  </si>
  <si>
    <t>Ciudad</t>
  </si>
  <si>
    <t>template_label_country</t>
  </si>
  <si>
    <t>Country</t>
  </si>
  <si>
    <t>Land</t>
  </si>
  <si>
    <t>Pays</t>
  </si>
  <si>
    <t>Tír</t>
  </si>
  <si>
    <t>Paese</t>
  </si>
  <si>
    <t>Šalis</t>
  </si>
  <si>
    <t>Kraj</t>
  </si>
  <si>
    <t>País</t>
  </si>
  <si>
    <t>Država</t>
  </si>
  <si>
    <t>template_label_gps_coordinates</t>
  </si>
  <si>
    <t>GPS Coordinates (geolocation)</t>
  </si>
  <si>
    <t>GPS-koordinater (geolokation)</t>
  </si>
  <si>
    <t>GPS Coördinaten (geolocatie)</t>
  </si>
  <si>
    <t>Coordonnées (géolocalisation)</t>
  </si>
  <si>
    <t>GPS-Koordinaten (Geoposition)</t>
  </si>
  <si>
    <t>Comhordanáidí GPS (geoshuíomh)</t>
  </si>
  <si>
    <t>Coordinate GPS (geolocalizzazione)</t>
  </si>
  <si>
    <t>GPS koordinatės (geolokacija)</t>
  </si>
  <si>
    <t>Współrzędne GPS (położenie geograficzne)</t>
  </si>
  <si>
    <t>Coordenadas GPS (geolocalização)</t>
  </si>
  <si>
    <t>GPS koordinate (geolokacija)</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</si>
  <si>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</si>
  <si>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</si>
  <si>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</si>
  <si>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</si>
  <si>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</si>
  <si>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</si>
  <si>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</si>
  <si>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</si>
  <si>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</si>
  <si>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</si>
  <si>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</si>
  <si>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</si>
  <si>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Samodejna geolokacija: z omogočanjem samodejne geolokacije OpenStreetMaps s potrditvenim poljem pod njim podjetje izjavlja, da se v celoti zaveda in sprejema Pravilnik o uporabi in Pravilnik o zasebnosti Neminatim. OpenStreetMap® je odprti podatki, licencirani v skladu z licenco Open Data Commons Open Database License (ODbL) fundacije OpenStreetMap Foundation (OSMF). Vsi podatki pripadajo in so last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</si>
  <si>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</si>
  <si>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</si>
  <si>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</si>
  <si>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</si>
  <si>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Praktijken, beleid en toekomstige initiatieven voor de transitie naar een duurzamere economie</t>
  </si>
  <si>
    <t>B2 – Pratiques, politiques et initiatives futures en vue de la transition vers une économie plus durable</t>
  </si>
  <si>
    <t>B2 – Verfahrensweisen, Richtlinien und künftige Initiativen für den Übergang zu einer nachhaltigeren Wirtschaft</t>
  </si>
  <si>
    <t>B2 – Cleachtais, beartais agus tionscnaimh amach anseo chun aistriú i dtreo geilleagar níos inbhuanaithe</t>
  </si>
  <si>
    <t>B2 –   Pratiche, politiche e iniziative future per la transizione verso un'economia più sostenibile</t>
  </si>
  <si>
    <t>B2 - Praktikos, politikos ir būsimos iniciatyvos pereinant prie tvaresnės ekonomikos</t>
  </si>
  <si>
    <t>B2 – Praktyki, polityki i przyszłe inicjatywy na rzecz przejścia na bardziej zrównoważoną gospodarkę</t>
  </si>
  <si>
    <t>B2 — Práticas, políticas e iniciativas futuras para a transição para uma economia mais sustentável</t>
  </si>
  <si>
    <t>B2 – Prakse, politik in prihodnje pobude za prehod na bolj trajnostno gospodarstvo</t>
  </si>
  <si>
    <t>B2 – Prácticas, políticas e iniciativas futuras para la transición hacia una economía más sostenible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</si>
  <si>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</si>
  <si>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</si>
  <si>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</si>
  <si>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Heeft de onderneming specifieke praktijken, beleidsmaatregelen en/of toekomstige initiatieven ingevoerd voor de transitie naar een duurzamere economie?</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</si>
  <si>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</si>
  <si>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</si>
  <si>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An bhfuil cleachtais shonracha, beartais agus/nó tionscnaimh amach anseo curtha i bhfeidhm ag an ngnóthas chun aistriú i dtreo geilleagar níos inbhuanaithe?</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</si>
  <si>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</si>
  <si>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</si>
  <si>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</si>
  <si>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</si>
  <si>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Ali je podjetje uvedlo posebne prakse, politike in/ali prihodnje pobude za prehod na bolj trajnostno gospodarstvo?</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</si>
  <si>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</si>
  <si>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</si>
  <si>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</si>
  <si>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</si>
  <si>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Duurzaamheidskwesties die worden aangepakt door een praktijkbeleid en/of toekomstige initiatieven die de onderneming heeft ingevoerd</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</si>
  <si>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</si>
  <si>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</si>
  <si>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Saincheisteanna inbhuanaitheachta a thugtar aghaidh ar bheartas cleachtais agus/nó tionscnaimh a bheidh ann amach anseo atá curtha i bhfeidhm ag an ngnóthas</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</si>
  <si>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</si>
  <si>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</si>
  <si>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</si>
  <si>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</si>
  <si>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Vprašanja v zvezi s trajnostnostjo, ki jih obravnava politika, prakse in/ali prihodnje pobude, ki jih je podjetje uvedlo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</si>
  <si>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</si>
  <si>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</si>
  <si>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</si>
  <si>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</si>
  <si>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Indien de onderneming een praktijkbeleid en/of toekomstig initiatief heeft dat publiek beschikbaar is</t>
  </si>
  <si>
    <t>L'entreprise dispose d'une pratique, d'une politique et/ou d'une initiative future qui est accessible au public.</t>
  </si>
  <si>
    <t>Das Unternehmen verfügt über eine Verfahrensweise, Richtlinie und/oder eine zukünftige Initiative, die öffentlich verfügbar ist.</t>
  </si>
  <si>
    <t>Tá beartas cleachtais agus/nó tionscnamh a bheidh ann amach anseo ag gnóthas atá ar fáil go poiblí</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</si>
  <si>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</si>
  <si>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</si>
  <si>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</si>
  <si>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</si>
  <si>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Podjetje ima javno dostopno politiko delovanja in/ali prihodnjo pobudo.</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</si>
  <si>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</si>
  <si>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</si>
  <si>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</si>
  <si>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</si>
  <si>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De onderneming heeft een streefdoel gesteld dat verband houdt met een beleid</t>
  </si>
  <si>
    <t xml:space="preserve">L’entreprise a fixé une cible qui est liée à une politique. </t>
  </si>
  <si>
    <t>Das Unternehmen hat ein Ziel festgelegt, das mit einer Richtlinie zusammenhängt.</t>
  </si>
  <si>
    <t>Tá sprioc leagtha síos ag an ngnóthas a bhaineann le beartas</t>
  </si>
  <si>
    <t>L'impresa ha stabilito un obiettivo che è collegato a una politica</t>
  </si>
  <si>
    <t>Įmonė yra nustačiusi tikslą, susijusį su šia politika</t>
  </si>
  <si>
    <t>Jednostka wyznaczyła cel związany z polityką</t>
  </si>
  <si>
    <t>A empresa fixou um objetivo relacionado com uma política</t>
  </si>
  <si>
    <t>Podjetje si je zastavilo cilj, ki je povezan s politiko</t>
  </si>
  <si>
    <t>La empresa ha establecido un objetivo que está relacionado con una política</t>
  </si>
  <si>
    <t>template_label_climate_change</t>
  </si>
  <si>
    <t>Klimaforandringer</t>
  </si>
  <si>
    <t>Klimaatverandering</t>
  </si>
  <si>
    <t>Changement climatique</t>
  </si>
  <si>
    <t>Klimawandel</t>
  </si>
  <si>
    <t>Athrú aeráide</t>
  </si>
  <si>
    <t>Cambiamenti climatici</t>
  </si>
  <si>
    <t>Klimato kaita</t>
  </si>
  <si>
    <t>Zmiana klimatu</t>
  </si>
  <si>
    <t>Alterações climáticas</t>
  </si>
  <si>
    <t>Podnebne spremembe</t>
  </si>
  <si>
    <t>Cambio climático</t>
  </si>
  <si>
    <t>template_label_pollution</t>
  </si>
  <si>
    <t xml:space="preserve">Forurening </t>
  </si>
  <si>
    <t>Verontreiniging</t>
  </si>
  <si>
    <t>Umweltverschmutzung</t>
  </si>
  <si>
    <t>Truailliú</t>
  </si>
  <si>
    <t>Inquinamento</t>
  </si>
  <si>
    <t>Tarša</t>
  </si>
  <si>
    <t>Zanieczyszczenie</t>
  </si>
  <si>
    <t>Poluição</t>
  </si>
  <si>
    <t>Onesnaženje</t>
  </si>
  <si>
    <t>Contaminación</t>
  </si>
  <si>
    <t>template_label_water_and_marine_resources</t>
  </si>
  <si>
    <t>Vand- og havressourcer</t>
  </si>
  <si>
    <t>Water en mariene hulpbronnen</t>
  </si>
  <si>
    <t>Ressources hydriques et marines</t>
  </si>
  <si>
    <t>Wasser- und Meeresressourcen</t>
  </si>
  <si>
    <t>Acmhainní uisce agus mara</t>
  </si>
  <si>
    <t>Acque e risorse marine</t>
  </si>
  <si>
    <t>Vandens ir jūrų ištekliai</t>
  </si>
  <si>
    <t>Woda i zasoby morskie</t>
  </si>
  <si>
    <t>Água e recursos marinhos</t>
  </si>
  <si>
    <t>Vodni in morski viri</t>
  </si>
  <si>
    <t>Agua y recursos marinos</t>
  </si>
  <si>
    <t>template_label_biodiversity_and_ecosystems</t>
  </si>
  <si>
    <t>Biodiversitet og økosystemer</t>
  </si>
  <si>
    <t>Biodiversiteit en ecosystemen</t>
  </si>
  <si>
    <t>Biodiversité et écosystèmes</t>
  </si>
  <si>
    <t>Biodiversität und Ökosysteme</t>
  </si>
  <si>
    <t>Bithéagsúlacht agus éiceachórais</t>
  </si>
  <si>
    <t>Biodiversità ed ecosistemi</t>
  </si>
  <si>
    <t>Biologinė įvairovė ir ekosistemos</t>
  </si>
  <si>
    <t>Bioróżnorodność i ekosystemy</t>
  </si>
  <si>
    <t>Biodiversidade e ecossistemas</t>
  </si>
  <si>
    <t>Biotska raznovrstnost in ekosistemi</t>
  </si>
  <si>
    <t>Biodiversidad y ecosistemas</t>
  </si>
  <si>
    <t>template_label_circular_economy_and_resource_use</t>
  </si>
  <si>
    <t>Circular economy and Resource Use</t>
  </si>
  <si>
    <t>Cirkulær økonomi</t>
  </si>
  <si>
    <t>Circulaire economie</t>
  </si>
  <si>
    <t>Économie circulaire</t>
  </si>
  <si>
    <t>Kreislaufwirtschaft</t>
  </si>
  <si>
    <t>Geilleagar ciorclach</t>
  </si>
  <si>
    <t>Economia circolare</t>
  </si>
  <si>
    <t>Žiedinė ekonomika</t>
  </si>
  <si>
    <t>Gospodarka o obiegu zamkniętym</t>
  </si>
  <si>
    <t>Economia circular</t>
  </si>
  <si>
    <t>Krožno gospodarstvo</t>
  </si>
  <si>
    <t>Economía circular</t>
  </si>
  <si>
    <t>template_label_own_workforce</t>
  </si>
  <si>
    <t>Egen arbejdsstyrke</t>
  </si>
  <si>
    <t>Eigen personeel</t>
  </si>
  <si>
    <t>Personnel de l'entreprise</t>
  </si>
  <si>
    <t>Eigene Arbeitskräfte</t>
  </si>
  <si>
    <t>Lucht saothair féin</t>
  </si>
  <si>
    <t>Forza lavoro propria</t>
  </si>
  <si>
    <t>Sava darbo jėga</t>
  </si>
  <si>
    <t>Własne zasoby pracownicze</t>
  </si>
  <si>
    <t>Mão de obra própria</t>
  </si>
  <si>
    <t>Lastna delovna sila</t>
  </si>
  <si>
    <t>Personal propio</t>
  </si>
  <si>
    <t>template_label_workers_in_the_value_chain</t>
  </si>
  <si>
    <t>Arbejdstagere i værdikæden</t>
  </si>
  <si>
    <t>Werknemers in de waardeketen</t>
  </si>
  <si>
    <t>Travailleurs de la chaîne de valeur</t>
  </si>
  <si>
    <t>Arbeitskräfte in der Wertschöpfungskette</t>
  </si>
  <si>
    <t>Oibrithe sa slabhra luacha</t>
  </si>
  <si>
    <t xml:space="preserve">Lavoratori nella catena del valore
</t>
  </si>
  <si>
    <t>Vertės grandinės darbuotojai</t>
  </si>
  <si>
    <t>Osoby wykonujące pracę w łańcuchu wartości</t>
  </si>
  <si>
    <t>Trabalhadores na cadeia de valor</t>
  </si>
  <si>
    <t>Delavci v vrednostni verigi</t>
  </si>
  <si>
    <t>Trabajadores en la cadena de valor</t>
  </si>
  <si>
    <t>template_label_affected_communities</t>
  </si>
  <si>
    <t>Berørte samfund</t>
  </si>
  <si>
    <t>Getroffen gemeenschappen</t>
  </si>
  <si>
    <t>Communautés affectées</t>
  </si>
  <si>
    <t>Betroffene Gemeinschaften</t>
  </si>
  <si>
    <t>Pobail atá buailte</t>
  </si>
  <si>
    <t xml:space="preserve">Comunità interessate
</t>
  </si>
  <si>
    <t>Paveiktos bendruomenės</t>
  </si>
  <si>
    <t>Dotknięte społeczności</t>
  </si>
  <si>
    <t>Comunidades afetadas</t>
  </si>
  <si>
    <t>Prizadete skupnosti</t>
  </si>
  <si>
    <t>Comunidades afectadas</t>
  </si>
  <si>
    <t>template_label_consumers_and_endusers</t>
  </si>
  <si>
    <t>Forbrugere og slutbrugere</t>
  </si>
  <si>
    <t>Consumenten en eindgebruikers</t>
  </si>
  <si>
    <t>Consommateurs et utilisateurs finaux</t>
  </si>
  <si>
    <t>Verbraucher und Endnutzer</t>
  </si>
  <si>
    <t>Tomhaltóirí agus úsáideoirí deiridh</t>
  </si>
  <si>
    <t>Consumatori e utilizzatori finali</t>
  </si>
  <si>
    <t>Vartotojai ir galutiniai naudotojai</t>
  </si>
  <si>
    <t>Konsumenci i użytkownicy końcowi</t>
  </si>
  <si>
    <t>Consumidores e utilizadores finais</t>
  </si>
  <si>
    <t>Potrošniki in končni uporabniki</t>
  </si>
  <si>
    <t>Consumidores y usuarios finales</t>
  </si>
  <si>
    <t>template_label_business_conduct</t>
  </si>
  <si>
    <t xml:space="preserve">Virksomhedsledelse </t>
  </si>
  <si>
    <t>Zakelijik gedrag</t>
  </si>
  <si>
    <t>Conduite des affaires</t>
  </si>
  <si>
    <t>Unternehmenspolitik</t>
  </si>
  <si>
    <t>Iompar gnó</t>
  </si>
  <si>
    <t>Condotta delle imprese</t>
  </si>
  <si>
    <t>Verslo etika</t>
  </si>
  <si>
    <t>Postępowanie w biznesie</t>
  </si>
  <si>
    <t>Conduta empresarial</t>
  </si>
  <si>
    <t>Poslovno ravnanje</t>
  </si>
  <si>
    <t>Conducta empresarial</t>
  </si>
  <si>
    <t>template_label_b2_cooperative_specific_disclosures</t>
  </si>
  <si>
    <t>B2 - Cooperative specific disclosures</t>
  </si>
  <si>
    <t>B2 - Samarbejdsspecifikke oplysninger</t>
  </si>
  <si>
    <t>B2 - Coöperatieve specifieke openbaarmakingen</t>
  </si>
  <si>
    <t>B2 - Divulgations propres aux coopératives</t>
  </si>
  <si>
    <t>B2 - Genossenschaftsspezifische Angaben</t>
  </si>
  <si>
    <t>B2 - Nochtadh sonrach do chomharchumann</t>
  </si>
  <si>
    <t>B2 - Informative specifiche per cooperative</t>
  </si>
  <si>
    <t>B2 - Konkrečios kooperatyvų informacijos atskleidimas</t>
  </si>
  <si>
    <t>B2 - Ujawnianie informacji na temat współpracy</t>
  </si>
  <si>
    <t>B2 - Divulgações específicas da cooperativa</t>
  </si>
  <si>
    <t>B2 - Razkritja, specifična za zadruge</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</si>
  <si>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</si>
  <si>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</si>
  <si>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</si>
  <si>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</si>
  <si>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Effectieve participatie van werknemers, gebruikers of andere belanghebbenden of gemeenschappen in governance</t>
  </si>
  <si>
    <t>Participation effective des travailleurs, des utilisateurs ou d'autres parties ou communautés intéressées à la gouvernance</t>
  </si>
  <si>
    <t>Die wirksame Beteiligung von Arbeitskräften, Nutzern oder anderen interessierten Parteien oder Gemeinschaften an der Governance</t>
  </si>
  <si>
    <t>Rannpháirtíocht éifeachtach oibrithe, úsáideoirí nó páirtithe leasmhara eile nó pobail leasmhara i rialachas</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</si>
  <si>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</si>
  <si>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</si>
  <si>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</si>
  <si>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</si>
  <si>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Učinkovito sodelovanje delavcev, uporabnikov ali drugih zainteresiranih strani ali skupnosti pri upravljanju</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</si>
  <si>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</si>
  <si>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</si>
  <si>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</si>
  <si>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</si>
  <si>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De financiële investering in het kapitaal of de activa van " Social enterprises" (entiteiten actief in het sociale domein), als bedoeld in de aanbeveling van de Raad van 29 september 2023 (met uitzondering van donaties en bijdragen)</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</si>
  <si>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</si>
  <si>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</si>
  <si>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Infheistíocht airgeadais i gcaipiteal nó i sócmhainní eintiteas aonán geilleagair shóisialta dá dtagraítear i Moladh ón gComhairle an 29 Meán Fómhair 2023 (gan síntiúis agus ranníocaíochtaí a áireamh)</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</si>
  <si>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</si>
  <si>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</si>
  <si>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</si>
  <si>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</si>
  <si>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Finančne naložbe v kapital ali sredstva subjektov socialnega gospodarstva iz Priporočila Sveta z dne 29. septembra 2023 (brez donacij in prispevkov)</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</si>
  <si>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</si>
  <si>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</si>
  <si>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</si>
  <si>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</si>
  <si>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Eventuele beperkingen van de winstuitkering in verband met het wederzijdse karakter of de aard van de activiteiten die bestaan uit diensten van algemeen economisch belang (DAEB)</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</si>
  <si>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</si>
  <si>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</si>
  <si>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Aon teorainn le dáileadh na mbrabús atá bainteach le cineál comharaíochta nó le cineál na ngníomhaíochtaí atá comhdhéanta de sheirbhísí lena ngabhann leas eacnamaíoch ginearálta (SGEI)</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</si>
  <si>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</si>
  <si>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</si>
  <si>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</si>
  <si>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</si>
  <si>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 xml:space="preserve">Kakršne koli omejitve pri razdelitvi dobička, povezane z vzajemno naravo ali naravo dejavnosti, ki vključujejo storitve splošnega gospodarskega pomena </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</si>
  <si>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</si>
  <si>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</si>
  <si>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</si>
  <si>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</si>
  <si>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Beschreibung von Verfahrensweisen, Richtlinien und künftigen Initiativen für den Übergang zu einer nachhaltigeren Wirtschaft</t>
  </si>
  <si>
    <t>C2 – Tuairisc ar chleachtais, beartais agus tionscnaimh amach anseo chun aistriú i dtreo geilleagar níos inbhuanaithe</t>
  </si>
  <si>
    <t>C2 - Perėjimo prie tvaresnės ekonomikos praktikos, politikos ir būsimų iniciatyvų aprašymas</t>
  </si>
  <si>
    <t>C2 — Descrição das práticas, políticas e iniciativas futuras para a transição para uma economia mais sustentável</t>
  </si>
  <si>
    <t>C2 – Opis praks, politik in prihodnjih pobud za prehod na bolj trajnostno gospodarstvo</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</si>
  <si>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</si>
  <si>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</si>
  <si>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</si>
  <si>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Beschrijving van een praktijkbeleid en/of toekomstige initiatief richting een duurzamere toekomst (indien het praktijkbeleid of toekomstige initiatief leveranciers of klanten betreft, dient de onderneming dit te vermelden)</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</si>
  <si>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</si>
  <si>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</si>
  <si>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Cur síos ar bheartas cleachtais agus/nó tionscnamh amach anseo i dtreo todhchaí níos inbhuanaithe (I gcás ina gcumhdaíonn an tionscnamh beartais cleachtais sa todhchaí soláthraithe nó cliaint, luafaidh an gnóthas é)</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</si>
  <si>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</si>
  <si>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</si>
  <si>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</si>
  <si>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</si>
  <si>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Opis politike, prakse in/ali prihodnje pobude za bolj trajnostno prihodnost (če prihodnja pobuda, politike ali praksa zajema dobavitelje ali stranke, mora podjetje to omeniti)</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</si>
  <si>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</si>
  <si>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</si>
  <si>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</si>
  <si>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</si>
  <si>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Beschrijving van het doel gerelateerd aan een beleidsmaatregel</t>
  </si>
  <si>
    <t>Description de la cible liée à une politique</t>
  </si>
  <si>
    <t>Beschreibung des auf eine Richtlinie bezogenen Ziels</t>
  </si>
  <si>
    <t>Cur síos ar sprioc a bhaineann le beartas</t>
  </si>
  <si>
    <t>Descrizione dell'obiettivo relativo a una politica</t>
  </si>
  <si>
    <t>Su politika susijusio tikslo aprašymas</t>
  </si>
  <si>
    <t>Opis celu związanego z polityką</t>
  </si>
  <si>
    <t>Descrição do objetivo relacionado com uma política</t>
  </si>
  <si>
    <t>Opis cilja, povezanega s politiko</t>
  </si>
  <si>
    <t>Descripción del objetivo relacionado con una política</t>
  </si>
  <si>
    <t>template_label_most_senior_level_accountable_for_implementing_practices_policies_and_or_future_initiatives</t>
  </si>
  <si>
    <t>Most senior level in the undertaking (i.e. a person or a body) that is accountable for implementing those practices, policies, and future initiatives  when this has been determined by the undertaking</t>
  </si>
  <si>
    <t xml:space="preserve">Det højeste ledelsesniveau blandt sine ansatte, der er ansvarligt for gennemførelsen af 
politikkerne, når dette er fastlagt af virksomheden </t>
  </si>
  <si>
    <t>Het hoogste leiderschapsniveau binnen haar werknemers dat verantwoordelijk is voor de uitvoering van het beleid wanneer dit door de onderneming is vastgesteld.</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</si>
  <si>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</si>
  <si>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</si>
  <si>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An leibhéal is sinsearaí laistigh dá fhostaithe atá cuntasach as na beartais a chur i bhfeidhm nuair a chinneann an gnóthas é sin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</si>
  <si>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</si>
  <si>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</si>
  <si>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</si>
  <si>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</si>
  <si>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Najvišja raven zaposlenih, ki je odgovorna za izvajanje politike, kadar to določi podjetje.</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</si>
  <si>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</si>
  <si>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</si>
  <si>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</si>
  <si>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 xml:space="preserve">C1 — Strategie:   Businessmodel en duurzaamheid — Gerelateerde initiatieven
</t>
  </si>
  <si>
    <t>C1 – Stratégie : modèle économique et durabilité – initiatives associées</t>
  </si>
  <si>
    <t>C1 – Strategie: Geschäftsmodell und Nachhaltigkeit – Zugehörige Initiativen</t>
  </si>
  <si>
    <t>C1 – Straitéis: Múnla Gnó agus Inbhuanaitheacht – Tionscnaimh Gaolmhara</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</si>
  <si>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</si>
  <si>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</si>
  <si>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</si>
  <si>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</si>
  <si>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C1 – Strategija: Poslovni model in trajnost – Povezane pobude</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</si>
  <si>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</si>
  <si>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</si>
  <si>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</si>
  <si>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Beschrijving van belangrijke groepen aangeboden producten en/of diensten</t>
  </si>
  <si>
    <t>Description des grands groupes de produits et/ou services proposés</t>
  </si>
  <si>
    <t>Beschreibung bedeutender Gruppen von angebotenen Produkten und/oder Dienstleistungen</t>
  </si>
  <si>
    <t>Cur síos ar ghrúpaí suntasacha táirgí agus/nó seirbhísí a thairgtear</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</si>
  <si>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</si>
  <si>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</si>
  <si>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</si>
  <si>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</si>
  <si>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Opis pomembnih skupin ponujenih izdelkov in/ali storitev</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</si>
  <si>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</si>
  <si>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</si>
  <si>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</si>
  <si>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</si>
  <si>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Beschrijving van de belangrijke markt(en) waarin de onderneming actief is (bijv. B2B, groothandel, detailhandel, landen)</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</si>
  <si>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</si>
  <si>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</si>
  <si>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Tuairisc ar mhargadh suntasach (ar mhargaí suntasacha) ina n-oibríonn an gnóthas (amhail Gnólacht le 
Gnólacht, mórdhíolachán, miondíolachán, tíortha)</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</si>
  <si>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</si>
  <si>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</si>
  <si>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</si>
  <si>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</si>
  <si>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Opis pomembnega trga(-ov), na katerem(-ih) podjetje deluje (npr. B2B, veleprodaja, maloprodaja, države)</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</si>
  <si>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</si>
  <si>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</si>
  <si>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</si>
  <si>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</si>
  <si>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Een beschrijving van de belangrijkste zakelijke relaties (zoals belangrijke leveranciers, klanten, distributiekanalen)</t>
  </si>
  <si>
    <t>Description des principales relations d’affaires (telles que les principaux fournisseurs, clients, canaux de distribution)</t>
  </si>
  <si>
    <t>Beschreibung der wesentlichen Geschäftsbeziehungen (z.B.  zentrale Lieferanten, Kunden, Vertriebskanäle)</t>
  </si>
  <si>
    <t>Tuairisc ar na príomhghaolmhaireachtaí gnó (amhail príomhsholáthróirí, custaiméirí, bealaí dáileacháin)</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</si>
  <si>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</si>
  <si>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</si>
  <si>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</si>
  <si>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</si>
  <si>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Opis glavnih poslovnih odnosov (kot so ključni dobavitelji, stranke, distribucijski kanali)</t>
  </si>
  <si>
    <t>Una descripción de las principales relaciones comerciales (proveedores clave, clientes, canales de distribución)</t>
  </si>
  <si>
    <t>template_label_has_the_strategy_key_elements_that_relate_to_or_affect_sustainability_issues</t>
  </si>
  <si>
    <t>Voluntary for undertakings with 10 employees or less - Does the strategy have key elements in relation to or affecting sustainability issues?</t>
  </si>
  <si>
    <t>Frivilligt for virksomheder med 10 ansatte eller færre – Har strategien nøgleelementer, der relaterer sig til eller påvirker bæredygtighedsspørgsmål?</t>
  </si>
  <si>
    <t>Frivilligt for virksomheder met 10 ansatte eller færre – Har strategien nøgleelementer, der relaterer sig til eller påvirker bæredygtighedsspørgsmål?</t>
  </si>
  <si>
    <t>Frivilligt for virksomheder met 10 ansatte eller færre – Har strategien nøgleelementer, der relaterer sig til eller påvirker bæredygtighedsspørgsmål ?</t>
  </si>
  <si>
    <t>Frivilligt for virksomheder met 10 ansatte eller færre – Har strategien nøgleelementer, der relaterer sig til eller påvirker bæredygtighedsspørgsmål ?</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</si>
  <si>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</si>
  <si>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</si>
  <si>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</si>
  <si>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Beschrijving van die essentiële elementen in de strategie die verband houden met of van invloed zijn op duurzaamheidskwesties</t>
  </si>
  <si>
    <t>Description des principaux éléments de la stratégie qui se rattachent à des enjeux de durabilité ou qui les influencent</t>
  </si>
  <si>
    <t>Beschreibung jener Kernelemente in der Strategie, die Nachhaltigkeitsaspekte betreffen oder beeinflussen</t>
  </si>
  <si>
    <t>Cur síos ar na príomhghnéithe sin sa straitéis a bhaineann le saincheisteanna inbhuanaitheachta nó a mbíonn tionchar acu ar shaincheisteanna inbhuanaitheachta</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</si>
  <si>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</si>
  <si>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</si>
  <si>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</si>
  <si>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</si>
  <si>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Opis ključnih elementov strategije, ki se nanašajo na vprašanjav zvezi s trajnostostjo ali nanje vplivajo</t>
  </si>
  <si>
    <t>Descripción de aquellos elementos clave en la estrategia que se relacionan o afecten a cuestiones de sostenibilidad</t>
  </si>
  <si>
    <t>template_label_introduction</t>
  </si>
  <si>
    <t>Introduction</t>
  </si>
  <si>
    <t>Indførelsen</t>
  </si>
  <si>
    <t>Inleiding</t>
  </si>
  <si>
    <t>Einleitung</t>
  </si>
  <si>
    <t>Réamhrá</t>
  </si>
  <si>
    <t>Introduzione</t>
  </si>
  <si>
    <t>Įvadas</t>
  </si>
  <si>
    <t>Wprowadzenie</t>
  </si>
  <si>
    <t>Introdução</t>
  </si>
  <si>
    <t>Uvod</t>
  </si>
  <si>
    <t>Introducción</t>
  </si>
  <si>
    <t>template_label_disclosure_of_any_other_general_and_or_entity_specific_information_on_the_reporting_period</t>
  </si>
  <si>
    <t>Introduction and/or other entity specific information</t>
  </si>
  <si>
    <t>Introduktion og/eller anden enhedsspecifik information</t>
  </si>
  <si>
    <t>Inleiding en/of andere entiteitsspecifieke informatie</t>
  </si>
  <si>
    <t>Introduction et/ou autres informations spécifiques à l’entité</t>
  </si>
  <si>
    <t>Einführung und/oder andere unternehmensspezifische Informationen</t>
  </si>
  <si>
    <t>Réamhrá agus/nó faisnéis eile a bhaineann go sonrach le heintitis</t>
  </si>
  <si>
    <t>Introduzione e/o altre informazioni specifiche sull'entità</t>
  </si>
  <si>
    <t>Įvadas ir/arba kita informacija apie subjektus</t>
  </si>
  <si>
    <t>Wprowadzenie i/lub inne informacje specyficzne dla podmiotu</t>
  </si>
  <si>
    <t>Introdução e/ou outras informações específicas da entidade</t>
  </si>
  <si>
    <t>Uvod in/ali druge informacije, specifične za subjekt</t>
  </si>
  <si>
    <t>Introducción y/o otra información específica de la entidad</t>
  </si>
  <si>
    <t>template_label_b3_total_energy_consumption</t>
  </si>
  <si>
    <t>B3 - Total Energy Consumption (in MWh)</t>
  </si>
  <si>
    <t>B3 – Samlet energiforbrug (i MWh)</t>
  </si>
  <si>
    <t>B3 — Totaal energieverbruik (in MWh)</t>
  </si>
  <si>
    <t>B3 - Consommation totale d’énergie (en MWh)</t>
  </si>
  <si>
    <t>B3 – Gesamtenergieverbrauch (in MWh)</t>
  </si>
  <si>
    <t>B3 - Tomhaltas Iomlán Fuinnimh (i MWh)</t>
  </si>
  <si>
    <t>B3 - Consumo totale di energia (in MWh)</t>
  </si>
  <si>
    <t>B3 – Bendras energijos suvartojimas (MWh)</t>
  </si>
  <si>
    <t>B3 - Całkowite zużycie energii (w MWh)</t>
  </si>
  <si>
    <t>B3 — Consumo total de energia (em MWh)</t>
  </si>
  <si>
    <t>B3 - Skupna poraba energije (v MWh)</t>
  </si>
  <si>
    <t>B3 – Consumo total de energía (en MWh)</t>
  </si>
  <si>
    <t>template_label_total_energy_consumption</t>
  </si>
  <si>
    <t>Total Energy Consumption</t>
  </si>
  <si>
    <t>Samlet energiforbrug</t>
  </si>
  <si>
    <t>Totaal energieverbruik</t>
  </si>
  <si>
    <t>Consommation totale d’énergie</t>
  </si>
  <si>
    <t>Gesamtenergieverbrauch</t>
  </si>
  <si>
    <t>Tomhaltas Iomlán Fuinnimh</t>
  </si>
  <si>
    <t>Consumo totale di energia</t>
  </si>
  <si>
    <t>Bendras energijos suvartojimas</t>
  </si>
  <si>
    <t>Całkowite zużycie energii</t>
  </si>
  <si>
    <t>Consumo total de energia</t>
  </si>
  <si>
    <t>Skupna poraba energije</t>
  </si>
  <si>
    <t xml:space="preserve">Consumo total de energía
</t>
  </si>
  <si>
    <t>template_label_b3_breakdown_of_energy_consumption</t>
  </si>
  <si>
    <t>B3 - Breakdown of energy consumption (in MWh)</t>
  </si>
  <si>
    <t>B3 – Opdeling af energiforbrug (i MWh)</t>
  </si>
  <si>
    <t>B3 — Uitsplitsing van het energieverbruik (in MWh)</t>
  </si>
  <si>
    <t>B3 - Ventilation de la consommation d'énergie (en MWh)</t>
  </si>
  <si>
    <t>B3 - Aufschlüsselung des Energieverbrauchs (in MWh)</t>
  </si>
  <si>
    <t>B3 - Miondealú ar ídiú fuinnimh (i MWh)</t>
  </si>
  <si>
    <t>B3 - Ripartizione del consumo di energia (in MWh)</t>
  </si>
  <si>
    <t>B3 - Energijos suvartojimo (MWh) išskaidymas</t>
  </si>
  <si>
    <t>B3 - Podział zużycia energii (w MWh)</t>
  </si>
  <si>
    <t>B3 — Repartição do consumo de energia (em MWh)</t>
  </si>
  <si>
    <t>B3 - Razčlenitev porabe energije (v MWh)</t>
  </si>
  <si>
    <t>B3 - Desglose del consumo de energía (en MWh)</t>
  </si>
  <si>
    <t>template_label_has_the_undertaking_obtained_the_necessary_information_to_provide_an_energy_consumption_breakdown</t>
  </si>
  <si>
    <t>Voluntary for undertakings with 10 employees or less - Has the undertaking obtained the necessary information to provide an energy consumption breakdown?</t>
  </si>
  <si>
    <t>Frivilligt for virksomheder med 10 ansatte eller færre – Har virksomheden indhentet de nødvendige oplysninger til at give en energiforbrugsopdeling?</t>
  </si>
  <si>
    <t>Frivilligt for virksomheder med 10 ansatte eller færre – Har virksomheden indhentet de nødvendige oplysninger til at give en energiforbrugsopdeling ?</t>
  </si>
  <si>
    <t>Frivilligt for virksomheder med 10 ansatte eller færre – Har virksomheden indhentet de nødvendige Informationen til at give en energiforbrugsopdeling ?</t>
  </si>
  <si>
    <t>template_label_renewable</t>
  </si>
  <si>
    <t>Vedvarende</t>
  </si>
  <si>
    <t>Hernieuwbaar</t>
  </si>
  <si>
    <t>Renouvelable</t>
  </si>
  <si>
    <t>Erneuerbar</t>
  </si>
  <si>
    <t>In-athnuaite</t>
  </si>
  <si>
    <t>Rinnovabile</t>
  </si>
  <si>
    <t xml:space="preserve">Atsinaujinanti energija </t>
  </si>
  <si>
    <t>Odnawialny</t>
  </si>
  <si>
    <t>Renovável</t>
  </si>
  <si>
    <t>Obnovljivi</t>
  </si>
  <si>
    <t>Renovable</t>
  </si>
  <si>
    <t>template_label_non_renewable</t>
  </si>
  <si>
    <t>Ikke-vedvarende</t>
  </si>
  <si>
    <t>Niet-hernieuwbaar</t>
  </si>
  <si>
    <t>Non renouvelable</t>
  </si>
  <si>
    <t>Nicht erneuerbar</t>
  </si>
  <si>
    <t>Neamh-inathnuaite</t>
  </si>
  <si>
    <t>Non rinnovabile</t>
  </si>
  <si>
    <t>Neatsinaujinanti energija</t>
  </si>
  <si>
    <t>Nieodnawialny</t>
  </si>
  <si>
    <t>Não renovável</t>
  </si>
  <si>
    <t>Neobnovljivi</t>
  </si>
  <si>
    <t>No renovable</t>
  </si>
  <si>
    <t>template_label_total_renewable_and_nonrenewable</t>
  </si>
  <si>
    <t>Total renewable and non-renewable</t>
  </si>
  <si>
    <t>Samlet vedvarende og ikke-vedvarende</t>
  </si>
  <si>
    <t>Totaal hernieuwbaar en niet-hernieuwbaar</t>
  </si>
  <si>
    <t>Total renouvelable et non renouvelable</t>
  </si>
  <si>
    <t>Gesamte erneuerbare und nicht erneuerbare Energie</t>
  </si>
  <si>
    <t>Iomlán in-athnuaite agus neamh-inathnuaite</t>
  </si>
  <si>
    <t>Totale rinnovabile e non rinnovabile</t>
  </si>
  <si>
    <t>Bendras atsinaujinančių ir neatsinaujinančių energijos šaltinių energijos kiekis</t>
  </si>
  <si>
    <t>Całkowite odnawialne i nieodnawialne</t>
  </si>
  <si>
    <t>Total renovável e não renovável</t>
  </si>
  <si>
    <t>Skupni obnovljivi in neobnovljivi viri energije</t>
  </si>
  <si>
    <t>Total renovable y no renovable</t>
  </si>
  <si>
    <t>template_label_electricity</t>
  </si>
  <si>
    <t>Electricity (as reflected in utility billings)</t>
  </si>
  <si>
    <t>Elektricitet (som det fremgår af forbrugsregninger)</t>
  </si>
  <si>
    <t>Elektriciteit (zoals weergegeven in de nutsfacturen)</t>
  </si>
  <si>
    <t>Électricité (telle qu’indiquée sur les factures de consommation courante)</t>
  </si>
  <si>
    <t>Strom (wie in den Rechnungen der Versorgungsunternehmen angegeben)</t>
  </si>
  <si>
    <t>Leictreachas (mar a léirítear i mbileálacha fóntais)</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</si>
  <si>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</si>
  <si>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</si>
  <si>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</si>
  <si>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</si>
  <si>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Elektrika (kot je prikazano na računih za komunalne storitve)</t>
  </si>
  <si>
    <t>Electricidad (según se refleja en las facturas de servicios)</t>
  </si>
  <si>
    <t>template_label_selfgenerated_electricity</t>
  </si>
  <si>
    <t>Self-generated electricity</t>
  </si>
  <si>
    <t>Egenproduceret elektricitet</t>
  </si>
  <si>
    <t>Zelf opgewekte elektriciteit</t>
  </si>
  <si>
    <t>Électricité auto-produite</t>
  </si>
  <si>
    <t>Selbst erzeugter Strom</t>
  </si>
  <si>
    <t>Leictreachas féinghinte</t>
  </si>
  <si>
    <t>Energia elettrica autoprodotta</t>
  </si>
  <si>
    <t>Įmonės pasigaminta elektra</t>
  </si>
  <si>
    <t>Samodzielnie produkowana energia elektryczna</t>
  </si>
  <si>
    <t>Eletricidade de produção própria</t>
  </si>
  <si>
    <t>Samoproizvedena elektrika</t>
  </si>
  <si>
    <t>Electricidad autoproducida</t>
  </si>
  <si>
    <t>template_label_fuels</t>
  </si>
  <si>
    <t>Fuels (see Fuel Converter on Fuels worksheet)</t>
  </si>
  <si>
    <t xml:space="preserve">Brændstoffer (se brændstofs-konverteringen i brændstof-fanen) </t>
  </si>
  <si>
    <t>Brandstoffen (zie Brandstofomzetter op het werkblad Brandstoffen)</t>
  </si>
  <si>
    <t>Combustibles (voir Convertisseur de combustible dans la feuille Combustible)</t>
  </si>
  <si>
    <t>Brennstoffe (siehe Brennstoffumrechner im Arbeitsblatt Brennstoffe)</t>
  </si>
  <si>
    <t>Breoslaí (féach Tiontaire Breosla ar Bhileog oibre Breoslaí)</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</si>
  <si>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</si>
  <si>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</si>
  <si>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</si>
  <si>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</si>
  <si>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Goriva (glejte Pretvornik goriv na delovnem listu Goriva)</t>
  </si>
  <si>
    <t>Combustibles (ver Convertidor de Combustibles en la hoja Combustibles)</t>
  </si>
  <si>
    <t>template_label_b3_estimated_absolute_greenhouse_gas_emissions</t>
  </si>
  <si>
    <t>B3 - Estimated Absolute Greenhouse Gas Emissions considering the GHG Protocol Corporate Accounting and Reporting  Standard 2004 (in tCO2eq)</t>
  </si>
  <si>
    <t>B3 - Anslåede drivhusgasudledninger under hensyntagen til GHG-protokollen version 2004 (i tCO2e)</t>
  </si>
  <si>
    <t>B3 - Geraamde broeikasgasemissies rekening houdend met het GHG Protocol versie 2004 (in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</si>
  <si>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</si>
  <si>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</si>
  <si>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Astaíochtaí Measta Gás Ceaptha Teasa ag smaoineamh ar Phrótacal GCT Leagan 2004 (i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</si>
  <si>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</si>
  <si>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</si>
  <si>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</si>
  <si>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</si>
  <si>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Ocenjene emisije toplogrednih plinov ob upoštevanju Protokola o toplogrednih plinih, različica 2004 (v tCO2e)</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</si>
  <si>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</si>
  <si>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</si>
  <si>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</si>
  <si>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</si>
  <si>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Streefcijfers voor broeikasgasreductie (in tCO2e)</t>
  </si>
  <si>
    <t>Cibles de réduction des émissions de GES (en tCO₂e)</t>
  </si>
  <si>
    <t>C3 – THG-Reduktionsziele (in tCO2e)</t>
  </si>
  <si>
    <t>C3 - Spriocanna laghdaithe gás ceaptha teasa (i tC02e)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</si>
  <si>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</si>
  <si>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</si>
  <si>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</si>
  <si>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</si>
  <si>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Cilji zmanjšanja emisij toplogrednih plinov (v tCO2e)</t>
  </si>
  <si>
    <t>C3 - Metas de reducción de GEI (en tCO2e)</t>
  </si>
  <si>
    <t>template_label_has_the_undertaking_has_established_ghg_emission_reduction_targets</t>
  </si>
  <si>
    <t>Voluntary for undertakings with 10 employees or less - Has  the undertaking has established GHG emission reduction targets?</t>
  </si>
  <si>
    <t>Frivilligt for virksomheder med 10 ansatte eller færre – Har virksomheden fastsat mål for reduktion af drivhusgasudledninger?</t>
  </si>
  <si>
    <t>Frivilligt for virksomheder med 10 ansatte eller færre – Har virksomheden fastsat mål for reduktion af drivhusgasudledninger ?</t>
  </si>
  <si>
    <t>Frivilligt for virksomheder med 10 ansatte eller færre – Har virksomheden fastsat mål for reduktion af drivhusgasudledninger ?</t>
  </si>
  <si>
    <t>template_label_current_reporting_period</t>
  </si>
  <si>
    <t>Current Reporting Period</t>
  </si>
  <si>
    <t>Nuværende rapporteringsperiode</t>
  </si>
  <si>
    <t xml:space="preserve">Huidige rapportageperiode </t>
  </si>
  <si>
    <t>Période de reporting actuelle</t>
  </si>
  <si>
    <t>Aktueller Berichtszeitraum</t>
  </si>
  <si>
    <t>An Tréimhse Tuairiscithe Reatha</t>
  </si>
  <si>
    <t>Periodo di riferimento corrente</t>
  </si>
  <si>
    <t>Ataskaitinis laikotarpis</t>
  </si>
  <si>
    <t>Bieżący okres sprawozdawczy</t>
  </si>
  <si>
    <t>Período de Relato Atual</t>
  </si>
  <si>
    <t>Tekoče poročevalsko obdobje</t>
  </si>
  <si>
    <t>Periodo de informe actual</t>
  </si>
  <si>
    <t>template_label_base_year</t>
  </si>
  <si>
    <t>Base Year</t>
  </si>
  <si>
    <t>Basisår</t>
  </si>
  <si>
    <t>Basisjaar</t>
  </si>
  <si>
    <t>Année de référence</t>
  </si>
  <si>
    <t>Basisjahr</t>
  </si>
  <si>
    <t>Bonnbhliain</t>
  </si>
  <si>
    <t>Anno base</t>
  </si>
  <si>
    <t>Baziniai (atskaitos) metai</t>
  </si>
  <si>
    <t>Rok bazowy</t>
  </si>
  <si>
    <t>Ano base</t>
  </si>
  <si>
    <t>Izhodiščno leto</t>
  </si>
  <si>
    <t>Año de referencia</t>
  </si>
  <si>
    <t>template_label_target_year</t>
  </si>
  <si>
    <t>Target Year</t>
  </si>
  <si>
    <t>Målår</t>
  </si>
  <si>
    <t>Doeljaar</t>
  </si>
  <si>
    <t>Année cible</t>
  </si>
  <si>
    <t>Zieljahr</t>
  </si>
  <si>
    <t>Spriocbhliain</t>
  </si>
  <si>
    <t>Anno-obiettivo</t>
  </si>
  <si>
    <t>Tiksliniai metai</t>
  </si>
  <si>
    <t>Rok docelowy</t>
  </si>
  <si>
    <t>Ano-alvo</t>
  </si>
  <si>
    <t>Ciljno leto</t>
  </si>
  <si>
    <t>Año objetivo</t>
  </si>
  <si>
    <t>template_label_percentage_reduction_from_base_year</t>
  </si>
  <si>
    <t>Percentage reduction from base year</t>
  </si>
  <si>
    <t>Procentvis reduktion i relation til basisår</t>
  </si>
  <si>
    <t>Percentage reductie ten opzichte van het basisjaar</t>
  </si>
  <si>
    <t>Réduction en pourcentage par rapport à l’année de référence</t>
  </si>
  <si>
    <t>Prozentuale Reduktion gegenüber dem Basisjahr</t>
  </si>
  <si>
    <t>Laghdú céatadáin ón mbonnbhliain</t>
  </si>
  <si>
    <t>Percentuale di riduzione rispetto all'anno base</t>
  </si>
  <si>
    <t>Procentinis sumažėjimas nuo atskaitos metų lygio</t>
  </si>
  <si>
    <t>Procentowa redukcja względem roku bazowego</t>
  </si>
  <si>
    <t>Redução percentual em relação ao ano base</t>
  </si>
  <si>
    <t>Odstotno zmanjšanje glede na izhodiščno leto</t>
  </si>
  <si>
    <t>Reducción porcentual respecto al año base</t>
  </si>
  <si>
    <t>template_label_year_date</t>
  </si>
  <si>
    <t>Year (date)</t>
  </si>
  <si>
    <t>År (dato)</t>
  </si>
  <si>
    <t>Jaar (datum)</t>
  </si>
  <si>
    <t>Année (date)</t>
  </si>
  <si>
    <t>Jahr (Datum)</t>
  </si>
  <si>
    <t>Bliain (dáta)</t>
  </si>
  <si>
    <t>Anno (data)</t>
  </si>
  <si>
    <t>Metai (data)</t>
  </si>
  <si>
    <t>Rok (data)</t>
  </si>
  <si>
    <t>Ano (data)</t>
  </si>
  <si>
    <t>Leto (datum)</t>
  </si>
  <si>
    <t>Año (fecha)</t>
  </si>
  <si>
    <t>template_label_gross_scope_1_ghg_emissions</t>
  </si>
  <si>
    <t>Gross Scope 1 GHG Emissions</t>
  </si>
  <si>
    <t xml:space="preserve">Brutto Scope 1 drivhusgasudledninger i  tCO2eq </t>
  </si>
  <si>
    <t>Bruto Scope 1 GHG-uitstoot</t>
  </si>
  <si>
    <t>Émissions brutes de GES du scope 1</t>
  </si>
  <si>
    <t>Scope 1-Brutto-Treibhausgasemissionen</t>
  </si>
  <si>
    <t>Ollastaíochtaí gás ceaptha teasa Scóip 1</t>
  </si>
  <si>
    <t>Emissioni lorde di gas a effetto serra di ambito 1</t>
  </si>
  <si>
    <t>Bendrosios pirmos apimties  ŠESD emisijos</t>
  </si>
  <si>
    <t>Emisje brutto gazów cieplarnianych zakresu 1 (GHG)</t>
  </si>
  <si>
    <t>Emissões brutas de gases com efeito de estufa (GEE) de âmbito 1</t>
  </si>
  <si>
    <t>Bruto emisije toplogrednih plinov obsega 1</t>
  </si>
  <si>
    <t>Emisiones brutas de GEI de Alcance 1</t>
  </si>
  <si>
    <t>template_label_gross_scope_2_location_based_ghg_emissions</t>
  </si>
  <si>
    <t>Gross Scope 2 location-based GHG Emissions</t>
  </si>
  <si>
    <t>Brutto Scope 2 drivhusgasudledninger i tCO2eq (lokationsbaseret)</t>
  </si>
  <si>
    <t>Bruto Scope 2 locatiegebonden broeikasgasemissies</t>
  </si>
  <si>
    <t>Émissions brutes de GES du scope 2 basées sur la localisation</t>
  </si>
  <si>
    <t>Standortbezogene Scope 2-Brutto-Treibhausgasemissionen</t>
  </si>
  <si>
    <t xml:space="preserve">Astaíochtaí comhlána GCT Raon Feidhme 2 bunaithe ar shuíomh </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</si>
  <si>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</si>
  <si>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</si>
  <si>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</si>
  <si>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</si>
  <si>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 xml:space="preserve">Bruto lokacijske emisije toplogrednih plinov v okviru obsega 2 </t>
  </si>
  <si>
    <t>Emisiones brutas de GEI de alcance 2 basadas en la ubicación</t>
  </si>
  <si>
    <t>template_label_gross_scope_2_market_based_ghg_emissions</t>
  </si>
  <si>
    <t>Gross scope 2 market-based GHG Emissions</t>
  </si>
  <si>
    <t xml:space="preserve">Brutto Scope 2 drivhusgasudledninger i tCO2eq (markedsbaseret) </t>
  </si>
  <si>
    <t>Bruto scope 2 marktbasis GHG-uitstoot</t>
  </si>
  <si>
    <t>Émissions brutes de GES du scope 2 basées sur le marché</t>
  </si>
  <si>
    <t>Marktbasierte Scope 2-Brutto-Treibhausgasemissionen</t>
  </si>
  <si>
    <t>Astaíochtaí comhlána GCT Raon Feidhme 2 bunaithe ar an margadh</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</si>
  <si>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</si>
  <si>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</si>
  <si>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</si>
  <si>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</si>
  <si>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Bruto tržne emisije toplogrednih plinov obsega 2</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</si>
  <si>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</si>
  <si>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</si>
  <si>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</si>
  <si>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</si>
  <si>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Totale broeikasgasemissies Scope 1 en Scope 2 (locatiegebaseerd)</t>
  </si>
  <si>
    <t>Émissions totales de GES des scopes 1 et 2 (approche basée sur la localisation)</t>
  </si>
  <si>
    <t>Gesamte Scope 1- und Scope 2-Treibhausgasemissionen (standortbezogen)</t>
  </si>
  <si>
    <t>Astaíochtaí comhlána GCT Raon Feidhme 1 agus Raon Feidhme 2 (bunaithe ar shuíomh)</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</si>
  <si>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</si>
  <si>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</si>
  <si>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</si>
  <si>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</si>
  <si>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Skupne lokacijske emisije toplogrednih plinov obsega 1 in obsega 2</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</si>
  <si>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</si>
  <si>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</si>
  <si>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</si>
  <si>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</si>
  <si>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Totaal Scope 1 en Scope 2 broeikasgasemissies (marktgebaseerd)</t>
  </si>
  <si>
    <t>Émissions totales de GES des scopes 1 et 2 (approche basée sur le marché)</t>
  </si>
  <si>
    <t>Gesamte Scope 1- und Scope 2-Treibhausgasemissionen (marktbasiert)</t>
  </si>
  <si>
    <t>Astaíochtaí comhlána GCT Raon Feidhme 1 agus Raon Feidhme 2 (bunaithe ar an margadh)</t>
  </si>
  <si>
    <t>Emissioni totali di gas a effetto serra di ambito 1 e ambito 2 (basate sul mercato)</t>
  </si>
  <si>
    <t>Całkowite emisje gazów cieplarnianych zakresu 1 i zakresu 2 (według metody opartej na rynku)</t>
  </si>
  <si>
    <t>Emissões totais de GEE de Âmbito 1 e Âmbito 2 (baseadas no mercado)</t>
  </si>
  <si>
    <t>Skupne tržne emisije toplogrednih plinov obsega 1 in obsega 2</t>
  </si>
  <si>
    <t>Emisiones totales de GEI de Alcance 1 y Alcance 2 (basadas en el mercado)</t>
  </si>
  <si>
    <t>template_label_is_the_undertaking_disclosing_entity_specific_information_on_scope_3_emissions</t>
  </si>
  <si>
    <t>Voluntary for undertakings with 10 employees or less - Is the undertaking disclosing entity-specific information on Scope 3 emissions (in tCO2eq)?</t>
  </si>
  <si>
    <t>Frivilligt for virksomheder med 10 ansatte eller færre – Oplyser virksomheden virksomhedsspecifik information om Scope 3-emissioner (i tCO2e)?</t>
  </si>
  <si>
    <t>Frivilligt for virksomheder med 10 ansatte eller færre – Oplyser virksomheden virksomhedsspecifik information om Scope 3-emissioner (i tCO2e) ?</t>
  </si>
  <si>
    <t>Frivilligt for virksomheder med 10 ansatte eller færre – Oplyser virksomheden virksomhedsspecifik information om Scope 3-emissioner (i tCO2e) ?</t>
  </si>
  <si>
    <t>template_label_1_purchased_goods_and_services</t>
  </si>
  <si>
    <t>1. Purchased Goods and Services</t>
  </si>
  <si>
    <t>1. Indkøbte varer og tjenesteydelser</t>
  </si>
  <si>
    <t xml:space="preserve">"1. Aangekochte Goederen en Diensten" 
</t>
  </si>
  <si>
    <t>1. Biens et services achetés</t>
  </si>
  <si>
    <t>1. Eingekaufte Waren und Dienstleistungen</t>
  </si>
  <si>
    <t>1. Earraí agus Seirbhísí Ceannaithe</t>
  </si>
  <si>
    <t>1. Beni e servizi acquistati</t>
  </si>
  <si>
    <t>1. Pirktos prekės ir paslaugos</t>
  </si>
  <si>
    <t>1. Zakupione towary i usługi</t>
  </si>
  <si>
    <t>1. Bens e Serviços Adquiridos</t>
  </si>
  <si>
    <t>1. Kupljeno blago in storitve</t>
  </si>
  <si>
    <t>1. Bienes y servicios adquiridos</t>
  </si>
  <si>
    <t>template_label_2_capital_goods</t>
  </si>
  <si>
    <t>2. Capital Goods</t>
  </si>
  <si>
    <t>2. Kapitalgoder</t>
  </si>
  <si>
    <t>2. Kapitaalgoederen</t>
  </si>
  <si>
    <t>2. Biens d'investissement</t>
  </si>
  <si>
    <t>2. Investitionsgüter</t>
  </si>
  <si>
    <t>Earraí Caipitil</t>
  </si>
  <si>
    <t>2. Beni strumentali</t>
  </si>
  <si>
    <t>2. Kapitalinės prekės</t>
  </si>
  <si>
    <t>2. Dobra inwestycyjne</t>
  </si>
  <si>
    <t>2. Bens de Equipamento</t>
  </si>
  <si>
    <t>2. Investicijsko blago</t>
  </si>
  <si>
    <t>2. Bienes de capital</t>
  </si>
  <si>
    <t>template_label_3_fuel_and_energy_related_activities</t>
  </si>
  <si>
    <t>3. Fuel- and Energy-Related Activities (Not Included in Scope 1 or Scope 2)</t>
  </si>
  <si>
    <t>3. Brændstof- og energi-relaterede aktiviteter (ikke inkluderet i scope 1 eller scope 2)</t>
  </si>
  <si>
    <t>3. Brandstof- en energiegerelateerde activiteiten (niet inbegrepen in Scope 1 of Scope 2)</t>
  </si>
  <si>
    <t>3. Activités relevant des secteurs des combustibles et de l’énergie (non incluses dans les scopes 1 et 2)</t>
  </si>
  <si>
    <t>3. Brennstoff- und energiebezogene Tätigkeiten (nicht in Scope 1 oder Scope 2 enthalten)</t>
  </si>
  <si>
    <t>3. Gníomhaíochtaí a bhaineann le breosla agus fuinneamh (nach bhfuil san áireamh i Raon Feidhme 1 nó i Raon Feidhme 2)</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</si>
  <si>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</si>
  <si>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</si>
  <si>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</si>
  <si>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</si>
  <si>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Dejavnosti, povezane z gorivi in energijo (ne vključene v obseg 1 ali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</si>
  <si>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</si>
  <si>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</si>
  <si>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</si>
  <si>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</si>
  <si>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Upstream transport en distributie</t>
  </si>
  <si>
    <t xml:space="preserve">4. Transport et distribution en amont </t>
  </si>
  <si>
    <t>4. Vorgelageter Transport und Vertrieb</t>
  </si>
  <si>
    <t xml:space="preserve"> Iompar agus Dáileadh Réamhtheachtach</t>
  </si>
  <si>
    <t>4. Trasporto e distribuzione a monte</t>
  </si>
  <si>
    <t>4. Priešsrovinis transportavimas ir paskirstymas</t>
  </si>
  <si>
    <t>4. Transport i dystrybucja na wyższym szczeblu łańcucha dostaw</t>
  </si>
  <si>
    <t>4. Transporte e Distribuição a Montante</t>
  </si>
  <si>
    <t>4. Prevoz in distribucija navzgor po vrednostni verigi (upstream)</t>
  </si>
  <si>
    <t>4. Transporte y distribución aguas arriba</t>
  </si>
  <si>
    <t>template_label_5_waste_generated_in_operations</t>
  </si>
  <si>
    <t>5. Waste Generated in Operations</t>
  </si>
  <si>
    <t>5. Affald genereret i driften</t>
  </si>
  <si>
    <t>5. Afval gegenereerd in de bedrijfsvoering</t>
  </si>
  <si>
    <t>5. Déchets produits lors de l’exploitation</t>
  </si>
  <si>
    <t>5. Im Rahmen der Geschäftstätigkeiten anfallender Abfall</t>
  </si>
  <si>
    <t>5. Dramhaíl a Ghintear in Oibríochtaí</t>
  </si>
  <si>
    <t>5. Rifiuti generati nel corso delle operazioni</t>
  </si>
  <si>
    <t>5. Atliekos, susidarančios vykdant veiklą</t>
  </si>
  <si>
    <t>5. Odpady powstałe w trakcie działalności operacyjnej</t>
  </si>
  <si>
    <t>5. Resíduos Gerados nas Operações</t>
  </si>
  <si>
    <t>5. Odpadki, nastali pri poslovanju</t>
  </si>
  <si>
    <t>5. Residuos generados en las operaciones</t>
  </si>
  <si>
    <t>template_label_6_business_travel</t>
  </si>
  <si>
    <t>6. Business Travel</t>
  </si>
  <si>
    <t>6. Forretningsrejser</t>
  </si>
  <si>
    <t>"6. Zakenreizen"</t>
  </si>
  <si>
    <t>6. Voyages d’affaires</t>
  </si>
  <si>
    <t>6. Geschäftsreisen</t>
  </si>
  <si>
    <t>6. Taisteal Gnó</t>
  </si>
  <si>
    <t>6. Viaggi d'affari</t>
  </si>
  <si>
    <t>6. Verslo kelionės</t>
  </si>
  <si>
    <t>6. Podróże służbowe</t>
  </si>
  <si>
    <t>6. Viagens de Negócios</t>
  </si>
  <si>
    <t>6. Poslovna potovanja</t>
  </si>
  <si>
    <t>6. Viajes de negocios</t>
  </si>
  <si>
    <t>template_label_7_employee_commuting</t>
  </si>
  <si>
    <t>7. Employee Commuting</t>
  </si>
  <si>
    <t>7. medarbejderpendling</t>
  </si>
  <si>
    <t>7. Woon-werkverkeer van werknemers</t>
  </si>
  <si>
    <t>7. Déplacements domicile-travail des salariés</t>
  </si>
  <si>
    <t>7. Pendeln der Arbeitskräfte</t>
  </si>
  <si>
    <t>Timaistear tráthrialta fostaí</t>
  </si>
  <si>
    <t>7. Pendolarismo dei dipendenti</t>
  </si>
  <si>
    <t>7. Darbuotojų kelionės į ir iš darbo</t>
  </si>
  <si>
    <t>7. Dojazdy pracowników</t>
  </si>
  <si>
    <t>7. Deslocação dos Empregados</t>
  </si>
  <si>
    <t>7. Prevoz zaposlenih na delo in z dela</t>
  </si>
  <si>
    <t>7. Desplazamiento de empleados</t>
  </si>
  <si>
    <t>template_label_8_upstream_leased_assets</t>
  </si>
  <si>
    <t>8. Upstream Leased Assets</t>
  </si>
  <si>
    <t>8. Opstrøms lejede aktiver</t>
  </si>
  <si>
    <t>8. Upstream geleasede activa</t>
  </si>
  <si>
    <t>8. Actifs loués en amont</t>
  </si>
  <si>
    <t>8. Vorgelagerte Leasinggüter</t>
  </si>
  <si>
    <t>Sócmhainní Léasaithe Réamhtheachtach</t>
  </si>
  <si>
    <t>8. Attivi in leasing a monte</t>
  </si>
  <si>
    <t>8.  Priešsrovinis išnuomotas turtas</t>
  </si>
  <si>
    <t>8. Dzierżawione aktywa na wyższym szczeblu łańcucha wartości</t>
  </si>
  <si>
    <t>8. Ativos Arrendados a Montante</t>
  </si>
  <si>
    <t>8. Najeta sredstva (upstream)</t>
  </si>
  <si>
    <t>Activos arrendados aguas arriba</t>
  </si>
  <si>
    <t>template_label_9_downstream_transportation_and_distribution</t>
  </si>
  <si>
    <t>9. Downstream Transportation and Distribution</t>
  </si>
  <si>
    <t>9. Nedstrøms transport og distribution</t>
  </si>
  <si>
    <t>9. Downstream transport en distributie</t>
  </si>
  <si>
    <t>9. Acheminement en aval</t>
  </si>
  <si>
    <t>9. Nachgelagerter Transport und Vertrieb</t>
  </si>
  <si>
    <t>9. Iompar agus Dáileadh Iartheachtach</t>
  </si>
  <si>
    <t>9. Trasporto a valle</t>
  </si>
  <si>
    <t>9. Pasrovinis transportavimas ir paskirstymas</t>
  </si>
  <si>
    <t>9. Transport i dystrybucja na niższym szczeblu łańcucha wartości</t>
  </si>
  <si>
    <t>9. Transporte e Distribuição a Jusante</t>
  </si>
  <si>
    <t>9. Prevoz in distribucija navzdol po vrednostni verigi (downstream)</t>
  </si>
  <si>
    <t>9. Transporte y distribución aguas abajo</t>
  </si>
  <si>
    <t>template_label_10_processing_of_sold_products</t>
  </si>
  <si>
    <t>10. Processing of Sold Products</t>
  </si>
  <si>
    <t>10. Forarbejdning af solgte produkter</t>
  </si>
  <si>
    <t>10. Verwerking van verkochte producten</t>
  </si>
  <si>
    <t>10. Transformation des produits vendus</t>
  </si>
  <si>
    <t>10. Verarbeitung verkaufter Produkte</t>
  </si>
  <si>
    <t>10. Próiseáil táirgí díolta</t>
  </si>
  <si>
    <t>10. Trasformazione dei prodotti venduti</t>
  </si>
  <si>
    <t>10. Parduotų produktų apdorojimas</t>
  </si>
  <si>
    <t>10. Przetwarzanie sprzedanych produktów</t>
  </si>
  <si>
    <t>10. Processamento dos Produtos Vendidos</t>
  </si>
  <si>
    <t>10. Predelava prodanih izdelkov</t>
  </si>
  <si>
    <t>10. Procesamiento de productos vendidos</t>
  </si>
  <si>
    <t>template_label_11_use_of_sold_products</t>
  </si>
  <si>
    <t>11. Use of Sold Products</t>
  </si>
  <si>
    <t>11. Brug af solgte produkter</t>
  </si>
  <si>
    <t>Gebruik van verkochte producten</t>
  </si>
  <si>
    <t>11. Utilisation des produits vendus</t>
  </si>
  <si>
    <t>11. Verwendung verkaufter Produkte</t>
  </si>
  <si>
    <t>11. Úsáid táirgí díolta</t>
  </si>
  <si>
    <t>11. Uso dei prodotti venduti</t>
  </si>
  <si>
    <t>11. Parduotų produktų naudojimas</t>
  </si>
  <si>
    <t>11. Wykorzystanie sprzedanych produktów</t>
  </si>
  <si>
    <t>11. Uso de Produtos Vendidos</t>
  </si>
  <si>
    <t>11. Uporaba prodanih izdelkov</t>
  </si>
  <si>
    <t>11. Uso de productos vendidos</t>
  </si>
  <si>
    <t>template_label_12_end_of_life_treatment_of_sold_products</t>
  </si>
  <si>
    <t>12. End-of-Life Treatment of Sold Products</t>
  </si>
  <si>
    <t>12. Behandling ved slutningen af levetiden for solgte produkter</t>
  </si>
  <si>
    <t xml:space="preserve">12. Behandeling van verkochte producten aan het einde van de levensduur </t>
  </si>
  <si>
    <t>12. Traitement en fin de vie des produits vendus</t>
  </si>
  <si>
    <t>12. Behandlung verkaufter Produkte am Ende der Lebensdauer</t>
  </si>
  <si>
    <t xml:space="preserve"> Cóireáil Deireadh Ré ar Tháirgí Díolta</t>
  </si>
  <si>
    <t>12. Trattamento di fine vita dei prodotti venduti</t>
  </si>
  <si>
    <t>12. Parduotų produktų tvarkymas gyvavimo ciklo pabaigoje</t>
  </si>
  <si>
    <t>12. Wycofanie z eksploatacji sprzedanych produktów</t>
  </si>
  <si>
    <t>12. Tratamento de Fim de Vida dos Produtos Vendidos</t>
  </si>
  <si>
    <t>12. Ravnanje s prodanimi izdelki ob koncu njihove življenjske dobe</t>
  </si>
  <si>
    <t>12. Tratamiento al final de la vida útil de los productos vendidos</t>
  </si>
  <si>
    <t>template_label_13_downstream_leased_assets</t>
  </si>
  <si>
    <t>13. Downstream Leased Assets</t>
  </si>
  <si>
    <t>13. Nedstrøms lejede aktiviteter</t>
  </si>
  <si>
    <t>13. Downstream  geleaste activa</t>
  </si>
  <si>
    <t>13. Actifs loués en aval</t>
  </si>
  <si>
    <t>13. Nachgelagerte Leasinggüter</t>
  </si>
  <si>
    <t>13. Sócmhainní Léasaithe Iartheachtacha</t>
  </si>
  <si>
    <t>13. Attivi in leasing a valle</t>
  </si>
  <si>
    <t>13. Pasrovinis išnuomotas turtas</t>
  </si>
  <si>
    <t>13. Aktywa dzierżawione na niższym szczeblu łańcucha wartości</t>
  </si>
  <si>
    <t>13. Ativos Arrendados a Jusante</t>
  </si>
  <si>
    <t>13. Najeta sredstva navzdol po vrednostni verigi (downstream)</t>
  </si>
  <si>
    <t>13. Activos arrendados aguas abajo</t>
  </si>
  <si>
    <t>template_label_14_franchises</t>
  </si>
  <si>
    <t>14. Franchises</t>
  </si>
  <si>
    <t>14. Franchiseaftaler</t>
  </si>
  <si>
    <t>14. Saincheadúnais</t>
  </si>
  <si>
    <t>14. Franchising</t>
  </si>
  <si>
    <t>14. Franšizės</t>
  </si>
  <si>
    <t>14. Franczyzy</t>
  </si>
  <si>
    <t>14. Franquias</t>
  </si>
  <si>
    <t>14. Franšize</t>
  </si>
  <si>
    <t>14. Franquicias</t>
  </si>
  <si>
    <t>template_label_15_investments</t>
  </si>
  <si>
    <t>15. Investments</t>
  </si>
  <si>
    <t>15. Investeringer</t>
  </si>
  <si>
    <t>15. Investeringen</t>
  </si>
  <si>
    <t>15. Investissements</t>
  </si>
  <si>
    <t>15. Investitionen</t>
  </si>
  <si>
    <t>15. Infheistíochtaí</t>
  </si>
  <si>
    <t>15. Investimenti</t>
  </si>
  <si>
    <t>Investicijos</t>
  </si>
  <si>
    <t>15. Inwestycje</t>
  </si>
  <si>
    <t>15. Investimentos</t>
  </si>
  <si>
    <t>15. Naložbe</t>
  </si>
  <si>
    <t>15. Inversiones</t>
  </si>
  <si>
    <t>template_label_total_scope_3_ghg_emissions</t>
  </si>
  <si>
    <t>Total Scope 3 GHG  emissions</t>
  </si>
  <si>
    <t>Total Scope 3 drivhusgasudledninger</t>
  </si>
  <si>
    <t>Totale broeikasgasemissies van Scope 3</t>
  </si>
  <si>
    <t>Émissions totales de GES du scope 3</t>
  </si>
  <si>
    <t>Gesamte Scope 3-Treibhausgasemissionen</t>
  </si>
  <si>
    <t>Comhlán astaíochtaí comhlána GCT Raon Feidhme 3</t>
  </si>
  <si>
    <t>Emissioni totali di gas a effetto serra di ambito 3</t>
  </si>
  <si>
    <t>Bedrosiosios trečios apimties (ŠESD) emisijos</t>
  </si>
  <si>
    <t>Całkowite emisje gazów cieplarnianych zakresu 3</t>
  </si>
  <si>
    <t>Emissões totais de GEE de Âmbito 3</t>
  </si>
  <si>
    <t>Skupne emisije toplogrednih plinov obsega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</si>
  <si>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</si>
  <si>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</si>
  <si>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</si>
  <si>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</si>
  <si>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Totale Scope 1, Scope 2 en Scope 3  broeikasgasemissies (locatiegebaseerd)</t>
  </si>
  <si>
    <t>Émissions totales de GES des scopes 1, 2 et 3 (approche basée sur la localisation)</t>
  </si>
  <si>
    <t>Gesamte Scope 1-, Scope 2- und Scope 3-Treibhausgasemissionen (standortbezogen)</t>
  </si>
  <si>
    <t>Astaíochtaí comhlána GCT Raon Feidhme 1 Raon Feidhme 2 agus Raon Feidhme 3 (bunaithe ar shuíomh)</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</si>
  <si>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</si>
  <si>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</si>
  <si>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</si>
  <si>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</si>
  <si>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Skupne lokacijske emisije toplogrednih plinov obsega 1, obsega 2 in obsega 3</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</si>
  <si>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</si>
  <si>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</si>
  <si>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</si>
  <si>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</si>
  <si>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Totale broeikasgasemissies van scope 1, scope 2 en scope 3 (marktgebaseerd)</t>
  </si>
  <si>
    <t>Émissions totales de GES des scopes 1, 2 et 3 (approche basée sur le marché)</t>
  </si>
  <si>
    <t>Gesamte Scope 1-, Scope 2- und Scope 3-Treibhausgasemissionen (marktbasiert)</t>
  </si>
  <si>
    <t>Astaíochtaí comhlána GCT Raon Feidhme 1 Raon Feidhme 2 agus Raon Feidhme 3 (bunaithe ar an margadh)</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</si>
  <si>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</si>
  <si>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</si>
  <si>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</si>
  <si>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</si>
  <si>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Skupne tržne emisije toplogrednih plinov obsega 1, obsega 2 in obsega 3</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</si>
  <si>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</si>
  <si>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</si>
  <si>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</si>
  <si>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</si>
  <si>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Rapportage van de lijst van belangrijkste acties die de entiteit nastreeft om haar doelstellingen te bereiken</t>
  </si>
  <si>
    <t>C3 - Publication de la liste des principales actions que l'entreprise entend mettre en œuvre pour atteindre ses cibles</t>
  </si>
  <si>
    <t>C3 – Angabe der wesentlichen Maßnahmen, die das Unternehmen zur Erreichung seiner Ziele durchzuführen beabsichtigt</t>
  </si>
  <si>
    <t>C3 - Nochtadh liosta de na príomhghníomhartha a fhéachann an gnóthas lena gcur chun feidhme chun a spriocanna a bhaint amach</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</si>
  <si>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</si>
  <si>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</si>
  <si>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</si>
  <si>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</si>
  <si>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Razkritje seznama glavnih ukrepov, ki jih podjetje želi izvesti za dosego svojih ciljev</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</si>
  <si>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</si>
  <si>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</si>
  <si>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</si>
  <si>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</si>
  <si>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Transitieplan voor ondernemingen die actief zijn in sectoren met een hoge klimaatimpact</t>
  </si>
  <si>
    <t>C3 - Plan de transition pour les entreprises opérant dans des secteurs à fort impact climatique</t>
  </si>
  <si>
    <t>C3 – Übergangsplan für Unternehmen, die in klimaintensiven Sektoren tätig sind</t>
  </si>
  <si>
    <t>C3 - Plean aistrithe do ghnóthais atá ag feidhmiú in earnálacha ardtionchair aeráide</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</si>
  <si>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</si>
  <si>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</si>
  <si>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</si>
  <si>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</si>
  <si>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Načrt prehoda za podjetja, ki delujejo v sektorjih z velikim vplivom na podnebje</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</si>
  <si>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</si>
  <si>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</si>
  <si>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</si>
  <si>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</si>
  <si>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Is de onderneming actief in sectoren met een grote impact?</t>
  </si>
  <si>
    <t>L'entreprise opère-t-elle dans des secteurs à fort impact ?</t>
  </si>
  <si>
    <t>Ist das Unternehmen in klimaintensiven Sektoren tätig?</t>
  </si>
  <si>
    <t>An bhfuil an gnóthas ag feidhmiú in earnálacha ardtionchair?</t>
  </si>
  <si>
    <t>L'impresa opera in settori ad alto impatto?</t>
  </si>
  <si>
    <t>Ar įmonė veikia didelio poveikio klimatui sektoriuose?</t>
  </si>
  <si>
    <t>Czy jednostka prowadzi działalność w sektorach o znacznym oddziaływaniu na klimat?</t>
  </si>
  <si>
    <t>A Empresa opera em setores de elevado impacto?</t>
  </si>
  <si>
    <t>Ali podjetje deluje v sektorjih z velikim vplivom na podnebje?</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</si>
  <si>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</si>
  <si>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</si>
  <si>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</si>
  <si>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</si>
  <si>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Status van de uitvoering van een transitieplan in relatie tot mitigatie van klimaatverandering</t>
  </si>
  <si>
    <t>Statut de la mise en œuvre d’un plan de transition en relation avec l’atténuation du changement climatique</t>
  </si>
  <si>
    <t>Status der Umsetzung eines Übergangsplans zur Minderung des Klimawandels</t>
  </si>
  <si>
    <t>Stádas cur chun feidhme plean aistrithe i ndáil le maolú ar an athrú aeráide</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</si>
  <si>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</si>
  <si>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</si>
  <si>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</si>
  <si>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</si>
  <si>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Stanje izvajanja načrta prehoda za blažitev podnebnih sprememb</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</si>
  <si>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</si>
  <si>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</si>
  <si>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</si>
  <si>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</si>
  <si>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Beschrijving van een transitieplan voor klimaatmitigatie, inclusief een toelichting op hoe het bijdraagt aan het verminderen van broeikasgasemissies.</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</si>
  <si>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</si>
  <si>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</si>
  <si>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Cur síos ar phlean aistrithe chun an t-athrú aeráide a mhaolú, lena n-áirítear míniú ar an gcaoi a bhfuil sé ag cur le hastaíochtaí gás ceaptha teasa a laghdú</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</si>
  <si>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</si>
  <si>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</si>
  <si>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</si>
  <si>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</si>
  <si>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Opis načrta prehoda za blažitev podnebnih sprememb, vključno z razlago, kako prispeva k zmanjšanju emisij toplogrednih plinov</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</si>
  <si>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</si>
  <si>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</si>
  <si>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</si>
  <si>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</si>
  <si>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Datum van verwachte vaststelling van het transitieplan voor ondernemingen die nog geen transitieplan hebben vastgesteld</t>
  </si>
  <si>
    <t>Date prévue d’adoption du plan de transition pour l’entreprise n’ayant pas encore adopté de plan de transition</t>
  </si>
  <si>
    <t>Datum der vorgesehenen Annahme des Übergangsplans für Unternehmen, die noch keinen Übergangsplan angenommen haben</t>
  </si>
  <si>
    <t>Dáta réamh-mheasta glacadh leis an bplean idirthréimhseach do ghnóthais nach bhfuil glactha fós ag an bplean idirthréimhseach</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</si>
  <si>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</si>
  <si>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</si>
  <si>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</si>
  <si>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</si>
  <si>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 xml:space="preserve">Predvideni datum sprejetja načrta prehoda za podjetja, ki ga še niso sprejela </t>
  </si>
  <si>
    <t>Fecha prevista de adopción del plan de transición para la empresa que aún no ha adoptado un plan de transición</t>
  </si>
  <si>
    <t>template_label_year</t>
  </si>
  <si>
    <t>År</t>
  </si>
  <si>
    <t>Jaar</t>
  </si>
  <si>
    <t>Année</t>
  </si>
  <si>
    <t>Jahr</t>
  </si>
  <si>
    <t>Dáta réamh-mheasta glacadh leis an bplean aistrithe do ghnóthais nach bhfuil glactha fós ag an bplean aistrithe</t>
  </si>
  <si>
    <t>Anno</t>
  </si>
  <si>
    <t>Metai</t>
  </si>
  <si>
    <t>Rok</t>
  </si>
  <si>
    <t>Ano</t>
  </si>
  <si>
    <t>Leto</t>
  </si>
  <si>
    <t>Año</t>
  </si>
  <si>
    <t>template_label_month</t>
  </si>
  <si>
    <t>Måned</t>
  </si>
  <si>
    <t>Maand</t>
  </si>
  <si>
    <t>Mois</t>
  </si>
  <si>
    <t>Monat</t>
  </si>
  <si>
    <t>Mí</t>
  </si>
  <si>
    <t>Mese</t>
  </si>
  <si>
    <t>Mėnuo</t>
  </si>
  <si>
    <t>Miesiąc</t>
  </si>
  <si>
    <t>Mês</t>
  </si>
  <si>
    <t>Mesec</t>
  </si>
  <si>
    <t>Mes</t>
  </si>
  <si>
    <t>template_label_day</t>
  </si>
  <si>
    <t>Day</t>
  </si>
  <si>
    <t>Dag</t>
  </si>
  <si>
    <t>Jour</t>
  </si>
  <si>
    <t>Tag</t>
  </si>
  <si>
    <t>Lá</t>
  </si>
  <si>
    <t>Giorno</t>
  </si>
  <si>
    <t>Diena</t>
  </si>
  <si>
    <t>Dzień</t>
  </si>
  <si>
    <t>Dia</t>
  </si>
  <si>
    <t>Dan</t>
  </si>
  <si>
    <t>Día</t>
  </si>
  <si>
    <t>template_label_b4_pollution_of_air_water_and_soil</t>
  </si>
  <si>
    <t>B4 - Pollution of air water and soil</t>
  </si>
  <si>
    <t>B4 – Verontreiniging van lucht, water en bodem</t>
  </si>
  <si>
    <t>Pollution de l'air, de l'eau et des sols</t>
  </si>
  <si>
    <t>B4 – Luft-, Wasser- und Bodenverschmutzung</t>
  </si>
  <si>
    <t>B4 – Truailliú aeir, uisce agus ithreach</t>
  </si>
  <si>
    <t>B4 – Oro, vandens ir dirvožemio tarša</t>
  </si>
  <si>
    <t>B4 – Onesnaževanje zraka, vode in tal</t>
  </si>
  <si>
    <t>template_label_required_to_report_to_competent_authorities_by_EU_or_national_law_its_emissions_to_pollutants</t>
  </si>
  <si>
    <t>Is the undertaking already required to report to competent authorities by EU or national law its emissions to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</si>
  <si>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</si>
  <si>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Is de onderneming op grond van de wet of andere nationale regelgeving al verplicht om haar emissies van verontreinigende stoffen te melden aan de bevoegde autoriteiten, of rapporteert zij hier al vrijwillig over op basis van een milieumanagementsysteem?    I</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</si>
  <si>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</si>
  <si>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</si>
  <si>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An gceanglaítear ar an ngnóthas le dlí nó le rialacháin náisiúnta eile cheana féin a chuid astaíochtaí truailleán a thuairisciú d'údaráis inniúla nó an dtuairiscíonn sé go deonach orthu cheana féin de réir Córas Bainistíochta Comhshaoil?</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</si>
  <si>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</si>
  <si>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</si>
  <si>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</si>
  <si>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</si>
  <si>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Ali je podjetje že po zakonu ali drugih nacionalnih predpisih dolžno pristojnim organom poročati o svojih emisijah onesnaževal ali pa je o njih že prostovoljno poročalo v skladu s sistemom okoljskega ravnanja?</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</si>
  <si>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</si>
  <si>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</si>
  <si>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</si>
  <si>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</si>
  <si>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Is deze rapportage al publiek beschikbaar ?</t>
  </si>
  <si>
    <t>Cette information est-elle déjà accessible au public ?</t>
  </si>
  <si>
    <t>Wurde diese Angabe bereits an anderer Stelle öffentlich verfügbar gemacht?</t>
  </si>
  <si>
    <t>An bhfuil an nochtadh seo ar fáil go poiblí cheana féin?</t>
  </si>
  <si>
    <t>Questa informativa è già disponibile al pubblico?</t>
  </si>
  <si>
    <t>Ar šis atskleidimas jau yra viešai prieinamas?</t>
  </si>
  <si>
    <t>Czy to ujawnienie jest już publicznie dostępne?</t>
  </si>
  <si>
    <t>Esta divulgação já está disponível publicamente?</t>
  </si>
  <si>
    <t>Ali je to razkritje že javno dostopno?</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</si>
  <si>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</si>
  <si>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</si>
  <si>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</si>
  <si>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</si>
  <si>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Gelieve de relevante URL-link of hyperlink te verstrekken waar deze informatie wordt gerapporteerd.</t>
  </si>
  <si>
    <t>Veuillez fournir le lien URL pertinent ou l’hyperlien indiquant où ces informations sont publiées.</t>
  </si>
  <si>
    <t>Bitte geben Sie den entsprechenden URL-Link oder Hyperlink an, unter dem diese Informationen berichtet werden.</t>
  </si>
  <si>
    <t>Tabhair an nasc ábhartha URL nó an hipearnasc ábhartha ar an áit a dtuairiscítear an fhaisnéis seo</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</si>
  <si>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</si>
  <si>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</si>
  <si>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</si>
  <si>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</si>
  <si>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Prosimo, navedite ustrezno povezavo URL ali hiperpovezavo, kjer so te informacije navedene.</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</si>
  <si>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</si>
  <si>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</si>
  <si>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</si>
  <si>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</si>
  <si>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Selecteer de eenheid die wordt gebruikt voor het rapporteren van de hoeveelheid (d.w.z. kg of ton)</t>
  </si>
  <si>
    <t>Veuillez sélectionner l'unité utilisée pour reporter la quantité (c.-à-d. soit en kg ou en tonne)</t>
  </si>
  <si>
    <t>Bitte wählen Sie die Einheit aus, die für die Mengenangabe verwendet wird (d. h. entweder kg oder Tonne).</t>
  </si>
  <si>
    <t>Roghnaigh an t-aonad a úsáidtear chun an méid a thuairisciú (i.e. kg nó tonna)</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</si>
  <si>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</si>
  <si>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</si>
  <si>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</si>
  <si>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</si>
  <si>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Izberite mersko enoto za podajanje količine (npr. kg ali tono).</t>
  </si>
  <si>
    <t>Por favor, seleccione la unidad utilizada para informar la cantidad (es decir, ya sea kg o tonelada)</t>
  </si>
  <si>
    <t>template_label_row_id</t>
  </si>
  <si>
    <t>Row ID</t>
  </si>
  <si>
    <t>Række-ID</t>
  </si>
  <si>
    <t>Rij-ID</t>
  </si>
  <si>
    <t>ID de ligne</t>
  </si>
  <si>
    <t>Zeilen-Nr.</t>
  </si>
  <si>
    <t>Aitheantas as a chéile</t>
  </si>
  <si>
    <t>ID Riga</t>
  </si>
  <si>
    <t>Eilutės ID</t>
  </si>
  <si>
    <t>Identyfikator wiersza</t>
  </si>
  <si>
    <t>ID da linha</t>
  </si>
  <si>
    <t>ID vrstice</t>
  </si>
  <si>
    <t>ID de fila</t>
  </si>
  <si>
    <t>template_label_pollutant</t>
  </si>
  <si>
    <t>Pollutant</t>
  </si>
  <si>
    <t xml:space="preserve">Forurenende stof
</t>
  </si>
  <si>
    <t>Verontreinigende stof</t>
  </si>
  <si>
    <t>Polluant</t>
  </si>
  <si>
    <t>Schadstoff</t>
  </si>
  <si>
    <t>Truailleán</t>
  </si>
  <si>
    <t xml:space="preserve">Inquinante
</t>
  </si>
  <si>
    <t>Teršalas</t>
  </si>
  <si>
    <t>Czynnik zanieczyszczający</t>
  </si>
  <si>
    <t>Poluente</t>
  </si>
  <si>
    <t>Onesnaževalo</t>
  </si>
  <si>
    <t>Contaminante</t>
  </si>
  <si>
    <t>template_label_emission_to_air</t>
  </si>
  <si>
    <t>Emission to air</t>
  </si>
  <si>
    <t>Udledning til luft</t>
  </si>
  <si>
    <t>Emissie  naar de lucht</t>
  </si>
  <si>
    <t>Rejets dans l'air</t>
  </si>
  <si>
    <t>Emissionen in die Luft</t>
  </si>
  <si>
    <t>Astaíochtaí san aer</t>
  </si>
  <si>
    <t>Emissione nell'aria</t>
  </si>
  <si>
    <t>Išmetimas į orą</t>
  </si>
  <si>
    <t>Emisja do powietrza</t>
  </si>
  <si>
    <t>Emissão para o ar</t>
  </si>
  <si>
    <t>Emisije v zrak</t>
  </si>
  <si>
    <t>Emisiones a la atmosfera</t>
  </si>
  <si>
    <t>template_label_emission_to_water</t>
  </si>
  <si>
    <t>Emission to water</t>
  </si>
  <si>
    <t>Udledning til vand</t>
  </si>
  <si>
    <t>Emissie naar water</t>
  </si>
  <si>
    <t>Rejets dans l'eau</t>
  </si>
  <si>
    <t>Emissionen in Wasser und Gewässer</t>
  </si>
  <si>
    <t>Astaíochtaí chuig uisce</t>
  </si>
  <si>
    <t>Emissione nell'acqua</t>
  </si>
  <si>
    <t>Išmetimas į vandenį</t>
  </si>
  <si>
    <t>Emisja do wody</t>
  </si>
  <si>
    <t>Emissão para a água</t>
  </si>
  <si>
    <t>Emisije v vodo</t>
  </si>
  <si>
    <t>Vertidos al agua</t>
  </si>
  <si>
    <t>template_label_emission_to_soil</t>
  </si>
  <si>
    <t>Emission to soil</t>
  </si>
  <si>
    <t>Udledning til jord</t>
  </si>
  <si>
    <t>Emissie naar de bodem</t>
  </si>
  <si>
    <t>Rejets dans les sols</t>
  </si>
  <si>
    <t>Emissionen in den Boden</t>
  </si>
  <si>
    <t>Astaíochtaí chuig ithir</t>
  </si>
  <si>
    <t>Emissione nel suolo</t>
  </si>
  <si>
    <t>Išmetimas į dirvožemį</t>
  </si>
  <si>
    <t>Emisja do gleby</t>
  </si>
  <si>
    <t>Emissão para o solo</t>
  </si>
  <si>
    <t>Emisije v tla</t>
  </si>
  <si>
    <t>Vertidos al suelo</t>
  </si>
  <si>
    <t>template_label_other_pollutants</t>
  </si>
  <si>
    <t>Other pollutants than those listed in theRegulation (EU) 2024/1244 of the European Parliament and of the Council</t>
  </si>
  <si>
    <t>Andre forurenende stoffer end dem, der er opført i forordning (EU) 2024/1244 fra Europa-Parlamentet og Rådet</t>
  </si>
  <si>
    <t>Andere verontreinigende stoffen dan die vermeld in de Verordening (EU) 2024/1244 van het Europees Parlement en de Raad</t>
  </si>
  <si>
    <t>Autres polluants que ceux énumérés dans le Règlement (UE) 2024/1244 du Parlement européen et du Conseil</t>
  </si>
  <si>
    <t>Andere Schadstoffe als die in der Verordnung (EU) 2024/1244 des Europäischen Parlaments und des Rates aufgeführten</t>
  </si>
  <si>
    <t>Truailleáin eile seachas iad siúd atá liostaithe i Rialachán (AE) 2024/1244 ó Pharlaimint na hEorpa agus ón gComhairle</t>
  </si>
  <si>
    <t>Altri inquinanti diversi da quelli elencati nel Regolamento (UE) 2024/1244 del Parlamento Europeo e del Consiglio</t>
  </si>
  <si>
    <t>Kiti teršalai nei tie, kurie išvardyti Europos Parlamento ir Tarybos reglamente (ES) 2024/1244</t>
  </si>
  <si>
    <t>Inne zanieczyszczenia niż te wymienione w Rozporządzeniu (UE) 2024/1244 Parlamentu Europejskiego i Rady</t>
  </si>
  <si>
    <t>Outros poluentes além daqueles listados no Regulamento (UE) 2024/1244 do Parlamento Europeu e do Conselho</t>
  </si>
  <si>
    <t>Druga onesnaževala kot tista, navedena v Uredbi (EU) 2024/1244 Evropskega parlamenta in Sveta</t>
  </si>
  <si>
    <t>Otros contaminantes distintos a los incluidos en el Reglamento (UE) 2024/1244 del Parlamento Europeo y del Consejo</t>
  </si>
  <si>
    <t>template_label_b5_sites_in_biodiversity_sensitive_areas</t>
  </si>
  <si>
    <t>B5 - Sites in biodiversity sensitive areas</t>
  </si>
  <si>
    <t xml:space="preserve">B5 - Steder i eller i nærheden af 'biodiversitetsfølsomme områder’, som virksomheden a) ejer, b) lejer eller c) forvalter </t>
  </si>
  <si>
    <t>B5 — Vestigingen in biodiversiteitsgevoelige gebieden</t>
  </si>
  <si>
    <t>B5 – Sites situés dans des zones sensibles sur le plan de la biodiversité</t>
  </si>
  <si>
    <t xml:space="preserve">B5 – Gebiete mit schutzbedürftiger Biodiversität </t>
  </si>
  <si>
    <t>B5 - Láithreáin atá suite i limistéir atá íogair ó thaobh na bithéagsúlachta de</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</si>
  <si>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</si>
  <si>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</si>
  <si>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</si>
  <si>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</si>
  <si>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Lokacije na območjih, občutljivih za biotsko raznovrstnost</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</si>
  <si>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</si>
  <si>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</si>
  <si>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</si>
  <si>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</si>
  <si>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Heeft de onderneming vestigingen die zich bevinden in of nabij biodiversiteitsgevoelige gebieden?</t>
  </si>
  <si>
    <t>L'entreprise dispose-t-elle de sites situés dans ou à proximité de zones sensibles sur le plan de la biodiversité ?</t>
  </si>
  <si>
    <t>Hat das Unternehmen Standorte, die sich in oder in der Nähe von Gebieten mit schutzbedürftiger Biodiversität befinden?</t>
  </si>
  <si>
    <t>An bhfuil láithreáin ag an ngnóthas atá lonnaithe i limistéir atá íogair ó thaobh na bithéagsúlachta de nó in aice leo?</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</si>
  <si>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</si>
  <si>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</si>
  <si>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</si>
  <si>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</si>
  <si>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Ali ima podjetje lokacije, ki se nahajajo na območjih, občutljivih za biotsko raznovrstnost, ali v njihovi bližini?</t>
  </si>
  <si>
    <t xml:space="preserve">¿La empresa tiene emplazamientos situados en o cerca de zonas sensibles en cuanto a la biodiversidad? 
</t>
  </si>
  <si>
    <t>template_label_related_site_id</t>
  </si>
  <si>
    <t>Related Site ID (select an ID from a site location reported in B1)</t>
  </si>
  <si>
    <t>Relateret lokalitets-ID (vælg et ID fra en lokalitet rapporteret i B1)</t>
  </si>
  <si>
    <t>Gerelateerde locatie-ID (selecteer een ID uit een locatie van een vestiging die gerapporteerd is in B1)</t>
  </si>
  <si>
    <t>ID du site associé (sélectionnez un ID parmi les sites déclarés dans B1)</t>
  </si>
  <si>
    <t>Zugehörige Standort-Nr. (wählen Sie eine Nr. aus einem in B1 angegebenen Standort aus)</t>
  </si>
  <si>
    <t>Aitheantas Láithreáin Gaolmhar (roghnaigh aitheantóir ó shuíomh a thuairiscítear i B1)</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</si>
  <si>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</si>
  <si>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</si>
  <si>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</si>
  <si>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</si>
  <si>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povezanega spletnega mesta (izberite ID z lokacije spletnega mesta, zabeležene v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</si>
  <si>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</si>
  <si>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</si>
  <si>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</si>
  <si>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</si>
  <si>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Locatie van de vestiging nabij een biodiversiteitsgevoelig gebied – automatisch ingevuld vanuit B1</t>
  </si>
  <si>
    <t>Localisation du site à proximité d'une zone de biodiversité - rempli automatiquement à partir de B1</t>
  </si>
  <si>
    <t>Standort in der Nähe eines Gebiets mit schutzbedürftiger Biodiversität – automatisch ausgefüllt aus B1</t>
  </si>
  <si>
    <t>Suíomh an Láithreáin i ngar do limistéar bithéagsúlachta - líonta go huathoibríoch ó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</si>
  <si>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</si>
  <si>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</si>
  <si>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</si>
  <si>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</si>
  <si>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Lokacija lokacije v bližini območja z visoko biotsko raznovrstnostjo – samodejno izpolnjeno od B1</t>
  </si>
  <si>
    <t xml:space="preserve">Ubicación del sitio cerca de un área de biodiversidad - completado automáticamente desde B1
</t>
  </si>
  <si>
    <t>template_label_name_of_biodiversity_sensitive_area</t>
  </si>
  <si>
    <t>Name of biodiversity sensitive area</t>
  </si>
  <si>
    <t>Areal (hektar eller m² baseret på valget ovenfor)</t>
  </si>
  <si>
    <t>Oppervlakte (hectaren of m² op basis van de hierboven gemaakte selectie)</t>
  </si>
  <si>
    <t>Superficie (en hectares ou en m² selon la sélection ci-dessus)</t>
  </si>
  <si>
    <t>Fläche (Hektar oder m², basierend auf der obigen Auswahl)</t>
  </si>
  <si>
    <t>Achar (heicteáir nó m² bunaithe ar an rogha thuas)</t>
  </si>
  <si>
    <t>Superficie (ettari o m² in base alla selezione sopra)</t>
  </si>
  <si>
    <t>Plotas (ha arba m², pagal aukščiau pasirinktą vienetą)</t>
  </si>
  <si>
    <t>Obszar (w hektarach lub m² na podstawie powyższego wyboru)</t>
  </si>
  <si>
    <t>Área (hectares ou m² com base na seleção acima)</t>
  </si>
  <si>
    <t>Površina (hektarji ali m² glede na zgornjo izbiro)</t>
  </si>
  <si>
    <t>Área (hectáreas o m² según la selección anterior)</t>
  </si>
  <si>
    <t>template_label_site_located_in_a_biodiversity_sensitive_area</t>
  </si>
  <si>
    <t>Site located in a biodiversity sensitive area</t>
  </si>
  <si>
    <t>Lokalitet beliggende i et biodiversitetsfølsomt område</t>
  </si>
  <si>
    <t>Vestiging gelegen in een biodiversiteitsgevoelig gebied</t>
  </si>
  <si>
    <t>Site situé dans une zone sensible sur le plan de la biodiversité</t>
  </si>
  <si>
    <t>Standort in einem Gebiet mit schutzbedürftiger Biodiversität</t>
  </si>
  <si>
    <t>Suíomh suite i gceantar atá íogair ó thaobh na bithéagsúlachta de</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</si>
  <si>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</si>
  <si>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</si>
  <si>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</si>
  <si>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</si>
  <si>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Lokacija na območju, občutljivem za biotsko raznovrstnost</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</si>
  <si>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</si>
  <si>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</si>
  <si>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</si>
  <si>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</si>
  <si>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Vestiging gelegen nabij een biodiversiteitsgevoelig gebied</t>
  </si>
  <si>
    <t>Site situé à proximité d'une zone sensible sur le plan de la biodiversité</t>
  </si>
  <si>
    <t>Standort in der Nähe eines Gebiets mit schutzbedürftiger Biodiversität</t>
  </si>
  <si>
    <t>Suíomh suite in aice le limistéar atá íogair ó thaobh na bithéagsúlachta de</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</si>
  <si>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</si>
  <si>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</si>
  <si>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</si>
  <si>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</si>
  <si>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Lokacija v bližini območja, občutljivega za biotsko raznovrstnost</t>
  </si>
  <si>
    <t>Emplazamiento situado cerca de una zona sensible en cuanto a la biodiversidad</t>
  </si>
  <si>
    <t>template_label_b6_water_withdrawal</t>
  </si>
  <si>
    <t>B6 - Water Withdrawal</t>
  </si>
  <si>
    <t>B6 - Samlede Vandudtag</t>
  </si>
  <si>
    <t>B6 —  Wateronttrekking</t>
  </si>
  <si>
    <t>B6 – Prélèvements d'eau</t>
  </si>
  <si>
    <t>B6 – Wasserentnahme</t>
  </si>
  <si>
    <t>B6 - Aistarraingt Uisce</t>
  </si>
  <si>
    <t>B6 - Prelievo Idrico</t>
  </si>
  <si>
    <t>B6 – Vandens išgavimas</t>
  </si>
  <si>
    <t>B6 – Pobór wody</t>
  </si>
  <si>
    <t>B6 — Captação de água</t>
  </si>
  <si>
    <t>B6 - Odvzem vode</t>
  </si>
  <si>
    <t>B6 - Extracción de agua</t>
  </si>
  <si>
    <t>template_label_total_amount_of_water_withdrawn_from_all_sites</t>
  </si>
  <si>
    <t>Total amount of water withdrawn from all sites (cubic meters m³)</t>
  </si>
  <si>
    <t xml:space="preserve">Samlet mændge vand udtaget fra alle lokationer (kubikmeter m³) </t>
  </si>
  <si>
    <t>Totale hoeveelheid water onttrokken van alle vestigingen (kubieke meters m³)</t>
  </si>
  <si>
    <t>Quantité totale d'eau prélevée sur tous les sites (mètres cubes m³)</t>
  </si>
  <si>
    <t>Gesamtmenge des aus allen Standorten entnommenen Wassers (Kubikmeter m³)</t>
  </si>
  <si>
    <t>An méid iomlán uisce a tarraingíodh isteach ó gach láithreán (méadar ciúbach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</si>
  <si>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</si>
  <si>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</si>
  <si>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</si>
  <si>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</si>
  <si>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Skupna količina odvzete vode z vseh lokacij (kubični metri m³)</t>
  </si>
  <si>
    <t>Cantidad total de agua extraída de todos los emplazamientos (metros cúbicos m³)</t>
  </si>
  <si>
    <t>template_label_b6_water_consumption</t>
  </si>
  <si>
    <t>B6 - Water Consumption</t>
  </si>
  <si>
    <t>B6 - Vandforbrug</t>
  </si>
  <si>
    <t>B6 — Waterverbruik</t>
  </si>
  <si>
    <t>B6 - Consommation d'eau</t>
  </si>
  <si>
    <t>B6 – Wasserverbrauch</t>
  </si>
  <si>
    <t>B6 - Tomhaltas Uisce</t>
  </si>
  <si>
    <t>B6 – Acque</t>
  </si>
  <si>
    <t>B6 – Vandens suvartojimas</t>
  </si>
  <si>
    <t>B6 - Zużycie wody</t>
  </si>
  <si>
    <t>B6 - Consumo de água</t>
  </si>
  <si>
    <t>B6 - Poraba vode</t>
  </si>
  <si>
    <t xml:space="preserve">B6 - Consumo de agua
</t>
  </si>
  <si>
    <t>template_label_does_the_undertaking_have_production_processes_in_place_which_significantly_consume_water</t>
  </si>
  <si>
    <t>Voluntary for undertakings with 10 employees or less - Does the undertaking have production processes in place which significantly consume water (e.g. thermal energy processes like drying or power production production of goods agricultural irrigation etc.)?</t>
  </si>
  <si>
    <t>Frivilligt for virksomheder med 10 ansatte eller færre – Har virksomheden produktionsprocesser, der i væsentlig grad forbruger vand (f.eks. termiske energiprocesser som tørring eller elproduktion, produktion af varer, landbrugsvanding osv.)?</t>
  </si>
  <si>
    <t>Frivilligt for virksomheder med 10 ansatte eller færre – Har virksomheden produktionsprocesser, der i væsentlig grad forbruger vand (f.eks. termiske energiprocesser som tørring eller elproduktion, produktion af varer, landbrugsvanding etc.)?</t>
  </si>
  <si>
    <t>Frivilligt for virksomheder med 10 ansatte eller færre – Har virksomheden produktionsprocesser, der i væsentlig grad forbruger vand (f.eks. termiske energiprocesser som tørring eller elproduktion, produktion af varer, landbrugsvanding etc.) ?</t>
  </si>
  <si>
    <t>template_label_water_discharge_from_undertaking_production_processes</t>
  </si>
  <si>
    <t>Water discharge from undertaking production processes (m³)</t>
  </si>
  <si>
    <t>Vandudledning fra virksomhedens produktionsprocesser (m³)</t>
  </si>
  <si>
    <t>Waterlozing vanuit productieprocessen van de onderneming (m³)</t>
  </si>
  <si>
    <t>Rejet d’eau provenant des processus de production de l’entreprise (m³)</t>
  </si>
  <si>
    <t>Wasserableitung aus den Produktionsprozessen des Unternehmens (Kubikmeter m³)</t>
  </si>
  <si>
    <t>Scaoileadh uisce ó phróisis táirgthe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</si>
  <si>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</si>
  <si>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</si>
  <si>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</si>
  <si>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</si>
  <si>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Izpust vode iz proizvodnih postopkov podjetja (m³)</t>
  </si>
  <si>
    <t>Vertido de agua procedente de los procesos de producción de la empresa (m³)</t>
  </si>
  <si>
    <t>template_label_amount_of_water_consumed_at_sites_located_in_areas_of_high_water_stress</t>
  </si>
  <si>
    <t>Amount of water consumed at sites located in areas with water-stress (cubic meters m³)</t>
  </si>
  <si>
    <t>Samlet mængde vand udtaget fra steder beliggende i områder med høj vandstress (kubikmeter m³)</t>
  </si>
  <si>
    <t>Hoeveelheid water onttrokken op locaties in gebieden met grote waterstress (kubieke meters m³)</t>
  </si>
  <si>
    <t>Quantité d’eau prélevée sur les sites qui se situent dans des zones exposées à un stress hydrique élevé (mètres cubes m³)</t>
  </si>
  <si>
    <t>Menge des an Standorten in Gebieten mit hohem Wasserstress entnommenen Wassers (Kubikmeter m³)</t>
  </si>
  <si>
    <t>An méid iomlán uisce a tarraingíodh isteach ó gach láithreán atá suite i limistéar atá faoi ardstrus maidir le huisce (méadar ciúbach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</si>
  <si>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</si>
  <si>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</si>
  <si>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</si>
  <si>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</si>
  <si>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Količina odvzete vode na lokacijah, ki se nahajajo na območjih z veliko vodno obremenitvijo (kubični metri m³)</t>
  </si>
  <si>
    <t>Cantidad de agua extraída en emplazamientos situados en zonas con un alto estrés hídrico (metros cúbicos m³)</t>
  </si>
  <si>
    <t>template_label_total_water_consumption</t>
  </si>
  <si>
    <t>Total water consumption (m³)</t>
  </si>
  <si>
    <t>Samlet vandforbrug (m³)</t>
  </si>
  <si>
    <t>Totale waterverbruik (m³)</t>
  </si>
  <si>
    <t>Consommation totale d’eau (m³)</t>
  </si>
  <si>
    <t>Gesamtwasserverbrauch (Kubikmeter m³)</t>
  </si>
  <si>
    <t>Tomhaltas iomlán uisce (m³)</t>
  </si>
  <si>
    <t>Consumo idrico totale (m³)</t>
  </si>
  <si>
    <t>Bendras vandens suvartojimas (m³)</t>
  </si>
  <si>
    <t>Całkowite zużycie wody (m³)</t>
  </si>
  <si>
    <t>Consumo total de água (m³)</t>
  </si>
  <si>
    <t>Skupna poraba vode (m³)</t>
  </si>
  <si>
    <t>Consumo total de agua (m³)</t>
  </si>
  <si>
    <t>template_label_b7_description_of_circular_economy_principles</t>
  </si>
  <si>
    <t>B7 - Description of circular economy principles</t>
  </si>
  <si>
    <t>B7 - Beskrivelse af principperne for cirkulær økonomi</t>
  </si>
  <si>
    <t>B7 - Beschrijving van de beginselen van de circulaire economie</t>
  </si>
  <si>
    <t>B7 – Description des principes de l’économie circulaire</t>
  </si>
  <si>
    <t>B7 – Beschreibung der Grundsätze der Kreislaufwirtschaft</t>
  </si>
  <si>
    <t>B7 - Cur síos ar phrionsabail an gheilleagair chiorclaigh</t>
  </si>
  <si>
    <t>B7 – Descrizione dei principi dell'economia circolare</t>
  </si>
  <si>
    <t>B7 - Žiedinės ekonomikos principų aprašymas</t>
  </si>
  <si>
    <t>B7 – Opis zasad gospodarki o obiegu zamkniętym</t>
  </si>
  <si>
    <t>B7 - Descrição dos princípios da economia circular</t>
  </si>
  <si>
    <t>B7 - Opis načel krožnega gospodarstva</t>
  </si>
  <si>
    <t>B7 – Descripción de los principios de la economía circular</t>
  </si>
  <si>
    <t>template_label_undertaking_applies_circular_economy_principles</t>
  </si>
  <si>
    <t>Undertaking applies circular economy principles</t>
  </si>
  <si>
    <t>Virksomheden anvender principperne for cirkulær økonomi</t>
  </si>
  <si>
    <t>De onderneming vermeldt of zij de beginselen van de circulaire economie toepast.</t>
  </si>
  <si>
    <t>L’entreprise applique les principes de l’économie circulaire</t>
  </si>
  <si>
    <t xml:space="preserve">Das Unternehmen wendet Grundsätze der Kreislaufwirtschaft an. </t>
  </si>
  <si>
    <t>Cuireann an gnóthas prionsabail an gheilleagair chiorclaigh i bhfeidhm</t>
  </si>
  <si>
    <t>L'impresa applica i principi dell'economia circolare</t>
  </si>
  <si>
    <t>Įmonė taiko žiedinės ekonomikos principus</t>
  </si>
  <si>
    <t>Jednostka stosuje zasady gospodarki o obiegu zamkniętym</t>
  </si>
  <si>
    <t>A empresa aplica os princípios da economia circular</t>
  </si>
  <si>
    <t>Podjetje uporablja načela krožnega gospodarstva</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</si>
  <si>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</si>
  <si>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</si>
  <si>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</si>
  <si>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</si>
  <si>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"Beschrijving van hoe zij deze principes toepast"</t>
  </si>
  <si>
    <t>Description de la manière dont elle applique ces principes</t>
  </si>
  <si>
    <t>Beschreibung, wie diese Grundsätze angewendet werden</t>
  </si>
  <si>
    <t>Cur síos ar an gcaoi a gcuireann sé na prionsabail sin i bhfeidhm</t>
  </si>
  <si>
    <t>Descrizione delle modalità con cui applica questi principi</t>
  </si>
  <si>
    <t xml:space="preserve">Aprašymas, kaip taikomi šie principai
</t>
  </si>
  <si>
    <t>Opis sposobu stosowania tych zasad</t>
  </si>
  <si>
    <t>Descrição de como a empresa aplica estes princípios</t>
  </si>
  <si>
    <t>Opis, kako uporablja ta načela</t>
  </si>
  <si>
    <t>Descripción de cómo se aplican estos principios</t>
  </si>
  <si>
    <t>template_label_b7_waste_generated</t>
  </si>
  <si>
    <t>B7 - Waste generated</t>
  </si>
  <si>
    <t>B7 - Ressourceforbrug, cirkulær økonomi og affaldshåndtering</t>
  </si>
  <si>
    <t>B7 - Afval gegenereerd</t>
  </si>
  <si>
    <t>B7 - Déchets produits</t>
  </si>
  <si>
    <t>B7 – Abfallaufkommen</t>
  </si>
  <si>
    <t>B7 - Dramhaíl a ghintear</t>
  </si>
  <si>
    <t>B7 - Rifiuti generati</t>
  </si>
  <si>
    <t>B7 - Išmetamųjų atliekų kiekis</t>
  </si>
  <si>
    <t>B7 - Wytworzone odpady</t>
  </si>
  <si>
    <t>B7 - Resíduos gerados</t>
  </si>
  <si>
    <t>B7 - Nastali odpadki</t>
  </si>
  <si>
    <t>B7 – Uso de los residuos generados</t>
  </si>
  <si>
    <t>template_label_type_of_waste</t>
  </si>
  <si>
    <t>Type of waste</t>
  </si>
  <si>
    <t xml:space="preserve">Type af affald </t>
  </si>
  <si>
    <t>Afvaltype</t>
  </si>
  <si>
    <t>Type de déchets</t>
  </si>
  <si>
    <t>Abfallart</t>
  </si>
  <si>
    <t>Cineál dramhaíola</t>
  </si>
  <si>
    <t>Tipo di rifiuto</t>
  </si>
  <si>
    <t>Atliekų rūšis</t>
  </si>
  <si>
    <t>Typ odpadów</t>
  </si>
  <si>
    <t>Tipo de resíduos</t>
  </si>
  <si>
    <t>Vrsta odpadkov</t>
  </si>
  <si>
    <t>Tipo de residuos</t>
  </si>
  <si>
    <t>template_label_unit_of_measurement</t>
  </si>
  <si>
    <t>Måleenhed</t>
  </si>
  <si>
    <t>Meet eenheid</t>
  </si>
  <si>
    <t>Unité de mesure</t>
  </si>
  <si>
    <t>Maßeinheit</t>
  </si>
  <si>
    <t>Aonad tomhais</t>
  </si>
  <si>
    <t>Unità di misura</t>
  </si>
  <si>
    <t>Matavimo vienetas</t>
  </si>
  <si>
    <t>Jednostka miary</t>
  </si>
  <si>
    <t>Unidade de medida</t>
  </si>
  <si>
    <t>Merska enota</t>
  </si>
  <si>
    <t>Unidad de medida</t>
  </si>
  <si>
    <t>template_label_proportion_of_waste_diverted_to_recycling</t>
  </si>
  <si>
    <t xml:space="preserve">Percentage of waste diverted to recycling </t>
  </si>
  <si>
    <t>Affald omdirigeret til genanvendelse eller genbrug</t>
  </si>
  <si>
    <t>Afval herbestemd voor recycling of hergebruik</t>
  </si>
  <si>
    <t>Déchets destinés à être recyclés ou réutilisés</t>
  </si>
  <si>
    <t>Abfälle, die zum Recycling oder zur Wiederverwendung umgeleitet werden</t>
  </si>
  <si>
    <t>Dramhaíl a atreoraítear le hathchúrsáil nó le hathúsáid</t>
  </si>
  <si>
    <t>Rifiuti reindirizzati al riciclaggio o al riutilizzo</t>
  </si>
  <si>
    <t>Atliekos, nukreiptos perdirbti arba pakartotinai naudoti</t>
  </si>
  <si>
    <t>Odpady kierowane do recyklingu lub ponownego użycia</t>
  </si>
  <si>
    <t>Resíduos desviados para reciclagem ou reutilização</t>
  </si>
  <si>
    <t>Odpadki, preusmerjeni v recikliranje ali ponovno uporabo</t>
  </si>
  <si>
    <t>Residuos desviados para reciclar o reutilizar</t>
  </si>
  <si>
    <t>template_label_proportion_of_waste_diverted_to_preparation_for_reuse</t>
  </si>
  <si>
    <t>Percentage of waste diverted to preparation for reuse</t>
  </si>
  <si>
    <t xml:space="preserve">Affald sendt til bortskaffelse </t>
  </si>
  <si>
    <t>Restafval (niet recyclebaar/herbruikbaar)</t>
  </si>
  <si>
    <t>Déchets destinés à être éliminés</t>
  </si>
  <si>
    <t>Abfälle, die der Beseitigung zugeführt werden</t>
  </si>
  <si>
    <t>Dramhaíl atá dírithe chun diúscairt</t>
  </si>
  <si>
    <t>Rifiuti destinati allo smaltimento</t>
  </si>
  <si>
    <t>Atliekos, perduotos utilizavimui</t>
  </si>
  <si>
    <t>Odpady kierowane do unieszkodliwiania</t>
  </si>
  <si>
    <t>Resíduos destinados a eliminação</t>
  </si>
  <si>
    <t>Odpadki, namenjeni odstranjevanju</t>
  </si>
  <si>
    <t>Residuos dirigidos a eliminación</t>
  </si>
  <si>
    <t>template_label_weight_or_volume_of_waste_generated</t>
  </si>
  <si>
    <t>Total weight or volume of waste generated</t>
  </si>
  <si>
    <t>Vægt eller volumen af det affald, der genereres,</t>
  </si>
  <si>
    <t>Gewicht of volume van het gegenereerde afval</t>
  </si>
  <si>
    <t>Poids ou volume de déchets générés</t>
  </si>
  <si>
    <t>Gewicht oder Menge des erzeugten Abfalls</t>
  </si>
  <si>
    <t>Meáchan nó toirt na dramhaíola a ghintear</t>
  </si>
  <si>
    <t>Peso o volume di rifiuti generati</t>
  </si>
  <si>
    <t>Susidariusių atliekų svoris arba tūris</t>
  </si>
  <si>
    <t>Waga lub objętość powstałych odpadów</t>
  </si>
  <si>
    <t>Peso ou volume de resíduos gerados</t>
  </si>
  <si>
    <t>Teža ali količina nastalih odpadkov</t>
  </si>
  <si>
    <t>Peso o volumen de residuos generados</t>
  </si>
  <si>
    <t>template_label_total_hazardous_waste_generated_mass</t>
  </si>
  <si>
    <t>Total Hazardous waste generated (mass)</t>
  </si>
  <si>
    <t>Samlet produktion af farligt affald (masse)</t>
  </si>
  <si>
    <t>Totaal gegenereerd gevaarlijk afval (massa)</t>
  </si>
  <si>
    <t>Total des déchets dangereux produits (en masse)</t>
  </si>
  <si>
    <t>Gesamtmenge gefährlicher Abfälle (Masse/Gewicht)</t>
  </si>
  <si>
    <t>Dramhaíl ghuaiseach iomlán a ghintear (mais)</t>
  </si>
  <si>
    <t>Totale rifiuti pericolosi generati (massa)</t>
  </si>
  <si>
    <t>Bendras susidariusių pavojingųjų atliekų kiekis (masė)</t>
  </si>
  <si>
    <t>Całkowita ilość wytworzonych odpadów niebezpiecznych (masa)</t>
  </si>
  <si>
    <t>Resíduos Perigosos totais gerados (massa)</t>
  </si>
  <si>
    <t>Skupna količina nastalih nevarnih odpadkov (masa)</t>
  </si>
  <si>
    <t>Residuo peligroso total generado (masa)</t>
  </si>
  <si>
    <t>template_label_total_amount_of_waste_generated</t>
  </si>
  <si>
    <t>Total amount of waste generated</t>
  </si>
  <si>
    <t xml:space="preserve">Samlet mængde affald genereret </t>
  </si>
  <si>
    <t>Totale hoeveelheid geproduceerd afval</t>
  </si>
  <si>
    <t>Quantité totale de déchets produits</t>
  </si>
  <si>
    <t>Gesamtabfallmenge oder Abfallmenge gesamt</t>
  </si>
  <si>
    <t>Méid iomlán na dramhaíola a ghintear</t>
  </si>
  <si>
    <t>Importo totale di rifiuti generati</t>
  </si>
  <si>
    <t>Bendras susidariusių atliekų kiekis</t>
  </si>
  <si>
    <t>Całkowita ilość wytwarzanych odpadów</t>
  </si>
  <si>
    <t>Quantidade total de resíduos gerados</t>
  </si>
  <si>
    <t>Skupna količina nastalih odpadkov</t>
  </si>
  <si>
    <t>Cantidad total de residuos generados</t>
  </si>
  <si>
    <t>template_label_total_non_hazardous_waste_generated_mass</t>
  </si>
  <si>
    <t>Total Non-Hazardous waste generated (mass)</t>
  </si>
  <si>
    <t>Samlet  produktion af ikke-farligt affald (masse)</t>
  </si>
  <si>
    <t>Totale hoeveelheid niet-gevaarlijk afval gegenereerd (massa)</t>
  </si>
  <si>
    <t>Total des déchets non dangereux produits (en masse)</t>
  </si>
  <si>
    <t>Gesamtaufkommen nicht gefährlicher Abfälle (Masse/Gewicht)</t>
  </si>
  <si>
    <t>Dramhaíl Neamhghuaiseach Iomlán a ghintear (mais)</t>
  </si>
  <si>
    <t>Totale rifiuti non pericolosi generati (massa)</t>
  </si>
  <si>
    <t>Bendras nepavojingų atliekų kiekis (masė)</t>
  </si>
  <si>
    <t>Całkowita ilość wytworzonych odpadów innych niż niebezpieczne (masa)</t>
  </si>
  <si>
    <t>Resíduos Não Perigosos Totais Gerados (massa)</t>
  </si>
  <si>
    <t>Skupna količina nastalih nenevarnih odpadkov (masa)</t>
  </si>
  <si>
    <t>Residuos no peligrosos generados totales (masa)</t>
  </si>
  <si>
    <t>template_label_total_waste_generated_mass</t>
  </si>
  <si>
    <t>Total waste generated (mass)</t>
  </si>
  <si>
    <t>Samlet produktion af affald (masse)</t>
  </si>
  <si>
    <t>Totale hoeveelheid geproduceerd afval (massa)</t>
  </si>
  <si>
    <t>Total des déchets produits (en masse)</t>
  </si>
  <si>
    <t>Gesamtabfallaufkommen (Masse/Gewicht)</t>
  </si>
  <si>
    <t>Dramhaíl iomlán a ghintear (mais)</t>
  </si>
  <si>
    <t>Totale rifiuti generati (massa)</t>
  </si>
  <si>
    <t>Bendras atliekų kiekis (masė)</t>
  </si>
  <si>
    <t>Całkowita ilość wytwarzanych odpadów (masa)</t>
  </si>
  <si>
    <t>Produção total de resíduos (massa)</t>
  </si>
  <si>
    <t>Skupna količina nastalih odpadkov (masa)</t>
  </si>
  <si>
    <t>Total de residuos generados (masa)</t>
  </si>
  <si>
    <t>template_label_total_hazardous_waste_generated_volume</t>
  </si>
  <si>
    <t>Total Hazardous waste generated (volume)</t>
  </si>
  <si>
    <t>Samlet produktion af farligt affald (volume)</t>
  </si>
  <si>
    <t>Totale hoeveelheid geproduceerd gevaarlijk afval (volume)</t>
  </si>
  <si>
    <t>Total des déchets dangereux produits (en volume)</t>
  </si>
  <si>
    <t>Gesamtaufkommen gefährlicher Abfälle (Volumen)</t>
  </si>
  <si>
    <t>Dramhaíl ghuaiseach iomlán a ghintear (toirt)</t>
  </si>
  <si>
    <t>Totale rifiuti pericolosi generati (volume)</t>
  </si>
  <si>
    <t>Bendras pavojingų atliekų susidarymo kiekis (tūris)</t>
  </si>
  <si>
    <t>Całkowita ilość wytworzonych odpadów niebezpiecznych (objętość)</t>
  </si>
  <si>
    <t>Resíduos perigosos totais gerados (volume)</t>
  </si>
  <si>
    <t>Skupna količina nastalih nevarnih odpadkov (prostornina)</t>
  </si>
  <si>
    <t>Residuos peligrosos generados totales (volumen)</t>
  </si>
  <si>
    <t>template_label_cubic_meters</t>
  </si>
  <si>
    <t>cubic meters (m³)</t>
  </si>
  <si>
    <t>kubikmeter (m³)</t>
  </si>
  <si>
    <t>kubieke meter (m³)</t>
  </si>
  <si>
    <t>mètres cubes (m³)</t>
  </si>
  <si>
    <t>Kubikmeter (m³)</t>
  </si>
  <si>
    <t>méadar ciúbach (m³)</t>
  </si>
  <si>
    <t>metri cubi (m³)</t>
  </si>
  <si>
    <t>kubiniai metrai (m³)</t>
  </si>
  <si>
    <t>metr sześcienny (m³)</t>
  </si>
  <si>
    <t>metros cúbicos (m³)</t>
  </si>
  <si>
    <t>kubičnih metrov (m³)</t>
  </si>
  <si>
    <t>template_label_total_non_hazardous_waste_generated_volume</t>
  </si>
  <si>
    <t>Total Non-Hazardous waste generated (volume)</t>
  </si>
  <si>
    <t>Samlet produktion af ikke-farligt affald (volume)</t>
  </si>
  <si>
    <t>Totaal hoeveelheid niet-gevaarlijk afval geproduceerd (volume)</t>
  </si>
  <si>
    <t>Total des déchets non dangereux produits (en volume)</t>
  </si>
  <si>
    <t>Gesamtaufkommen nicht gefährlicher Abfälle (Volumen)</t>
  </si>
  <si>
    <t>Dramhaíl Neamhghuaiseach Iomlán a ghintear (toirt)</t>
  </si>
  <si>
    <t>Totale rifiuti non pericolosi generati (volume)</t>
  </si>
  <si>
    <t>Bendras nepavojingų atliekų kiekis (tūris)</t>
  </si>
  <si>
    <t>Całkowita ilość wytworzonych odpadów innych niż niebezpieczne (objętość)</t>
  </si>
  <si>
    <t>Resíduos não perigosos totais gerados (volume)</t>
  </si>
  <si>
    <t>Skupna količina nastalih nenevarnih odpadkov (prostornina)</t>
  </si>
  <si>
    <t>Residuos no peligrosos totales generados (volumen)</t>
  </si>
  <si>
    <t>template_label_total_waste_generated_volume</t>
  </si>
  <si>
    <t>Total waste generated (volume)</t>
  </si>
  <si>
    <t>Samlet produktion af affald (volume)</t>
  </si>
  <si>
    <t>Totale hoeveelheid geproduceerd afval (volume)</t>
  </si>
  <si>
    <t>Total des déchets produits (en volume)</t>
  </si>
  <si>
    <t>Gesamtabfallaufkommen (Volumen)</t>
  </si>
  <si>
    <t>Dramhaíl iomlán a ghintear (toirt)</t>
  </si>
  <si>
    <t>Totale rifiuti generati (volume)</t>
  </si>
  <si>
    <t>Bendras susidariusių atliekų kiekis (tūris)</t>
  </si>
  <si>
    <t>Całkowita ilość wytwarzanych odpadów (objętość)</t>
  </si>
  <si>
    <t>Produção total de resíduos (volume)</t>
  </si>
  <si>
    <t>Skupna količina nastalih odpadkov (prostornina)</t>
  </si>
  <si>
    <t>Residuos totales generados (volumen)</t>
  </si>
  <si>
    <t>template_label_total_waste_percentage_recycling_mass</t>
  </si>
  <si>
    <t>Overall percentage of waste diverted to recycling (mass)</t>
  </si>
  <si>
    <t>Samlet procentdel af affald, der omdirigeres til genbrug (masse)</t>
  </si>
  <si>
    <t>template_label_total_waste_percentage_preparation_mass</t>
  </si>
  <si>
    <t>Overall percentage of waste diverted to preparation for reuse (mass)</t>
  </si>
  <si>
    <t>Samlet procentdel af affald, der omdirigeres til forberedelse til genbrug (masse)</t>
  </si>
  <si>
    <t>Samlet procentdel af affald, der omdirigeres til voorbereiding til genbrug (masse)</t>
  </si>
  <si>
    <t>template_label_total_waste_percentage_recycling_volume</t>
  </si>
  <si>
    <t>Overall percentage of waste diverted to recycling (volume)</t>
  </si>
  <si>
    <t>Samlet procentdel af affald, der omdirigeres til genbrug (volumen)</t>
  </si>
  <si>
    <t>template_label_total_waste_percentage_preparation_volume</t>
  </si>
  <si>
    <t>Overall percentage of waste diverted to preparation for reuse (volume)</t>
  </si>
  <si>
    <t>Samlet procentdel af affald, der omdirigeres til forberedelse til genbrug (volumen)</t>
  </si>
  <si>
    <t>Samlet procentdel af affald, der omdirigeres til voorbereiding til genbrug (volumen)</t>
  </si>
  <si>
    <t>template_label_total_waste_generated_percent</t>
  </si>
  <si>
    <t>Percent (%)</t>
  </si>
  <si>
    <t>Procent (%)</t>
  </si>
  <si>
    <t>Percentage (%)</t>
  </si>
  <si>
    <t>Pourcentage ( %)</t>
  </si>
  <si>
    <t>Pourcentage ( %)</t>
  </si>
  <si>
    <t>Percentuale ( %)</t>
  </si>
  <si>
    <t>Percentual ( %)</t>
  </si>
  <si>
    <t>Odstotek ( %)</t>
  </si>
  <si>
    <t>template_label_b7_annual_mass_flow_of_relevant_materials_used</t>
  </si>
  <si>
    <t>B7 - Annual mass-flow of relevant materials used</t>
  </si>
  <si>
    <t xml:space="preserve">B7 - Årlig massestrøm af betydelige materialer brugt i virksomheden </t>
  </si>
  <si>
    <t>B7 – Jaarlijkse massastroom van relevante gebruikte materialen</t>
  </si>
  <si>
    <t>B7 – Flux massique annuel des matières pertinentes utilisées</t>
  </si>
  <si>
    <t>B7 – Jährlicher Massenstrom der verwendeten relevanten Materialien</t>
  </si>
  <si>
    <t>B7 – Mais-sreabhadh bliantúil na n-ábhar ábhartha a úsáideadh</t>
  </si>
  <si>
    <t>B7 – Flusso di massa annuo dei materiali pertinenti utilizzati</t>
  </si>
  <si>
    <t>B7 – Sunaudotų reikšmingų medžiagų kiekis</t>
  </si>
  <si>
    <t>B7 – Roczny przepływ masowy używanych istotnych materiałów</t>
  </si>
  <si>
    <t>B7 – Fluxo anual de massa de materiais relevantes utilizados</t>
  </si>
  <si>
    <t>Letni masni pretok zadevnih uporabljenih materialov</t>
  </si>
  <si>
    <t>B7 – Flujo anual de masa de materiales relevantes utilizados</t>
  </si>
  <si>
    <t>template_label_does_the_undertaking_operate_in_a_sector_using_significant_material_flows</t>
  </si>
  <si>
    <t>Voluntary for undertakings with 10 employees or less - Does the undertaking the undertaking operate in a sector using significant material flows (for example manufacturing construction packaging or others)?</t>
  </si>
  <si>
    <t>Frivilligt for virksomheder med 10 ansatte eller færre – opererer virksomheden, virksomheden i en sektor, der bruger betydelige materialestrømme (for eksempel fremstilling af byggeemballage eller andet)?</t>
  </si>
  <si>
    <t>Bent de onderneming actief in een sector die aanzienlijke materiaalstromen gebruikt (bijvoorbeeld productie, bouw, verpakking of andere)?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</si>
  <si>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</si>
  <si>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</si>
  <si>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An oibríonn an gnóthas in earnáil a úsáideann sreabha suntasacha ábhar (mar shampla déantúsaíocht, foirgníocht, pacáistíocht nó eile)?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</si>
  <si>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</si>
  <si>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</si>
  <si>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</si>
  <si>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</si>
  <si>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Ali podjetje posluje v sektorju, ki uporablja znatne materialne tokove (na primer proizvodnja gradbene embalaže ali drugo)?</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</si>
  <si>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</si>
  <si>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</si>
  <si>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</si>
  <si>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</si>
  <si>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Naam van het kernmateriaal</t>
  </si>
  <si>
    <t xml:space="preserve">  Nom de la matières clé </t>
  </si>
  <si>
    <t>Name der relevanten Materialien</t>
  </si>
  <si>
    <t>Ainm an ábhair phríomhúil</t>
  </si>
  <si>
    <t>Nome del materiale chiave</t>
  </si>
  <si>
    <t>Reikšmingos medžiagos pavadinimas</t>
  </si>
  <si>
    <t>Nazwa kluczowego materiału</t>
  </si>
  <si>
    <t>Nome do material essencial</t>
  </si>
  <si>
    <t>Ime ključnega materiala</t>
  </si>
  <si>
    <t>Nombre del material clave</t>
  </si>
  <si>
    <t>template_label_mass_volume</t>
  </si>
  <si>
    <t>Mass / Volume</t>
  </si>
  <si>
    <t xml:space="preserve">Masse / Volume </t>
  </si>
  <si>
    <t>Massa volume</t>
  </si>
  <si>
    <t>Masse / Volume</t>
  </si>
  <si>
    <t>Masse / Volumen</t>
  </si>
  <si>
    <t>Toirt Maise</t>
  </si>
  <si>
    <t>Massa / Volume</t>
  </si>
  <si>
    <t>Masė / Tūris</t>
  </si>
  <si>
    <t xml:space="preserve">Masowa / Objętość </t>
  </si>
  <si>
    <t>Masa / Prostornina</t>
  </si>
  <si>
    <t>Masa / Volumen</t>
  </si>
  <si>
    <t>template_label_total_annual_mass_flow_of_relevant_materials_used_mass</t>
  </si>
  <si>
    <t>Total annual mass-flow of relevant materials used (mass in kg)</t>
  </si>
  <si>
    <t>Samlet årlig massestrøm af betydelige materialer anvendt (masse i kg)</t>
  </si>
  <si>
    <t>Totale jaarlijkse massastroom van gebruikte relevante materialen (massa in kg)</t>
  </si>
  <si>
    <t>Total du flux massique annuel des matières pertinentes utilisées (masse en kg)</t>
  </si>
  <si>
    <t>Gesamter jährlicher Massenstrom der verwendeten relevanten Materialien (Masse in kg)</t>
  </si>
  <si>
    <t>Mais-shreabhadh bliantúil iomlán na n-ábhar ábhartha a úsáideadh (mais i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</si>
  <si>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</si>
  <si>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</si>
  <si>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</si>
  <si>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</si>
  <si>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Skupni letni masni pretok zadevnih uporabljenih materialov (masa v kg)</t>
  </si>
  <si>
    <t>Flujo anual total de masa de materiales relevantes utilizados (masa en kg)</t>
  </si>
  <si>
    <t>template_label_kilograms</t>
  </si>
  <si>
    <t>kilogram (kg)</t>
  </si>
  <si>
    <t>kilogrammen (kg)</t>
  </si>
  <si>
    <t>kilogrammes (kg)</t>
  </si>
  <si>
    <t>Kilogramm (kg)</t>
  </si>
  <si>
    <t>cileagraim (kg)</t>
  </si>
  <si>
    <t>chilogrammi (kg)</t>
  </si>
  <si>
    <t>kilogramai (kg)</t>
  </si>
  <si>
    <t>kilogramy (kg)</t>
  </si>
  <si>
    <t>quilogramas (kg)</t>
  </si>
  <si>
    <t>kilogrami (kg)</t>
  </si>
  <si>
    <t>kilogramos (kg)</t>
  </si>
  <si>
    <t>template_label_total_annual_mass_flow_of_relevant_materials_used_volume</t>
  </si>
  <si>
    <t>Total annual mass-flow of relevant materials used (volume in m³)</t>
  </si>
  <si>
    <t>Samlet årlig massestrøm af betyderlige metarialer anvendt (volumen i m³)</t>
  </si>
  <si>
    <t>Totale jaarlijkse massastroom van relevante gebruikte materialen (volume in m³)</t>
  </si>
  <si>
    <t>Total du flux massique annuel des matières pertinentes utilisées (volume en m³)</t>
  </si>
  <si>
    <t>Gesamter jährlicher Massenstrom der verwendeten relevanten Materialien (Volumen in m³)</t>
  </si>
  <si>
    <t>Mais-sreabhadh bliantúil iomlán na n-ábhar ábhartha a úsáidtear (toirt i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</si>
  <si>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</si>
  <si>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</si>
  <si>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</si>
  <si>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</si>
  <si>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Skupni letni masni pretok zadevnih uporabljenih materialov (volumen v m³)</t>
  </si>
  <si>
    <t>Flujo anual total de masa de materiales relevantes utilizados (volumen en m³)</t>
  </si>
  <si>
    <t>template_label_c4_climate_risks</t>
  </si>
  <si>
    <t>C4 – Klimarisici</t>
  </si>
  <si>
    <t>C4 — Klimaatrisico’s</t>
  </si>
  <si>
    <t>C4 – Klimabedingte Risiken</t>
  </si>
  <si>
    <t>C4 – Rioscaí aeráide</t>
  </si>
  <si>
    <t>C4 – Rischi climatici</t>
  </si>
  <si>
    <t>C4 - Klimato rizikos</t>
  </si>
  <si>
    <t>C4 – Ryzyko związane z klimatem</t>
  </si>
  <si>
    <t>C4 – Riesgos climáticos</t>
  </si>
  <si>
    <t>template_label_has_the_undertaking_identified_climate_related_hazards_and_climate_related_transition_events</t>
  </si>
  <si>
    <t>Voluntary for undertakings with 10 employees or less - Has the undertaking identified climate-related hazards and climate-related transition events creating gross climate-related risks for the undertaking?</t>
  </si>
  <si>
    <t>Frivilligt for virksomheder med 10 ansatte eller færre – Har virksomheden identificeret klimarelaterede farer og klimarelaterede overgangsbegivenheder, hvilket skaber store klimarelaterede risici for virksomheden?</t>
  </si>
  <si>
    <t>Frivilligt for virksomheder med 10 ansatte eller færre – Har virksomheden identificeret klimarelaterede farer en klimarelaterede overgangsbegivenheder, hvilket skaber store klimarelaterede risici for virksomheden?</t>
  </si>
  <si>
    <t>Frivilligt for virksomheder med 10 ansatte eller færre – Har virksomheden identificeret klimarelaterede farer en klimarelaterede overgangsbegivenheder, hvilket skaber store klimarelaterede risici for virksomheden ?</t>
  </si>
  <si>
    <t>Frivilligt for virksomheder med 10 ansatte eller færre – Har virksomheden identifiziertet klimarelaterede farer en klimarelaterede overgangsbegivenheder, hvilket skaber store klimarelaterede risici for virksomheden ?</t>
  </si>
  <si>
    <t>template_label_description_of_climate_related_hazards_and_climate_related_transition_events</t>
  </si>
  <si>
    <t>Description of climate-related hazards and climate-related transition events</t>
  </si>
  <si>
    <t>Beskrivelse af klimarelaterede farer og klimarelaterede omstillingshændelser</t>
  </si>
  <si>
    <t>Beschrijving van klimaatgeïnduceerde gevaren en klimaatgeïnduceerde transitiegebeurtenissen</t>
  </si>
  <si>
    <t>Description des aléas liés au changement climatique et des événements liés à la transition climatique</t>
  </si>
  <si>
    <t>Beschreibung der klimabedingten Gefahren und klimabedingten Übergangsereignisse</t>
  </si>
  <si>
    <t>Cur síos ar ghuaiseacha a bhaineann leis an aeráid agus ar theagmhais aistrithe a bhaineann leis an aeráid</t>
  </si>
  <si>
    <t>Descrizione dei pericoli ed eventi di transizione legati al clima</t>
  </si>
  <si>
    <t>Klimato ir pereinamojo laikotarpio rizikų aprašymas</t>
  </si>
  <si>
    <t>Opis zagrożeń związanych z klimatem oraz zdarzeń dotyczących przejścia związanego z klimatem</t>
  </si>
  <si>
    <t>Descrição sucinta dos perigos relacionados com o clima e eventos de transição relacionados com o clima</t>
  </si>
  <si>
    <t xml:space="preserve">Opis podnebnih nevarnosti in dogodkov, povezanih s podnebnim prehodom </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</si>
  <si>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</si>
  <si>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</si>
  <si>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</si>
  <si>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</si>
  <si>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 xml:space="preserve"> Rapportage van hoe de onderneming de blootstelling en gevoeligheid van haar activa, activiteiten en waardeketen met betrekking tot deze gevaren en transitiegebeurtenissen heeft beoordeeld</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</si>
  <si>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</si>
  <si>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</si>
  <si>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Nochtadh ar an gcaoi ar mheas sé neamhchosaint agus íogaireacht a chuid sócmhainní agus a shlabhra luacha do na guaiseacha agus na teagmhais aistrithe sin</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</si>
  <si>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</si>
  <si>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</si>
  <si>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</si>
  <si>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</si>
  <si>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Razkritje, kako je podjetje ocenilo izpostavljenost in občutljivost svojih dejavnosti v zvezi s sredstvi in vrednostnimi papirji na podnebne nevarnosti in opredelilo dogodke v zvezi s prehodom</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</si>
  <si>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</si>
  <si>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</si>
  <si>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</si>
  <si>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</si>
  <si>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 xml:space="preserve">Tijdshorizonten van geïdentificeerde klimaatgerelateerde gevaren en transitiegebeurtenissen
</t>
  </si>
  <si>
    <t>Horizons temporels des aléas liés au changement climatique et des événements liés à la transition climatique recensés</t>
  </si>
  <si>
    <t>Zeithorizonte etwaiger ermittelter klimabedingter Gefahren und Übergangsereignisse</t>
  </si>
  <si>
    <t>Tréimhsí ama ama d'aon ghuaiseacha a bhaineann leis an aeráid agus aon teagmhais aistrithe a sainaithníodh</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</si>
  <si>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</si>
  <si>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</si>
  <si>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</si>
  <si>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</si>
  <si>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Časovni okviri morebitnih podnebnih nevarnosti in zaznanih dogodkov v zvezi s podnebnim prehodom</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</si>
  <si>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</si>
  <si>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</si>
  <si>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</si>
  <si>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</si>
  <si>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 xml:space="preserve"> Rapportage over of de onderneming maatregelen voor klimaatadaptatie heeft genomen voor klimaatgerelateerde gevaren en transitiegebeurtenissen</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</si>
  <si>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</si>
  <si>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</si>
  <si>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Nochtadh an bhfuil sé tar éis gníomhaíochtaí oiriúnaithe don athrú aeráide a dhéanamh i leith aon ghuaiseacha a bhaineann leis an aeráid agus teagmhais aistrithe a bhaineann leis an aeráid</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</si>
  <si>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</si>
  <si>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</si>
  <si>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</si>
  <si>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</si>
  <si>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Razkritje, ali je podjejte sprejelo ukrepe za prilagajanje podnebnim spremembam za morebitne podnebne nevarnosti in dogodke v zvezi s prehodom</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</si>
  <si>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</si>
  <si>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</si>
  <si>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</si>
  <si>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</si>
  <si>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De potentiële negatieve effecten van klimaatrisico’s die de financiële prestaties of bedrijfsactiviteiten op korte, middellange of lange termijn kunnen beïnvloeden, waarbij wordt aangegeven of zij de risico’s als hoog, gemiddeld of laag beoordeelt.</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</si>
  <si>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</si>
  <si>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</si>
  <si>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</si>
  <si>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</si>
  <si>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</si>
  <si>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</si>
  <si>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</si>
  <si>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Potencialni negativni učinki podnebnih sprememb, ki lahko vplivajo na finančno uspešnost ali poslovanje kratkoročno, srednjeročno ali dolgoročno, z navedbo, ali podjetje ocenjuje tveganja kot visoka, srednja ali nizka.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</si>
  <si>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</si>
  <si>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</si>
  <si>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and/or entity specific environmental disclosures</t>
  </si>
  <si>
    <t>Oplysning om andre miljørelaterede og/eller virksomhedsspecifikke miljøoplysninger</t>
  </si>
  <si>
    <t>Rapportage van andere milieugerelateerde en/of entiteitspecifieke  milieurapportages</t>
  </si>
  <si>
    <t>Publication de toute autre information environnementale et/ ou spécifique à l'entité</t>
  </si>
  <si>
    <t>Angabe weiterer umweltbezogener und/oder umweltbezogener unternehmensspezifischer Angaben</t>
  </si>
  <si>
    <t>Nochtadh aon nochtadh comhshaoil eile a bhaineann go sonrach leis an gcomhshaol agus/nó a bhaineann go sonrach le comhshaol</t>
  </si>
  <si>
    <t>Comunicazione di qualsiasi altra informativa ambientale e/o specifica per soggetto</t>
  </si>
  <si>
    <t>Bet kokios kitos aplinkosaugos ir/ar įmonės specifinės aplinkosaugos informacijos atskleidimas</t>
  </si>
  <si>
    <t>Ujawnienie wszelkich innych ujawnień środowiskowych i/lub specyficznych dla jednostki ujawnień środowiskowych</t>
  </si>
  <si>
    <t>Divulgação de quaisquer outras divulgações ambientais e/ou divulgações específicas ambientais da empresa</t>
  </si>
  <si>
    <t>Razkritje vseh drugih okoljskih in/ali za podjetje specifičnih okoljskih razkritij</t>
  </si>
  <si>
    <t>Divulgación de cualquier otra divulgación ambiental y/o ambiental específica de la entidad</t>
  </si>
  <si>
    <t>template_label_employee_counting_methodology_for_the_disclosures_below_headcount_full_time_equivalent</t>
  </si>
  <si>
    <t xml:space="preserve">Employee counting methodology (Headcount or Full time Equivalent  linked from B1) for the disclosures below except specified otherwise </t>
  </si>
  <si>
    <t>Metode til opgørelse af antal ansatte for nedenstående oplysninger (samlet antal ansatte eller fuldtidsækvivalenter, koblet fra B1)</t>
  </si>
  <si>
    <t>Methodologie voor het berekenen aantal werknemers voor onderstaande toelichtingen (Aantal medewerkers of voltijdsequivalent gekoppeld vanuit B1)</t>
  </si>
  <si>
    <t>Méthodologie de comptage des effectifs pour les informations ci-dessous (effectif ou équivalent temps plein lié à B1)</t>
  </si>
  <si>
    <t>Art der Zählung von Beschäftigten für die nachstehenden Angaben (Beschäftigtenzahl oder Vollzeitäquivalente, verknüpft mit B1)</t>
  </si>
  <si>
    <t>Modheolaíocht chomhairimh fostaithe do na nochtuithe thíos (Líon na nDaoine nó Coibhéis Lánaimseartha nasctha ó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</si>
  <si>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</si>
  <si>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</si>
  <si>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</si>
  <si>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</si>
  <si>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Metodologija štetja zaposlenih za spodnja razkritja (število zaposlenih ali ekvivalent polnega delovnega časa, povezano z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</si>
  <si>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</si>
  <si>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</si>
  <si>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(At the end of the reporting period or as an average across the reporting period linked from B1) for the disclosures below except specified otherwise</t>
  </si>
  <si>
    <t>Metode til opgørelse af antal ansatte for nedenstående oplysninger (ved udgangen af rapporteringsperioden eller som gennemsnit over rapporteringsperioden, koblet fra B1)</t>
  </si>
  <si>
    <t>Methodologie voor het tellen van werknemers voor onderstaande openbaarmakingen (Aan het einde van de rapportageperiode of als een gemiddelde over de rapportageperiode gekoppeld aan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</si>
  <si>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</si>
  <si>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</si>
  <si>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Modheolaíocht comhairimh fostaithe do na nochtuithe thíos (Ag deireadh na tréimhse tuairiscithe nó mar mheán ar fud na tréimhse tuairiscithe nasctha ó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</si>
  <si>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</si>
  <si>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</si>
  <si>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</si>
  <si>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</si>
  <si>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Metodologija štetja zaposlenih za spodnja razkritja (ob koncu obdobja poročanja ali kot povprečje v celotnem obdobju poročanja, povezano z B1)</t>
  </si>
  <si>
    <t>Metodología de recuento de empleados para las divulgaciones siguientes (Al final del período de reporte o como un promedio durante el período de reporte vinculado desde B1)</t>
  </si>
  <si>
    <t>template_label_general_and_or_entity_specific_disclosures</t>
  </si>
  <si>
    <t>Disclosure of any other general and/or entity specific information</t>
  </si>
  <si>
    <t>Videregivelse af andre generelle og/eller enhedsspecifikke oplysninger</t>
  </si>
  <si>
    <t>Openbaarmaking van andere algemene en/of entiteitsspecifieke informatie</t>
  </si>
  <si>
    <t>Divulgation de toute autre information générale et/ou spécifique à une entité</t>
  </si>
  <si>
    <t>Offenlegung anderer allgemeiner und/oder unternehmensspezifischer Informationen</t>
  </si>
  <si>
    <t>Nochtadh aon fhaisnéis ghinearálta agus/nó aon-shonrach eile</t>
  </si>
  <si>
    <t>Divulgazione di qualsiasi altra informazione generale e/o specifica dell'entità</t>
  </si>
  <si>
    <t>Bet kokios kitos bendros ir/ar su subjektu susijusios informacijos atskleidimas</t>
  </si>
  <si>
    <t>Ujawnienie wszelkich innych informacji ogólnych i/lub specyficznych dla podmiotu</t>
  </si>
  <si>
    <t>Divulgação de qualquer outra informação geral e/ou específica da entidade</t>
  </si>
  <si>
    <t>Razkritje vseh drugih splošnih in/ali specifičnih informacij za pravno organizacijo</t>
  </si>
  <si>
    <t>Divulgación de cualquier otra información general y/o específica de la entidad</t>
  </si>
  <si>
    <t>template_label_b8_workforce_general_characteristics_type_of_contract</t>
  </si>
  <si>
    <t>B8 - Workforce - General characteristics - Type of contract</t>
  </si>
  <si>
    <t xml:space="preserve">B8 – Arbejdsstyrke – Generelle karakteristika - Type af ansættelseskontrakt </t>
  </si>
  <si>
    <t>B8 – Personeel – Algemene kenmerken - Soort arbeidsovereenkomst</t>
  </si>
  <si>
    <t>B8 –   Personnel – Caractéristiques générales  - Type de contrat</t>
  </si>
  <si>
    <t>B8 – Arbeitskräfte – Allgemeine Merkmale – Art des Arbeitsvertrags</t>
  </si>
  <si>
    <t>B8 – Lucht saothair – Saintréithe ginearálta – Cineál an chonartha</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</si>
  <si>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</si>
  <si>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</si>
  <si>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</si>
  <si>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</si>
  <si>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 Delovna sila – Splošne značilnosti – Vrsta pogodbe</t>
  </si>
  <si>
    <t>B8 –Trabajadores– Características generales - Tipo de contrato</t>
  </si>
  <si>
    <t>template_label_type_of_contract</t>
  </si>
  <si>
    <t>Type of contract</t>
  </si>
  <si>
    <t xml:space="preserve">Type af ansættelseskontrakt </t>
  </si>
  <si>
    <t>Soort arbeidsovereenkomst</t>
  </si>
  <si>
    <t>Type de contrat</t>
  </si>
  <si>
    <t>Art des Vertrags</t>
  </si>
  <si>
    <t>Cineál an chonartha</t>
  </si>
  <si>
    <t>Tipo di contratto</t>
  </si>
  <si>
    <t>Sutarties tipas</t>
  </si>
  <si>
    <t>Rodzaj umowy</t>
  </si>
  <si>
    <t>Tipo de contrato</t>
  </si>
  <si>
    <t>Vrsta pogodbe</t>
  </si>
  <si>
    <t>template_label_permanent_contract</t>
  </si>
  <si>
    <t>Permanent contract</t>
  </si>
  <si>
    <t>Tidsubegrænset kontrakt</t>
  </si>
  <si>
    <t>Vast contract</t>
  </si>
  <si>
    <t>Contrat de travail à durée indéterminée</t>
  </si>
  <si>
    <t>Unbefristeter Vertrag</t>
  </si>
  <si>
    <t>Conradh buan</t>
  </si>
  <si>
    <t>Contratto permanente</t>
  </si>
  <si>
    <t>Neterminuota sutartis</t>
  </si>
  <si>
    <t>Umowa na czas nieokreślony</t>
  </si>
  <si>
    <t>Contrato sem termo</t>
  </si>
  <si>
    <t>Pogodba za nedoločen čas</t>
  </si>
  <si>
    <t>Contrato indefinido</t>
  </si>
  <si>
    <t>template_label_temporary_contract</t>
  </si>
  <si>
    <t>Temporary contract</t>
  </si>
  <si>
    <t xml:space="preserve">Midlertidig kontrakt </t>
  </si>
  <si>
    <t>Tijdelijk contract</t>
  </si>
  <si>
    <t>Contrat de travail à durée déterminée</t>
  </si>
  <si>
    <t>Befristeter Vertrag</t>
  </si>
  <si>
    <t>Conradh sealadach</t>
  </si>
  <si>
    <t>Contratto temporaneo</t>
  </si>
  <si>
    <t>Terminuota sutartis</t>
  </si>
  <si>
    <t>Umowa na czas określony</t>
  </si>
  <si>
    <t>Contrato a termo</t>
  </si>
  <si>
    <t>Začasna pogodba</t>
  </si>
  <si>
    <t>Contrato temporal</t>
  </si>
  <si>
    <t>template_label_total_employees</t>
  </si>
  <si>
    <t>Total employees (linked to B1)</t>
  </si>
  <si>
    <t>Samlet antal ansatte (koblet fra B1)</t>
  </si>
  <si>
    <t>Totaal aantal werknemers (gerelateerd aan B1)</t>
  </si>
  <si>
    <t>Nombre total de salariés (lié à B1)</t>
  </si>
  <si>
    <t>Beschäftigte insgesamt (verknüpft mit B1)</t>
  </si>
  <si>
    <t>Fostaithe iomlána (nasctha le B1)</t>
  </si>
  <si>
    <t>Totale dipendenti (collegato a B1)</t>
  </si>
  <si>
    <t>Bendras darbuotojų skaičius (susijęs su B1)</t>
  </si>
  <si>
    <t>Liczba pracowników ogółem (odniesienie do B1)</t>
  </si>
  <si>
    <t>Total de trabalhadores (relacionados com B1)</t>
  </si>
  <si>
    <t>Skupaj zaposlenih (vezano na B1)</t>
  </si>
  <si>
    <t>Total de asalariados (vinculados a B1)</t>
  </si>
  <si>
    <t>template_label_b8_workforce_general_characteristics_gender</t>
  </si>
  <si>
    <t>B8 - Workforce - General characteristics - Gender</t>
  </si>
  <si>
    <t>B8 – Arbejdsstyrke – Generelle karakteristika - Køn</t>
  </si>
  <si>
    <t>B8 – Personeel – Algemene kenmerken - Gender</t>
  </si>
  <si>
    <t>B8 –   Personnel – Caractéristiques générales  - Genre</t>
  </si>
  <si>
    <t>B8 – Belegschaft – Allgemeine Merkmale – Geschlecht</t>
  </si>
  <si>
    <t>B8 – Lucht saothair – Saintréithe ginearálta – Inscne</t>
  </si>
  <si>
    <t xml:space="preserve">B8 – Forza lavoro – Caratteristiche generali - Genere
</t>
  </si>
  <si>
    <t>B8 – Sava darbo jėga – Bendrieji rodikliai – Lytis</t>
  </si>
  <si>
    <t>B8 – Zasoby pracownicze – Ogólne charakterystyki - Płeć</t>
  </si>
  <si>
    <t>B8 – Força de trabalho – Características gerais - Género</t>
  </si>
  <si>
    <t>B8 – Delovna sila – Splošne značilnosti – Spol</t>
  </si>
  <si>
    <t>B8 – Trabajadores – Características generales – Género</t>
  </si>
  <si>
    <t>template_label_gender</t>
  </si>
  <si>
    <t>Gender</t>
  </si>
  <si>
    <t>Køn</t>
  </si>
  <si>
    <t>Genre</t>
  </si>
  <si>
    <t>Geschlecht</t>
  </si>
  <si>
    <t>Inscne</t>
  </si>
  <si>
    <t>Genere</t>
  </si>
  <si>
    <t>Lytis</t>
  </si>
  <si>
    <t>Płeć</t>
  </si>
  <si>
    <t>Género</t>
  </si>
  <si>
    <t>Spol</t>
  </si>
  <si>
    <t>template_label_male</t>
  </si>
  <si>
    <t>Male</t>
  </si>
  <si>
    <t>Mand</t>
  </si>
  <si>
    <t>Man</t>
  </si>
  <si>
    <t>Homme</t>
  </si>
  <si>
    <t>Männlich</t>
  </si>
  <si>
    <t>Fireann</t>
  </si>
  <si>
    <t>Uomini</t>
  </si>
  <si>
    <t>Vyrai</t>
  </si>
  <si>
    <t>Mężczyzna</t>
  </si>
  <si>
    <t>Masculino</t>
  </si>
  <si>
    <t>Moški</t>
  </si>
  <si>
    <t>template_label_female</t>
  </si>
  <si>
    <t>Female</t>
  </si>
  <si>
    <t>Kvinde</t>
  </si>
  <si>
    <t>Vrouw</t>
  </si>
  <si>
    <t>Femme</t>
  </si>
  <si>
    <t>Weiblich</t>
  </si>
  <si>
    <t>Baineann</t>
  </si>
  <si>
    <t>Donne</t>
  </si>
  <si>
    <t>Moterys</t>
  </si>
  <si>
    <t>Kobieta</t>
  </si>
  <si>
    <t>Feminino</t>
  </si>
  <si>
    <t>Ženska</t>
  </si>
  <si>
    <t>Femenino</t>
  </si>
  <si>
    <t>template_label_other</t>
  </si>
  <si>
    <t>Andet</t>
  </si>
  <si>
    <t>Overig</t>
  </si>
  <si>
    <t>Autre</t>
  </si>
  <si>
    <t>Andere</t>
  </si>
  <si>
    <t>Eile</t>
  </si>
  <si>
    <t>Altro</t>
  </si>
  <si>
    <t>Kita</t>
  </si>
  <si>
    <t>Inna</t>
  </si>
  <si>
    <t>Outro</t>
  </si>
  <si>
    <t>Drugo</t>
  </si>
  <si>
    <t>Otro</t>
  </si>
  <si>
    <t>template_label_not_reported</t>
  </si>
  <si>
    <t>Not reported</t>
  </si>
  <si>
    <t xml:space="preserve">Ikke registereret </t>
  </si>
  <si>
    <t>Niet gerapporteerd</t>
  </si>
  <si>
    <t>Non communiqué</t>
  </si>
  <si>
    <t>Nicht angegeben</t>
  </si>
  <si>
    <t>Gan tuairisciú</t>
  </si>
  <si>
    <t>Non comunicato</t>
  </si>
  <si>
    <t>Nenurodyta</t>
  </si>
  <si>
    <t>Nie zgłoszono</t>
  </si>
  <si>
    <t>Não reportado</t>
  </si>
  <si>
    <t>Ni poročano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</si>
  <si>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</si>
  <si>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</si>
  <si>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</si>
  <si>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</si>
  <si>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 xml:space="preserve">B8 – Personeel – Algemene kenmerken - Land van tewerkstelling
</t>
  </si>
  <si>
    <t>B8 –   Personnel – Caractéristiques générales  - Pays d'emploi</t>
  </si>
  <si>
    <t>Arbeitskräfte – Allgemeine Merkmale – Beschäftigungsland</t>
  </si>
  <si>
    <t>B8 – Lucht saothair – Saintréithe ginearálta – Tír na fostaíochta</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</si>
  <si>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</si>
  <si>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</si>
  <si>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</si>
  <si>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</si>
  <si>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Delovna sila – Splošne značilnosti – Država zaposlitve</t>
  </si>
  <si>
    <t>B8 – Trabajadores – Características generales - País de empleo</t>
  </si>
  <si>
    <t>template_label_country_of_employment_contract</t>
  </si>
  <si>
    <t>Country of employment contract</t>
  </si>
  <si>
    <t xml:space="preserve">Land, hvor ansættelseskontrakten er indgået </t>
  </si>
  <si>
    <t>Land van arbeidsovereenkomst</t>
  </si>
  <si>
    <t>Pays du contrat de travail</t>
  </si>
  <si>
    <t>Land des Arbeitsvertrags</t>
  </si>
  <si>
    <t>Tír an chonartha fostaíochta</t>
  </si>
  <si>
    <t>Paese del contratto di lavoro</t>
  </si>
  <si>
    <t>Šalis, kurioje sudaryta darbo sutartis</t>
  </si>
  <si>
    <t>Kraj umowy o pracę</t>
  </si>
  <si>
    <t>País do contrato de trabalho</t>
  </si>
  <si>
    <t>Država pogodbe o zaposlitvi</t>
  </si>
  <si>
    <t xml:space="preserve">País del contrato de trabajo
</t>
  </si>
  <si>
    <t>template_label_undertaking_operating_in_more_than_one_country</t>
  </si>
  <si>
    <t>Does the undertaking operate in more than one country?</t>
  </si>
  <si>
    <t xml:space="preserve">Opererer virksomheden i mere end ét land? </t>
  </si>
  <si>
    <t>"Is de onderneming actief in meer dan één land?"</t>
  </si>
  <si>
    <t>L'entreprise exerce-t-elle ses activités dans plus d'un pays ?</t>
  </si>
  <si>
    <t>Hat das Unternehmen Geschäftstätigkeiten in mehr als einem Land?</t>
  </si>
  <si>
    <t>An oibríonn an gnóthas i níos mó ná tír amháin?</t>
  </si>
  <si>
    <t>La società opera in più di un paese?</t>
  </si>
  <si>
    <t>Ar įmonė veikia daugiau nei vienoje šalyje?</t>
  </si>
  <si>
    <t>Czy jednostka prowadzi działalność w więcej niż jednym kraju?</t>
  </si>
  <si>
    <t>A empresa opera em mais de um país?</t>
  </si>
  <si>
    <t>Ali podjetje deluje v več kot eni državi?</t>
  </si>
  <si>
    <t>¿Opera la empresa en más de un país?</t>
  </si>
  <si>
    <t>template_label_b9_workforce_health_and_safety</t>
  </si>
  <si>
    <t>B9 – Personeel – Gezondheid en veiligheid</t>
  </si>
  <si>
    <t>B9 – Arbeitskräfte – Gesundheitsschutz und Sicherheit</t>
  </si>
  <si>
    <t>B9 – Lucht saothair – Sláinte agus sábháilteacht</t>
  </si>
  <si>
    <t>B9 – Sava darbo jėga – Sveikata ir sauga</t>
  </si>
  <si>
    <t>B9 – Zasoby pracownicze – Bezpieczeństwo i higiena pracy</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</si>
  <si>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</si>
  <si>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</si>
  <si>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</si>
  <si>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</si>
  <si>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Aantal  registreerbare  arbeidsongevallen in de rapportageperiode</t>
  </si>
  <si>
    <t>Nombre d'accidents du travail comptabilisables pendant la période de reporting</t>
  </si>
  <si>
    <t>Anzahl der meldepflichtigen Arbeitsunfälle im Berichtszeitraum</t>
  </si>
  <si>
    <t>Líon na dtimpistí intaifeadta a bhaineann leis an obair sa tréimhse tuairiscithe</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</si>
  <si>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</si>
  <si>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</si>
  <si>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</si>
  <si>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</si>
  <si>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Število zabeleženih nezgod pri delu v poročevalskem obdobju</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</si>
  <si>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</si>
  <si>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</si>
  <si>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</si>
  <si>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</si>
  <si>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Aantal uren gewerkt door één voltijdse werknemer in de  rapportageperiode</t>
  </si>
  <si>
    <t>Nombre d’heures travaillées par un salarié à temps plein au cours de l'année de référence</t>
  </si>
  <si>
    <t>Anzahl der von einem Vollzeitbeschäftigten im Berichtszeitraum geleisteten Arbeitsstunden</t>
  </si>
  <si>
    <t>Líon na n-uaireanta a d'oibrigh fostaí lánaimseartha amháin sa tréimhse tuairiscithe</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</si>
  <si>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</si>
  <si>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</si>
  <si>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</si>
  <si>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</si>
  <si>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Število ur, ki jih je v poročevalskem obdobju opravil en redno zaposleni</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</si>
  <si>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</si>
  <si>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</si>
  <si>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</si>
  <si>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</si>
  <si>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 xml:space="preserve">Totaal aantal gewerkte uren in een jaar door alle werknemers in de rapportageperiode </t>
  </si>
  <si>
    <t>Nombre total d’heures travaillées en un an par l’ensemble des salariés pendant la période de reporting</t>
  </si>
  <si>
    <t>Gesamtanzahl der von allen Beschäftigten im Berichtszeitraum in einem Jahr geleisteten Arbeitsstunden</t>
  </si>
  <si>
    <t>Líon iomlán na n-uaireanta a d'oibrigh na fostaithe go léir sa tréimhse tuairiscithe sa tréimhse tuairiscithe i mbliain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</si>
  <si>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</si>
  <si>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</si>
  <si>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</si>
  <si>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</si>
  <si>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Skupno število ur, ki so jih v enem letu opravili vsi zaposleni v obdobju zaposlovanja</t>
  </si>
  <si>
    <t>Número total de horas trabajadas en un año por todos los empleados en el período de reporte</t>
  </si>
  <si>
    <t>template_label_choice_between_100_or_500_full_time_workers</t>
  </si>
  <si>
    <t xml:space="preserve">Select whether the rate is per 100 or 500  full-time workers over a yearly time frame </t>
  </si>
  <si>
    <t>Vælg om satsen er pr. 100 eller 500 fuldtidsansatte over en årlig periode</t>
  </si>
  <si>
    <t>Kies of het tarief per 100 of 500 fulltime werknemers per jaar geldt</t>
  </si>
  <si>
    <t>Sélectionnez si le taux est par 100 ou 500 travailleurs à temps plein sur une période annuelle</t>
  </si>
  <si>
    <t>Wählen Sie aus, ob der Satz pro 100 oder 500 Vollzeitbeschäftigten über einen jährlichen Zeitraum gilt</t>
  </si>
  <si>
    <t>Roghnaigh an bhfuil an ráta in aghaidh gach 100 nó 500 oibrí lánaimseartha thar thréimhse ama bhliantúil</t>
  </si>
  <si>
    <t>Seleziona se la tariffa è per 100 o per 500 lavoratori a tempo pieno in un arco di tempo annuale</t>
  </si>
  <si>
    <t>Pasirinkite, ar tarifas yra 100, ar 500 pilno etato darbuotojų per metinį laikotarpį</t>
  </si>
  <si>
    <t>Wybierz, czy stawka będzie na 100 czy 500 pracowników na pełen etat w ciągu rocznego okresu</t>
  </si>
  <si>
    <t>Selecione se a taxa é por 100 ou 500 trabalhadores em tempo integral ao longo de um período anual</t>
  </si>
  <si>
    <t>Izberite, ali je stopnja na 100 ali 500 zaposlenih s polnim delovnim časom v letnem obdobju</t>
  </si>
  <si>
    <t>Selecciona si la tarifa es por cada 100 o por 500 trabajadores a tiempo completo durante un periodo anual</t>
  </si>
  <si>
    <t>template_label_rate_per_100_or_500_full_time_workers_over_a_yearly_timeframe</t>
  </si>
  <si>
    <t>Rate per 100 or 500 full-time workers over a yearly timeframe</t>
  </si>
  <si>
    <t>Rate pr. 100 eller 500 fuldtidsansatte over en årlig periode</t>
  </si>
  <si>
    <t>Percentage per 100 of 500 fulltime werknemers over een jaarlijkse periode</t>
  </si>
  <si>
    <t>Taux pour 100 ou 500 travailleurs à temps plein sur une période annuelle</t>
  </si>
  <si>
    <t>Rate pro 100 oder 500 Vollzeitbeschäftigten über einen jährlichen Zeitraum</t>
  </si>
  <si>
    <t>Ráta in aghaidh gach 100 nó 500 oibrí lánaimseartha thar thréimhse ama bhliantúil</t>
  </si>
  <si>
    <t>Tariffa ogni 100 o 500 lavoratori a tempo pieno su un arco di tempo annuale</t>
  </si>
  <si>
    <t>Mokestis už 100 arba 500 visą darbo dieną dirbančių darbuotojų per metinį laikotarpį</t>
  </si>
  <si>
    <t>Stawka na 100 lub 500 pracowników na pełen etat w rocznym okresie</t>
  </si>
  <si>
    <t>Taxa por 100 ou 500 trabalhadores em tempo integral em um período anual</t>
  </si>
  <si>
    <t>Stopnja na 100 ali 500 zaposlenih s polnim delovnim časom v letnem obdobju</t>
  </si>
  <si>
    <t>Tasa por cada 100 o 500 trabajadores a tiempo completo en un periodo anual</t>
  </si>
  <si>
    <t>template_label_rate_of_recordable_work_related_accidents_in_the_reporting_period</t>
  </si>
  <si>
    <t>Rate of recordable work-related accidents in the reporting period</t>
  </si>
  <si>
    <t>Antallet og andelen af registrerbare arbejdsrelaterede ulykker i rapporteringsperioden</t>
  </si>
  <si>
    <t xml:space="preserve">Percentage van registreerbare arbeidsongevallen in de rapportageperiode 
</t>
  </si>
  <si>
    <t>Taux d’accidents du travail comptabilisables pendant la période de reporting</t>
  </si>
  <si>
    <t>Quote der meldepflichtigen Arbeitsunfälle im Berichtszeitraum</t>
  </si>
  <si>
    <t>Ráta na dtimpistí intaifeadta a bhaineann leis an obair sa tréimhse tuairiscithe</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</si>
  <si>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</si>
  <si>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</si>
  <si>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</si>
  <si>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</si>
  <si>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Stopnja zabeleženih nezgod pri delu v poročevalskem obdobju</t>
  </si>
  <si>
    <t>Tasa de accidentes de trabajo registrables en el período de informe</t>
  </si>
  <si>
    <t>template_label_number_of_fatalities_as_a_result_of_work_related_injuries_and_work_related_ill_health</t>
  </si>
  <si>
    <t>Subject to legal restrictions, the sum of the fatalities as a result of recordable work-related accidents  and recordable work-related ill health</t>
  </si>
  <si>
    <t>Antal dødsfald som følge af arbejdsrelaterede skader og arbejdsrelateret dårligt helbred.</t>
  </si>
  <si>
    <t>Aantal dodelijke slachtoffers als gevolg van arbeidsongevallen  en beroepsziekten</t>
  </si>
  <si>
    <t>Nombre de décès dus à des accidents du travail et à des problèmes de santé liés au travail</t>
  </si>
  <si>
    <t>Zahl der Todesfälle infolge arbeitsbedingter Verletzungen und arbeitsbedingter Erkrankungen</t>
  </si>
  <si>
    <t>Líon na mbásanna de bharr gortuithe a bhaineann leis an obair agus drochshláinte a bhaineann leis an obair</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</si>
  <si>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</si>
  <si>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</si>
  <si>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</si>
  <si>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</si>
  <si>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Število smrtnih žrtev zaradi poškodb pri delu in zdravstvenih težav, povezanih z delom</t>
  </si>
  <si>
    <t>Número de muertes como consecuencia de lesiones y problemas de salud relacionados con el trabajo.</t>
  </si>
  <si>
    <t>template_label_b10_workforce_remuneration_collective_bargaining</t>
  </si>
  <si>
    <t>B10 - Workforce - Remuneration and collective bargaining</t>
  </si>
  <si>
    <t xml:space="preserve">B10 – Arbejdsstyrke – Vederlag og kollektive overenskomster
</t>
  </si>
  <si>
    <t>B10 — Personeel — Vergoeding en collectieve onderhandelingen</t>
  </si>
  <si>
    <t>B10 – Personnel – Rémunération et négociation collective</t>
  </si>
  <si>
    <t>B10 – Arbeitskräfte – Vergütung und Tarif-/Kollektivverhandlungen</t>
  </si>
  <si>
    <t>B10 – Lucht saothair – Luach saothair agus cómhargáil</t>
  </si>
  <si>
    <t>B10 – Forza lavoro – Retribuzione e contrattazione collettiva</t>
  </si>
  <si>
    <t>B10 – Sava darbo jėga – Atlyginimas ir kolektyvinės derybos</t>
  </si>
  <si>
    <t>B10 – Zasoby pracownicze – wynagrodzenie i rokowania zbiorowe</t>
  </si>
  <si>
    <t>B10 – Mão-de-obra – Remuneração e negociação coletiva</t>
  </si>
  <si>
    <t>B10 – Delovna sila – Plačna in Kolektivna pogajanja o plačah in usposabljanje</t>
  </si>
  <si>
    <t xml:space="preserve">B10 – Trabajadores – Retribución y negociación colectiva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</si>
  <si>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</si>
  <si>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</si>
  <si>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</si>
  <si>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Werknemers ontvangen een beloning die gelijk is aan of hoger is dan het toepasselijke minimumloon dat rechtstreeks wordt vastgesteld door de nationale minimumloonwet of via een collectieve arbeidsovereenkomst.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</si>
  <si>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</si>
  <si>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</si>
  <si>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Faigheann fostaithe pá atá comhionann nó os cionn an pá íosta is infheidhme arna chinneadh go díreach leis an dlí náisiúnta ar phá íosta nó trí chomhaontú cómhargála</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</si>
  <si>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</si>
  <si>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</si>
  <si>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</si>
  <si>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</si>
  <si>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Zaposleni prejemajo plačilo, ki je enako ali višje od veljavne minimalne plače, določene neposredno z nacionalnim zakonom o minimalni plači ali s kolektivno pogodbo.</t>
  </si>
  <si>
    <t>Los empleados reciben un sueldo que es igual o superior al salario mínimo aplicable determinado directamente por la ley nacional de salario mínimo o mediante un convenio colectivo.</t>
  </si>
  <si>
    <t>template_label_percentage_gap_in_pay_condition_of_applicability</t>
  </si>
  <si>
    <t>Is the undertaking is already required by EU law or other national regulations to report the percentage gap in pay between its female and male employees ?</t>
  </si>
  <si>
    <t>Er forpligtelsen allerede forpligtet af EU-lovgivning eller andre nationale regler til at rapportere den procentvise lønforskel mellem kvindelige og mandlige medarbejdere?</t>
  </si>
  <si>
    <t>Is de onderneming al verplicht volgens EU-wetgeving of andere nationale regelgeving om het percentage loonverschil tussen vrouwelijke en mannelijke werknemers te rapporteren?</t>
  </si>
  <si>
    <t>L’engagement est-il déjà tenu par la loi européenne ou d’autres réglementations nationales de déclarer l’écart salarial en pourcentage entre ses employés féminins et masculins ?</t>
  </si>
  <si>
    <t>Ist das Unternehmen bereits durch EU-Recht oder andere nationale Vorschriften verpflichtet, den prozentualen Gehaltsunterschied zwischen weiblichen und männlichen Mitarbeitern zu melden?</t>
  </si>
  <si>
    <t>An gceanglaítear ar an ngnóthas cheana féin le dlí an AE nó le rialacháin náisiúnta eile an bhearna chéatadáin pá idir a chuid fostaithe mná agus fireann a thuairisciú?</t>
  </si>
  <si>
    <t>L'impegno è già obbligato dalla legge UE o da altre normative nazionali a riportare il divario percentuale di retribuzione tra dipendenti donne e uomini?</t>
  </si>
  <si>
    <t>Ar ES įstatymai ar kiti nacionaliniai reglamentai jau reikalauja šio įsipareigojimo pranešti apie procentinį atlyginimų skirtumą tarp moterų ir vyrų darbuotojų?</t>
  </si>
  <si>
    <t>Czy zobowiązanie jest już zobowiązane przez prawo UE lub inne przepisy krajowe, by raportować procentową różnicę w wynagrodzeniu między kobietami a mężczyznami?</t>
  </si>
  <si>
    <t>O compromisso já é obrigado pela legislação da UE ou por outras regulamentações nacionais a relatar a diferença percentual de salário entre suas funcionárias mulheres e homens?</t>
  </si>
  <si>
    <t>Ali je zaveza že po zakonodaji EU ali drugih nacionalnih predpisih dolžna poročati o odstotni razliki v plačah med ženskami in moškimi zaposlenimi?</t>
  </si>
  <si>
    <t>¿Está la obligación ya por la legislación de la UE u otras normativas nacionales a informar sobre la diferencia salarial porcentual entre sus empleados y empleados?</t>
  </si>
  <si>
    <t>template_label_average_gross_hourly_pay_level_of_male_employees</t>
  </si>
  <si>
    <t>Average gross hourly pay level of male employees</t>
  </si>
  <si>
    <t>Gennemsnitlig bruttotimeløn for mandlige ansatte</t>
  </si>
  <si>
    <t>Gemiddeld bruto beloningsniveau per uur van mannelijke werknemers</t>
  </si>
  <si>
    <t>Rémunération horaire brute moyenne des salariés hommes</t>
  </si>
  <si>
    <t>Durchschnittliches Bruttostundenentgelt der männlichen Beschäftigten</t>
  </si>
  <si>
    <t>Ollphá fostaithe fireanna in aghaidh na huaire ar an meán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</si>
  <si>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</si>
  <si>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</si>
  <si>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</si>
  <si>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</si>
  <si>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Povprečna bruto urna postavka zaposlenih moških</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</si>
  <si>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</si>
  <si>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</si>
  <si>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</si>
  <si>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</si>
  <si>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Gemiddeld bruto beloningsniveau per uur van vrouwelijke werknemers</t>
  </si>
  <si>
    <t>Rémunération horaire brute moyenne des salariés femmes</t>
  </si>
  <si>
    <t>Durchschnittliches Bruttostundenentgelt der weiblichen Beschäftigten</t>
  </si>
  <si>
    <t>Ollphá fostaithe baineanna in aghaidh na huaire ar an meán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</si>
  <si>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</si>
  <si>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</si>
  <si>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</si>
  <si>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</si>
  <si>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Povprečna bruto urna postavka zaposlenih žensk</t>
  </si>
  <si>
    <t>Nivel medio bruto de remuneración por hora de las empleadas</t>
  </si>
  <si>
    <t>template_label_percentage_gap_in_pay_between_the_undertakings_female_and_male_employees</t>
  </si>
  <si>
    <t>Percentage gap in pay between the  undertaking's female and male employees [%]</t>
  </si>
  <si>
    <t>Procentvis lønforskel mellem virksomhedens kvindelige og mandlige ansatte [%]</t>
  </si>
  <si>
    <t xml:space="preserve">
Procentueel verschil in beloning tussen vrouwelijke en mannelijke werknemers van de onderneming [%]
</t>
  </si>
  <si>
    <t>Écart de rémunération en pourcentage entre les salariés femmes et hommes de l'entreprise [%]</t>
  </si>
  <si>
    <t>Prozentuales Entgeltgefälle zwischen den weiblichen und männlichen Beschäftigten des Unternehmens [%]</t>
  </si>
  <si>
    <t xml:space="preserve">Bearna phá chéatadánach idir fostaithe baineanna agus fireanna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</si>
  <si>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</si>
  <si>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</si>
  <si>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</si>
  <si>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</si>
  <si>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Odstotna razlika v plačilu med zaposlenimi in zaposlenimi v podjetju [%]</t>
  </si>
  <si>
    <t>Porcentaje de brecha salarial entre las empleadas y los empleados de la empresa [%]</t>
  </si>
  <si>
    <t>template_label_number_of_employees_covered_by_collective_bargaining_agreements</t>
  </si>
  <si>
    <t>Number of employees covered by collective bargaining agreements (in headcount)</t>
  </si>
  <si>
    <t>Antal ansatte omfattet af kollektive overenskomster</t>
  </si>
  <si>
    <t>Aantal werknemers dat onder collectieve arbeidsovereenkomsten van</t>
  </si>
  <si>
    <t>Nombre de salariés couverts par des conventions collectives</t>
  </si>
  <si>
    <t>Anzahl der Beschäftigten, die durch Tarif-/Kollektivverträge abgedeckt sind</t>
  </si>
  <si>
    <t>Líon na bhfostaithe atá cumhdaithe ag comhaontuithe cómhargála</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</si>
  <si>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</si>
  <si>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</si>
  <si>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</si>
  <si>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</si>
  <si>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Število zaposlenih, zajetih v kolektivnih pogodbah</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</si>
  <si>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</si>
  <si>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</si>
  <si>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</si>
  <si>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</si>
  <si>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Percentage van werknemers die onder collectieve arbeidsovereenkomsten vallen [%]</t>
  </si>
  <si>
    <t>Pourcentage des salariés couverts par des conventions collectives  [%]</t>
  </si>
  <si>
    <t>Prozentsatz der Beschäftigten, die durch Tarif-/Kollektivverträge abgedeckt sind [%]</t>
  </si>
  <si>
    <t>Céatadán na bhfostaithe a chumhdaítear ag comhaontuithe cómhargála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</si>
  <si>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</si>
  <si>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</si>
  <si>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</si>
  <si>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</si>
  <si>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Odstotek zaposlenih, ki jih pokrivajo kolektivne pogodbe [%]</t>
  </si>
  <si>
    <t>Porcentaje de empleados cubiertos por convenios de negociación colectiva [%]</t>
  </si>
  <si>
    <t>template_label_number_of_annual_training_hours_per_employee_during_the_reporting_period</t>
  </si>
  <si>
    <t>B10 - Workforce - Number of annual training hours per employee during the reporting period</t>
  </si>
  <si>
    <t>B10 – Arbejdsstyrke – Gennemsnitligt antal årlige uddannelsestimer pr. ansat i rapporteringsperioden</t>
  </si>
  <si>
    <t xml:space="preserve">B10 — Personeel — Gemiddeld aantal jaarlijkse trainingsuren per werknemer tijdens de rapportageperiode
</t>
  </si>
  <si>
    <t>B10 – Personnel – Nombre moyen d'heures annuelles de formation par salarié au cours de la période de reporting</t>
  </si>
  <si>
    <t>B10 – Arbeitskräfte – Anzahl der jährlichen Schulungsstunden je Beschäftigtem im Berichtszeitraum</t>
  </si>
  <si>
    <t>B10 – Lucht saothair –Líon na n-uaireanta oiliúna bliantúla in aghaidh an fhostaí le linn na tréimhse tuairiscithe</t>
  </si>
  <si>
    <t>B10 – Forza lavoro – Numero annuo di ore di formazione per dipendente durante il periodo di riferimento</t>
  </si>
  <si>
    <t>B10 – Sava darbo jėga – Vidutinis metinis mokymo valandų skaičius vienam darbuotojui ataskaitiniu laikotarpiu</t>
  </si>
  <si>
    <t>B10 – Zasoby pracownicze – Średnia liczba godzin szkoleń w ciągu roku na pracownika w okresie sprawozdawczym</t>
  </si>
  <si>
    <t>B10 – Mão-de-obra – Número médio de horas de formação anual por trabalhador durante o período de relato</t>
  </si>
  <si>
    <t>B10 – Število letnih ur usposabljanja na zaposlenega v obdobju usposabljanja</t>
  </si>
  <si>
    <t>B10 – Trabajadores – Número de horas anuales de formación por empleado durante el período de información</t>
  </si>
  <si>
    <t>template_label_total_number_of_training_hours_offered_to_and_completed__by_employees</t>
  </si>
  <si>
    <t>Total number of training hours offered to and completed by employees</t>
  </si>
  <si>
    <t>Samlet antal træningstimer, der tilbydes og gennemføres af medarbejdere</t>
  </si>
  <si>
    <t>Totaal aantal trainingsuren dat door medewerkers wordt aangeboden en voltooid wordt</t>
  </si>
  <si>
    <t>Nombre total d’heures de formation offertes et effectuées par les employés</t>
  </si>
  <si>
    <t>Gesamtzahl der von Mitarbeitern angebotenen und abgeschlossenen Schulungsstunden</t>
  </si>
  <si>
    <t>Líon iomlán na n-uaireanta oiliúna a thairgtear d'fhostaithe agus a chríochnaíonn siad</t>
  </si>
  <si>
    <t>Numero totale di ore di formazione offerte e completate dai dipendenti</t>
  </si>
  <si>
    <t>Bendras darbuotojų siūlomų ir baigtų mokymų valandų skaičius</t>
  </si>
  <si>
    <t>Łączna liczba godzin szkoleniowych oferowanych i ukończonych przez pracowników</t>
  </si>
  <si>
    <t>Número total de horas de treinamento oferecidas e concluídas pelos funcionários</t>
  </si>
  <si>
    <t>Skupno število ur usposabljanja, ki so jih zaposleni prejeli in opravili</t>
  </si>
  <si>
    <t>Número total de horas de formación ofrecidas y completadas por los empleados</t>
  </si>
  <si>
    <t>template_label_total_number_of_employees_in_headcount</t>
  </si>
  <si>
    <t>Total number of employees in headcount</t>
  </si>
  <si>
    <t>Samlet antal ansatte i antal ansatte</t>
  </si>
  <si>
    <t>Totaal aantal medewerkers in het aantal medewerkers</t>
  </si>
  <si>
    <t>Nombre total d’employés dans l’effectif</t>
  </si>
  <si>
    <t>Gesamtzahl der beschäftigten Mitarbeiter</t>
  </si>
  <si>
    <t>Líon iomlán na bhfostaithe i líon na bhfostaithe</t>
  </si>
  <si>
    <t>Numero totale di dipendenti nel personale</t>
  </si>
  <si>
    <t>Bendras darbuotojų skaičius</t>
  </si>
  <si>
    <t>Łączna liczba pracowników w liczbie pracowników</t>
  </si>
  <si>
    <t>Número total de funcionários no quadro</t>
  </si>
  <si>
    <t>Skupno število zaposlenih po številu zaposlenih</t>
  </si>
  <si>
    <t>Número total de empleados en plantilla</t>
  </si>
  <si>
    <t>template_label_average_number_of_annual_training_hours_per_employee</t>
  </si>
  <si>
    <t>Average number of annual training hours per employee</t>
  </si>
  <si>
    <t>Gennemsnitligt antal årlige uddannelsestimer pr. ansat</t>
  </si>
  <si>
    <t>Gemiddeld aantal jaarlijkse trainingsuren per werknemer</t>
  </si>
  <si>
    <t>Nombre moyen d’heures de formation annuelles par salarié</t>
  </si>
  <si>
    <t>Durchschnittliche Anzahl der jährlichen Schulungsstunden je Beschäftigtem</t>
  </si>
  <si>
    <t>Meánlíon uaireanta oiliúna bliantúla in aghaidh an fhostaí</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</si>
  <si>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</si>
  <si>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</si>
  <si>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</si>
  <si>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</si>
  <si>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Povprečno število letnih ur usposabljanja na zaposlenega</t>
  </si>
  <si>
    <t>Número medio anual de horas de formación por empleado</t>
  </si>
  <si>
    <t>template_label_c5_additional_workforce_characteristics</t>
  </si>
  <si>
    <t>C5 – Supplerende (generelle) oplysninger om arbejdsstyrken</t>
  </si>
  <si>
    <t>C5 – Aanvullende (algemene) kenmerken van het personeelsbestand</t>
  </si>
  <si>
    <t>C5 – Zusätzliche (allgemeine) Merkmale der Arbeitskräfte</t>
  </si>
  <si>
    <t>Saintréithe breise (ginearálta) den lucht saothair</t>
  </si>
  <si>
    <t>C5 - Papildomi (bendrieji) darbo jėgos rodikliai</t>
  </si>
  <si>
    <t>C5 – Características adicionais (gerais) da mão-de-obra</t>
  </si>
  <si>
    <t>C5 – Dodatne (splošne) značilnosti delovne sile</t>
  </si>
  <si>
    <t>template_label_number_of_employees_who_left_during_the_reporting_period</t>
  </si>
  <si>
    <t>Number of employees who left during the reporting period (in headcount)</t>
  </si>
  <si>
    <t>Antal ansatte, der fratrådte i løbet af rapporteringsperioden</t>
  </si>
  <si>
    <t>Aantal vertrokken werknemers  gedurende de rapportageperiode</t>
  </si>
  <si>
    <t>Nombre de salariés ayant quitté l'entreprise pendant la période de reporting</t>
  </si>
  <si>
    <t>Anzahl der Beschäftigten, die während des Berichtszeitraums aus dem Unternehmen ausgeschieden sind</t>
  </si>
  <si>
    <t>Líon na bhfostaithe a d'fhág le linn na tréimhse tuairiscithe</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</si>
  <si>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</si>
  <si>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</si>
  <si>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</si>
  <si>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</si>
  <si>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Število zaposlenih, ki so odšli v obdobju poročanja</t>
  </si>
  <si>
    <t>Número de empleados que abandonaron durante el periodo de referencia</t>
  </si>
  <si>
    <t>template_label_number_of_employees_at_the_beginning_of_the_reporting_period</t>
  </si>
  <si>
    <t>Number of employees at the beginning of the reporting period (in headcount)</t>
  </si>
  <si>
    <t>Antal ansatte ved begyndelsen af rapporteringsperioden</t>
  </si>
  <si>
    <t>Aantal werknemers aan het begin van de rapportageperiode</t>
  </si>
  <si>
    <t>Nombre de salariés au début de la période de reporting</t>
  </si>
  <si>
    <t>Anzahl der Beschäftigten zu Beginn des Berichtszeitraums</t>
  </si>
  <si>
    <t>Líon na bhfostaithe ag tús na tréimhse tuairiscithe</t>
  </si>
  <si>
    <t>Numero di dipendenti all'inizio dell'anno di riferimento</t>
  </si>
  <si>
    <t>Darbuotojų skaičius ataskaitinio laikotarpio pradžioje</t>
  </si>
  <si>
    <t>Liczba pracowników na początku okresu sprawozdawczego</t>
  </si>
  <si>
    <t>Número de trabalhadores no início do período de relato</t>
  </si>
  <si>
    <t>Število zaposlenih na začetku poročevalskega obdobja</t>
  </si>
  <si>
    <t>Número de empleados al inicio del período de informe</t>
  </si>
  <si>
    <t>template_label_number_of_employees_at_the_end_of_the_reporting_period</t>
  </si>
  <si>
    <t>Number of employees at the end of the reporting period (in headcount)</t>
  </si>
  <si>
    <t>Antal ansatte ved udgangen af rapporteringsperioden</t>
  </si>
  <si>
    <t xml:space="preserve">Aantal werknemers aan het einde van de rapportageperiode </t>
  </si>
  <si>
    <t>Nombre de salariés à la fin de la période de reporting</t>
  </si>
  <si>
    <t>Anzahl der Beschäftigten am Ende des Berichtszeitraums</t>
  </si>
  <si>
    <t>Líon na bhfostaithe ag deireadh na tréimhse tuairiscithe</t>
  </si>
  <si>
    <t>Numero di dipendenti alla fine dell'anno di riferimento</t>
  </si>
  <si>
    <t>Darbuotojų skaičius ataskaitinio laikotarpio pabaigoje</t>
  </si>
  <si>
    <t>Liczba pracowników na koniec okresu sprawozdawczego</t>
  </si>
  <si>
    <t>Número de trabalhadores no final do período de relato</t>
  </si>
  <si>
    <t>Število zaposlenih ob koncu poročevalskega obdobja</t>
  </si>
  <si>
    <t>Número de empleados al final del período de reporte</t>
  </si>
  <si>
    <t>template_label_employee_turnover_rate_in_the_reporting_period</t>
  </si>
  <si>
    <t>Employee turnover rate [%]  in the reporting period</t>
  </si>
  <si>
    <t>Medarbejderomsætningsrate [%] i rapporteringsperioden</t>
  </si>
  <si>
    <t xml:space="preserve">Werknemersverlooppercentage [%] gedurende de rapportageperiode 
</t>
  </si>
  <si>
    <t xml:space="preserve">Taux de rotation des salariés [%] pendant la période de reporting
</t>
  </si>
  <si>
    <t>Fluktuationsrate der Beschäftigten [%] im Berichtszeitraum</t>
  </si>
  <si>
    <t>Ráta láimhdeachais fostaithe [%] sa tréimhse tuairiscithe</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</si>
  <si>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</si>
  <si>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</si>
  <si>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</si>
  <si>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</si>
  <si>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Stopnja fluktuacije zaposlenih [%] v poročevalskem obdobju</t>
  </si>
  <si>
    <t>Tasa de rotación de empleados [%] durante el período de informe</t>
  </si>
  <si>
    <t>template_label_number_of_male_employees_at_management_level</t>
  </si>
  <si>
    <t>Number of male employees at management level</t>
  </si>
  <si>
    <t>Antal mandlige ansatte på ledelsesniveau</t>
  </si>
  <si>
    <t>Aantal mannelijke werknemers op managementniveau</t>
  </si>
  <si>
    <t>Nombre de salariés hommes au niveau de la direction</t>
  </si>
  <si>
    <t>Anzahl männlicher Beschäftigter auf Führungsebene</t>
  </si>
  <si>
    <t>Líon na bhfostaithe fireann ag leibhéal bainistíochta</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</si>
  <si>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</si>
  <si>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</si>
  <si>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</si>
  <si>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</si>
  <si>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Število moških zaposlenih na vodstveni ravni</t>
  </si>
  <si>
    <t>Número de empleados masculinos a nivel directivo</t>
  </si>
  <si>
    <t>template_label_number_of_female_employees_at_management_level</t>
  </si>
  <si>
    <t>Number of female employees at management level</t>
  </si>
  <si>
    <t>Antal kvindelige ansatte på ledelsesniveau</t>
  </si>
  <si>
    <t>Aantal vrouwelijke werknemers op managementniveau</t>
  </si>
  <si>
    <t>Nombre de salariés femmes au niveau de la direction</t>
  </si>
  <si>
    <t>Anzahl weiblicher Beschäftigter auf Führungsebene</t>
  </si>
  <si>
    <t>Líon na bhfostaithe ban ag leibhéal na bainistíochta</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</si>
  <si>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</si>
  <si>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</si>
  <si>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</si>
  <si>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</si>
  <si>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Število zaposlenih žensk na vodstveni ravni</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</si>
  <si>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</si>
  <si>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</si>
  <si>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</si>
  <si>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</si>
  <si>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Verhouding vrouw-man op managementniveau  tijdens de rapportageperiode</t>
  </si>
  <si>
    <t>Ratio femmes/hommes au niveau de la direction pour la période de reporting</t>
  </si>
  <si>
    <t>Verhältnis weiblicher zu männlicher Beschäftiger auf Führungsebene im Berichtszeitraum</t>
  </si>
  <si>
    <t>Cóimheas idir mná agus fir ar an leibhéal bainistíochta don tréimhse tuairiscithe</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</si>
  <si>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</si>
  <si>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</si>
  <si>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</si>
  <si>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</si>
  <si>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Razmerje med ženskami in moškimi na vodstveni ravni za obdobje poročanja</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</si>
  <si>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</si>
  <si>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</si>
  <si>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</si>
  <si>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</si>
  <si>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Totaal aantal zelfstandigen zonder personeel dat uitsluitend voor de onderneming werkt</t>
  </si>
  <si>
    <t>Total des travailleurs indépendants sans personnel qui travaillent exclusivement pour l’entreprise</t>
  </si>
  <si>
    <t>Gesamtanzahl der Selbstständigen, die ausschließlich für das Unternehmen tätig sind und kein eigenes Personal haben</t>
  </si>
  <si>
    <t>An líon daoine féinfhostaithe gan pearsanra atá ag obair go heisiach don ghnóthas</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</si>
  <si>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</si>
  <si>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</si>
  <si>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</si>
  <si>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</si>
  <si>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Skupno število samozaposlenih brez osebja, ki delajo izključno za podjetje</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</si>
  <si>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</si>
  <si>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</si>
  <si>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</si>
  <si>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</si>
  <si>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Totaal aantal tijdelijke arbeidskrachten, uitgezonden door ondernemingen die zich voornamelijk bezighouden met arbeidsbemiddeling en uitzendactiviteiten</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</si>
  <si>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</si>
  <si>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</si>
  <si>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An líon iomlán oibrithe sealadacha arna gcur ar fáil ag gnóthais a bhíonn páirteach go príomha i ngníomhaíochtaí fostaíochta</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</si>
  <si>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</si>
  <si>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</si>
  <si>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</si>
  <si>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</si>
  <si>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Skupno število začasnih delavcev, ki jih zagotavljajo podjetja, ki se ukvarjajo predvsem z zaposlitvenimi dejavnostmi</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</si>
  <si>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</si>
  <si>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</si>
  <si>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</si>
  <si>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Aanvullende informatie eigen personeel - Mensenrechtelijke beleidslijnen en processen</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</si>
  <si>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</si>
  <si>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</si>
  <si>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Faisnéis bhreise maidir lena lucht saothair féin - Beartais agus próisis um chearta an duine</t>
  </si>
  <si>
    <t>C6 – Altre informazioni sulla forza lavoro propria – Politiche e procedure in materia di diritti umani</t>
  </si>
  <si>
    <t>C6 – Papildoma savos darbo jėgos informacija – Žmogaus teisių politika ir procesai</t>
  </si>
  <si>
    <t>C6 – Informações adicionais sobre a própria mão-de-obra — Políticas e processos em matéria de direitos humanos</t>
  </si>
  <si>
    <t>C6 - Dodatne informacije o lastni delovni sili – politike in postopki na področju človekovih pravic</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</si>
  <si>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</si>
  <si>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</si>
  <si>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</si>
  <si>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Beschikt de onderneming over een gedragscode of een mensenrechtenbeleid voor haar eigen personeel?</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</si>
  <si>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</si>
  <si>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</si>
  <si>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An bhfuil cód iompair nó beartas um chearta an duine ag an ngnóthas dá lucht saothair féin?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</si>
  <si>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</si>
  <si>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</si>
  <si>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</si>
  <si>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</si>
  <si>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 xml:space="preserve">Ali ima podjetje kodeks ravnanja oziroma politiko za področje človekovih pravic za lastno delovno silo? </t>
  </si>
  <si>
    <t>¿Dispone la empresa de un código de conducta o de una política de derechos humanos para su personal propio?</t>
  </si>
  <si>
    <t>template_label_if_yes_does_this_cover</t>
  </si>
  <si>
    <t>If yes does this cover:</t>
  </si>
  <si>
    <t xml:space="preserve">Hvis ja, dækker det: </t>
  </si>
  <si>
    <t>Indien ja, dekt dit het volgende:</t>
  </si>
  <si>
    <t>Si oui, cela couvre-t-il :</t>
  </si>
  <si>
    <t>Falls ja, sind folgende Aspekte abgedeckt:</t>
  </si>
  <si>
    <t xml:space="preserve"> </t>
  </si>
  <si>
    <t>In caso affermativo, questo riguarda:</t>
  </si>
  <si>
    <t>Jei taip, ar tai apima:</t>
  </si>
  <si>
    <t>Jeśli tak, czy dokumenty te obejmują takie kwestie jak:</t>
  </si>
  <si>
    <t>Se sim, isso cobre:</t>
  </si>
  <si>
    <t>Če je odgovor pritrdilen, ali to zajema:</t>
  </si>
  <si>
    <t>Si es así, ¿cubriría esto:}</t>
  </si>
  <si>
    <t>template_label_child_labour</t>
  </si>
  <si>
    <t>child labour</t>
  </si>
  <si>
    <t>børnearbejde</t>
  </si>
  <si>
    <t>kinderarbeid</t>
  </si>
  <si>
    <t>travail des enfants</t>
  </si>
  <si>
    <t>Kinderarbeit</t>
  </si>
  <si>
    <t>Saothar leanaí</t>
  </si>
  <si>
    <t>Lavoro minorile</t>
  </si>
  <si>
    <t>Vaikų darbas</t>
  </si>
  <si>
    <t>praca dzieci</t>
  </si>
  <si>
    <t>trabalho infantil</t>
  </si>
  <si>
    <t>otroško delo</t>
  </si>
  <si>
    <t>trabajo infantil</t>
  </si>
  <si>
    <t>template_label_forced_labour</t>
  </si>
  <si>
    <t>forced labour</t>
  </si>
  <si>
    <t>tvangsarbejde</t>
  </si>
  <si>
    <t>dwangarbeid</t>
  </si>
  <si>
    <t>travail forcé</t>
  </si>
  <si>
    <t>Zwangsarbeit</t>
  </si>
  <si>
    <t>Saothar éignithe</t>
  </si>
  <si>
    <t>Lavoro forzato</t>
  </si>
  <si>
    <t>priverstinis darbas</t>
  </si>
  <si>
    <t>praca przymusowa</t>
  </si>
  <si>
    <t>trabalho forçado</t>
  </si>
  <si>
    <t>prisilno delo</t>
  </si>
  <si>
    <t>trabajo forzoso</t>
  </si>
  <si>
    <t>template_label_human_trafficking</t>
  </si>
  <si>
    <t>human trafficking</t>
  </si>
  <si>
    <t>Menneskehandel</t>
  </si>
  <si>
    <t>mensenhandel</t>
  </si>
  <si>
    <t>la traite des êtres humains</t>
  </si>
  <si>
    <t>Menschenhandel</t>
  </si>
  <si>
    <t>Gáinneáil ar Dhaoine</t>
  </si>
  <si>
    <t>tratta di esseri umani</t>
  </si>
  <si>
    <t>prekyba žmonėmis</t>
  </si>
  <si>
    <t>handel ludźmi</t>
  </si>
  <si>
    <t>tráfico de seres humanos</t>
  </si>
  <si>
    <t>trgovina z ljudmi</t>
  </si>
  <si>
    <t>trata de seres humanos</t>
  </si>
  <si>
    <t>template_label_discrimination</t>
  </si>
  <si>
    <t>discrimination</t>
  </si>
  <si>
    <t>Forskelsbehandling</t>
  </si>
  <si>
    <t>discriminatie</t>
  </si>
  <si>
    <t>Diskriminierung</t>
  </si>
  <si>
    <t>idirdhealú</t>
  </si>
  <si>
    <t>discriminazione</t>
  </si>
  <si>
    <t>diskriminacija</t>
  </si>
  <si>
    <t>dyskryminacja</t>
  </si>
  <si>
    <t>discriminação</t>
  </si>
  <si>
    <t>discriminación</t>
  </si>
  <si>
    <t>template_label_accident_prevention</t>
  </si>
  <si>
    <t>accident prevention</t>
  </si>
  <si>
    <t xml:space="preserve">Sikkerhed og forebyggelse af ulykker </t>
  </si>
  <si>
    <t>• ongevallenpreventie</t>
  </si>
  <si>
    <t>prévention des accidents</t>
  </si>
  <si>
    <t>Unfallverhütung</t>
  </si>
  <si>
    <t>timpistí a chosc</t>
  </si>
  <si>
    <t>Prevenzione degli infortuni</t>
  </si>
  <si>
    <t>nelaimingų atsitikimų prevencija</t>
  </si>
  <si>
    <t>zapobieganie wypadkom</t>
  </si>
  <si>
    <t>prevenção de acidentes</t>
  </si>
  <si>
    <t>preprečevanje nesreč</t>
  </si>
  <si>
    <t>prevención de accidentes</t>
  </si>
  <si>
    <t>template_label_other_if_yes_specify</t>
  </si>
  <si>
    <t>other? ( if yes specify)</t>
  </si>
  <si>
    <t>Andre? (hvis ja, angiv nærmere)</t>
  </si>
  <si>
    <t>"anders? (indien ja,  specificeer)"</t>
  </si>
  <si>
    <t>autre ? (si oui, veuillez préciser)</t>
  </si>
  <si>
    <t>Sonstige? (JA/NEIN – falls ja, ausführen)</t>
  </si>
  <si>
    <t>eile? ( má tá, sonraigh é)</t>
  </si>
  <si>
    <t>altro? (se sì, precisare)</t>
  </si>
  <si>
    <t>kita? (TAIP/NE; jei taip, nurodykite)</t>
  </si>
  <si>
    <t>inne kwestie? (TAK/NIE – jeśli tak, jakie?)</t>
  </si>
  <si>
    <t>outros? (SIM/NÃO — em caso afirmativo, especificar)</t>
  </si>
  <si>
    <t>drugo? (če da, navedite)</t>
  </si>
  <si>
    <t>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</si>
  <si>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</si>
  <si>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</si>
  <si>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</si>
  <si>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Specificeer andere soorten inhoud die worden gedekt door de gedragscode of het mensenrechtenbeleid</t>
  </si>
  <si>
    <t>Spécifiez d'autres types de contenus couverts par le code de conduite ou la politique en matière de droits de l'homme</t>
  </si>
  <si>
    <t>Führen Sie sonstige Inhalte an, die vom Verhaltenskodex oder von Richtlinien für die Achtung der Menschenrechte abgedeckt sind</t>
  </si>
  <si>
    <t>Sonraigh cineálacha eile ábhair a chumhdaítear leis an gcód iompair nó leis an mbeartas um chearta an duine</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</si>
  <si>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</si>
  <si>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</si>
  <si>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</si>
  <si>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</si>
  <si>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Navedite druge vrste vsebin, ki jih zajema kodeks ravnanja ali politika človekovih pravic</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</si>
  <si>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</si>
  <si>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</si>
  <si>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</si>
  <si>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</si>
  <si>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Beschikt de onderneming over een klachtenafhandelingsmechanisme voor haar eigen personeel?</t>
  </si>
  <si>
    <t>L’entreprise dispose-t-elle d’un mécanisme de traitement des plaintes pour son personnel ? </t>
  </si>
  <si>
    <t>Verfügt das Unternehmen über ein Verfahren zur Bearbeitung von Beschwerden der eigenen Arbeitskräfte?</t>
  </si>
  <si>
    <t>An bhfuil sásra láimhseála gearán ag an ngnóthas dá lucht saothair féin?</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</si>
  <si>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</si>
  <si>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</si>
  <si>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</si>
  <si>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</si>
  <si>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Ali ima podjetje mehanizem za obravnavo pritožb za svoje zaposlene?</t>
  </si>
  <si>
    <t>¿Dispone la empresa de un mecanismo de gestión de reclamaciones para su personal propio?</t>
  </si>
  <si>
    <t>template_label_c7_human_rights_incidents</t>
  </si>
  <si>
    <t>C7 – Ernstige negatieve incidenten met betrekking tot mensenrechten</t>
  </si>
  <si>
    <t>C7 –   Schwerwiegende Vorfälle im Zusammenhang mit Menschenrechten</t>
  </si>
  <si>
    <t>C7 – Teagmhais ghéara do chearta an duine</t>
  </si>
  <si>
    <t>C7 – Incidenti gravi in materia di diritti umani</t>
  </si>
  <si>
    <t>C7 – Sunkūs neigiami žmogaus teisių pažeidimų atvejai</t>
  </si>
  <si>
    <t>C7 – Incidentes negativos graves em matéria de direitos humanos</t>
  </si>
  <si>
    <t>C7 – Resni incidenti v zvezi s človekovimi pravicami</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</si>
  <si>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</si>
  <si>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</si>
  <si>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</si>
  <si>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</si>
  <si>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Heeft de onderneming bevestigde incidenten  in haar eigen personeelsbestand?</t>
  </si>
  <si>
    <t>L'entreprise a-t-elle des incidents confirmés au sein de son personnel ?</t>
  </si>
  <si>
    <t>Sind unter den Arbeitskräften des Unternehmens bestätigte Vorfälle im Zusammenhang mit Menschenrechten aufgetreten?</t>
  </si>
  <si>
    <t>An bhfuil teagmhais dheimhnithe ag an ngnóthas dá lucht saothair féin?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</si>
  <si>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</si>
  <si>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</si>
  <si>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</si>
  <si>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</si>
  <si>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Ali ima je podjetje potrdilo incidente pri lastni delovni sili?</t>
  </si>
  <si>
    <t>¿Ha confirmado la empresa incidentes entre su personal propio?</t>
  </si>
  <si>
    <t>template_label_if_yes_are_incidents_related_to</t>
  </si>
  <si>
    <t>If yes are incidents related to:</t>
  </si>
  <si>
    <t>Hvis ja, er hændelserne relateret til:</t>
  </si>
  <si>
    <t>Indien ja, zijn de incidenten gerelateerd aan:</t>
  </si>
  <si>
    <t>Si oui, les incidents sont-ils liés à :</t>
  </si>
  <si>
    <t>Falls ja, beziehen sich die Vorfälle auf:</t>
  </si>
  <si>
    <t>Má tá, an bhainneann na teagmhais le:</t>
  </si>
  <si>
    <t>In caso affermativo, gli incidenti sono correlati a:</t>
  </si>
  <si>
    <t>Jei taip, ar incidentai susiję su:</t>
  </si>
  <si>
    <t>Jeżeli tak, czy incydenty są związane z:</t>
  </si>
  <si>
    <t>Se sim, os incidentes estão relacionados com:</t>
  </si>
  <si>
    <t>Če je odgovor pritrdilen, so incidenti povezani z:</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</si>
  <si>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</si>
  <si>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</si>
  <si>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</si>
  <si>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</si>
  <si>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Specificeer andere mensenrechten die verband houden met de bevestigde incidenten</t>
  </si>
  <si>
    <t>Spécifiez d'autres droits de l’homme liés aux incidents confirmés</t>
  </si>
  <si>
    <t>Geben Sie sonstige im Zusammenhang mit den bestätigten Vorfällen stehende Menschenrechte an</t>
  </si>
  <si>
    <t>Sonraigh cearta daonna eile a bhaineann leis na heachtraí deimhnithe</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</si>
  <si>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</si>
  <si>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</si>
  <si>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</si>
  <si>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</si>
  <si>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Navedite druge človekove pravice, povezane s potrjenimi incidenti</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</si>
  <si>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</si>
  <si>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</si>
  <si>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</si>
  <si>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</si>
  <si>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Beschrijving van de acties die zijn ondernomen om de bevestigde incidenten aan te pakken</t>
  </si>
  <si>
    <t>Description des actions mises en œuvre pour gérer les incidents confirmés</t>
  </si>
  <si>
    <t>Beschreibung der Maßnahmen zur Behebung der bestätigten Vorfälle</t>
  </si>
  <si>
    <t>Cur síos ar na gníomhartha a rinneadh chun aghaidh a thabhairt ar na teagmhais dheimhnithe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</si>
  <si>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</si>
  <si>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</si>
  <si>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</si>
  <si>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</si>
  <si>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Opis ukrepov, sprejetih za obravnavo potrjenih incidentov</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</si>
  <si>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</si>
  <si>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</si>
  <si>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 identified in the reporting period?</t>
  </si>
  <si>
    <t>Er virksomheden bekendt med bekræftede hændelser, der involverer arbejdstagere i værdikæden, berørte samfund, forbrugere og slutbrugere?</t>
  </si>
  <si>
    <t>Is het ondernemingsbestuur op de hoogte van bevestigde incidenten waarbij werknemers in de waardeketen, getroffen gemeenschappen, consumenten en eindgebruikers betrokken zijn?</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</si>
  <si>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</si>
  <si>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</si>
  <si>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An feasach don ghnóthas faoi aon teagmhas deimhnithe a bhain le hoibrithe sa slabhra luacha, pobail dá ndéantar difear, tomhaltóirí agus úsáideoirí deiridh?</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</si>
  <si>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</si>
  <si>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</si>
  <si>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</si>
  <si>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</si>
  <si>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Ali je podjetje seznanjeno s kakršnimi koli potrjenimi incidenti, v katere so vpleteni delavci v vrednostni verigi, prizadete skupnosti, ali potrošniki in končni uporabniki?</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</si>
  <si>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</si>
  <si>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</si>
  <si>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identified in the reporitng period involving workers in the value chain affected communities consumers and end-users</t>
  </si>
  <si>
    <t>Specifikation af enhver bekræftet hændelse, der involverer arbejdstagere i værdikæden, berørte lokalsamfund, forbrugere og slutbrugere</t>
  </si>
  <si>
    <t>Specificatie van elk bevestigd incident waarbij werknemers in de waardeketen, getroffen gemeenschappen, consumenten en eindgebruikers betrokken zijn</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</si>
  <si>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</si>
  <si>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</si>
  <si>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Sonraíocht aon teagmhais dheimhnithe a bhaineann le hoibrithe sa slabhra luacha a bhfuil tionchar acu ar phobail, tomhaltóirí agus úsáideoirí deiridh</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</si>
  <si>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</si>
  <si>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</si>
  <si>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</si>
  <si>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</si>
  <si>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Specifikacija vseh potrjenih incidentov, v katere so vpleteni delavci v vrednostni verigi, prizadete skupnosti, ali potrošniki in končni uporabniki?</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</si>
  <si>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</si>
  <si>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</si>
  <si>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and/or entity specific social disclosures</t>
  </si>
  <si>
    <t>Oplysninger om andre sociale og/eller virksomhedsspecifikke sociale oplysninger</t>
  </si>
  <si>
    <t xml:space="preserve">
 Rapportage van andere sociale en/of entiteitspecifieke sociale rapportages</t>
  </si>
  <si>
    <t>Publication de toute autre information sociale et/ ou spécifique à l'entité</t>
  </si>
  <si>
    <t>Angabe weiterer sozialer und/oder unternehmensspezifischer sozialer Angaben</t>
  </si>
  <si>
    <t>Nochtadh aon nochtaí sóisialta eile agus/nó sóisialta sonrach don ghnóthas</t>
  </si>
  <si>
    <t>Comunicazione di qualsiasi altra informativa sociale e/o specifica per soggetto</t>
  </si>
  <si>
    <t>Bet kokios kitos socialinės ir/ar įmonės specifinės socialinės informacijos atskleidimas</t>
  </si>
  <si>
    <t>Ujawnienie wszelkich innych ujawnień społecznych i/lub specyficznych dla jednostki ujawnień społecznych</t>
  </si>
  <si>
    <t>Divulgação de quaisquer outras informações de natureza social e/ou divulgações específicas de natureza social da empresa</t>
  </si>
  <si>
    <t>Razkritje vseh drugih družbenih in/ali za podjetje specifičnih družbenih razkritij</t>
  </si>
  <si>
    <t>Divulgación de cualquier otra información social y/o divulgaciones sociales específicas de la entidad</t>
  </si>
  <si>
    <t>template_label_b11_convictions_and_fines_for_corruption_and_bribery</t>
  </si>
  <si>
    <t xml:space="preserve">B11 – Veroordelingen en boetes voor corruptie en omkoping
</t>
  </si>
  <si>
    <t>B11 – Verurteilungen und Geldstrafen wegen Korruption und Bestechung</t>
  </si>
  <si>
    <t>B11 – Ciontuithe agus fíneálacha mar gheall ar éilliú agus breabaireacht</t>
  </si>
  <si>
    <t>B11 – Condanne e ammende per corruzione attiva e passiva</t>
  </si>
  <si>
    <t>B11 – Nuosprendžiai ir baudos už korupciją ir kyšininkavimą</t>
  </si>
  <si>
    <t>B11 – Condenações e multas por corrupção e suborno</t>
  </si>
  <si>
    <t>B11 – Obsodbe in globe za korupcijo in podkupovanje</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</si>
  <si>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</si>
  <si>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</si>
  <si>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</si>
  <si>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</si>
  <si>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Heeft de onderneming in de verslagperiode veroordelingen en boetes opgelopen?</t>
  </si>
  <si>
    <t>L'entreprise a-t-elle fait l'objet de condamnations et d'amendes au cours de la période de reporting ?</t>
  </si>
  <si>
    <t>Sind gegen das Unternehmen im Berichtszeitraum Verurteilungen erfolgt oder Geldstrafen verhängt worden?</t>
  </si>
  <si>
    <t>An ndearnadh ciontuithe agus fíneálacha ar an ngealltanas sa tréimhse tuairiscithe?</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</si>
  <si>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</si>
  <si>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</si>
  <si>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</si>
  <si>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</si>
  <si>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Ali je podjetje v poročevalskem obdobju utrpelo obsodbe in globe?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</si>
  <si>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</si>
  <si>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</si>
  <si>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</si>
  <si>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</si>
  <si>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 xml:space="preserve">Totaal aantal veroordelingen voor overtreding van de anti-corruptie- en anti-omkopingswetten
</t>
  </si>
  <si>
    <t>Nombre total de condamnations pour infraction à la législation sur la lutte contre la corruption et les actes de corruption</t>
  </si>
  <si>
    <t>Gesamtzahl der Verurteilungen wegen Verstößen gegen Rechtsvorschriften zur Bekämpfung von Korruption und Bestechung</t>
  </si>
  <si>
    <t>Líon iomlán na gciontuithe as sárú dlíthe frith-éillithe agus frith-bhreabaireachta</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</si>
  <si>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</si>
  <si>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</si>
  <si>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</si>
  <si>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</si>
  <si>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Skupno število obsodb zaradi kršitev zakonodaje o proti-korupciji in podkupovanju</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</si>
  <si>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</si>
  <si>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</si>
  <si>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</si>
  <si>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</si>
  <si>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 xml:space="preserve">Totaalbedrag aan boetes voor overtreding van anti-corruptie- en anti-omkopingswetten
</t>
  </si>
  <si>
    <t>Montant total des amendes pour infraction à la législation sur la lutte contre la corruption et les actes de corruption</t>
  </si>
  <si>
    <t>Gesamtbetrag der Geldstrafen wegen Verstößen gegen Rechtsvorschriften zur Bekämpfung von Korruption und Bestechung</t>
  </si>
  <si>
    <t>Méid iomlán na bhfíneálacha as sárú ar dhlíthe frith-éillithe agus frith-bhreabaireachta</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</si>
  <si>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</si>
  <si>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</si>
  <si>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</si>
  <si>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</si>
  <si>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Skupni znesek glob za kršitve zakonodaje o korupciji in podkupovanju</t>
  </si>
  <si>
    <t>Importe total de las multas por infringir las leyes anticorrupción y antisoborno.</t>
  </si>
  <si>
    <t>template_label_c8_revenues_from_certain_sectors</t>
  </si>
  <si>
    <t>C8 – Indtægter fra bestemte aktiviteter</t>
  </si>
  <si>
    <t>C8 — Ontvangsten uit bepaalde activiteiten</t>
  </si>
  <si>
    <t>C8 – Chiffre d’affaires de certains secteurs</t>
  </si>
  <si>
    <t>C8 – Umsatzerlöse aus bestimmten Tätigkeiten</t>
  </si>
  <si>
    <t>C8 – Ioncam ó ghníomhaíochtaí áirithe</t>
  </si>
  <si>
    <t>C8 – Ricavi da determinate attività</t>
  </si>
  <si>
    <t>C8 – Pajamos iš tam tikrų veiklų</t>
  </si>
  <si>
    <t>C8 – Przychody z niektórych rodzajów działalności</t>
  </si>
  <si>
    <t>C8 – Rédito de determinadas atividades</t>
  </si>
  <si>
    <t>C8 – Prihodki od nekaterih dejavnosti</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</si>
  <si>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</si>
  <si>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</si>
  <si>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</si>
  <si>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</si>
  <si>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 xml:space="preserve"> Verkrijgt de onderneming inkomsten  uit een van de hieronder vermelde activiteiten?</t>
  </si>
  <si>
    <t>L’entreprise réalise-t-elle des revenus à partir de l’une des activités listées ci-dessous ?</t>
  </si>
  <si>
    <t>Erzielt das Unternehmen Umsatzerlöse aus einer der unten aufgeführten Tätigkeiten?</t>
  </si>
  <si>
    <t>An bhfuil ioncam á fháil ag an ngnóthas ó cheann de na gníomhaíochtaí atá liostaithe thíos?</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</si>
  <si>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</si>
  <si>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</si>
  <si>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</si>
  <si>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</si>
  <si>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Ali podjetje ustvarja prihodke iz ene od spodaj naštetih dejavnosti?</t>
  </si>
  <si>
    <t>¿La empresa obtiene ingresos de una de las actividades enumeradas a continuación?</t>
  </si>
  <si>
    <t>template_label_monetary_amount_in</t>
  </si>
  <si>
    <t>Monetary amount in</t>
  </si>
  <si>
    <t>Monetært beløb i</t>
  </si>
  <si>
    <t>Monetair bedrag in</t>
  </si>
  <si>
    <t>Montant monétaire en</t>
  </si>
  <si>
    <t>An tsuim airgeadaíochta i</t>
  </si>
  <si>
    <t>Importo monetario in</t>
  </si>
  <si>
    <t>Piniginė suma (Eurais)</t>
  </si>
  <si>
    <t>Kwota pieniężna w</t>
  </si>
  <si>
    <t>Montante monetário em</t>
  </si>
  <si>
    <t>Denarni znesek v</t>
  </si>
  <si>
    <t>Importe monetario en</t>
  </si>
  <si>
    <t>template_label_revenue_derived_from_the_prohibited_weapons_industry</t>
  </si>
  <si>
    <t>Revenue derived from the prohibited weapons industry (anti-personnel mines, cluster munitions, chemical weapons and biological weapons)</t>
  </si>
  <si>
    <t>Indtægter fra kontroversielle våben (personelminer, klyngeammunition, kemiske våben og biologiske våben)</t>
  </si>
  <si>
    <t>Omzet afkomstig van controversiële wapens (antipersoonsmijnen, clustermunitie, chemische wapens en biologische wapens)</t>
  </si>
  <si>
    <t>Chiffre d'affaires réalisé à partir des armes controversées (mines antipersonnel, armes à sous-munitions, armes chimiques et armes biologiques)</t>
  </si>
  <si>
    <t>Umsatzerlöse aus umstrittenen Waffen (Antipersonenminen, Streumunition, chemische und biologische Waffen)</t>
  </si>
  <si>
    <t>Ioncam a fhaightear ó airm chonspóideacha (mianaigh frithphearsanra, cnuas-mhuinisin, airm cheimiceacha agus airm bhitheolaíocha)</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</si>
  <si>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</si>
  <si>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</si>
  <si>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</si>
  <si>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</si>
  <si>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Prihodki od spornega orožja (protipehotne mine, kasetno strelivo, kemično orožje in biološko orožje)</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</si>
  <si>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</si>
  <si>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</si>
  <si>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</si>
  <si>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</si>
  <si>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 xml:space="preserve">Inkomsten  uit de teelt en productie van tabak
</t>
  </si>
  <si>
    <t>Chiffre d'affaires réalisé à partir de la culture et la production de tabac</t>
  </si>
  <si>
    <t>Umsatzerlöse aus dem Anbau und der Produktion von Tabak</t>
  </si>
  <si>
    <t>Ioncam a fhaightear ó shaothrú agus ó tháirgeadh tobac</t>
  </si>
  <si>
    <t>Ricavi derivanti dalla coltivazione e produzione di tabacco</t>
  </si>
  <si>
    <t xml:space="preserve">Pajamos, gautos iš tabako auginimo ir gamybos
</t>
  </si>
  <si>
    <t>Przychody z uprawy i produkcji tytoniu</t>
  </si>
  <si>
    <t>Rédito proveniente do cultivo e produção de tabaco</t>
  </si>
  <si>
    <t>Prihodki od gojenja in proizvodnje tobaka</t>
  </si>
  <si>
    <t>Ingresos derivados del cultivo y la producción de tabaco</t>
  </si>
  <si>
    <t>template_label_revenue_derived_from_coal</t>
  </si>
  <si>
    <t>Revenue derived from coal</t>
  </si>
  <si>
    <t xml:space="preserve">Indtægter fra fossile brændstoffer: Kul </t>
  </si>
  <si>
    <t xml:space="preserve"> Inkomsten uit kolen</t>
  </si>
  <si>
    <t>Chiffre d'affaires réalisé à partir du charbon</t>
  </si>
  <si>
    <t>Umsatzerlöse aus Kohle</t>
  </si>
  <si>
    <t>Ioncam ó ghual</t>
  </si>
  <si>
    <t>Ricavi derivanti dal carbone</t>
  </si>
  <si>
    <t>Pajamos iš anglių</t>
  </si>
  <si>
    <t>Przychody z węgla</t>
  </si>
  <si>
    <t>Rédito derivado do carvão</t>
  </si>
  <si>
    <t>Prihodki od premoga</t>
  </si>
  <si>
    <t>Ingresos derivados del carbón</t>
  </si>
  <si>
    <t>template_label_revenue_derived_from_oil</t>
  </si>
  <si>
    <t>Revenue derived from oil</t>
  </si>
  <si>
    <t>Indtægter fra fossile brændstoffer: Olie</t>
  </si>
  <si>
    <t xml:space="preserve"> Inkomsten uit olie</t>
  </si>
  <si>
    <t>Chiffre d'affaires réalisé à partir du pétrole</t>
  </si>
  <si>
    <t>Umsatzerlöse aus Erdöl</t>
  </si>
  <si>
    <t>Ioncam ó ola</t>
  </si>
  <si>
    <t>Ricavi derivanti dal petrolio</t>
  </si>
  <si>
    <t>Pajamos, gautos iš naftos</t>
  </si>
  <si>
    <t>Przychody z ropy naftowej</t>
  </si>
  <si>
    <t>Rédito derivado do petróleo</t>
  </si>
  <si>
    <t>Prihodki od nafte</t>
  </si>
  <si>
    <t>Ingresos derivados del petróleo</t>
  </si>
  <si>
    <t>template_label_revenue_derived_from_gas</t>
  </si>
  <si>
    <t>Revenue derived from gas</t>
  </si>
  <si>
    <t>Indtægter fra fossile brændstoffer: Gas</t>
  </si>
  <si>
    <t xml:space="preserve">Inkomsten uit gas
</t>
  </si>
  <si>
    <t>Chiffre d'affaires réalisé à partir du gaz</t>
  </si>
  <si>
    <t>Umsatzerlöse aus Erdgas</t>
  </si>
  <si>
    <t>Ioncam ó ghás</t>
  </si>
  <si>
    <t>Ricavi derivanti dal gas</t>
  </si>
  <si>
    <t>Pajamos, gautos iš dujų</t>
  </si>
  <si>
    <t>Przychody z gazu</t>
  </si>
  <si>
    <t>Rèdito derivado do gás</t>
  </si>
  <si>
    <t>Prihodki od plina</t>
  </si>
  <si>
    <t>Ingresos derivados del gas</t>
  </si>
  <si>
    <t>template_label_total_revenues_derived_from_fossil_fuel_sector</t>
  </si>
  <si>
    <t xml:space="preserve">Total revenues derived from the fossil fuel (coal oil and gas) sector </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</si>
  <si>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</si>
  <si>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</si>
  <si>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</si>
  <si>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</si>
  <si>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</si>
  <si>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</si>
  <si>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</si>
  <si>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</si>
  <si>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</si>
  <si>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Skupni prihodki iz sektorja fosilnih goriv (premog, nafta in plin) (tj. podjetje prejema prihodke od raziskovanja, rudarstva, pridobivanja, proizvodnje, predelave, skladiščenja, rafiniranja ali distribucije, vključno s prevozom, skladiščenjem in trgovino s fosilnimi gorivi, kot je opredeljeno v točki (62) člena 2 Uredbe (EU) 2018/1999 Evropskega parlamenta in Sveta)</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</si>
  <si>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</si>
  <si>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</si>
  <si>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</si>
  <si>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</si>
  <si>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 xml:space="preserve"> Inkomsten uit de productie van chemische stoffen</t>
  </si>
  <si>
    <t>Chiffre d'affaires réalisé à partir de la production de produits chimiques</t>
  </si>
  <si>
    <t>Umsatzerlöse aus der Herstellung von Chemikalien</t>
  </si>
  <si>
    <t>Ioncam a dhíorthaítear ó tháirgeadh ceimiceán</t>
  </si>
  <si>
    <t>Ricavi derivanti dalla produzione di sostanze chimiche</t>
  </si>
  <si>
    <t>Pajamos, gautos iš cheminių medžiagų gamybos</t>
  </si>
  <si>
    <t>Przychody z produkcji chemikaliów</t>
  </si>
  <si>
    <t>Rèdito derivado da produção de produtos químicos</t>
  </si>
  <si>
    <t>Prihodki od proizvodnje kemikalij</t>
  </si>
  <si>
    <t>Ingresos derivados de la producción de productos químicos</t>
  </si>
  <si>
    <t>template_label_none_of_the_above</t>
  </si>
  <si>
    <t>None of the above</t>
  </si>
  <si>
    <t>Ingen af de ovenstående</t>
  </si>
  <si>
    <t>Geen van bovenstaande</t>
  </si>
  <si>
    <t>Aucun des éléments ci-dessus</t>
  </si>
  <si>
    <t>Keine der oben genannten</t>
  </si>
  <si>
    <t>Ceann ar bith na rudaí thuas</t>
  </si>
  <si>
    <t xml:space="preserve">Nessuno dei precedenti 
</t>
  </si>
  <si>
    <t>Niekas iš aukščiau išvardytų</t>
  </si>
  <si>
    <t>żadne z powyższych</t>
  </si>
  <si>
    <t>Nenhum dos anteriores</t>
  </si>
  <si>
    <t>Nič od naštetega</t>
  </si>
  <si>
    <t>Ninguna de las anteriores</t>
  </si>
  <si>
    <t>template_label_c9_gender_diversity_ratio_in_the_governance_body</t>
  </si>
  <si>
    <t>C9 — Genderdiversiteitsverhouding in bestuursorgaan
Indien de onderneming over een bestuursorgaan beschikt, rapporteert de onderneming de daarmee verband houdende genderdiversiteitsverhouding.</t>
  </si>
  <si>
    <t>C9 – Geschlechtervielfalt im Leitungsorgan</t>
  </si>
  <si>
    <t>C9 – Cóimheas maidir le héagsúlacht inscne sa chomhlacht rialachais</t>
  </si>
  <si>
    <t>Diversità di genere nell'organo di governance</t>
  </si>
  <si>
    <t>C9 – Lyčių įvairovės santykis valdymo organe</t>
  </si>
  <si>
    <t>C9 – Wskaźnik zróżnicowania organu zarządzającego pod względem płci</t>
  </si>
  <si>
    <t>C9 – Proporção de diversidade de género no órgão de governação</t>
  </si>
  <si>
    <t>C9 – Razmerje med spoloma v organu upravljanja</t>
  </si>
  <si>
    <t>template_label_does_the_undertaking_have_a_governance_body_in_place</t>
  </si>
  <si>
    <t>Does the undertaking have a governance body in place?</t>
  </si>
  <si>
    <t xml:space="preserve">Har virksomheden et ledelsesorgan? </t>
  </si>
  <si>
    <t>Beschikt de onderneming over een bestuursorgaan?</t>
  </si>
  <si>
    <t>L'entreprise dispose-t-elle d'un organe de gouvernance ?</t>
  </si>
  <si>
    <t>Verfügt das Unternehmen über ein Leitungsorgan?</t>
  </si>
  <si>
    <t>An bhfuil comhlacht rialachais i bhfeidhm ag an ngnóthas?</t>
  </si>
  <si>
    <t>L'impresa dispone di un organo di governance?</t>
  </si>
  <si>
    <t>Ar įmonė yra įsteigusi valdymo organą?</t>
  </si>
  <si>
    <t>Czy jednostka posiada organ zarządzający?</t>
  </si>
  <si>
    <t>A entidade tem um órgão de governação estabelecido?</t>
  </si>
  <si>
    <t>Ali ima podjetje vzpostavljen organ upravljanja?</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</si>
  <si>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</si>
  <si>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</si>
  <si>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</si>
  <si>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</si>
  <si>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 xml:space="preserve">Aantal vrouwelijke bestuursleden aan het einde van de rapportageperiode </t>
  </si>
  <si>
    <t>Nombre de femmes membres du conseil d'administration à la fin de la période de reporting</t>
  </si>
  <si>
    <t>Anzahl der weiblichen Mitglieder im Leitungsorgan am Ende des Berichtszeitraums</t>
  </si>
  <si>
    <t>Líon na gcomhaltaí boird baineann ag deireadh na tréimhse tuairiscithe</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</si>
  <si>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</si>
  <si>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</si>
  <si>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</si>
  <si>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</si>
  <si>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Število članic upravnega odbora ob koncu obdobja poročanja</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</si>
  <si>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</si>
  <si>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</si>
  <si>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</si>
  <si>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</si>
  <si>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 xml:space="preserve">Aantal mannelijke bestuursleden aan het einde van de rapportageperiode </t>
  </si>
  <si>
    <t>Nombre d'hommes membres du conseil d'administration à la fin de la période de reporting</t>
  </si>
  <si>
    <t>Anzahl der männlichen Mitglieder im Leitungsorgan am Ende des Berichtszeitraums</t>
  </si>
  <si>
    <t>Líon na gcomhaltaí boird fireann ag deireadh na tréimhse tuairiscithe</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</si>
  <si>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</si>
  <si>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</si>
  <si>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</si>
  <si>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</si>
  <si>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Število moških članov upravnega odbora ob koncu obdobja poročanja</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</si>
  <si>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</si>
  <si>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</si>
  <si>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</si>
  <si>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</si>
  <si>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 xml:space="preserve"> Genderdiversiteitsverhouding in het bestuursorgaan</t>
  </si>
  <si>
    <t>Ratio de mixité au sein de l’organe de gouvernance</t>
  </si>
  <si>
    <t>Geschlechterverhältnis im Leitungsorgan</t>
  </si>
  <si>
    <t>Cóimheas éagsúlachta inscne an chomhlachta rialachais</t>
  </si>
  <si>
    <t>Lyčių įvairovės santykis valdymo organe</t>
  </si>
  <si>
    <t>Wskaźnik zróżnicowania organu zarządzającego pod względem płci</t>
  </si>
  <si>
    <t>Rácio de diversidade de género no órgão de governação</t>
  </si>
  <si>
    <t>Razmerje med spoloma v organu upravljanja</t>
  </si>
  <si>
    <t>Ratio de diversidad de género en el órgano de gobierno</t>
  </si>
  <si>
    <t>template_label_disclosure_of_any_other_governance_and_or_entity_specific_governance_disclosures</t>
  </si>
  <si>
    <t>Disclosure of any other governance and/or entity specific governance disclosures</t>
  </si>
  <si>
    <t>Oplysning af øvrige ledelses- og/eller virksomheds-specifikke ledelsesoplysninger</t>
  </si>
  <si>
    <t>Rapportage van alle andere governance en/of entiteitsspecifieke governance rapportages</t>
  </si>
  <si>
    <t>Publication de toute autre information de gouvernance et/ ou spécifique à l'entité</t>
  </si>
  <si>
    <t>Angabe weiterer Governance- und/oder unternehmensspezifischer Governance-Angaben</t>
  </si>
  <si>
    <t>Nochtadh aon nochtaí rialachas agus/nó rialachais sonrach don ghnóthas</t>
  </si>
  <si>
    <t>Comunicazione di qualsiasi altra informativa sulla governance e/o specifica per soggetto</t>
  </si>
  <si>
    <t>Bet kokios kitos valdysenos ir/ar įmonės specifinės valdysenos informacijos atskleidimas</t>
  </si>
  <si>
    <t>Ujawnienie wszelkich innych ujawnień dotyczących ładu korporacyjnego i/lub specyficznych dla jednostki ujawnień dotyczących ładu korporacyjnego</t>
  </si>
  <si>
    <t>Divulgação de quaisquer outras informações de governação  e/ou divulgações específicas de governação da empresa</t>
  </si>
  <si>
    <t>Razkritje vseh drugih razkritij o upravljanju in/ali za podjetje specifičnih razkritij, povezanih z upravljanjem</t>
  </si>
  <si>
    <t>Divulgación de cualquier otra información de gobernanza y/o específica de la entidad</t>
  </si>
  <si>
    <t>template_label_fuel_converter</t>
  </si>
  <si>
    <t>FUEL CONVERTER</t>
  </si>
  <si>
    <t>BRÆNDSTOFSKONVERTER</t>
  </si>
  <si>
    <t>Brandstofomzetter</t>
  </si>
  <si>
    <t>CONVERTISSEUR DE CARBURANT</t>
  </si>
  <si>
    <t>Brennstoffumrechner</t>
  </si>
  <si>
    <t>TIONTAIRE BREOSLA</t>
  </si>
  <si>
    <t>CONVERTITORE DI COMBUSTIBILE</t>
  </si>
  <si>
    <t>Kuro kovertavimo įrankis</t>
  </si>
  <si>
    <t>KONWERTER PALIWA</t>
  </si>
  <si>
    <t>CONVERSOR DE COMBUSTÍVEL</t>
  </si>
  <si>
    <t>PRETVORNIK GORIVA</t>
  </si>
  <si>
    <t>CONVERTIDOR DE COMBUSTIBLE</t>
  </si>
  <si>
    <t>template_label_disclaimer</t>
  </si>
  <si>
    <t>DISCLAIMER:</t>
  </si>
  <si>
    <t>ANSVARSFRASKRIVELSE:</t>
  </si>
  <si>
    <t xml:space="preserve">DISCLAIMER
</t>
  </si>
  <si>
    <t>AVERTISSEMENT :</t>
  </si>
  <si>
    <t>HAFTUNGSAUSSCHLUSS:</t>
  </si>
  <si>
    <t>SÉANADH:</t>
  </si>
  <si>
    <t>AVVERTENZA:</t>
  </si>
  <si>
    <t>Paaiškinimas</t>
  </si>
  <si>
    <t>ZASTRZEŻENIE:</t>
  </si>
  <si>
    <t>AVISO:</t>
  </si>
  <si>
    <t>OPOZORILO: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</si>
  <si>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</si>
  <si>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</si>
  <si>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</si>
  <si>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</si>
  <si>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</si>
  <si>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</si>
  <si>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</si>
  <si>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</si>
  <si>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</si>
  <si>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</si>
  <si>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</si>
  <si>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</si>
  <si>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Ta pretvornik je namenjen izključno ponazoritvi, kako se lahko izračuna poraba energije (v MWh) iz različnih vrst goriva. EFRAG ne prevzema nobene odgovornosti za vsebino ali kakršne koli neposredne, posredne ali naključne posledice ali škodo, ki bi nastala zaradi uporabe tega pretvornika goriva.</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</si>
  <si>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</si>
  <si>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</si>
  <si>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</si>
  <si>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</si>
  <si>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</si>
  <si>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</si>
  <si>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</si>
  <si>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</si>
  <si>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</si>
  <si>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</si>
  <si>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</si>
  <si>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</si>
  <si>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Upoštevajte, da so tipične vrednosti neto kalorične vrednosti (NCV) in gostote navedene za vsako vrsto goriva. Vendar se ti parametri lahko razlikujejo glede na dejavnike, kot so nacionalni predpisi, posebne značilnosti ponudnikov goriva ali druge okoliščine. Zato se od uporabnikov pričakuje, da ročno vnesejo ali prilagodijo vrednosti NCV in gostote, da odražajo njihove specifične razmere.</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</si>
  <si>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</si>
  <si>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</si>
  <si>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</si>
  <si>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</si>
  <si>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</si>
  <si>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</si>
  <si>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</si>
  <si>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</si>
  <si>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</si>
  <si>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</si>
  <si>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</si>
  <si>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</si>
  <si>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Poleg tega se uporabnike spodbuja, da določijo status obnovljivosti vsakega goriva na podlagi potrdil o izvoru, kot je določeno v 19. členu Evropske direktive 2018/2001/ES o spodbujanju uporabe energije iz obnovljivih virov. Privzeti status obnovljivosti, ki je naveden za vsako gorivo, je tipična predpostavka in se lahko po potrebi prilagodi glede na geografske ali individualne okoliščine.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</si>
  <si>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</si>
  <si>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</si>
  <si>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</si>
  <si>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</si>
  <si>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Geeft aan dat de cel moet worden ingevuld door een waarde te selecteren uit  het keuzemenu  (bijv. Brandstoftype of Meeteenheid) of door een  hoeveelheid in te voeren.</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</si>
  <si>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</si>
  <si>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</si>
  <si>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Léiríonn sé gur chóir an chill a líonadh trí luach a roghnú ón roghchlár anuas (m.sh. Cineál breosla nó Aonad Tomhais) nó trí mhéid a chur isteach ann.</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</si>
  <si>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</si>
  <si>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</si>
  <si>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</si>
  <si>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</si>
  <si>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Označuje, da bi se moralo polje izpolniti bodisi z izbiro vrednosti iz spustnega menija (npr. Vrsta goriva ali Merska enota) bodisi z vnosom količine.</t>
  </si>
  <si>
    <t>Indica que la celda debe rellenarse bien seleccionando un valor del desplegable (por ejemplo, Tipo de combustible o Unidad de medida) o introduciendo una cantidad.</t>
  </si>
  <si>
    <t>template_label_fuel_type</t>
  </si>
  <si>
    <t>Fuel type</t>
  </si>
  <si>
    <t xml:space="preserve">Type af brædnstof </t>
  </si>
  <si>
    <t>Brandstoftype</t>
  </si>
  <si>
    <t>Type de carburant</t>
  </si>
  <si>
    <t>Brennstofftyp</t>
  </si>
  <si>
    <t>Cineál breosla</t>
  </si>
  <si>
    <t>Tipo di combustibile</t>
  </si>
  <si>
    <t>Degalų rūšis</t>
  </si>
  <si>
    <t>Rodzaj paliwa</t>
  </si>
  <si>
    <t>Tipo de combustível</t>
  </si>
  <si>
    <t>Vrsta goriva</t>
  </si>
  <si>
    <t>Tipo de combustible</t>
  </si>
  <si>
    <t>template_label_amount</t>
  </si>
  <si>
    <t>Beløb</t>
  </si>
  <si>
    <t>Hoeveelheid</t>
  </si>
  <si>
    <t>Montant</t>
  </si>
  <si>
    <t>Betrag</t>
  </si>
  <si>
    <t>Méid</t>
  </si>
  <si>
    <t>Importo</t>
  </si>
  <si>
    <t>Kiekis</t>
  </si>
  <si>
    <t>Ilość</t>
  </si>
  <si>
    <t>Quantidade</t>
  </si>
  <si>
    <t>Znesek</t>
  </si>
  <si>
    <t>Cantidad</t>
  </si>
  <si>
    <t>template_label_state_of_matter</t>
  </si>
  <si>
    <t>Tilstand af stof</t>
  </si>
  <si>
    <t>Toestand van materie</t>
  </si>
  <si>
    <t>État de la matière</t>
  </si>
  <si>
    <t>Aggregatzustand</t>
  </si>
  <si>
    <t>Staid an ábhair</t>
  </si>
  <si>
    <t>Stato della materia</t>
  </si>
  <si>
    <t>Medžiagos būsena</t>
  </si>
  <si>
    <t>Stan skupienia</t>
  </si>
  <si>
    <t>Estado da matéria</t>
  </si>
  <si>
    <t>Agregatno stanje</t>
  </si>
  <si>
    <t>Estado de la materia</t>
  </si>
  <si>
    <t>template_label_typical_renewable_state</t>
  </si>
  <si>
    <t>Typical renewable state</t>
  </si>
  <si>
    <t>Typisk vedvarende tilstand</t>
  </si>
  <si>
    <t>Typische hernieuwbare staat</t>
  </si>
  <si>
    <t>État renouvelable type</t>
  </si>
  <si>
    <t>Typische Erneuerbarkeit</t>
  </si>
  <si>
    <t>Staid in-athnuaite tipiciúil</t>
  </si>
  <si>
    <t>Stato tipico delle energie rinnovabili</t>
  </si>
  <si>
    <t>Įprasta atsinaujinančios energijos būsena</t>
  </si>
  <si>
    <t>Typowy stan odnawialny</t>
  </si>
  <si>
    <t>Estado renovável típico</t>
  </si>
  <si>
    <t>Tipično stanje obnovljivosti</t>
  </si>
  <si>
    <t>Estado renovable típico</t>
  </si>
  <si>
    <t>template_label_calculated_energy_in_mwh</t>
  </si>
  <si>
    <t>Calculated Energy in MWh</t>
  </si>
  <si>
    <t>Beregnet energi i MWh</t>
  </si>
  <si>
    <t>Berekende Energie in MWh</t>
  </si>
  <si>
    <t>Énergie calculée en MWh</t>
  </si>
  <si>
    <t>Berechnete Energie in MWh</t>
  </si>
  <si>
    <t>Fuinneamh Ríofa i MWh</t>
  </si>
  <si>
    <t>Energia calcolata in MWh</t>
  </si>
  <si>
    <t>Apskaičiuota energija (MWh)</t>
  </si>
  <si>
    <t>Obliczona energia w MWh</t>
  </si>
  <si>
    <t>Energia Calculada em MWh</t>
  </si>
  <si>
    <t>Izračunana energija v MWh</t>
  </si>
  <si>
    <t>Energía calculada en MWh</t>
  </si>
  <si>
    <t>template_label_usage_of_fuel_converter</t>
  </si>
  <si>
    <t>Usage of Fuel Converter:</t>
  </si>
  <si>
    <t>Brug af brændstofskonverter</t>
  </si>
  <si>
    <t>Gebruik van brandstofomzetter:</t>
  </si>
  <si>
    <t>Utilisation du convertisseur de carburant :</t>
  </si>
  <si>
    <t>Verwendung des Brennstoffumrechners:</t>
  </si>
  <si>
    <t>Úsáid Tiontaire Breosla:</t>
  </si>
  <si>
    <t>Utilizzo del convertitore di combustibile:</t>
  </si>
  <si>
    <t>Kuro kovertavimo įrankio naudojimas:</t>
  </si>
  <si>
    <t>Użytkowanie konwertera paliwa:</t>
  </si>
  <si>
    <t>Uso do Conversor de Combustível:</t>
  </si>
  <si>
    <t>Uporaba pretvornika goriva:</t>
  </si>
  <si>
    <t>Uso del Convertidor de Combustible:</t>
  </si>
  <si>
    <t>template_label_1_in_cell_a9_select_the_fuel_used_searching_for_it_or_scrolling_down_the_list_displayed_clicking_the_cell</t>
  </si>
  <si>
    <t>1. In cell A10 select the Fuel used, searching for it or scrolling down the list displayed clicking the cell</t>
  </si>
  <si>
    <t>1. I celle A10 skal du vælge det anvendte brændstof, enten ved at søge efter det eller ved at rulle ned i den viste liste og klikke på det.</t>
  </si>
  <si>
    <t xml:space="preserve">1. Selecteer in cel A10 de gebruikte brandstof door hiernaar te zoeken of door de weergegeven lijst te scrollen die zichtbaar wordt door op de cel te klikken. </t>
  </si>
  <si>
    <t>1. Dans la cellule A10, sélectionnez le carburant utilisé, en le recherchant ou en faisant défiler la liste affichée et en cliquant sur la cellule.</t>
  </si>
  <si>
    <t>1. Wählen Sie in Zelle A10 den verwendeten Brennstoff aus, indem Sie danach suchen oder in der angezeigten Liste nach unten scrollen und die Zelle anklicken.</t>
  </si>
  <si>
    <t>1. I gcill A10 roghnaigh an Breosla a úsáidtear, ag cuardach é nó ag scrollú síos an liosta a thaispeántar ag cliceáil ar an gcill</t>
  </si>
  <si>
    <t xml:space="preserve">1. Nella cella A10 selezionare il Combustibile utilizzato, cercandolo o scorrendo l'elenco visualizzato e cliccando sulla cella
</t>
  </si>
  <si>
    <t>1. Langelyje A10 pasirinkite naudojamą kurą, ieškodami jo arba slinkdami žemyn rodomame sąraše spustelėdami langelį.</t>
  </si>
  <si>
    <t>1. W komórce A10 wybierz użyte paliwo, wyszukując je lub przewijając w dół wyświetlaną listę i klikając komórkę</t>
  </si>
  <si>
    <t>1. Na célula A10 selecione o combustível utilizado, procurando-o ou deslocando-se para baixo na lista exibida e clicando na célula.</t>
  </si>
  <si>
    <t>1. V polju A10 izberite uporabljeno gorivo tako, da ga poiščete ali se pomaknete navzdol po prikazanem seznamu s klikom na polje</t>
  </si>
  <si>
    <t>1. En la celda A10, seleccione el combustible utilizado, buscándolo o desplazándose por la lista mostrada y haciendo clic en la celda.</t>
  </si>
  <si>
    <t>template_label_2_in_cell_b9_select_the_unit_of_measurement_used</t>
  </si>
  <si>
    <t>2. In cell B10 select the Unit of measurement used</t>
  </si>
  <si>
    <t>2. I celle B10 skal du vælge den anvendte måleenhed.</t>
  </si>
  <si>
    <t>2. Selecteer in cel B10 de gebruikte meeteenheid</t>
  </si>
  <si>
    <t>2. Dans la cellule B10, sélectionnez l’unité de mesure utilisée</t>
  </si>
  <si>
    <t>2. Wählen Sie in Zelle B10 die verwendete Maßeinheit aus.</t>
  </si>
  <si>
    <t>2. I gcill B10 roghnaigh an tAonad tomhais a úsáidtear</t>
  </si>
  <si>
    <t>2. Nella cella B10 selezionare l'unità di misura utilizzata</t>
  </si>
  <si>
    <t>2. Langelyje B10 pasirinkite naudojamą matavimo vienetą</t>
  </si>
  <si>
    <t>2. W komórce B10 wybierz użytą jednostkę miary</t>
  </si>
  <si>
    <t>2. Na célula B10 selecione a Unidade de medida utilizada.</t>
  </si>
  <si>
    <t>2. V polju B10 izberite uporabljeno mersko enoto</t>
  </si>
  <si>
    <t>2. En la celda B10 seleccione la Unidad de medida utilizada</t>
  </si>
  <si>
    <t>template_label_3_in_cell_c9_select_the_amount_of_fuel_used</t>
  </si>
  <si>
    <t>3. In cell C10 select the Amount of fuel used</t>
  </si>
  <si>
    <t>3. I celle C10 skal du vælge den anvendte mængde brændstof.</t>
  </si>
  <si>
    <t>3. Selecteer in cel C10 de hoeveelheid gebruikte brandstof</t>
  </si>
  <si>
    <t>3. Dans la cellule C10, sélectionnez la quantité de carburant utilisée.</t>
  </si>
  <si>
    <t>3. Wählen Sie in Zelle C10 die genutzte Brennstoffmenge aus.</t>
  </si>
  <si>
    <t>3. I gcill C10 roghnaigh an Méid breosla a úsáidtear</t>
  </si>
  <si>
    <t>3. Nella cella C10 selezionare la Quantità di combustibile utilizzata</t>
  </si>
  <si>
    <t>3. Langelyje C10 pasirinkite sunaudoto kuro kiekį</t>
  </si>
  <si>
    <t>3. W komórce C10 wybierz Ilość zużytego paliwa</t>
  </si>
  <si>
    <t>3. Na célula C10 selecione a Quantidade de combustível usado</t>
  </si>
  <si>
    <t>3. V polju C10 izberite Količina porabljenega goriva</t>
  </si>
  <si>
    <t>3. En la celda C10 seleccione la Cantidad de combustible utilizado</t>
  </si>
  <si>
    <t>template_label_4_in_cell_d9_it_is_displayed_the_state_of_matter_for_the_fuel_selected</t>
  </si>
  <si>
    <t>4. In cell D10 it is displayed the State of matter for the Fuel selected</t>
  </si>
  <si>
    <t>4. I celle D10 vises tilstanden for det valgte brændstof</t>
  </si>
  <si>
    <t>In cel D10 wordt de weergegeven voor de geselecteerde brandstof.</t>
  </si>
  <si>
    <t>4. La cellule D10 affiche l'état de la matière pour le carburant sélectionné.</t>
  </si>
  <si>
    <t xml:space="preserve">4. In Zelle D10 wird der Aggregatzustand des ausgewählten Brennstoffs angezeigt. </t>
  </si>
  <si>
    <t>4. I gcill D10 taispeántar Staid an ábhair don Bhreosla a roghnaíodh</t>
  </si>
  <si>
    <t xml:space="preserve">4. Nella cella D10 è visualizzato lo Stato della materia per il Combustibile selezionato
</t>
  </si>
  <si>
    <t>Langelyje D10 rodoma pasirinkto kuro būsena</t>
  </si>
  <si>
    <t>4. W komórce D10 wyświetlany jest stan skupienia dla wybranego paliwa</t>
  </si>
  <si>
    <t>4. Na célula D10 é mostrado o Estado físico do Combustível selecionado</t>
  </si>
  <si>
    <t>4. V polju D10 je prikazano agregatno stanje izbranega goriva.</t>
  </si>
  <si>
    <t>4. En la celda D10 se muestra el estado de la materia para el combustible seleccionado.</t>
  </si>
  <si>
    <t>template_label_5_in_cell_e9_it_is_displayed_the_typical_renewability_state_for_the_fuel_selected</t>
  </si>
  <si>
    <t>5. In cell E10 it is displayed the Typical renewability state for the Fuel selected</t>
  </si>
  <si>
    <t>5. I celle E10 vises den typiske fornybarhedstilstand for det valgte brændstof</t>
  </si>
  <si>
    <t xml:space="preserve">In cel E10 wordt de typische hernieuwbaarheidstoestand voor de geselecteerde brandstof weergegeven.
</t>
  </si>
  <si>
    <t>5. La cellule E10 affiche le caractère renouvelable typique du carburant sélectionné.</t>
  </si>
  <si>
    <t>5. In Zelle E10 wird die typischeErneuerbarkeit für den ausgewählten Brennstoff angezeigt.</t>
  </si>
  <si>
    <t>5. I gcill E10 taispeántar an staid in-athnuaite tipiciúil don Bhreosla roghnaithe</t>
  </si>
  <si>
    <t xml:space="preserve">5. Nella cella E10 è indicato lo stato tipico di rinnovabilità per il Combustibile selezionato
</t>
  </si>
  <si>
    <t>5. Langelyje E10 rodoma pasirinkto kuro tipinė atsinaujinamumo būsena.</t>
  </si>
  <si>
    <t>5 W komórce E10 wyświetlany jest Typowy stan odnawialności dla wybranego paliwa</t>
  </si>
  <si>
    <t>5. Na célula E10 é exibido o estado típico de renovabilidade para o combustível selecionado.</t>
  </si>
  <si>
    <t>5. V polju E10 je prikazano tipično stanje obnovljivosti za izbrano gorivo.</t>
  </si>
  <si>
    <t>5. En la celda E10 se muestra el carácter renovable típico para el combustible seleccionado.</t>
  </si>
  <si>
    <t>template_label_6_in_cell_f9_is_displayed_the_energy_produced_in_mega_watt_hours_by_the_amount_of_fuel_specified</t>
  </si>
  <si>
    <t>6. In cell F10 is displayed the Energy produced in Mega Watt hours by the Amount of Fuel specified</t>
  </si>
  <si>
    <t>6. I celle F10 vises energien produceret megawatt-timer, baseret på den specificerede mængde brændstof</t>
  </si>
  <si>
    <t>In cel F10 wordt de energie weergegeven die in Megawattuur is geproduceerd door de opgegeven hoeveelheid brandstof.</t>
  </si>
  <si>
    <t>6. La cellule F10 affiche l'énergie produite, en méga wattheures (MWh), par la quantité de carburant spécifiée.</t>
  </si>
  <si>
    <t>6. In Zelle F10 wird die in Megawattstunden erzeugte Energie basierend auf der angegebenen Brennstoffmenge angezeigt.</t>
  </si>
  <si>
    <t>6. I gcill F10 taispeántar an Fuinneamh a tháirgtear in uair an chloig Mega Watt de réir an Méid Breosla a shonraítear</t>
  </si>
  <si>
    <t xml:space="preserve">6. Nella cella F10 è visualizzata l'energia prodotta in Megawatt-ora per la quantità di combustibile specificata
</t>
  </si>
  <si>
    <t>Langelyje F10 pateikiama energija, pagaminta megavatvalandėmis pagal nurodytą degalų kiekį.</t>
  </si>
  <si>
    <t>6. W komórce F10 wyświetlana jest energia wyprodukowana w megawatogodzinach (MWh) przez określoną ilość paliwa</t>
  </si>
  <si>
    <t>6. Na célula F10 é exibida a Energia produzida em Megawatts-hora pela Quantidade de Combustível especificada</t>
  </si>
  <si>
    <t>6. V polju F10 je prikazana energija, proizvedena v megavatnih urah z določeno količino goriva.</t>
  </si>
  <si>
    <t>6. En la celda F10 se muestra la Energía producida en Mega Vatios hora por la Cantidad de Combustible especificada</t>
  </si>
  <si>
    <t>template_label_7_in_cell_a28_is_displayed_the_total_energy_in_mega_watt_hours</t>
  </si>
  <si>
    <t>7. In cell A29 is displayed the Total Energy in Mega Watt hours</t>
  </si>
  <si>
    <t>7. I celle A29 vises den samlede mængde energi i Megawatt-timer</t>
  </si>
  <si>
    <t>In cel A29 wordt het totale energieverbruik in megawattuur weergegeven.</t>
  </si>
  <si>
    <t>7. La cellule A29 affiche l’énergie totale en mégawattheures (MWh).</t>
  </si>
  <si>
    <t>7. In Zelle A29 wird der Gesamtenergieverbrauch in Megawattstunden angezeigt.</t>
  </si>
  <si>
    <t>7. I gcill A29 taispeántar an Fuinneamh Iomlán in uair an chloig Mega Watt</t>
  </si>
  <si>
    <t>7. Nella cella A29 è visualizzato il Consumo totale di energia in Megawatt-ora</t>
  </si>
  <si>
    <t>Langelyje A29 pateikiama bendroji energija megavatvalandėmis</t>
  </si>
  <si>
    <t>7. W komórce A29 wyświetlana jest całkowita energia w megawatogodzinach</t>
  </si>
  <si>
    <t>7. Em A29 é apresentada a Energia Total em Megawatt-hora</t>
  </si>
  <si>
    <t>7. V polju A29 je prikazana skupna energija v megavatnih urah.</t>
  </si>
  <si>
    <t>7. En la celda A29 se muestra la Energía Total en Mega Vatios hora</t>
  </si>
  <si>
    <t>template_label_8_in_cell_a31_is_displayed_the_total_renewable_energy_in_mega_watt_hours</t>
  </si>
  <si>
    <t>8. In cell A32 is displayed the Total Renewable Energy in Mega Watt hours</t>
  </si>
  <si>
    <t>8. I celle A32 vises den samlede mængde vedvarende energi i Megawatt-timer</t>
  </si>
  <si>
    <t xml:space="preserve">In cel A32 wordt het totale hernieuwbare energieverbruik weergegeven in Megawattuur
</t>
  </si>
  <si>
    <t>8. La cellule A32 affiche l’énergie renouvelable totale en mégawattheures (MWh).</t>
  </si>
  <si>
    <t>8. In Zelle A32 wird die gesamte erneuerbare Energie in Megawattstunden angezeigt.</t>
  </si>
  <si>
    <t>8. I gcill A32 taispeántar an Fuinneamh In-athnuaite Iomlán in uair an chloig Mega Watt</t>
  </si>
  <si>
    <t>8. Nella cella A32 è visualizzato il Totale Energia Rinnovabile in Megawatt-ora</t>
  </si>
  <si>
    <t>Langelyje A32 rodoma bendro atsinaujinančios energijos, išreikštos megavatvalandėmis, suma.</t>
  </si>
  <si>
    <t>8. W komórce A32 wyświetlana jest całkowita energia odnawialna w megawatogodzinach</t>
  </si>
  <si>
    <t>8. Na célula A32 está exibida a Energia Renovável Total em Mega Watt horas</t>
  </si>
  <si>
    <t>8. V polju A32 je prikazana skupna obnovljiva energija v megavatnih urah.</t>
  </si>
  <si>
    <t>8. En la celda A32 se muestra la Energía Renovable Total en Megavatios hora</t>
  </si>
  <si>
    <t>template_label_9_in_cell_b31_is_displayed_the_total_nonrenewable_energy_in_mega_watt_hours</t>
  </si>
  <si>
    <t>9. In cell B32 is displayed the Total Non-renewable Energy in Mega Watt hours</t>
  </si>
  <si>
    <t xml:space="preserve">9. I celle B32 vises den samlede mængde  ikkefornybare energi i Megawatt-timer </t>
  </si>
  <si>
    <t>In cel B32 wordt het totaal van niet-hernieuwbare energie weergegeven in Megawattuur.</t>
  </si>
  <si>
    <t>9. La cellule B32 affiche l’énergie non renouvelable totale en mégawattheures (MWh).</t>
  </si>
  <si>
    <t xml:space="preserve">In Zelle B32 wird die gesamte nicht erneuerbare Energie in Megawattstunden angezeigt. </t>
  </si>
  <si>
    <t>9. I gcill B32 taispeántar an Fuinneamh Neamh-inathnuaite Iomlán in uaireanta Mega Watt</t>
  </si>
  <si>
    <t>9. Nella cella B32 è visualizzato il Totale Energia Non Rinnovabile in Megawatt-ora</t>
  </si>
  <si>
    <t>Langelyje B32 rodoma bendroji neatsinaujinančios energijos suma megavatvalandėmis (MWh)</t>
  </si>
  <si>
    <t>9. W komórce B32 wyświetlana jest całkowita energia nieodnawialna w megawatogodzinach</t>
  </si>
  <si>
    <t>9. Na célula B32 é exibido o Total de Energia Não Renovável em Mega Watt hora</t>
  </si>
  <si>
    <t>9. V polju B32 je prikazana skupna energija iz obnovljivih virov v megavatnih urah.</t>
  </si>
  <si>
    <t>9. En la celda B32 se muestra la Energía No Renovable Total en Megavatios hora</t>
  </si>
  <si>
    <t>template_label_10_further_notes_can_be_found_below</t>
  </si>
  <si>
    <t>10. Further notes can be found below</t>
  </si>
  <si>
    <t>10. Yderligere bemærkninger kan findes nedenfor</t>
  </si>
  <si>
    <t>10. Verdere opmerkingen kunnen hieronder worden gevonden</t>
  </si>
  <si>
    <t>10. Des notes complémentaires sont disponibles ci-dessous.</t>
  </si>
  <si>
    <t>10. Weitere Anmerkungen siehe unten</t>
  </si>
  <si>
    <t>10. Is féidir nótaí breise a fháil thíos</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</si>
  <si>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</si>
  <si>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</si>
  <si>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</si>
  <si>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</si>
  <si>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Nadaljnje opombe so na voljo spodaj</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</si>
  <si>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</si>
  <si>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</si>
  <si>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</si>
  <si>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</si>
  <si>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Draag de totaal berekende resultaten over naar de B3-rapportagecel "Brandstoffen Energieverbruik"</t>
  </si>
  <si>
    <t>Transférez les résultats totaux calculés dans la cellule B3 « Consommation d’énergie des carburants » du rapport.</t>
  </si>
  <si>
    <t>Übertragen Sie die berechneten Gesamtergebnisse in die Berichts-Zelle B3 „Brennstoffenergieverbrauch“</t>
  </si>
  <si>
    <t>Aistrigh na torthaí ríofa iomlána chuig an gcill tuairiscithe B3 "Tomhaltas Fuinnimh Breosla"</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</si>
  <si>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</si>
  <si>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</si>
  <si>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</si>
  <si>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</si>
  <si>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Prenesite skupne izračunane rezultate v polje B3 "Poraba energije goriva".</t>
  </si>
  <si>
    <t>Transfiera los resultados totales calculados a la celda de reporte B3 "Consumo de Energía por Combustible"</t>
  </si>
  <si>
    <t>template_label_total_energy</t>
  </si>
  <si>
    <t>Total Energy [MWh]</t>
  </si>
  <si>
    <t>Samlet energi (MWh)</t>
  </si>
  <si>
    <t>Totaal energieverbruik [MWh]</t>
  </si>
  <si>
    <t>Consommation d’énergie totale [MWh]</t>
  </si>
  <si>
    <t>Gesamtenergie [MWh]</t>
  </si>
  <si>
    <t>Fuinneamh Iomlán [MWh]</t>
  </si>
  <si>
    <t>Totale consumo di energia [MWh]</t>
  </si>
  <si>
    <t>Bendra energija [MWh]</t>
  </si>
  <si>
    <t>Całkowita energia [MWh]</t>
  </si>
  <si>
    <t>Energia Total [MWh]</t>
  </si>
  <si>
    <t>Skupna energija [MWh]</t>
  </si>
  <si>
    <t>Consumo total de energía [MWh]</t>
  </si>
  <si>
    <t>template_label_total_renewable_energy</t>
  </si>
  <si>
    <t>Total Renewable Energy [MWh]</t>
  </si>
  <si>
    <t xml:space="preserve">
Samlet vedvarende energi (MWh) 
</t>
  </si>
  <si>
    <t>Totaal hernieuwbare energie [MWh]</t>
  </si>
  <si>
    <t>Énergie renouvelable totale [MWh]</t>
  </si>
  <si>
    <t>Gesamte erneuerbare Energien [MWh]</t>
  </si>
  <si>
    <t>Fuinneamh In-athnuaite Iomlán [MWh]</t>
  </si>
  <si>
    <t>Totale consumo di energia rinnovabile [MWh]</t>
  </si>
  <si>
    <t>Atsinaujinančiųjų išteklių energija (MWh)</t>
  </si>
  <si>
    <t>Całkowita energia odnawialna [MWh]</t>
  </si>
  <si>
    <t>Consumo Total de Energia Renovável [MWh]</t>
  </si>
  <si>
    <t>Skupna energija iz obnovljivih virov [MWh]</t>
  </si>
  <si>
    <t>Consumo total de energía renovable [MWh]</t>
  </si>
  <si>
    <t>template_label_total_nonrenewable_energy</t>
  </si>
  <si>
    <t>Total Non-renewable Energy [MWh]</t>
  </si>
  <si>
    <t>Samlet ikke-vedvarened energi [MWh]</t>
  </si>
  <si>
    <t>Totaal verbruik niet-hernieuwbare energie [MWh]</t>
  </si>
  <si>
    <t>Consommation d’énergie non renouvelable [MWh]</t>
  </si>
  <si>
    <t>Gesamte nicht erneuerbare Energien [MWh]</t>
  </si>
  <si>
    <t>Fuinneamh Neamh-inathnuaite Iomlán [MWh]</t>
  </si>
  <si>
    <t>Totale consumo di energia non rinnovabile [MWh]</t>
  </si>
  <si>
    <t>Bendras neatsinaujinančios energijos suvartojimas [MWh]</t>
  </si>
  <si>
    <t>Całkowita energia nieodnawialna [MWh]</t>
  </si>
  <si>
    <t>Consumo total de energia não renovável [MWh]</t>
  </si>
  <si>
    <t>Skupna energija iz neobnovljivih virov [MWh]</t>
  </si>
  <si>
    <t>Consumo de energías no renovables [MWh]</t>
  </si>
  <si>
    <t>template_label_further_notes</t>
  </si>
  <si>
    <t>Further notes:</t>
  </si>
  <si>
    <t>Yderligere bemærkninger:</t>
  </si>
  <si>
    <t>Verdere opmerkingen:</t>
  </si>
  <si>
    <t>Notes complémentaires :</t>
  </si>
  <si>
    <t>Weitere Hinweise:</t>
  </si>
  <si>
    <t>Nótaí breise:</t>
  </si>
  <si>
    <t>Ulteriori note:</t>
  </si>
  <si>
    <t>Tolimesnės pastabos:</t>
  </si>
  <si>
    <t>Dalsze uwagi:</t>
  </si>
  <si>
    <t>Notas adicionais:</t>
  </si>
  <si>
    <t>Nadaljnje opombe:</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</si>
  <si>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</si>
  <si>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</si>
  <si>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</si>
  <si>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</si>
  <si>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</si>
  <si>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</si>
  <si>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</si>
  <si>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</si>
  <si>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</si>
  <si>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</si>
  <si>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</si>
  <si>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</si>
  <si>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Pretvornik ponuja možnost hkratnega izračuna do 10 različnih vrst goriva. Če želite to narediti, razširite skrite stolpce z ikono plus na vrhu dokumenta. Vsak razširjen pretvornik goriva deluje natanko tako, kot je razloženo zgoraj. Pomembno je omeniti, da se samodejni izračun, ki ga izvaja pretvornik goriva, opravi z uporabo kurilnih vrednosti in gostot, ki so značilne za to določeno vrsto goriva. Če podjetje lahko zagotovi specifične kurilne vrednosti in gostote uporabljenih goriv, obstaja možnost izračuna porabe energije na uro v MWh z vdelavo specifičnih vrednosti v formule, ki so avtomatizirane na listu pretvornika goriva. Spodaj so formule, če je rešitev neavtomatiziranega izračuna z uporabo specifičnih vrednosti boljša od tiste, ki jo uporablja pretvornik. Če morate pretvoriti mersko enoto vaših specifičnih meritev, uporabite pretvornik merskih enot.</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</si>
  <si>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</si>
  <si>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</si>
  <si>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</si>
  <si>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</si>
  <si>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Energieverbruik per uur in MWh voor vaste brandstoffen:</t>
  </si>
  <si>
    <t>Consommation d'énergie par heure en MWh pour les combustibles solides :</t>
  </si>
  <si>
    <t>Energieverbrauch pro Stunde in MWh für feste Brennstoffe:</t>
  </si>
  <si>
    <t>Tomhaltas fuinnimh in aghaidh na huaire i MWh le haghaidh breoslaí soladacha:</t>
  </si>
  <si>
    <t>Consumo di energia orario in MWh per combustibili solidi:</t>
  </si>
  <si>
    <t>Kietojo kuro energijos suvartojimas per valandą (MWh):</t>
  </si>
  <si>
    <t>Zużycie energii na godzinę w MWh dla paliw stałych:</t>
  </si>
  <si>
    <t>Consumo de Energia por Hora em MWh para Combustíveis Sólidos:</t>
  </si>
  <si>
    <t>Poraba energije na uro v MWh za trdna goriva:</t>
  </si>
  <si>
    <t>Consumo de energía por hora en MWh para combustibles sólidos:</t>
  </si>
  <si>
    <t>template_label_energy_solid_fuels</t>
  </si>
  <si>
    <t>Energy [MWh] = Mass [t] * NCV [MWh/t]</t>
  </si>
  <si>
    <t>Energi [MWh] = Masse [t] * NCV [MWh/t]</t>
  </si>
  <si>
    <t>Energie [MWh] = Massa [t] * NCV [MWh/t]</t>
  </si>
  <si>
    <t>Énergie [MWh] = Masse [t] * PCN [MWh/t]</t>
  </si>
  <si>
    <t>Energie [MWh] = Masse [t] * NCV [MWh/t]</t>
  </si>
  <si>
    <t>Fuinneamh [MWh] = Mais [t] * NCV [MWh/t]</t>
  </si>
  <si>
    <t>Energia [MWh] = Massa [t] * PCN [MWh/t]</t>
  </si>
  <si>
    <t>Energija [MWh] = Masė [t] * NCV [MWh/t]</t>
  </si>
  <si>
    <t>Energia [MWh] = Masa [t] * NCV [MWh/t]</t>
  </si>
  <si>
    <t>Energia [MWh] = Massa [t] * PCI [MWh/t]</t>
  </si>
  <si>
    <t>Energija [MWh] = Masa [t] * NCV [MWh/t]</t>
  </si>
  <si>
    <t xml:space="preserve">Energía [MWh] = Masa [t] * PCI [MWh/t] 
</t>
  </si>
  <si>
    <t>template_label_energy_consumption_per_hour_in_mwh_for_liquid_fuels</t>
  </si>
  <si>
    <t>Energy Consumption per Hour in MWh for Liquid Fuels:</t>
  </si>
  <si>
    <t>Energiforbrug pr. time i MWh for flydende brændstoffer:</t>
  </si>
  <si>
    <t>Energieverbruik per uur in MWh voor vloeibare brandstoffen:</t>
  </si>
  <si>
    <t>Consommation d'énergie par heure en MWh pour les combustibles liquides :</t>
  </si>
  <si>
    <t>Energieverbrauch pro Stunde in MWh für flüssige Brennstoffe:</t>
  </si>
  <si>
    <t>Tomhaltas fuinnimh in aghaidh na huaire i MWh le haghaidh breoslaí leachtacha:</t>
  </si>
  <si>
    <t>Consumo di energia orario in MWh per combustibili liquidi:</t>
  </si>
  <si>
    <t>Skystųjų degalų energijos suvartojimas per valandą MWh:</t>
  </si>
  <si>
    <t>Zużycie energii na godzinę w MWh dla paliw ciekłych:</t>
  </si>
  <si>
    <t>Consumo de Energia por Hora em MWh para Combustíveis Líquidos:</t>
  </si>
  <si>
    <t>Poraba energije na uro v MWh za tekoča goriva:</t>
  </si>
  <si>
    <t>Consumo de energía por hora en MWh para combustibles líquidos:</t>
  </si>
  <si>
    <t>template_label_mass_liquid_fuels</t>
  </si>
  <si>
    <t>Mass [t] = Volume [L] * Density [t/L]</t>
  </si>
  <si>
    <t>Masse [t] = Volumen [L] * Densitet [t/L]</t>
  </si>
  <si>
    <t>Massa [t] = Volume [L] * Dichtheid [t/L]</t>
  </si>
  <si>
    <t>Masse [t] = Volume [L] * Densité [t/L]</t>
  </si>
  <si>
    <t>Masse [t] = Volumen [L] * Dichte [t/L]</t>
  </si>
  <si>
    <t>Mais [t] = Toirt [L] * Dlús [t / L]</t>
  </si>
  <si>
    <t>Massa [t] = Volume [L] * Densità [t/L]</t>
  </si>
  <si>
    <t>Masė [t] = Tūris [L] * Tankis [t/L]</t>
  </si>
  <si>
    <t>Masa [t] = Objętość [L] * Gęstość [t/L]</t>
  </si>
  <si>
    <t>Massa [t] = Volume [L] * Densidade [t/L]</t>
  </si>
  <si>
    <t>Masa [t] = Prostornina [L] * Gostota [t/L]</t>
  </si>
  <si>
    <t>Masa [t] = Volumen [L] * Densidad [t/L]</t>
  </si>
  <si>
    <t>template_label_energy_liquid_fuels</t>
  </si>
  <si>
    <t>Energy [MWh] = Mass [t] * [MWh/t]</t>
  </si>
  <si>
    <t>Energi [MWh] = Masse [t] * [MWh/t]</t>
  </si>
  <si>
    <t>Energie [MWh] = Massa [t] * [MWh/t]</t>
  </si>
  <si>
    <t>Énergie [MWh] = Masse [t] * [MWh/t]</t>
  </si>
  <si>
    <t xml:space="preserve">Energie [MWh] = Masse [t] * NCV [MWh/t] </t>
  </si>
  <si>
    <t>Fuinneamh [MWh] = Mais [t] * [MWh/t]</t>
  </si>
  <si>
    <t>Energia [MWh] = Massa [t] * [MWh/t]</t>
  </si>
  <si>
    <t>Energija [MWh] = Masė [t] * [MWh/t]</t>
  </si>
  <si>
    <t>Energia [MWh] = Masa [t] * [MWh/t]</t>
  </si>
  <si>
    <t>Energija [MWh] = Masa [t] * [MWh/t]</t>
  </si>
  <si>
    <t>Energía [MWh] = Masa [t] * [MWh/t]</t>
  </si>
  <si>
    <t>template_label_energy_consumption_per_hour_in_mwh_for_gaseous_fuels</t>
  </si>
  <si>
    <t>Energy Consumption per Hour in MWh for Gaseous Fuels:</t>
  </si>
  <si>
    <t>Energiforbrug pr. time i MWh for gasformige brændstoffer:</t>
  </si>
  <si>
    <t>Energieverbruik per uur in MWh voor gasvormige brandstoffen:</t>
  </si>
  <si>
    <t>Consommation d'énergie par heure en MWh pour les combustibles gazeux :</t>
  </si>
  <si>
    <t>Energieverbrauch pro Stunde in MWh für gasförmige Brennstoffe:</t>
  </si>
  <si>
    <t>Tomhaltas fuinnimh in aghaidh na huaire i MWh le haghaidh breoslaí gásacha:</t>
  </si>
  <si>
    <t>Consumo di energia orario in MWh per gas combustibili:</t>
  </si>
  <si>
    <t>Energijos suvartojimas per valandą MWh dujiniams kurams:</t>
  </si>
  <si>
    <t>Zużycie energii na godzinę w MWh dla paliw gazowych:</t>
  </si>
  <si>
    <t>Consumo de Energia por Hora em MWh para Combustíveis Gasosos:</t>
  </si>
  <si>
    <t>Poraba energije na uro v MWh za plinasta goriva:</t>
  </si>
  <si>
    <t>Consumo de energía por hora en MWh para combustibles gaseosos:</t>
  </si>
  <si>
    <t>template_label_mass_gaseous_fuels</t>
  </si>
  <si>
    <t>Mass [t] = Volume [m³] * Density [t/m³]</t>
  </si>
  <si>
    <t>Masse [t] = Volumen [m³] * Densitet [t/m³]</t>
  </si>
  <si>
    <t>Massa [t] = Volume [m³] * Dichtheid [t/m³]</t>
  </si>
  <si>
    <t>Masse [t] = Volume [m³] * Densité [t/m³]</t>
  </si>
  <si>
    <t>Masse [t] = Volumen [m³] * Dichte [t/m³]</t>
  </si>
  <si>
    <t>Mais [t] = Toirt [m³] * Dlús [t / m³]</t>
  </si>
  <si>
    <t>Massa [t] = Volume [m³] * Densità [t/m³]</t>
  </si>
  <si>
    <t>Masė [t] = Tūris [m³] * Tankis [t/m³]</t>
  </si>
  <si>
    <t>Masa [t] = Objętość [m³] * Gęstość [t/m³]</t>
  </si>
  <si>
    <t>Massa [t] = Volume [m³] * Densidade [t/m³]</t>
  </si>
  <si>
    <t>Masa [t] = Prostornina [m³] * Gostota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</si>
  <si>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</si>
  <si>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</si>
  <si>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</si>
  <si>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</si>
  <si>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</si>
  <si>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</si>
  <si>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</si>
  <si>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Meeteenheidconverter</t>
  </si>
  <si>
    <t>Convertisseur d'unité de mesure</t>
  </si>
  <si>
    <t>EINHEITENUMRECHNER</t>
  </si>
  <si>
    <t>TIONTAIRE AONAID TOMHAIS</t>
  </si>
  <si>
    <t>CONVERTITORE DI UNITÀ DI MISURA</t>
  </si>
  <si>
    <t>Matavimo vienetų keitiklis</t>
  </si>
  <si>
    <t>PRZELICZNIK JEDNOSTEK MIARY</t>
  </si>
  <si>
    <t>CONVERSOR DE UNIDADES DE MEDIDA</t>
  </si>
  <si>
    <t>PRETVORNIK MERSKIH ENOT</t>
  </si>
  <si>
    <t>CONVERTIDOR DE UNIDADES DE MEDIDA</t>
  </si>
  <si>
    <t>template_label_from_capital_case</t>
  </si>
  <si>
    <t xml:space="preserve">From </t>
  </si>
  <si>
    <t>Fra</t>
  </si>
  <si>
    <t>Van</t>
  </si>
  <si>
    <t>De</t>
  </si>
  <si>
    <t>Von</t>
  </si>
  <si>
    <t>Ó</t>
  </si>
  <si>
    <t>Da</t>
  </si>
  <si>
    <t>I could not find the exact translation of "From" in the provided context files. Based on general Lithuanian usage in corporate and sustainability reporting contexts, "From" can be translated as "Nuo".
Nuo</t>
  </si>
  <si>
    <t>Od</t>
  </si>
  <si>
    <t xml:space="preserve"> Od</t>
  </si>
  <si>
    <t>Desde</t>
  </si>
  <si>
    <t>template_label_unit_of_measurement_of_mass_converter</t>
  </si>
  <si>
    <t>Unit of measurement of Mass Converter</t>
  </si>
  <si>
    <t>Måleenhed for Masseomformer</t>
  </si>
  <si>
    <t>Meeteenheid van de massaconverter</t>
  </si>
  <si>
    <t>Unité de mesure du convertisseur de masse</t>
  </si>
  <si>
    <t>Maßeinheit des Massenumrechners</t>
  </si>
  <si>
    <t>Aonad tomhais Tiontaire Mais</t>
  </si>
  <si>
    <t>Unità di misura del convertitore di massa</t>
  </si>
  <si>
    <t>Masės konverterio matavimo vienetas</t>
  </si>
  <si>
    <t>Jednostka miary przelicznika masy</t>
  </si>
  <si>
    <t>Unidade de medida do Conversor de Massa</t>
  </si>
  <si>
    <t>Pretvornik merskih enot mase</t>
  </si>
  <si>
    <t>Unidad de medida del conversor de masa</t>
  </si>
  <si>
    <t>template_label_unit_of_measurement_of_volume_converter</t>
  </si>
  <si>
    <t>Unit of measurement of Volume Converter</t>
  </si>
  <si>
    <t>Måleenhed for Volumenomformer</t>
  </si>
  <si>
    <t>Meeteenheid van de volumeconverter</t>
  </si>
  <si>
    <t>Unité de mesure du convertisseur de volume</t>
  </si>
  <si>
    <t>Maßeinheit des Volumenumrechners</t>
  </si>
  <si>
    <t>Aonad tomhais an Tiontaire Toirte</t>
  </si>
  <si>
    <t>Unità di misura del convertitore di volume</t>
  </si>
  <si>
    <t>Tūrio konverterio matavimo vienetas</t>
  </si>
  <si>
    <t>Jednostka miary przelicznika objętości</t>
  </si>
  <si>
    <t>Unidade de medida do Conversor de Volume</t>
  </si>
  <si>
    <t>Pretvornik merskih enot za prostornino</t>
  </si>
  <si>
    <t>Unidad de medida del Convertidor de Volumen</t>
  </si>
  <si>
    <t>template_label_unit_of_measurement_of_energy_consumption_per_hour</t>
  </si>
  <si>
    <t>Unit of measurement of Energy Consumption per Hour</t>
  </si>
  <si>
    <t>Måleenhed for energiforbrug pr. time</t>
  </si>
  <si>
    <t xml:space="preserve"> meeteenheid voorenergieverbruik per uur</t>
  </si>
  <si>
    <t>Unité de mesure de la consommation d’énergie par heure</t>
  </si>
  <si>
    <t>Maßeinheit des Energieverbrauchs pro Stunde</t>
  </si>
  <si>
    <t>Aonad tomhais ar Ídiú Fuinnimh in aghaidh na huaire</t>
  </si>
  <si>
    <t>Unità di misura del consumo di energia orario</t>
  </si>
  <si>
    <t>Energijos suvartojimo per valandą matavimo vienetas</t>
  </si>
  <si>
    <t>Jednostka miary zużycia energii na godzinę</t>
  </si>
  <si>
    <t>Unidade de medição do Consumo de Energia por Hora</t>
  </si>
  <si>
    <t>Enota za merjenje porabe energije na uro</t>
  </si>
  <si>
    <t>Unidad de medida del consumo de energía por hora</t>
  </si>
  <si>
    <t>template_label_unit_of_measurement_of_ncv_converter</t>
  </si>
  <si>
    <t>Unit of measurement of NCV Converter</t>
  </si>
  <si>
    <t xml:space="preserve">Måleenhed for NCV-konverter 
</t>
  </si>
  <si>
    <t xml:space="preserve"> Meeteenheid voor de NCV Converter</t>
  </si>
  <si>
    <t>Unité de mesure du convertisseur PCN</t>
  </si>
  <si>
    <t>Maßeinheit des NCV-Umrechners</t>
  </si>
  <si>
    <t>Aonad tomhais an Tiontaire NCV</t>
  </si>
  <si>
    <t>Unità di misura del convertitore PCN</t>
  </si>
  <si>
    <t>NVC konverterio matavimo vienetas</t>
  </si>
  <si>
    <t>Jednostka miary przelicznika NCV</t>
  </si>
  <si>
    <t>Unidade de medida do conversor NCV</t>
  </si>
  <si>
    <t>Merska enota pretvornika NCV</t>
  </si>
  <si>
    <t>Unidad de medida del convertidor NCV</t>
  </si>
  <si>
    <t>template_label_mass_to_volume</t>
  </si>
  <si>
    <t>Mass to Volume Converter (or viceversa)</t>
  </si>
  <si>
    <t>Masse-til-volumen-omformer (eller omvendt)</t>
  </si>
  <si>
    <t>Massa-naar-volume-omzetter (of omgekeerd)</t>
  </si>
  <si>
    <t>Convertisseur masse-volume (ou inversement)</t>
  </si>
  <si>
    <t>Masse-Volumen-Umwandler (oder umgekehrt)</t>
  </si>
  <si>
    <t>Tiontaire Aifreann go Imleabhar (nó vice versa)</t>
  </si>
  <si>
    <t>Convertitore massa-volume (o viceversa)</t>
  </si>
  <si>
    <t>Masės ir tūrio keitiklis (arba atvirkščiai)</t>
  </si>
  <si>
    <t>Przetwornica masy do objętości (lub odwrotnie)</t>
  </si>
  <si>
    <t>Conversor de massa para volume (ou vice-versa)</t>
  </si>
  <si>
    <t>Pretvornik mase v volumen (ali obratno)</t>
  </si>
  <si>
    <t>Convertidor de masa a volumen (o viceversa)</t>
  </si>
  <si>
    <t>template_label_density_kg_over_l</t>
  </si>
  <si>
    <t>Density (Kg/L)</t>
  </si>
  <si>
    <t>Densitet (kg/L)</t>
  </si>
  <si>
    <t>Dichtheid (kg/L)</t>
  </si>
  <si>
    <t>Densité (kg/L)</t>
  </si>
  <si>
    <t>Dichte (kg/L)</t>
  </si>
  <si>
    <t>Dlús (kg / l)</t>
  </si>
  <si>
    <t>Densità (kg/l)</t>
  </si>
  <si>
    <t>Tankis (kg/l)</t>
  </si>
  <si>
    <t>Gęstość (kg/l)</t>
  </si>
  <si>
    <t>Densidade (kg/l)</t>
  </si>
  <si>
    <t>Gostota (Kg/L)</t>
  </si>
  <si>
    <t>Densidad (kg/l)</t>
  </si>
  <si>
    <t>template_label_unit_of_measurement_of_density_converter</t>
  </si>
  <si>
    <t>Unit of measurement of Density Converter</t>
  </si>
  <si>
    <t>Måleenhed for Densitetsomformer</t>
  </si>
  <si>
    <t xml:space="preserve"> Meeteenheid van de Dichtheidsomzetter</t>
  </si>
  <si>
    <t>Unité de mesure du convertisseur de densité</t>
  </si>
  <si>
    <t>Maßeinheit des Dichteumrechners</t>
  </si>
  <si>
    <t>Aonad tomhais an Tiontaire Dlúis</t>
  </si>
  <si>
    <t>Unità di misura del convertitore di densità</t>
  </si>
  <si>
    <t>Tankio konverterio matavimo vienetas</t>
  </si>
  <si>
    <t>Jednostka miary przelicznika gęstości</t>
  </si>
  <si>
    <t>Unidade de medição do Conversor de Densidade</t>
  </si>
  <si>
    <t>Pretvornik merskih enot gostote</t>
  </si>
  <si>
    <t xml:space="preserve">Unidad de medida del Convertidor de Densidad
</t>
  </si>
  <si>
    <t>template_label_usage_of_unit_of_measurement_converter</t>
  </si>
  <si>
    <t>Usage of Unit of Measurement Converter</t>
  </si>
  <si>
    <t>Brug af enhedsomregner</t>
  </si>
  <si>
    <t>Gebruik van de meeteenheidconverter</t>
  </si>
  <si>
    <t>Utilisation du convertisseur d'unités de mesure</t>
  </si>
  <si>
    <t>Nutzung des Einheitenumrechners</t>
  </si>
  <si>
    <t>Úsáid an Tiontaire Aonaid Tomhais</t>
  </si>
  <si>
    <t>Uso del convertitore di unità di misura</t>
  </si>
  <si>
    <t>Matavimo vienetų konverterio naudojimas</t>
  </si>
  <si>
    <t>Użytkowanie Przelicznika jednostek miar</t>
  </si>
  <si>
    <t>Utilização do Conversor de Unidade de Medida</t>
  </si>
  <si>
    <t>Uporaba pretvornika merskih enot</t>
  </si>
  <si>
    <t>Uso del Convertidor de Unidad de Medida</t>
  </si>
  <si>
    <t>template_label_steps_to_follow_for_the_mass_table</t>
  </si>
  <si>
    <t>Steps to follow for the Mass table:</t>
  </si>
  <si>
    <t xml:space="preserve">Trin til at følge massetabellen </t>
  </si>
  <si>
    <t>Te volgen stappenvoor de massatabel:</t>
  </si>
  <si>
    <t>Étapes à suivre pour le tableau des masses :</t>
  </si>
  <si>
    <t>Schritte zur Nutzung der Massentabelle:</t>
  </si>
  <si>
    <t>Céimeanna le leanúint don tábla mais:</t>
  </si>
  <si>
    <t>Passi da seguire per la tabella della massa:</t>
  </si>
  <si>
    <t>Veiksmai, kuriuos reikia atlikti masės lentelėje:</t>
  </si>
  <si>
    <t>Kroki do wykonania dla Tabeli masy:</t>
  </si>
  <si>
    <t xml:space="preserve">Passos a seguir para a tabela de Massa:
</t>
  </si>
  <si>
    <t>Koraki, ki jih je treba upoštevati pri pripravi tabele mase:</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</si>
  <si>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</si>
  <si>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</si>
  <si>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</si>
  <si>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</si>
  <si>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1. In cel B5 van de tabel  voor de meeteenheid van de massaconvertor moet de meeteenheid die moet worden omgezet, worden ingevoerd.</t>
  </si>
  <si>
    <t xml:space="preserve">1. Dans la cellule B5 du tableau relatif au convertisseur d’unité de mesure de la masse, l'unité de mesure à convertir doit être insérée. 
</t>
  </si>
  <si>
    <t>1. In Zelle B5 des Tabellenblatts mit dem Einheitenumrechner wird die umzuwandelnde Maßeinheit für die Masse eingetragen.</t>
  </si>
  <si>
    <t>1. I gcill B5 den tábla a bhaineann leis an Tiontaire Aonaid Tomhais Mais ba chóir an tAonad tomhais a thiontú.</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</si>
  <si>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</si>
  <si>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</si>
  <si>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</si>
  <si>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</si>
  <si>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1. V polje B5 tabele, ki se nanaša na mersko enoto za pretvornik mase, je treba vstaviti mersko enoto za pretvorbo.</t>
  </si>
  <si>
    <t>1. 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</si>
  <si>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</si>
  <si>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</si>
  <si>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</si>
  <si>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2. Vervolgens kan in cel B6 de hoeveelheid massa worden ingevoerd.</t>
  </si>
  <si>
    <t>2. Puis, dans la cellule B6, la quantité de masse peut être insérée.</t>
  </si>
  <si>
    <t>2. Dann wird in Zelle B6 die Masse eingetragen.</t>
  </si>
  <si>
    <t>2. Ansin i gcill B6 is féidir an méid maise a chur isteach.</t>
  </si>
  <si>
    <t>2. Poi nella cella B6 può essere inserita la quantità di massa.</t>
  </si>
  <si>
    <t>2. Tada langelyje B6 įrašykite masės kiekį.</t>
  </si>
  <si>
    <t>2. Następnie w komórce B6 można wprowadzić ilość masy.</t>
  </si>
  <si>
    <t>2. De seguida, na célula B6, pode ser inserido o valor da massa.</t>
  </si>
  <si>
    <t>2. Nato lahko v polje B6 vnesemo količino mase.</t>
  </si>
  <si>
    <t>2. 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</si>
  <si>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</si>
  <si>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</si>
  <si>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</si>
  <si>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 xml:space="preserve">3. Ten slotte moet in cel D5 de gewenste meeteenheidworden opgenomen.
</t>
  </si>
  <si>
    <t>3. Enfin, dans la cellule D5, l’unité de mesure souhaitée doit être indiquée.</t>
  </si>
  <si>
    <t>3. Abschließend wird in Zelle D5 die gewünschte Maßeinheit für die Masse eingetragen.</t>
  </si>
  <si>
    <t>3. Ar deireadh, i gcill D5 ba chóir go mbeadh an t-aonad tomhais úis.</t>
  </si>
  <si>
    <t>3. 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</si>
  <si>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</si>
  <si>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</si>
  <si>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</si>
  <si>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3. Končno bi morala biti v polju D5 merska enota, ki nas zanima.</t>
  </si>
  <si>
    <t>3. 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</si>
  <si>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</si>
  <si>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</si>
  <si>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</si>
  <si>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4. De uitkomst van de conversie wordt weergegeven in cel D6.</t>
  </si>
  <si>
    <t>4. Le résultat de la conversion sera affiché dans la cellule D6.</t>
  </si>
  <si>
    <t>4. Das Ergebnis der Umrechnung wird in Zelle D6 angezeigt.</t>
  </si>
  <si>
    <t>4. Taispeánfar toradh an chomhshóiteachta i gcill D6.</t>
  </si>
  <si>
    <t>4. L’esito della conversione sarà visualizzato nella cella D6.</t>
  </si>
  <si>
    <t>4. Konvertavimo rezultatas bus rodomas langelyje D6.</t>
  </si>
  <si>
    <t>4. Wynik konwersji zostanie wyświetlony w komórce D6.</t>
  </si>
  <si>
    <t>4. O resultado da conversão será exibido na célula D6.</t>
  </si>
  <si>
    <t>4. Rezultat pretvorbe bo prikazan v polju D6.</t>
  </si>
  <si>
    <t>4. 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</si>
  <si>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</si>
  <si>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</si>
  <si>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</si>
  <si>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 xml:space="preserve">De stappen die gevolgd moeten worden voor de andere tabellen (Volume, Energieverbruik, Dichtheid en NCV) zijn dezelfde als voor de Massatabel. 
</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</si>
  <si>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</si>
  <si>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</si>
  <si>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Tá na céimeanna atá le leanúint do na táblaí eile (Toirt, Tomhaltas Fuinnimh, Dlús agus NCV) mar an gcéanna leis an tábla Maise.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</si>
  <si>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</si>
  <si>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</si>
  <si>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</si>
  <si>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</si>
  <si>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Koraki, ki jih je treba upoštevati za ostale tabele (Prostornina, Poraba energije, Gostota in NCV), so enaki kot za tabelo Masa.</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</si>
  <si>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</si>
  <si>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</si>
  <si>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</si>
  <si>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</si>
  <si>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Hieronder zijn alle meeteenhedenen hun omrekeningen per tabel gespecificeerd.</t>
  </si>
  <si>
    <t>Ci‑dessous sont indiquées toutes les conversions d’unités de mesure pour chaque tableau.</t>
  </si>
  <si>
    <t>Nachfolgend sind alle Maßeinheiten der Tabellen für die Einheitenumrechnung angegeben.</t>
  </si>
  <si>
    <t>Sonraítear thíos na hAonaid tomhais go léir de gach tábla.</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</si>
  <si>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</si>
  <si>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</si>
  <si>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</si>
  <si>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</si>
  <si>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Spodaj so navedene vse pretvorbe merskih enot za vsako tabelo.</t>
  </si>
  <si>
    <t>A continuación se especifican todas las conversiones de unidades de medida de cada tabla.</t>
  </si>
  <si>
    <t>template_label_unit_of_measurement_of_mass_converter_list</t>
  </si>
  <si>
    <t>▪ Unit of measurement of Mass Converter:</t>
  </si>
  <si>
    <t>▪ Enhed for masseomregner:</t>
  </si>
  <si>
    <t>Meeteenheid van de massaconverter:</t>
  </si>
  <si>
    <t>▪ Unité de mesure du convertisseur de masse :</t>
  </si>
  <si>
    <t>▪ Maßeinheit des Massenumrechners:</t>
  </si>
  <si>
    <t>▪ Aonad tomhais Tiontaire Maise:</t>
  </si>
  <si>
    <t>▪ Unità di misura del convertitore di massa:</t>
  </si>
  <si>
    <t>▪ Jednostka miary przelicznika masy:</t>
  </si>
  <si>
    <t>▪ Unidade de medida do conversor de massa:</t>
  </si>
  <si>
    <t>▪ Pretvornik merskih enot mase:</t>
  </si>
  <si>
    <t>▪ Unidad de medida del Convertidor de Masa:</t>
  </si>
  <si>
    <t>template_label_unit_of_measurement_of_volume_converter_list</t>
  </si>
  <si>
    <t>▪ Unit of measurement of Volume Converter:</t>
  </si>
  <si>
    <t>▪ Måleenhed for volumekonverter:</t>
  </si>
  <si>
    <t xml:space="preserve">Meeteenheid van de volumeconverter: </t>
  </si>
  <si>
    <t>▪ Unité de mesure du convertisseur de volume :</t>
  </si>
  <si>
    <t>▪ Maßeinheit des Volumenumrechners:</t>
  </si>
  <si>
    <t>▪ Aonad tomhais Tiontaire Toirte:</t>
  </si>
  <si>
    <t>▪ Unità di misura del convertitore di volume:</t>
  </si>
  <si>
    <t>▪ Jednostka miary przelicznika objętości:</t>
  </si>
  <si>
    <t>▪ Unidade de medida do Conversor de Volume:</t>
  </si>
  <si>
    <t>▪ Pretvornik merskih enot za prostornino:</t>
  </si>
  <si>
    <t>▪ Unidad de medida del Convertidor de Volumen:</t>
  </si>
  <si>
    <t>template_label_unit_of_measurement_of_energy_converter_list</t>
  </si>
  <si>
    <t>▪ Unit of measurement of Energy Converter:</t>
  </si>
  <si>
    <t>▪ Måleenhed for energikonverter:</t>
  </si>
  <si>
    <t>Meeteenheid van de energieconverter:</t>
  </si>
  <si>
    <t>▪ Unité de mesure du convertisseur d'énergie :</t>
  </si>
  <si>
    <t>▪ Maßeinheit des Energieumrechners:</t>
  </si>
  <si>
    <t>▪ Aonad tomhais Tiontaire Fuinnimh:</t>
  </si>
  <si>
    <t>▪ Unità di misura del Convertitore di Energia:</t>
  </si>
  <si>
    <t>Energijos konverterio matavimo vienetas</t>
  </si>
  <si>
    <t>▪ Jednostka miary przelicznika energii:</t>
  </si>
  <si>
    <t>▪ Unidade de medida do Conversor de Energia:</t>
  </si>
  <si>
    <t>▪ Merska enota pretvornika energije:</t>
  </si>
  <si>
    <t>▪ Unidad de medida del Convertidor de Energía:</t>
  </si>
  <si>
    <t>template_label_unit_of_measurement_of_density_converter_list</t>
  </si>
  <si>
    <t>▪ Unit of measurement of Density Converter:</t>
  </si>
  <si>
    <t>▪ Måleenhed for densitetskonverter:</t>
  </si>
  <si>
    <t>Meeteenheid van meting de dichtheidconverter:</t>
  </si>
  <si>
    <t>▪ Unité de mesure du convertisseur de densité :</t>
  </si>
  <si>
    <t>▪ Maßeinheit des Dichteumrechners:</t>
  </si>
  <si>
    <t>▪ Aonad tomhais Tiontaire Dlúis:</t>
  </si>
  <si>
    <t>▪ Unità di misura del convertitore di densità:</t>
  </si>
  <si>
    <t>▪ Jednostka miary przelicznika gęstości:</t>
  </si>
  <si>
    <t>▪ Unidade de medida do Conversor de Densidade:</t>
  </si>
  <si>
    <t>▪ Pretvornik merskih enot gostote:</t>
  </si>
  <si>
    <t>▪ Unidad de medida del Convertidor de Densidad:</t>
  </si>
  <si>
    <t>template_label_unit_of_measurement_of_ncv_converter_list</t>
  </si>
  <si>
    <t>▪ Unit of measurement of NCV Converter:</t>
  </si>
  <si>
    <t>▪ Måleenhed for NCV-konverter:</t>
  </si>
  <si>
    <t>Meeteenheid van de NCV-r:</t>
  </si>
  <si>
    <t>▪ Unité de mesure du convertisseur PCN :</t>
  </si>
  <si>
    <t>▪ Maßeinheit des NCV-Umrechners:</t>
  </si>
  <si>
    <t>▪ Aonad tomhais Tiontaire NCV:</t>
  </si>
  <si>
    <t>▪ Unità di misura del convertitore PCN:</t>
  </si>
  <si>
    <t>▪ Jednostka miary przelicznika NCV:</t>
  </si>
  <si>
    <t>▪ Unidade de medida do Conversor NCV:</t>
  </si>
  <si>
    <t>▪ Merska enota pretvornika NCV:</t>
  </si>
  <si>
    <t>▪ Unidad de medida del convertidor NCV:</t>
  </si>
  <si>
    <t>template_label_mass_to_volume_instruction</t>
  </si>
  <si>
    <t>Similar steps, with also the specification of the denisty, can be applied to the last table for the conversion from Mass to Volumer (or viceversa).</t>
  </si>
  <si>
    <t>Lignende trin, med også specifikation af denisty, kan anvendes på den sidste tabel for omregningen fra Masse til Volumer (eller omvendt).</t>
  </si>
  <si>
    <t>Vergelijkbare stappen, met ook de specificatie van de dichtheid, kunnen worden toegepast op de laatste tabel voor de omzetting van massa naar volume (of omgekeerd).</t>
  </si>
  <si>
    <t>Des étapes similaires, avec la spécification de la dénitie, peuvent être appliquées à la dernière table pour la conversion de Mass en Volumer (ou inversement).</t>
  </si>
  <si>
    <t>Ähnliche Schritte, auch mit der Angabe der Dichte, können auf die letzte Tabelle für die Umrechnung von Masse zu Volumer (oder umgekehrt) angewendet werden.</t>
  </si>
  <si>
    <t>Is féidir céimeanna den chineál céanna, le sonraíocht an denisty freisin, a chur i bhfeidhm ar an tábla deireanach don chomhshó ó Aifreann go Toirteoir (nó vice versa).</t>
  </si>
  <si>
    <t>Passaggi simili, con la specifica della denisty, possono essere applicati all'ultima tabella per la conversione da Mass a Volumer (o viceversa).</t>
  </si>
  <si>
    <t>Panašūs žingsniai, taip pat nurodant denisty, gali būti taikomi paskutinei lentelei, konvertuojant iš masės į tūrį (arba atvirkščiai).</t>
  </si>
  <si>
    <t>Podobne kroki, wraz ze specyfikacją gęstości, można zastosować do ostatniej tabeli konwersji z Masy na Volumer (lub odwrotnie).</t>
  </si>
  <si>
    <t>Etapas semelhantes, com a especificação da denista, podem ser aplicadas à última tabela para a conversão de Mass para Volumer (ou vice-versa).</t>
  </si>
  <si>
    <t>Podobne korake, prav tako z določitvijo gostote, lahko uporabimo v zadnji tabeli za pretvorbo iz mase v volumen (ali obratno).</t>
  </si>
  <si>
    <t>Pasos similares, con la especificación de la denistad, pueden aplicarse a la última tabla para la conversión de Masa a Volumen (o viceversa).</t>
  </si>
  <si>
    <t>template_label_incomplete</t>
  </si>
  <si>
    <t>INCOMPLETE</t>
  </si>
  <si>
    <t xml:space="preserve">UFÆRDIG </t>
  </si>
  <si>
    <t>ONVOLLEDIG</t>
  </si>
  <si>
    <t>INCOMPLET</t>
  </si>
  <si>
    <t>UNVOLLSTÄNDIG</t>
  </si>
  <si>
    <t>NEAMHIOMLÁN</t>
  </si>
  <si>
    <t>INCOMPLETO</t>
  </si>
  <si>
    <t>NEBAIGTA</t>
  </si>
  <si>
    <t>NIEKOMPLETNY</t>
  </si>
  <si>
    <t>NEPOPOLNO</t>
  </si>
  <si>
    <t>template_label_complete</t>
  </si>
  <si>
    <t>COMPLETE</t>
  </si>
  <si>
    <t xml:space="preserve">FÆRDIG </t>
  </si>
  <si>
    <t>COMPLEET</t>
  </si>
  <si>
    <t>COMPLET</t>
  </si>
  <si>
    <t xml:space="preserve">VOLLSTÄNDIG
</t>
  </si>
  <si>
    <t>CRÍOCHNAITHE</t>
  </si>
  <si>
    <t>COMPLETO</t>
  </si>
  <si>
    <t>Baigta</t>
  </si>
  <si>
    <t>KOMPLETNY</t>
  </si>
  <si>
    <t>POPOLNO</t>
  </si>
  <si>
    <t>template_label_missing_value</t>
  </si>
  <si>
    <t>MISSING VALUE</t>
  </si>
  <si>
    <t>MANGLENDE VÆRDI</t>
  </si>
  <si>
    <t>ONTBREKENDE WAARDE</t>
  </si>
  <si>
    <t>VALEUR MANQUANTE</t>
  </si>
  <si>
    <t>FEHLENDER WERT</t>
  </si>
  <si>
    <t>LUACH IN EASNAMH</t>
  </si>
  <si>
    <t xml:space="preserve">VALORE MANCANTE
</t>
  </si>
  <si>
    <t>TRŪKSTAMA REIKŠMĖ</t>
  </si>
  <si>
    <t>BRAK WARTOŚCI</t>
  </si>
  <si>
    <t>VALOR EM FALTA</t>
  </si>
  <si>
    <t>MANJKAJOČA VREDNOST</t>
  </si>
  <si>
    <t xml:space="preserve">VALOR NO INFORMADO </t>
  </si>
  <si>
    <t>template_label_error</t>
  </si>
  <si>
    <t>ERROR</t>
  </si>
  <si>
    <t>FEJL</t>
  </si>
  <si>
    <t>FOUT</t>
  </si>
  <si>
    <t>ERREUR</t>
  </si>
  <si>
    <t>FEHLER</t>
  </si>
  <si>
    <t>EARRÁID</t>
  </si>
  <si>
    <t>ERRORE</t>
  </si>
  <si>
    <t>KLAIDA</t>
  </si>
  <si>
    <t>BŁĄD</t>
  </si>
  <si>
    <t>ERRO</t>
  </si>
  <si>
    <t>NAPAKA</t>
  </si>
  <si>
    <t>template_label_value_inconsistency</t>
  </si>
  <si>
    <t>VALUE INCONSISTENCY</t>
  </si>
  <si>
    <t>UOVERENSSTEMMELSE I VÆRDIER</t>
  </si>
  <si>
    <t>WAARDE-INCONSISTENTIE</t>
  </si>
  <si>
    <t>VALEUR INCOHÉRENTE</t>
  </si>
  <si>
    <t>INKONSISTENTER WERT</t>
  </si>
  <si>
    <t>NEAMHRÉIREACHT LUACHA</t>
  </si>
  <si>
    <t xml:space="preserve">INCOERENZA DI VALORE 
</t>
  </si>
  <si>
    <t>VERTĖS NESUTAPIMAS</t>
  </si>
  <si>
    <t>NIESPÓJNOŚĆ WARTOŚCI</t>
  </si>
  <si>
    <t>INCONSISTÊNCIA DE VALORES</t>
  </si>
  <si>
    <t>NESKLADNOST VREDNOSTI</t>
  </si>
  <si>
    <t>INCONSISTENCIA DE VALOR</t>
  </si>
  <si>
    <t>template_label_error_plus_value_inconsistency</t>
  </si>
  <si>
    <t>ERROR + VALUE INCONSISTENCY</t>
  </si>
  <si>
    <t>FEJL + UOVERENSSTEMMELSE I VÆRDIER</t>
  </si>
  <si>
    <t>FOUT + WAARDE-INCONSISTENTIE</t>
  </si>
  <si>
    <t>ERREUR + VALEUR INCOHÉRENTE</t>
  </si>
  <si>
    <t>FEHLER + INKONSISTENTER WERT</t>
  </si>
  <si>
    <t>EARRÁID + NEAMHRÉIREACHT LUACHA</t>
  </si>
  <si>
    <t>ERRORE + INCOERENZA DI VALORE</t>
  </si>
  <si>
    <t>KLAIDA + VERTĖS NESUTAPIMAS</t>
  </si>
  <si>
    <t>BŁĄD + NIESPÓJNOŚĆ WARTOŚCI</t>
  </si>
  <si>
    <t>ERRO + INCONSISTÊNCIA DE VALOR</t>
  </si>
  <si>
    <t>NESKLADNOST NAPAKE + VREDNOSTI</t>
  </si>
  <si>
    <t>ERROR+INCONSISTENCIA DE VALOR</t>
  </si>
  <si>
    <t>template_label_error_plus_missing_value_plus_value_inconsistency</t>
  </si>
  <si>
    <t>ERROR + MISSING VALUE + VALUE INCONSISTENCY</t>
  </si>
  <si>
    <t xml:space="preserve">FEJL + MANGLENDE VÆRDI +  UOVERENSSTEMMELSE I VÆRDIER </t>
  </si>
  <si>
    <t>FOUT + MISSENDE WAARDE + WAARDE-INCONSISTENTIE</t>
  </si>
  <si>
    <t>ERREUR + VALEUR MANQUANTE + VALEUR INCOHÉRENTE</t>
  </si>
  <si>
    <t>FEHLER + FEHLENDER WERT + INKONSISTENTER WERT</t>
  </si>
  <si>
    <t>EARRÁID + LUACH IN EASNAMH + NEAMHRÉIREACHT LUACHA</t>
  </si>
  <si>
    <t>ERRORE + VALORE MANCANTE + INCOERENZA DI VALORE</t>
  </si>
  <si>
    <t>KLAIDA + TRŪKSTAMA REIKŠMĖ + VERTĖS NENUOSEKLUMAS</t>
  </si>
  <si>
    <t>BŁĄD + BRAK WARTOŚCI + NIESPÓJNOŚĆ WARTOŚCI</t>
  </si>
  <si>
    <t>ERRO + VALOR EM FALTA + INCONSISTÊNCIA DE VALOR</t>
  </si>
  <si>
    <t>NAPAKA + MANJKAJOČA VREDNOST + NESKLADNOST VREDNOSTI</t>
  </si>
  <si>
    <t>ERROR+VALOR NO INFORMADO+INCONSISTENCIA DE VALOR</t>
  </si>
  <si>
    <t>template_label_error_plus_missing_value</t>
  </si>
  <si>
    <t>ERROR + MISSING VALUE</t>
  </si>
  <si>
    <t>FEJL + MANGLENDE VÆRDI</t>
  </si>
  <si>
    <t>FOUT + ONTBREKENDE WAARDE</t>
  </si>
  <si>
    <t>ERREUR + VALEUR MANQUANTE</t>
  </si>
  <si>
    <t>FEHLER + FEHLENDER WERT</t>
  </si>
  <si>
    <t>EARRÁID + LUACH IN EASNAMH</t>
  </si>
  <si>
    <t>ERRORE + VALORE MANCANTE</t>
  </si>
  <si>
    <t>KLAIDA + TRŪKSTAMA VERTĖ</t>
  </si>
  <si>
    <t>BŁĄD + BRAK WARTOŚCI</t>
  </si>
  <si>
    <t>ERRO + VALOR EM FALTA</t>
  </si>
  <si>
    <t>NAPAKA + MANJKAJOČA VREDNOST</t>
  </si>
  <si>
    <t xml:space="preserve">ERROR+VALOR NO INFORMADO </t>
  </si>
  <si>
    <t>template_label_missing_value_plus_value_inconsistency</t>
  </si>
  <si>
    <t>MISSING VALUE + VALUE INCONSISTENCY</t>
  </si>
  <si>
    <t>MANGLENDE VÆRDI + UOVERENSSTEMMELSE I VÆRDIER</t>
  </si>
  <si>
    <t xml:space="preserve">  ONTBREKENDE WAARDE + WAARDE-INCONSISTENTIE</t>
  </si>
  <si>
    <t>VALEUR MANQUANTE + VALEUR INCOHÉRENTE</t>
  </si>
  <si>
    <t>FEHLENDER WERT + INKONSISTENTER WERT</t>
  </si>
  <si>
    <t>NEAMHRÉIREACHT LUACHA + LUACH IN EASNAMH</t>
  </si>
  <si>
    <t>VALORE MANCANTE + INCOERENZA DI VALORE</t>
  </si>
  <si>
    <t>TRŪKSTAMA REIKŠMĖ + VERTĖS NEATITIKIMAS</t>
  </si>
  <si>
    <t>BRAKUJĄCA WARTOŚĆ + NIESPÓJNOŚĆ WARTOŚCI</t>
  </si>
  <si>
    <t>VALOR EM FALTA + INCONSISTÊNCIA DE VALOR</t>
  </si>
  <si>
    <t>MANJKAJOČA VREDNOST + NESKLADNOST VREDNOSTI</t>
  </si>
  <si>
    <t>VALOR NO INFORMADO+ INCOSISTENCIA DE VALOR</t>
  </si>
  <si>
    <t>template_label_invalid_url</t>
  </si>
  <si>
    <t>INVALID URL</t>
  </si>
  <si>
    <t>UGYLDIG URL</t>
  </si>
  <si>
    <t>ONGELDIGE URL</t>
  </si>
  <si>
    <t>URL INVALIDE</t>
  </si>
  <si>
    <t>UNGÜLTIGE URL</t>
  </si>
  <si>
    <t>URL NEAMHBHAILÍ</t>
  </si>
  <si>
    <t>URL NON VALIDO</t>
  </si>
  <si>
    <t>NETINKAMAS URL</t>
  </si>
  <si>
    <t>NIEPOPRAWNY URL</t>
  </si>
  <si>
    <t>URL INVÁLIDO</t>
  </si>
  <si>
    <t>NEVELJAVEN URL</t>
  </si>
  <si>
    <t>URL NO VÁLIDA</t>
  </si>
  <si>
    <t>template_label_ok</t>
  </si>
  <si>
    <t>OK</t>
  </si>
  <si>
    <t>CEART GO LEOR</t>
  </si>
  <si>
    <t>TINKAMA</t>
  </si>
  <si>
    <t>V redu</t>
  </si>
  <si>
    <t>CORRECTO</t>
  </si>
  <si>
    <t>template_label_classified_or_sensitive_information</t>
  </si>
  <si>
    <t>CLASSIFIED OR SENSITIVE INFORMATION</t>
  </si>
  <si>
    <t>KLASSIFICEREDE ELLER FØLSOMME OPLYSNINGER</t>
  </si>
  <si>
    <t>GECLASSIFICEERDE OF GEVOELIGE INFORMATIE</t>
  </si>
  <si>
    <t>INFORMATIONS CLASSIFIÉES OU SENSIBLES</t>
  </si>
  <si>
    <t>KLASSIFIZIERTE ODER SENSIBLE INFORMATIONEN</t>
  </si>
  <si>
    <t>FAISNÉIS RÚNAICMITHE NÓ ÍOGAIR</t>
  </si>
  <si>
    <t>INFORMAZIONI CLASSIFICATE O SENSIBILI</t>
  </si>
  <si>
    <t>ĮSLAPTINTA ARBA NESKELBTINA INFORMACIJA</t>
  </si>
  <si>
    <t>INFORMACJE TAJNE LUB WRAŻLIWE</t>
  </si>
  <si>
    <t>INFORMAÇÕES CLASSIFICADAS OU SENSÍVEIS</t>
  </si>
  <si>
    <t>ZAUPNI ALI OBČUTLJIVI PODATKI</t>
  </si>
  <si>
    <t>INFORMACIÓN CLASIFICADA O SENSIBLE</t>
  </si>
  <si>
    <t>template_label_liquid_warning</t>
  </si>
  <si>
    <t>ℹ️ Liquid fuel: please select one unit of measurement among m³ and L</t>
  </si>
  <si>
    <t>ℹ️ Flydende brændstof: vælg venligst en måleenhed blandt m³ og L</t>
  </si>
  <si>
    <t>ℹ️ Vloeibare brandstof: selecteer een meeteenheid uit m³ en L</t>
  </si>
  <si>
    <t>ℹ️ Combustible liquide : veuillez sélectionner une unité de mesure parmi m³ et L</t>
  </si>
  <si>
    <t>ℹ️ Flüssiger Brennstoff: Bitte wählen Sie eine Maßeinheit aus m³ und L aus</t>
  </si>
  <si>
    <t>ℹ️Breosla leachtach: roghnaigh aonad tomhais amháin i measc m³ agus L</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</si>
  <si>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</si>
  <si>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</si>
  <si>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</si>
  <si>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</si>
  <si>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Tekoče gorivo: izberite eno mersko enoto med m³ in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</si>
  <si>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</si>
  <si>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</si>
  <si>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</si>
  <si>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</si>
  <si>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Vaste brandstof: selecteer een meeteenheid uit Gg, t, Kg en g</t>
  </si>
  <si>
    <t>ℹ️ Combustible solide : veuillez choisir une unité de mesure parmi Gg, t, Kg et g</t>
  </si>
  <si>
    <t>ℹ️ Feste Brennstoffe: Bitte wählen Sie eine Maßeinheit aus Gg, t, Kg und g aus</t>
  </si>
  <si>
    <t>ℹ️ Breosla soladach: roghnaigh aonad tomhais amháin le do thoil i measc Gg, t, Kg agus g</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</si>
  <si>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</si>
  <si>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</si>
  <si>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</si>
  <si>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</si>
  <si>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Trdno gorivo: izberite eno mersko enoto med Gg, t, Kg in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</si>
  <si>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</si>
  <si>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</si>
  <si>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</si>
  <si>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</si>
  <si>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Gassoortige brandstof: selecteer een meeteenheid, m³ of L.</t>
  </si>
  <si>
    <t>ℹ️ Combustible gazeux : veuillez sélectionner une unité de mesure parmi m³ et L</t>
  </si>
  <si>
    <t>ℹ️ Gasförmige Brennstoffe: Bitte wählen Sie eine Maßeinheit aus m³ und L aus</t>
  </si>
  <si>
    <t>ℹ️ Breosla gásach: roghnaigh aonad tomhais amháin i measc m³ agus L</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</si>
  <si>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</si>
  <si>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</si>
  <si>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</si>
  <si>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</si>
  <si>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Plinasto gorivo: izberite eno mersko enoto med m³ in L</t>
  </si>
  <si>
    <t>ℹ️ Combustible gaseoso: seleccione una unidad de medida entre m³ y L</t>
  </si>
  <si>
    <t>template_label_identifier_warning</t>
  </si>
  <si>
    <t xml:space="preserve">ℹ️  The entity identifier is a unique ID, that will enable identifying the company that has reported the information. The Voluntary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</si>
  <si>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</si>
  <si>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De entiteitsidentificatie is een unieke ID die het mogelijk maakt het bedrijf te identificeren dat de informatie heeft gerapporteerd. De VSME-standaard vereist geen specifieke identificatie. Een entiteitsidentificatie is vereist voor de digitale rapportage.</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</si>
  <si>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</si>
  <si>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</si>
  <si>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Is aitheantóir uathúil é an t-aitheantóir gnóthais, a éascóidh an cuideachta a thuairiscigh an fhaisnéis a aithint. Ní éilíonn an Caighdeán VSME aon aitheantóir sonrach. Tá aitheantóir gnóthais ag teastáil don tuairisciú digiteach.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</si>
  <si>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</si>
  <si>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</si>
  <si>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</si>
  <si>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</si>
  <si>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ℹ️ Identifikator podjetja je edinstven ID, ki omogoča identifikacijo podjetja, ki je sporočilo podatke. Standard VSME ne zahteva nobenega posebnega identifikatorja. Za digitalno sporočilo je potreben identifikator podjetja.</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</si>
  <si>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</si>
  <si>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</si>
  <si>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</si>
  <si>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</si>
  <si>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Als er een bericht over WAARDE-INCONSISTENTIE  aan de rechterkant verschijnt, zorg er dan voor dat de einddatum van de rapportageperiode later is dan de begindatum van de rapportageperiode.</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</si>
  <si>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</si>
  <si>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</si>
  <si>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Má tá teachtaireacht NEAMHRÉIREACHT LUACHA le feiceáil ar dheis, déan cinnte go bhfuil dáta deiridh na tréimhse tuairiscithe níos mó ná dáta tosaigh na tréimhse tuairiscithe.</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</si>
  <si>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</si>
  <si>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</si>
  <si>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</si>
  <si>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</si>
  <si>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Če se na desni prikaže sporočilo NEDOSKLADNOST VREDNOSTI, se prepričajte, da je končni datum obdobja obračunavanja večji od začetnega datuma obdobja obračunavanja.</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</si>
  <si>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</si>
  <si>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</si>
  <si>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</si>
  <si>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</si>
  <si>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 Lijsten kunnen worden uitgebreid met de kleine [+] knop aan de linkerkant. Als het aantal rijen niet voldoende is, kunnen deze worden toegevoegd door met de rechtermuisknop op de tweede rij te klikken en "Rij invoegen" te selecteren.</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</si>
  <si>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</si>
  <si>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</si>
  <si>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Is féidir liostaí a leathnú ag baint úsáide as an gcnaipe beag [+] ar chlé.  Mura leor líon na sraitheanna, is féidir iad sin a chur leis trí chliceáil ar dheis ar an dara sraith agus "Cuir isteach sraith" a roghnú.</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</si>
  <si>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</si>
  <si>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</si>
  <si>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</si>
  <si>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</si>
  <si>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Sezname lahko razširite z majhnim gumbom [+] na levi. Če število vrstic ni zadostno, jih lahko dodate tako, da z desno miškino tipko kliknete drugo vrstico in izberete »Vstavi vrstico«.</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</si>
  <si>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</si>
  <si>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</si>
  <si>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</si>
  <si>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</si>
  <si>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Wanneer "overig" wordt gekozen als rechtsvorm van de onderneming, vul dan de onderstaande regel in</t>
  </si>
  <si>
    <t>ℹ️ Lorsque "autre" est choisi comme forme juridique de l'entreprise, veuillez remplir la ligne ci-dessous</t>
  </si>
  <si>
    <t xml:space="preserve">ℹ️ Wenn „sonstige“ als Rechtsform des Unternehmens gewählt wird, füllen Sie bitte die nachfolgende Zeile aus. </t>
  </si>
  <si>
    <t>ℹ️  Nuair a roghnaítear "eile" mar fhoirm dhlíthiúil gealltanais, líon isteach an tsraith thíos le do thoil</t>
  </si>
  <si>
    <t xml:space="preserve">ℹ️ Quando si sceglie "altro" come forma giuridica dell'impresa, si prega di compilare la riga sottostante
</t>
  </si>
  <si>
    <t>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</si>
  <si>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</si>
  <si>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</si>
  <si>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Če je kot pravna oblika podjetja izbrana možnost »drugo«, izpolnite spodnjo vrstico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</si>
  <si>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</si>
  <si>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</si>
  <si>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</si>
  <si>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</si>
  <si>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Selecteer een NACE-code in plaats van een categorie, anders verschijnt er een FOUTmelding.</t>
  </si>
  <si>
    <t>ℹ️ Veuillez sélectionner un code NACE plutôt qu'une catégorie, sinon un message d'ERREUR apparaîtra.</t>
  </si>
  <si>
    <t>ℹ️ Bitte wählen Sie einen NACE-Code anstelle einer Kategorie aus, da sonst die Meldung FEHLER erscheint.</t>
  </si>
  <si>
    <t>ℹ️  Roghnaigh cód NACE seachas catagóir, nó feicfear teachtaireacht EARRÁIDE.</t>
  </si>
  <si>
    <t>ℹ️ Si prega di selezionare un codice NACE anziché una categoria, altrimenti verrà visualizzato un messaggio di ERRORE.</t>
  </si>
  <si>
    <t>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</si>
  <si>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</si>
  <si>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</si>
  <si>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Izberite kodo NACE namesto kategorije, sicer se bo prikazalo sporočilo o NAPAKI.</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</si>
  <si>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</si>
  <si>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</si>
  <si>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</si>
  <si>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</si>
  <si>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Zorg ervoor dat u elk straatnummer en huisnummer  scheidt met het schuine streepje "/" en niet met de komma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</si>
  <si>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</si>
  <si>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</si>
  <si>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Bí cúramach le do thoil gach uimhir sráide agus uimhir tí a scaradh ag baint úsáide as an tsiombail slais "/" agus ní an camóg ","</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</si>
  <si>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</si>
  <si>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</si>
  <si>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</si>
  <si>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</si>
  <si>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Prosimo, pazite, da vsako ulično in hišno številko ločite s poševnico "/" in ne z vejico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</si>
  <si>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</si>
  <si>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</si>
  <si>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</si>
  <si>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</si>
  <si>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Houd er rekening mee dat de formule  in deze cel  kan worden overschreven als de onderneming de waarde direct wil leveren.</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</si>
  <si>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</si>
  <si>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</si>
  <si>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Tabhair faoi deara le do thoil go bhféadfaí an fhoirmle atá i láthair sa chill seo a fhorscríobh i gcás gur mian leis an ngnóthas an luach a sholáthar go díreach.</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</si>
  <si>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</si>
  <si>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</si>
  <si>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</si>
  <si>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</si>
  <si>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Upoštevajte, da se lahko formula v tem polju prepiše, če želi podjetje neposredno navesti vrednost.</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</si>
  <si>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</si>
  <si>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</si>
  <si>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</si>
  <si>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</si>
  <si>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ℹ️ De Scope 3-categorieën volgens het GHGprotocol kunnen helpen bij het berekenen van de totale broeikasgasemissies van Scope 3. Als de onderneming dat wenst, kan zij de totale broeikasgasemissies van Scope 3 rechtstreeks in de betreffende cel verstrekken.</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</si>
  <si>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</si>
  <si>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</si>
  <si>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</si>
  <si>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</si>
  <si>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</si>
  <si>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</si>
  <si>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</si>
  <si>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Kategorije obsega 3 v skladu s Protokolom o toplogrednih plinih lahko pomagajo pri izračunu skupnih emisij toplogrednih plinov obsega 3. Če podjetje želi, lahko v ustreznem polju neposredno navede skupne emisije toplogrednih plinov obsega 3.</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</si>
  <si>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</si>
  <si>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</si>
  <si>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</si>
  <si>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</si>
  <si>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Als er een validatie  wordt weergegeven die betrekking heeft op inconsistente waarden, selecteer dan een site-ID die verschilt van een van de eerdere selectie.</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</si>
  <si>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</si>
  <si>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</si>
  <si>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Má thaispeántar bailíochtú a bhaineann le neamhréireacht luacha, roghnaigh aitheantóir suímh atá difriúil ó cheann de na cinn a roghnaíodh roimhe seo.</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</si>
  <si>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</si>
  <si>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</si>
  <si>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</si>
  <si>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</si>
  <si>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Če se prikaže preverjanje, povezano z nedoslednostjo vrednosti, izberite ID spletnega mesta, ki se razlikuje od enega od prej izbranih.</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</si>
  <si>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</si>
  <si>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</si>
  <si>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</si>
  <si>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</si>
  <si>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ℹ️ Selecteer een type afval (gevaarlijk of niet-gevaarlijk) in plaats van een categorie, anders verschijnt er een FOUTmelding.</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</si>
  <si>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</si>
  <si>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</si>
  <si>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Roghnaigh Cineál dramhaíola (Guaiseach nó Neamh-Ghuaiseach) seachas catagóir nó beidh teachtaireacht EARRÁIDE le feiceáil.</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</si>
  <si>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</si>
  <si>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</si>
  <si>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</si>
  <si>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</si>
  <si>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Izberite vrsto odpadkov (nevarni ali nenevarni) namesto kategorije, sicer se bo prikazalo sporočilo o NAPAKI.</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</si>
  <si>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</si>
  <si>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</si>
  <si>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</si>
  <si>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</si>
  <si>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 xml:space="preserve">ℹ️ Zorg ervoor dat het totale aantal medewerkers hetzelfde is als het aantal dat is opgegeven in cel E55 van het blad "Algemene Informatie"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</si>
  <si>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</si>
  <si>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</si>
  <si>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 xml:space="preserve">ℹ️  Déan cinnte le do thoil go bhfuil líon iomlán na bhfostaithe mar an gcéanna leis an gceann a chuirtear ar fáil sa chill bhileog "Faisnéis Ghinearálta" E55
</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</si>
  <si>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</si>
  <si>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</si>
  <si>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</si>
  <si>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</si>
  <si>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Prosimo, prepričajte se, da je skupno število zaposlenih enako tistemu, ki je navedeno na zavihku »Splošne informacije«, polju E55.</t>
  </si>
  <si>
    <t>ℹ️ Por favor, asegúrese de que el número total de empleados sea el mismo que el proporcionado en la celda E55 de la hoja "Información General"</t>
  </si>
  <si>
    <t>template_label_health_and_safety_formula_warning</t>
  </si>
  <si>
    <t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</si>
  <si>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</si>
  <si>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</si>
  <si>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</si>
  <si>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</si>
  <si>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</si>
  <si>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</si>
  <si>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</si>
  <si>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</si>
  <si>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</si>
  <si>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Podjetje lahko spremeni vrednost v tem polju, saj 2000 ur temelji na predpostavki, da en delavec s polnim delovnim časom dela 2000 ur na leto. Ta številka se lahko razlikuje glede na državo ali sektor, odvisno od nacionalnih predpisov ali kolektivnih pogodb.</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</si>
  <si>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</si>
  <si>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template_label_bold_omitted_information</t>
  </si>
  <si>
    <t>ℹ️  Whenever a disclosure is fully omitted because sensitive or classfied, it will be highligted in bold</t>
  </si>
  <si>
    <t>ℹ️  Når en oplysning fuldstændigt udelades, fordi den er følsom eller klassificeret, vil den blive fremhævet med fed skrift</t>
  </si>
  <si>
    <t>ℹ️  Wanneer een openbaarmaking volledig wordt weggelaten omdat ze gevoelig of geclassificeerd is, wordt deze vetgedrukt gepresenteerd</t>
  </si>
  <si>
    <t>ℹ️  Chaque fois qu’une divulgation est complètement omise parce qu’elle est sensible ou classifiée, elle sera surlignée en gras</t>
  </si>
  <si>
    <t>ℹ️  Immer wenn eine Offenlegung als sensibel oder klassifiziert weggelassen wird, wird sie fett hervorgehoben</t>
  </si>
  <si>
    <t>ℹ️  Aon uair a fhágtar nochtadh ar lár go hiomlán toisc go bhfuil sé íogair nó aicmithe, beidh sé ardaithe i gcló trom</t>
  </si>
  <si>
    <t>ℹ️  Ogni volta che una divulgazione viene completamente omessa perché sensibile o classificata, sarà evidenziata in grassetto</t>
  </si>
  <si>
    <t>ℹ️  Kai atskleidimas visiškai praleidžiamas dėl slapto ar įslaptinto, jis bus paryškintas</t>
  </si>
  <si>
    <t>ℹ️  Za każdym razem, gdy ujawnienie jest całkowicie pomijane z powodu wrażliwości lub utajnienia, jest ono oznaczone pogrubieniem</t>
  </si>
  <si>
    <t>ℹ️  Sempre que uma divulgação for totalmente omitida por ser sensível ou classificada, ela será destacada em negrito</t>
  </si>
  <si>
    <t>ℹ️ Kadar je razkritje v celoti izpuščeno zaradi občutljive ali zaupne narave, bo označeno s krepko pisavo.</t>
  </si>
  <si>
    <t>ℹ️  Siempre que una divulgación se omita completamente por ser sensible o clasificada, se resaltará en negrita</t>
  </si>
  <si>
    <t>template_label_GHG_calculator</t>
  </si>
  <si>
    <t>ℹ️ Check EFRAG website for a non-exhaustive list of GHG calculators.</t>
  </si>
  <si>
    <t>ℹ️ Tjek EFRAGs hjemmeside for en ikke-udtømmende liste over drivhusgasberegnere.</t>
  </si>
  <si>
    <t>ℹ️ Bekijk de EFRAG-website voor een niet-uitputtende lijst van BKG-calculators.</t>
  </si>
  <si>
    <t>ℹ️ Consultez le site web de l’EFRAG pour une liste non exhaustive de calculateurs de GES.</t>
  </si>
  <si>
    <t>ℹ️ Besuchen Sie die EFRAG-Website für eine nicht vollständige Liste der THG-Rechner.</t>
  </si>
  <si>
    <t>ℹ️ Seiceáil láithreán gréasáin EFRAG le haghaidh liosta neamhuileghabhálach d'áireamháin ghnó ceaptha teasa.</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</si>
  <si>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</si>
  <si>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</si>
  <si>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</si>
  <si>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</si>
  <si>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Za neizčrpen seznam kalkulatorjev toplogrednih plinov preverite spletno stran EFRAG.</t>
  </si>
  <si>
    <t>ℹ️ Consulte el sitio web del EFRAG para obtener una lista no exhaustiva de calculadoras de GEI.</t>
  </si>
  <si>
    <t>template_label_supporting_guidance_c2</t>
  </si>
  <si>
    <t>ℹ️ VSME Supporting Guidance on Disclosure C2 - Comprehensive Module (Practices, Policies, and Future Initiatives)</t>
  </si>
  <si>
    <t>ℹ️ VSME Støttevejledning om Oplysning C2 - Omfattende modul (Praksisser, Politikker og Fremtidige Initiativer)</t>
  </si>
  <si>
    <t>ℹ️ VSME Ondersteunende Richtlijnen voor Openbaarmaking C2 - Uitgebreide Module (Praktijken, Beleid en Toekomstige Initiatieven)</t>
  </si>
  <si>
    <t>ℹ️ Directives de soutien VSME sur la divulgation C2 - Module complet (Pratiques, politiques et initiatives futures)</t>
  </si>
  <si>
    <t>ℹ️ VSME-Unterstützungsleitlinien zur Offenlegung C2 – Umfassendes Modul (Praktiken, Richtlinien und zukünftige Initiativen)</t>
  </si>
  <si>
    <t xml:space="preserve"> ℹ️ Treoir Tacaíochta VSME maidir le Nochtadh C2 - Modúl Cuimsitheach (Cleachtais, Beartais, agus Tionscnaimh sa Todhchaí)</t>
  </si>
  <si>
    <t>ℹ️ Linee guida di supporto VSME sulla divulgazione C2 - Modulo completo (Pratiche, Politiche e Iniziative Future)</t>
  </si>
  <si>
    <t>ℹ️ VSME pagalbinės gairės dėl informacijos atskleidimo C2 – išsamus modulis (praktika, politika ir ateities iniciatyvos)</t>
  </si>
  <si>
    <t>ℹ️ VSME Wspierające Wytyczne dotyczące ujawniania C2 – Moduł kompleksowy (Praktyki, Polityki i Przyszłe Inicjatywy)</t>
  </si>
  <si>
    <t>ℹ️ Orientação de Apoio do VSME sobre Divulgação C2 - Módulo Abrangente (Práticas, Políticas e Iniciativas Futuras)</t>
  </si>
  <si>
    <t>ℹ️ Podporne smernice VSME o razkritju C2 - Celovit modul (Prakse, politike in prihodnje pobude)</t>
  </si>
  <si>
    <t>ℹ️ Guía de apoyo de VSME sobre divulgación C2 - Módulo integral (Prácticas, políticas e iniciativas futuras)</t>
  </si>
  <si>
    <t>template_label_supporting_guidance_c3</t>
  </si>
  <si>
    <t>ℹ️ VSME Supporting guide on Disclosure C3 - Comprehensive Module (GHG reduction targets and climate transition)</t>
  </si>
  <si>
    <t>ℹ️ VSME-støttevejledning om oplysning C3 – Omfattende modul (mål for reduktion af drivhusgasser og klimaomstilling)</t>
  </si>
  <si>
    <t>ℹ️ VSME Ondersteunende gids over Openbaarmaking C3 – Uitgebreide module (THG-reductiedoelstellingen en klimaattransitie)</t>
  </si>
  <si>
    <t>ℹ️ Guide de soutien VSME sur la divulgation C3 – Module complet (objectifs de réduction des GES et transition climatique)</t>
  </si>
  <si>
    <t>ℹ️ VSME-Unterstützungsleitfaden zur Offenlegung C3 – Umfassendes Modul (Treibhausgasreduktionsziele und Klimawandelumstellung)</t>
  </si>
  <si>
    <t>ℹ️ VSME Treoir Tacaíochta maidir le Nochtadh C3 – Modúl Cuimsitheach (spriocanna laghdaithe gás ceaptha teasa agus aistriú aeráide)</t>
  </si>
  <si>
    <t>ℹ️ Guida di supporto VSME sulla Disclosure C3 – Modulo Completo (obiettivi di riduzione dei gas serra e transizione climatica)</t>
  </si>
  <si>
    <t>ℹ️ VSME pagalbinis informacijos atskleidimo vadovas C3 – išsamus modulis (ŠESD mažinimo tikslai ir klimato kaitos pertvarka)</t>
  </si>
  <si>
    <t>ℹ️ VSME Przewodnik wspierający ujawnianie C3 – Moduł kompleksowy (cele redukcji emisji gazów cieplarnianych i transformacja klimatyczna)</t>
  </si>
  <si>
    <t>ℹ️ Guia de apoio VSME sobre Divulgação C3 – Módulo Abrangente (metas de redução de GEE e transição climática)</t>
  </si>
  <si>
    <t>ℹ️ Podporni vodnik VSME o razkritju C3 - Celovit modul (Cilji za zmanjšanje emisij toplogrednih plinov in podnebni prehod)</t>
  </si>
  <si>
    <t>ℹ️ Guía de apoyo de VSME sobre divulgación C3 – Módulo integral (objetivos de reducción de gases de emersión y transición climática)</t>
  </si>
  <si>
    <t>template_label_supporting_guidance_c7</t>
  </si>
  <si>
    <t>ℹ️ VSME Supporting Guide to Disclosure C7 - Comprehensive Module (Severe negative human rights incidents (paragraph 62(c))</t>
  </si>
  <si>
    <t>ℹ️ VSME Støttevejledning til Oplysning C7 – Omfattende modul (Alvorlige negative menneskerettighedshændelser (afsnit 62(c))</t>
  </si>
  <si>
    <t>ℹ️ VSME Ondersteunende Gids voor Openbaarmaking C7 – Uitgebreide Module (Ernstige negatieve mensenrechtenincidenten (paragraaf 62(c))</t>
  </si>
  <si>
    <t>ℹ️ Guide de soutien VSME à la divulgation C7 – Module complet (Incidents graves négatifs liés aux droits de l’homme (paragraphe 62(c))</t>
  </si>
  <si>
    <t>ℹ️ VSME Supporting Guide to Disclosure C7 – Umfassendes Modul (Schwere negative Menschenrechtsvorfälle (Absatz 62(c))</t>
  </si>
  <si>
    <t>ℹ️ Treoir Tacaíochta VSME maidir le Nochtadh C7 – Modúl Cuimsitheach (Teagmhais dhiúltacha tromchúiseacha ar chearta an duine (mír 62(c))</t>
  </si>
  <si>
    <t>ℹ️ Guida di supporto VSME alla Divulgazione C7 – Modulo Completo (Gravi episodi negativi di diritti umani (paragrafo 62(c))</t>
  </si>
  <si>
    <t>ℹ️ VSME pagalbinis informacijos atskleidimo vadovas C7 – išsamus modulis (Sunkūs neigiami žmogaus teisių incidentai (62 dalies c punktas))</t>
  </si>
  <si>
    <t>ℹ️ VSME Wspierający Przewodnik po ujawnianiu C7 – Moduł kompleksowy (Poważne negatywne incydenty dotyczące praw człowieka (paragraf 62(c))</t>
  </si>
  <si>
    <t>ℹ️ Guia de Apoio VSME para Divulgação C7 – Módulo Abrangente (Incidentes negativos graves de direitos humanos (parágrafo 62(c))</t>
  </si>
  <si>
    <t>ℹ️ Podporni vodnik VSME o razkritju C7 - Celovit modul (Hudi negativni incidenti na področju človekovih pravic (odstavek 62(c))</t>
  </si>
  <si>
    <t>ℹ️ Guía de Apoyo de VSME para la Divulgación C7 – Módulo Completo (Incidentes negativos graves de derechos humanos (párrafo 62(c))</t>
  </si>
  <si>
    <t>template_label_information_on_sensitive_information_before_converting</t>
  </si>
  <si>
    <t>ℹ️ WARNING: Information inserted in VSME Digital Template but marked as classified or sensitive information. Please make sure to remove such information from the VS Digital Template, else it will converted in the Inline XBRL report.</t>
  </si>
  <si>
    <t>ℹ️ ADVARSEL: Information indsat i VSME Digital Template, men markeret som klassificeret eller følsom information. Sørg venligst for at fjerne sådanne oplysninger fra VSME Digital Template, ellers vil de blive konverteret i Inline XBRL-rapporten.</t>
  </si>
  <si>
    <t>ℹ️ WAARSCHUWING: Informatie ingevoegd in het VSME Digitale Sjabloon maar gemarkeerd als geclassificeerde of gevoelige informatie. Zorg ervoor dat je deze informatie uit de VSME Digital Template verwijdert, anders wordt deze omgezet in het Inline XBRL-rapport.</t>
  </si>
  <si>
    <t>ℹ️ AVERTISSEMENT : Informations insérées dans le modèle numérique VSME mais marquées comme informations classifiées ou sensibles. Veuillez vous assurer de retirer ces informations du modèle numérique VSME, sinon elles seront converties dans le rapport Inline XBRL.</t>
  </si>
  <si>
    <t>ℹ️ WARNUNG: Informationen wurden in der VSME-Digitalvorlage eingefügt, aber als klassifizierte oder sensible Informationen gekennzeichnet. Bitte entfernen Sie solche Informationen aus der VSME Digital Template, sonst werden sie im Inline XBRL-Bericht umgewandelt.</t>
  </si>
  <si>
    <t>ℹ️ RABHADH: Faisnéis a chuirtear isteach i dTeimpléad Digiteach VSME ach atá marcáilte mar fhaisnéis rúnaicmithe nó íogair. Déan cinnte go mbainfidh tú an t-eolas sin as an Teimpléad Digiteach VSME, ar shlí eile tiontófar é sa tuarascáil Inline XBRL.</t>
  </si>
  <si>
    <t>ℹ️ ATTENZIONE: Informazioni inserite nel VSME Digital Template ma contrassegnate come informazioni classificate o sensibili. Assicurati di rimuovere tali informazioni dal modello digitale VSME, altrimenti verranno convertite nel report Inline XBRL.</t>
  </si>
  <si>
    <t>ℹ️ ĮSPĖJIMAS: Informacija, įterpta į VSME skaitmeninį šabloną, bet pažymėta kaip įslaptinta arba neskelbtina informacija. Būtinai pašalinkite tokią informaciją iš VSME skaitmeninio šablono, kitaip ji bus konvertuota į Inline XBRL ataskaitą.</t>
  </si>
  <si>
    <t>ℹ️ UWAGA: Informacje wprowadzone do VSME Digital Template, ale oznaczone jako informacje tajne lub wrażliwe. Prosimy o usunięcie takich informacji z szablonu VSME Digital Template, w przeciwnym razie zostaną one przekształcone w raporcie Inline XBRL.</t>
  </si>
  <si>
    <t>ℹ️ AVISO: Informações inseridas no Modelo Digital VSME, mas marcadas como informações classificadas ou sensíveis. Por favor, certifique-se de remover essas informações do Modelo Digital VSME, caso contrário elas serão convertidas no relatório Inline XBRL.</t>
  </si>
  <si>
    <t>ℹ️ OPOZORILO: Informacije so bile vnesene v digitalno predlogo VSME, vendar označene kot zaupne ali občutljive informacije. Prosimo, da te informacije odstranite iz digitalne predloge VSME, sicer bodo pretvorjene v Vgrajeno poročilo XBRL.</t>
  </si>
  <si>
    <t>ℹ️ ADVERTENCIA: Información insertada en la Plantilla Digital VSME pero marcada como información clasificada o sensible. Por favor, asegúrese de eliminar dicha información de la plantilla digital VSME, de lo contrario se convertirá en el informe Inline XBRL.</t>
  </si>
  <si>
    <t>template_label_warning_microsoft_excel</t>
  </si>
  <si>
    <t>ℹ️ WARNING: The Digital Template was developed and tested using Microsoft Excel 365. Functionality may be limited or incorrect when using other spreadsheet applications or older versions of Excel.</t>
  </si>
  <si>
    <t>ℹ️ ADVARSEL: Den digitale skabelon blev udviklet og testet med Microsoft Excel 365. Funktionaliteten kan være begrænset eller forkert, når man bruger andre regnearksapplikationer eller ældre versioner af Excel.</t>
  </si>
  <si>
    <t>ℹ️ WAARSCHUWING: Het Digitale Sjabloon is ontwikkeld en getest met Microsoft Excel 365. De functionaliteit kan beperkt of onjuist zijn bij het gebruik van andere spreadsheetapplicaties of oudere versies van Excel.</t>
  </si>
  <si>
    <t>ℹ️ AVERTISSEMENT : Le modèle numérique a été développé et testé avec Microsoft Excel 365. Les fonctionnalités peuvent être limitées ou incorrectes lors de l’utilisation d’autres applications de tableaux Excel ou d’anciennes versions d’Excel.</t>
  </si>
  <si>
    <t>ℹ️ WARNUNG: Die digitale Vorlage wurde mit Microsoft Excel 365 entwickelt und getestet. Die Funktionalität kann bei Verwendung anderer Tabellenkalkulationsanwendungen oder älterer Excel-Versionen eingeschränkt oder fehlerhaft sein.</t>
  </si>
  <si>
    <t>ℹ️ RABHADH: Forbraíodh agus tástáladh an Teimpléad Digiteach ag baint úsáide as Microsoft Excel 365. D'fhéadfadh feidhmiúlacht a bheith teoranta nó mícheart nuair a úsáideann feidhmchláir scarbhileog eile nó leaganacha níos sine de Excel.</t>
  </si>
  <si>
    <t>ℹ️ ATTENZIONE: Il Template Digitale è stato sviluppato e testato utilizzando Microsoft Excel 365. Le funzionalità possono essere limitate o errate quando si utilizzano altre applicazioni di fogli di calcolo o versioni più vecchie di Excel.</t>
  </si>
  <si>
    <t>ℹ️ ĮSPĖJIMAS: Skaitmeninis šablonas buvo sukurtas ir išbandytas naudojant Microsoft Excel 365. Funkcijos gali būti ribotos arba neteisingos, kai naudojamos kitos skaičiuoklės programos arba senesnės "Excel" versijos.</t>
  </si>
  <si>
    <t>ℹ️ UWAGA: Szablon cyfrowy został opracowany i przetestowany przy użyciu Microsoft Excel 365. Funkcjonalność może być ograniczona lub nieprawidłowa podczas korzystania z innych arkuszy kalkulacyjnych lub starszych wersji Excela.</t>
  </si>
  <si>
    <t>ℹ️ AVISO: O Template Digital foi desenvolvido e testado usando Microsoft Excel 365. A funcionalidade pode ser limitada ou incorreta ao usar outros aplicativos de planilha ou versões mais antigas do Excel.</t>
  </si>
  <si>
    <t>ℹ️ OPOZORILO: Digitalna predloga je bila razvita in preizkušena z uporabo programa Microsoft Excel 365. Funkcionalnost je lahko omejena ali napačna pri uporabi drugih programov za preglednice ali starejših različic programa Excel.</t>
  </si>
  <si>
    <t>ℹ️ ADVERTENCIA: La plantilla digital fue desarrollada y probada usando Microsoft Excel 365. La funcionalidad puede ser limitada o incorrecta al utilizar otras aplicaciones de hojas de cálculo o versiones anteriores de Excel.</t>
  </si>
  <si>
    <t>template_label_buttons_footnotes</t>
  </si>
  <si>
    <t>ℹ️ If needed, the expansion buttons of the left can be used to increase the number of rows and associate the same footnote to several disclosures</t>
  </si>
  <si>
    <t>ℹ️ Hvis nødvendigt kan udvidelsesknapperne til venstre bruges til at øge antallet af rækker og knytte den samme fodnote til flere afsløringer</t>
  </si>
  <si>
    <t>ℹ️ Indien nodig kunnen de uitbreidingsknoppen aan de linkerkant worden gebruikt om het aantal rijen te vergroten en dezelfde voetnoot aan verschillende openbaringen te koppelen</t>
  </si>
  <si>
    <t>ℹ️ Si nécessaire, les boutons d’extension de gauche peuvent être utilisés pour augmenter le nombre de lignes et associer la même note de bas de page à plusieurs divulgations</t>
  </si>
  <si>
    <t>ℹ️ Falls nötig, können die Erweiterungstasten links verwendet werden, um die Anzahl der Zeilen zu erhöhen und dieselbe Fußnote mehreren Offenbarungen zuzuordnen</t>
  </si>
  <si>
    <t>ℹ️ Más gá, is féidir na cnaipí leathnaithe ar chlé a úsáid chun líon na sraitheanna a mhéadú agus an fonóta céanna a cheangal le nochtadh éagsúla</t>
  </si>
  <si>
    <t>ℹ️ Se necessario, i pulsanti di espansione a sinistra possono essere usati per aumentare il numero di righe e associare la stessa nota a diverse dichiarazioni</t>
  </si>
  <si>
    <t>ℹ️ Jei reikia, kairėje esančiais išplėtimo mygtukais galima padidinti eilučių skaičių ir susieti tą pačią išnašą su keliais atskleidimais</t>
  </si>
  <si>
    <t>ℹ️ W razie potrzeby można użyć przycisków rozszerzających po lewej stronie, aby zwiększyć liczbę wierszy i przypisać tę samą przypisę do kilku ujawnień</t>
  </si>
  <si>
    <t>ℹ️ Se necessário, os botões de expansão à esquerda podem ser usados para aumentar o número de linhas e associar a mesma nota de rodapé a várias divulgações</t>
  </si>
  <si>
    <t>ℹ️ Če je potrebno, lahko gumbi za razširitev na levi strani povečajo število vrstic in isto opombo povežejo z več razkritji</t>
  </si>
  <si>
    <t>ℹ️ Si es necesario, los botones de expansión de la izquierda pueden usarse para aumentar el número de filas y asociar la misma nota al pie a varias divulgaciones</t>
  </si>
  <si>
    <t>template_label_warning_values_greater_than_zero</t>
  </si>
  <si>
    <t>ℹ️ WARNING: Please note that only values greater than zero (0) should be inserted</t>
  </si>
  <si>
    <t>ℹ️ ADVARSEL: Bemærk venligst, at kun værdier større end nul (0) bør indsættes</t>
  </si>
  <si>
    <t>ℹ️ WAARSCHUWING: Let op: alleen waarden groter dan nul (0) mogen worden ingevoegd</t>
  </si>
  <si>
    <t>ℹ️ AVERTISSEMENT : Veuillez noter que seules les valeurs supérieures à zéro (0) doivent être insérées</t>
  </si>
  <si>
    <t>ℹ️ WARNUNG: Bitte beachten Sie, dass nur Werte größer als null (0) eingefügt werden sollten</t>
  </si>
  <si>
    <t>ℹ️ RABHADH: Tabhair faoi deara, le do thoil, nár chóir ach luachanna níos mó ná nialas (0) a chur isteach</t>
  </si>
  <si>
    <t>ℹ️ ATTENZIONE: Si prega di notare che devono essere inseriti solo valori superiori a zero (0)</t>
  </si>
  <si>
    <t>ℹ️ ĮSPĖJIMAS: Atkreipkite dėmesį, kad reikia įterpti tik reikšmes, didesnes nei nulis (0)</t>
  </si>
  <si>
    <t>ℹ️ UWAGA: Prosimy pamiętać, że należy wstawiać tylko wartości większe niż zero (0)</t>
  </si>
  <si>
    <t>ℹ️ AVISO: Por favor, note que apenas valores maiores que zero (0) devem ser inseridos</t>
  </si>
  <si>
    <t>ℹ️ OPOZORILO: Prosimo, upoštevajte, da je treba vstavljati le vrednosti večje od nič (0)</t>
  </si>
  <si>
    <t>ℹ️ ADVERTENCIA: Tenga en cuenta que solo deben insertarse valores mayores que cero (0)</t>
  </si>
  <si>
    <t>template_label_other_pollutants_message</t>
  </si>
  <si>
    <t>ℹ️ The cells of column D to K (from row 174 to 184) associated to "Other pollutants than those listed in the Regulation (EU) 2024/1244 of the European Parliament and of the Council" enable the possibility of inserting amounts and names of the other pollutants, not included in the list above</t>
  </si>
  <si>
    <t>ℹ️ Cellerne i kolonne D til K (fra række 174 til 184), der er tilknyttet "Andre forurenende stoffer end dem, der er opført i forordning (EU) 2024/1244 fra Europa-Parlamentet og Rådet", muliggør indsættelse af mængder og navne på de andre forurenende stoffer, som ikke er inkluderet i ovenstående liste</t>
  </si>
  <si>
    <t>ℹ️ De cellen van kolom D tot K (van rij 174 tot 184) gekoppeld aan "Andere verontreinigende stoffen dan die vermeld in de Verordening (EU) 2024/1244 van het Europees Parlement en van de Raad" maken het mogelijk om hoeveelheden en namen van de andere verontreinigende stoffen in te voegen, die niet in bovenstaande lijst zijn opgenomen,</t>
  </si>
  <si>
    <t>ℹ️ Les cellules de la colonne D à K (de la ligne 174 à 184) associées à « Autres polluants autres que ceux listés dans le Règlement (UE) 2024/1244 du Parlement européen et du Conseil » permettent d’insérer des quantités et des noms des autres polluants non inclus dans la liste ci-dessus</t>
  </si>
  <si>
    <t>ℹ️ Die Zellen der Spalte D bis K (von Zeile 174 bis 184), die mit "Andere Schadstoffe als die in der Verordnung (EU) 2024/1244 des Europäischen Parlaments und des Rates aufgeführten aufgeführten sind" verknüpft sind, ermöglichen die Einfügung von Mengen und Namen der anderen Schadstoffe, die in der obigen Liste nicht enthalten sind.</t>
  </si>
  <si>
    <t>ℹ️ Cuireann na cealla i gcolún D go K (ó shraith 174 go 184) a bhaineann le "Truailleáin eile seachas iad siúd atá liostaithe i Rialachán (AE) 2024/1244 ó Pharlaimint na hEorpa agus ón gComhairle" ar chumas an fhéidearthacht méideanna agus ainmneacha na dtruailleán eile nach bhfuil san áireamh sa liosta thuas a chur isteach</t>
  </si>
  <si>
    <t>ℹ️ Le celle dalla colonna D alla K (dalla riga 174 alla 184) associate a "Altri inquinanti diversi da quelli elencati nel Regolamento (UE) 2024/1244 del Parlamento Europeo e del Consiglio" consentono la possibilità di inserire quantità e nomi degli altri inquinanti non inclusi nell'elenco sopra</t>
  </si>
  <si>
    <t>ℹ️ Stulpelio nuo D iki K (nuo 174 iki 184 eilutės) langeliai, susiję su "Kitais teršalais nei tie, kurie išvardyti Europos Parlamento ir Tarybos reglamente (ES) 2024/1244", leidžia įterpti kitų teršalų kiekius ir pavadinimus, kurie nėra įtraukti į aukščiau pateiktą sąrašą</t>
  </si>
  <si>
    <t>ℹ️ Komórki kolumn D do K (od wiersza 174 do 184) powiązane z "Innymi zanieczyszczeniami niż te wymienione w Rozporządzeniu (UE) 2024/1244 Parlamentu Europejskiego i Rady" umożliwiają wprowadzenie ilości i nazw innych zanieczyszczeń, które nie są uwzględnione w powyższej liście</t>
  </si>
  <si>
    <t>ℹ️ As células da coluna D a K (da linha 174 a 184) associadas a "Outros poluentes além daqueles listados no Regulamento (UE) 2024/1244 do Parlamento Europeu e do Conselho" permitem a possibilidade de inserir quantidades e nomes dos outros poluentes não incluídos na lista acima</t>
  </si>
  <si>
    <t>ℹ️ Celice stolpca D do K (od vrstice 174 do 184), povezane z "Drugi onesnaževalci kot tista, navedena v Uredbi (EU) 2024/1244 Evropskega parlamenta in sveta", omogočajo vnos količin in imen drugih onesnaževal, ki niso vključena v zgornji seznam</t>
  </si>
  <si>
    <t>ℹ️ Las celdas de la columna D a la K (de la fila 174 a la 184) asociadas a "Otros contaminantes distintos a los listados en el Reglamento (UE) 2024/1244 del Parlamento Europeo y del Consejo" permiten la posibilidad de insertar cantidades y nombres de otros contaminantes no incluidos en la lista anterior</t>
  </si>
  <si>
    <t>template_label_warning_total_energy_consumption_amount</t>
  </si>
  <si>
    <t>ℹ️ The sum of the values in the table must be = or &lt; to the amount in cell G5</t>
  </si>
  <si>
    <t>ℹ️ Summen af værdierne i tabellen skal være = eller &lt; til mængden i celle G5</t>
  </si>
  <si>
    <t>ℹ️ De som van de waarden in de tabel moet = of &lt; zijn aan het bedrag in cel G5</t>
  </si>
  <si>
    <t>ℹ️ La somme des valeurs dans le tableau doit être = ou &lt; à la quantité dans la cellule G5</t>
  </si>
  <si>
    <t>ℹ️ Die Summe der Werte in der Tabelle muss = oder &lt; der Menge in Zelle G5 sein</t>
  </si>
  <si>
    <t>ℹ️ Caithfidh suim na luachanna sa tábla a bheith = nó &lt; leis an méid i gcill G5</t>
  </si>
  <si>
    <t>ℹ️ La somma dei valori nella tabella deve essere = o &lt; alla quantità nella cella G5</t>
  </si>
  <si>
    <t>ℹ️ Lentelėje esančių reikšmių suma turi būti = arba &lt; sumai langelyje G5</t>
  </si>
  <si>
    <t>ℹ️ Suma wartości w tabeli musi wynosić = lub &lt; do ilości w komórce G5</t>
  </si>
  <si>
    <t>ℹ️ A soma dos valores na tabela deve ser = ou &lt; ao valor na célula G5</t>
  </si>
  <si>
    <t>ℹ️ Vsota vrednosti v tabeli mora biti = ali &lt; na količino v celici G5</t>
  </si>
  <si>
    <t>ℹ️ La suma de los valores en la tabla debe ser = o &lt; a la cantidad en la celda G5</t>
  </si>
  <si>
    <t>template_vsme_digital_template_sample</t>
  </si>
  <si>
    <t>VS Digital Template Sample</t>
  </si>
  <si>
    <t>VSME Digital Skabelon Eksempel</t>
  </si>
  <si>
    <t>VSME Digitale Sjabloonvoorbeeld</t>
  </si>
  <si>
    <t>Exemple de modèle numérique VSME</t>
  </si>
  <si>
    <t>Beispiel für eine VSME-Digitalvorlage</t>
  </si>
  <si>
    <t>Sampla Teimpléad Digiteach VSME</t>
  </si>
  <si>
    <t>Esempio di Modello Digitale VSME</t>
  </si>
  <si>
    <t>VSME skaitmeninio šablono pavyzdys</t>
  </si>
  <si>
    <t>Przykładowy szablon cyfrowy VSME</t>
  </si>
  <si>
    <t>Exemplo de Modelo Digital VSME</t>
  </si>
  <si>
    <t>Vzorec digitalne predloge VSME</t>
  </si>
  <si>
    <t>Ejemplo de plantilla digital VSME</t>
  </si>
  <si>
    <t>template_disclaimer_cover_page</t>
  </si>
  <si>
    <t>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t>
  </si>
  <si>
    <t>Ansvarsfraskrivelse: Denne Excel-skabelon er kun beregnet til demonstrationsformål. Alle enheder, navne, data og relaterede oplysninger heri er fuldstændig fiktive. Enhver lighed med faktiske virksomheder eller enkeltpersoner er rent tilfældig. Dette eksempel bør ikke tolkes som et udtryk for virkelige data eller forretning. øvelser.</t>
  </si>
  <si>
    <t>Disclaimer: Deze Excel-sjabloon is uitsluitend bedoeld voor demonstratiedoeleinden. Alle entiteiten, namen, gegevens en gerelateerde informatie die hierin zijn opgenomen, zijn volledig fictief. Elke gelijkenis met echte bedrijven of individuen is puur toevallig. Deze steekproef moet niet worden geïnterpreteerd als een weergave van praktijkgegevens of bedrijfsgegevens. oefeningen.</t>
  </si>
  <si>
    <t>Avertissement : Ce modèle Excel est destiné uniquement à des fins de démonstration. Toutes les entités, noms, données et informations associées contenues ici sont entièrement fictifs. Toute ressemblance avec de véritables entreprises ou individus est purement fortuite. Cet échantillon ne doit pas être interprété comme reflétant des données ou des entreprises réelles. Des entraînements.</t>
  </si>
  <si>
    <t>Haftungsausschluss: Diese Excel-Vorlage dient ausschließlich Demonstrationszwecken. Alle hier enthaltenen Entitäten, Namen, Daten und verwandten Informationen sind vollständig fiktiv. Jede Ähnlichkeit mit tatsächlichen Unternehmen oder Einzelpersonen ist rein zufällig. Diese Stichprobe sollte nicht so interpretiert werden, dass sie reale Daten oder Geschäfte widerspiegelt. Praktiken.</t>
  </si>
  <si>
    <t>Séanadh: Tá an teimpléad Excel seo beartaithe chun críocha taispeána amháin. Tá gach eintiteas, ainmneacha, sonraí agus faisnéis ghaolmhar atá anseo go hiomlán bréagach. Aon chosúlacht le cuideachtaí nó daoine aonair iarbhír is comhtharlú amháin. Níor chóir an sampla seo a léirmhíniú mar léiriú ar shonraí nó gnó fíor-domhain. cleachtais.</t>
  </si>
  <si>
    <t>Disclaimer: Questo modello Excel è destinato esclusivamente a scopi dimostrativi. Tutte le entità, nomi, dati e informazioni correlate qui contenute sono completamente fittizie. Qualsiasi somiglianza con aziende o individui reali è puramente casuale. Questo campione non deve essere interpretato come riflesso di dati reali o di attività commerciali. Pratiche.</t>
  </si>
  <si>
    <t>Atsakomybės apribojimas: Šis "Excel" šablonas skirtas tik demonstraciniams tikslams. Visi čia esantys subjektai, pavadinimai, duomenys ir susijusi informacija yra visiškai fiktyvūs. Bet koks panašumas į tikras įmones ar asmenis yra grynai atsitiktinumas. Ši imtis neturėtų būti interpretuojama kaip atspindinti realius duomenis ar verslą. praktiką.</t>
  </si>
  <si>
    <t>Zastrzeżenie: Ten szablon Excela służy wyłącznie do celów demonstracyjnych. Wszystkie podmioty, nazwy, dane i powiązane informacje zawarte tutaj są całkowicie fikcyjne. Wszelkie podobieństwa do rzeczywistych firm lub osób są czysto przypadkowe. Ta próbka nie powinna być interpretowana jako odzwierciedlenie rzeczywistych danych czy biznesu. praktyki.</t>
  </si>
  <si>
    <t>Aviso: Este modelo em Excel é destinado apenas a fins demonstrativos. Todas as entidades, nomes, dados e informações relacionadas contidas aqui são totalmente fictícias. Qualquer semelhança com empresas ou indivíduos reais é pura coincidência. Esta amostra não deve ser interpretada como refletindo dados ou negócios do mundo real. Práticas.</t>
  </si>
  <si>
    <t>Izjava o omejitvi odgovornosti: Ta predloga programa Excel je namenjena samo predstavitvenim namenom. Vse entitete, imena, podatki in sorodne informacije, ki jih vsebuje ta predloga, so v celoti izmišljene. Vsaka podobnost z dejanskimi podjetji ali posamezniki je zgolj naključna. Tega vzorca ne smete razlagati kot odraz podatkov ali poslovnih praks iz resničnega sveta.</t>
  </si>
  <si>
    <t>Aviso legal: Esta plantilla de Excel está destinada únicamente a fines demostrativos. Todas las entidades, nombres, datos e información relacionada contenida aquí son completamente ficticios. Cualquier parecido con empresas o individuos reales es pura coincidencia. Esta muestra no debe interpretarse como un reflejo de datos o negocios del mundo real. Prácticas.</t>
  </si>
  <si>
    <t>template_label_mass</t>
  </si>
  <si>
    <t>Masse</t>
  </si>
  <si>
    <t>Massa</t>
  </si>
  <si>
    <t>Maise</t>
  </si>
  <si>
    <t>Masė</t>
  </si>
  <si>
    <t>Masowa</t>
  </si>
  <si>
    <t>Masa</t>
  </si>
  <si>
    <t>template_label_volume</t>
  </si>
  <si>
    <t xml:space="preserve">Volume </t>
  </si>
  <si>
    <t>Volumen</t>
  </si>
  <si>
    <t>Toirt</t>
  </si>
  <si>
    <t>Tūris</t>
  </si>
  <si>
    <t xml:space="preserve">Objętość </t>
  </si>
  <si>
    <t>Prostornina</t>
  </si>
  <si>
    <t>template_label_none</t>
  </si>
  <si>
    <t>Ingen</t>
  </si>
  <si>
    <t>Geen enkele</t>
  </si>
  <si>
    <t>Aucun</t>
  </si>
  <si>
    <t>Keine</t>
  </si>
  <si>
    <t>Níl aon cheann</t>
  </si>
  <si>
    <t>Nessuna</t>
  </si>
  <si>
    <t>Nėra</t>
  </si>
  <si>
    <t>Brak</t>
  </si>
  <si>
    <t>Nenhum</t>
  </si>
  <si>
    <t>Nobenega</t>
  </si>
  <si>
    <t>Ninguno</t>
  </si>
  <si>
    <t>template_label_footnote_instructions</t>
  </si>
  <si>
    <t>Hvis du skal tilføje fodnoter til den konverterede VSME Digital Template, vælg venligst oplysningerne i kolonne E og skriv den relaterede fodnote i kolonne C.</t>
  </si>
  <si>
    <t>Als u voetnoten moet toevoegen voor de geconverteerde VSME Digital Template, selecteer dan de openbaarmakingen in kolom E en schrijf de gerelateerde voetnoot in kolom C.</t>
  </si>
  <si>
    <t>Si vous devez ajouter des notes de bas de page pour le modèle numérique VSME converti, veuillez sélectionner les divulgations dans la colonne E et écrire la note de bas de page correspondante dans la colonne C.</t>
  </si>
  <si>
    <t>Wenn Sie Fußnoten für die konvertierte VSME-Digitalvorlage hinzufügen müssen, wählen Sie bitte die Offenlegungen in Spalte E aus und schreiben Sie die zugehörige Fußnote in Spalte C.</t>
  </si>
  <si>
    <t>Más gá duit fonótaí a chur leis don Teimpléad Digiteach VSME tiontaithe, roghnaigh na nochtadh i gcolún E agus scríobh an fonóta gaolmhar i gcolún C.</t>
  </si>
  <si>
    <t>Se avete bisogno di aggiungere note a piè di pagina per il modello digitale VSME convertito, selezionate le dichiarazioni nella colonna E e scrivete la nota correlata nella colonna C.</t>
  </si>
  <si>
    <t>Jei jums reikia pridėti konvertuoto VSME skaitmeninio šablono išnašas, pasirinkite atskleidimus E stulpelyje ir parašykite atitinkamą išnašą C stulpelyje.</t>
  </si>
  <si>
    <t>Jeśli chcesz dodać przypisy do przekonwertowanego szablonu VSME Digital Template, zaznacz ujawnienia w kolumnie E i zapisz powiązaną przypis w kolumnie C.</t>
  </si>
  <si>
    <t>Se precisar adicionar notas de rodapé para o Modelo Digital VSME convertido, selecione as divulgações na coluna E e escreva a nota de rodapé correspondente na coluna C.</t>
  </si>
  <si>
    <t>Če potrebujete dodati opombe pod črto za pretvorjeno VSME digitalno predlogo, prosimo, izberite razkritja v stolpcu E in ustrezno opombo zapišite v stolpec C.</t>
  </si>
  <si>
    <t>Si necesita añadir notas al pie para la Plantilla Digital VSME convertida, por favor seleccione las divulgaciones en la columna E y escriba la nota al pie correspondiente en la columna C.</t>
  </si>
  <si>
    <t>template_label_footnote_id</t>
  </si>
  <si>
    <t>Footnote ID</t>
  </si>
  <si>
    <t>Fodnote-ID</t>
  </si>
  <si>
    <t>Voetnoot-ID</t>
  </si>
  <si>
    <t>ID de la note de bas de page</t>
  </si>
  <si>
    <t>Fußnoten-ID</t>
  </si>
  <si>
    <t>Aitheantas Fonóta</t>
  </si>
  <si>
    <t>ID nota a piè di pagina</t>
  </si>
  <si>
    <t>Išnašos ID</t>
  </si>
  <si>
    <t>Identyfikator przypisu</t>
  </si>
  <si>
    <t>ID de Nota de rodapé</t>
  </si>
  <si>
    <t>ID opombe</t>
  </si>
  <si>
    <t>ID de nota al pie</t>
  </si>
  <si>
    <t>template_label_disclosure_selection</t>
  </si>
  <si>
    <t>Cell to which footnote is associated</t>
  </si>
  <si>
    <t>Celle, som fodnote er tilknyttet</t>
  </si>
  <si>
    <t>Celluliteit waaraan voetnoot is gekoppeld</t>
  </si>
  <si>
    <t>Cellule à laquelle la note de bas de page est associée</t>
  </si>
  <si>
    <t>Zelle, der Fußnote zugeordnet ist</t>
  </si>
  <si>
    <t>Cill a bhfuil baint ag fonóta léi</t>
  </si>
  <si>
    <t>Cella a cui è associata la nota a piè di pagina</t>
  </si>
  <si>
    <t>Langelis, su kuriuo susieta išnaša</t>
  </si>
  <si>
    <t>Komórka, do której przypis przypisany jest</t>
  </si>
  <si>
    <t>Célula à qual a nota de rodapé está associada</t>
  </si>
  <si>
    <t>Celica, s katero je povezana opomba pod črto</t>
  </si>
  <si>
    <t>Celda a la que se asocia la nota al pie</t>
  </si>
  <si>
    <t>template_label_footnote_text</t>
  </si>
  <si>
    <t>Footnote text</t>
  </si>
  <si>
    <t>Fodnotetekst</t>
  </si>
  <si>
    <t>Tekst in de voetnoot</t>
  </si>
  <si>
    <t>Texte de la note de bas de page</t>
  </si>
  <si>
    <t>Fußnotetext</t>
  </si>
  <si>
    <t>Téacs fonóta</t>
  </si>
  <si>
    <t>Testo della nota</t>
  </si>
  <si>
    <t>Išnašos tekstas</t>
  </si>
  <si>
    <t>Tekst przypisu</t>
  </si>
  <si>
    <t>Texto da nota de rodapé</t>
  </si>
  <si>
    <t>Besedilo opombe</t>
  </si>
  <si>
    <t>Texto de la nota al pie</t>
  </si>
  <si>
    <t>template_footnote_technical_name</t>
  </si>
  <si>
    <t>Dimension (technical name)</t>
  </si>
  <si>
    <t>Dimension (teknisk navn)</t>
  </si>
  <si>
    <t>Dimensie (technische naam)</t>
  </si>
  <si>
    <t>Dimension (nom technique)</t>
  </si>
  <si>
    <t>Dimension (technischer Name)</t>
  </si>
  <si>
    <t>Toise (ainm teicniúil)</t>
  </si>
  <si>
    <t>Dimensione (nome tecnico)</t>
  </si>
  <si>
    <t>Matmenys (techninis pavadinimas)</t>
  </si>
  <si>
    <t>Wymiar (nazwa techniczna)</t>
  </si>
  <si>
    <t>Dimensão (nome técnico)</t>
  </si>
  <si>
    <t>Dimenzija (tehnično ime)</t>
  </si>
  <si>
    <t>Dimensión (nombre técnico)</t>
  </si>
  <si>
    <t>template_footnote_expansion_button</t>
  </si>
  <si>
    <t>Click on the expansion button on the left if you need to include more footnotes</t>
  </si>
  <si>
    <t>Klik på udvidelsesknappen til venstre, hvis du skal inkludere flere fodnoter</t>
  </si>
  <si>
    <t>Klik op de uitbreidingsknop links als je meer voetnoten wilt toevoegen</t>
  </si>
  <si>
    <t>Cliquez sur le bouton d’extension à gauche si vous souhaitez ajouter plus de notes de bas de page</t>
  </si>
  <si>
    <t>Klicken Sie auf den Erweiterungsbutton links, wenn Sie weitere Fußnoten hinzufügen möchten</t>
  </si>
  <si>
    <t>Cliceáil ar an gcnaipe leathnaithe ar chlé más gá duit níos mó fonótaí a chur san áireamh</t>
  </si>
  <si>
    <t>Clicca sul pulsante espansione a sinistra se hai bisogno di aggiungere altre note a piè di pagina</t>
  </si>
  <si>
    <t>Spustelėkite išplėtimo mygtuką kairėje, jei reikia įtraukti daugiau išnašų</t>
  </si>
  <si>
    <t>Kliknij przycisk rozszerzenia po lewej, jeśli chcesz dodać więcej przypisów</t>
  </si>
  <si>
    <t>Clique no botão de expansão à esquerda se precisar incluir mais notas de rodapé</t>
  </si>
  <si>
    <t>Kliknite na gumb za razširitev na levi, če potrebujete dodati več opomb</t>
  </si>
  <si>
    <t>Haz clic en el botón de expansión a la izquierda si necesitas incluir más notas al pie</t>
  </si>
  <si>
    <t>template_label_disclosure_part_of_vs_guidance</t>
  </si>
  <si>
    <t>[Disclosure stemming from EFRAG non-mandatory guidance]</t>
  </si>
  <si>
    <t>[Oplysning udspringer af EFRAG's ikke-obligatoriske vejledning]</t>
  </si>
  <si>
    <t>[Openbaarmaking voortvloeiend uit de niet-verplichte EFRAG-richtlijn]</t>
  </si>
  <si>
    <t>[Divulgation issue des directives non obligatoires de l’EFRAG]</t>
  </si>
  <si>
    <t>[Offenlegung aus der nicht verpflichtenden EFRAG-Richtlinie]</t>
  </si>
  <si>
    <t>[Nochtadh a eascraíonn as treoir neamhéigeantach EFRAG]</t>
  </si>
  <si>
    <t>[Divulgazione derivante dalle linee guida non obbligatorie EFRAG]</t>
  </si>
  <si>
    <t>[Atskleidimas, kylantis iš EFRAG neprivalomų gairių]</t>
  </si>
  <si>
    <t>[Ujawnienie wynikające z nieobowiązkowych wytycznych EFRAG]</t>
  </si>
  <si>
    <t>[Divulgação decorrente da orientação não obrigatória da EFRAG]</t>
  </si>
  <si>
    <t>[Razkritje, ki izhaja iz neobveznih navodil EFRAG]</t>
  </si>
  <si>
    <t>[Divulgación derivada de la guía no obligatoria de EFRAG]</t>
  </si>
  <si>
    <t>Cell/label reference</t>
  </si>
  <si>
    <t>Original text</t>
  </si>
  <si>
    <t>Change</t>
  </si>
  <si>
    <t>For National Standard translation review</t>
  </si>
  <si>
    <t>For Taxonomy Review</t>
  </si>
  <si>
    <t>Taxonomy Excel status</t>
  </si>
  <si>
    <t>VSME Digital Template enable translations into different EU languages.
Please select the language from the dropdown below.</t>
  </si>
  <si>
    <r>
      <t>VS</t>
    </r>
    <r>
      <rPr>
        <strike/>
        <sz val="11"/>
        <color theme="1"/>
        <rFont val="Aptos Narrow"/>
        <family val="2"/>
        <scheme val="minor"/>
      </rPr>
      <t>ME</t>
    </r>
    <r>
      <rPr>
        <sz val="11"/>
        <color theme="1"/>
        <rFont val="Aptos Narrow"/>
        <family val="2"/>
        <scheme val="minor"/>
      </rPr>
      <t xml:space="preserve"> Digital Template enable</t>
    </r>
    <r>
      <rPr>
        <sz val="11"/>
        <color rgb="FFFF0000"/>
        <rFont val="Aptos Narrow"/>
        <family val="2"/>
        <scheme val="minor"/>
      </rPr>
      <t>s</t>
    </r>
    <r>
      <rPr>
        <sz val="11"/>
        <color theme="1"/>
        <rFont val="Aptos Narrow"/>
        <family val="2"/>
        <scheme val="minor"/>
      </rPr>
      <t xml:space="preserve"> translations into different EU languages.
Please select the language from the dropdown below.</t>
    </r>
  </si>
  <si>
    <t>Prepared in accordance with the Voluntary Sustainability Reporting Standard for small and medium-sized undertakings (VSME), released by the European Commission on 30 July 2025.</t>
  </si>
  <si>
    <r>
      <t xml:space="preserve">Prepared in accordance with the  Voluntary </t>
    </r>
    <r>
      <rPr>
        <strike/>
        <sz val="11"/>
        <color theme="1"/>
        <rFont val="Aptos Narrow"/>
        <family val="2"/>
        <scheme val="minor"/>
      </rPr>
      <t>Sustainability Reporting</t>
    </r>
    <r>
      <rPr>
        <sz val="11"/>
        <color theme="1"/>
        <rFont val="Aptos Narrow"/>
        <family val="2"/>
        <scheme val="minor"/>
      </rPr>
      <t xml:space="preserve"> Standard </t>
    </r>
    <r>
      <rPr>
        <sz val="11"/>
        <color rgb="FFFF0000"/>
        <rFont val="Aptos Narrow"/>
        <family val="2"/>
        <scheme val="minor"/>
      </rPr>
      <t>(Annex I of  Commission Delegated Regulation (EU) …/… )</t>
    </r>
    <r>
      <rPr>
        <sz val="11"/>
        <color theme="1"/>
        <rFont val="Aptos Narrow"/>
        <family val="2"/>
        <scheme val="minor"/>
      </rPr>
      <t xml:space="preserve"> </t>
    </r>
    <r>
      <rPr>
        <strike/>
        <sz val="11"/>
        <color theme="1"/>
        <rFont val="Aptos Narrow"/>
        <family val="2"/>
        <scheme val="minor"/>
      </rPr>
      <t>for small and medium-sized undertakings (VSME)</t>
    </r>
    <r>
      <rPr>
        <sz val="11"/>
        <color theme="1"/>
        <rFont val="Aptos Narrow"/>
        <family val="2"/>
        <scheme val="minor"/>
      </rPr>
      <t xml:space="preserve">, </t>
    </r>
    <r>
      <rPr>
        <sz val="11"/>
        <color rgb="FFFF0000"/>
        <rFont val="Aptos Narrow"/>
        <family val="2"/>
        <scheme val="minor"/>
      </rPr>
      <t xml:space="preserve">published in the Official Journal on XX September 2026. </t>
    </r>
    <r>
      <rPr>
        <strike/>
        <sz val="11"/>
        <color theme="1"/>
        <rFont val="Aptos Narrow"/>
        <family val="2"/>
        <scheme val="minor"/>
      </rPr>
      <t>released by the European Commission on 30 July 2025.</t>
    </r>
  </si>
  <si>
    <t>template_label_vsme_digital_template</t>
  </si>
  <si>
    <t>VSME Digital Template</t>
  </si>
  <si>
    <r>
      <t>VS</t>
    </r>
    <r>
      <rPr>
        <strike/>
        <sz val="11"/>
        <color theme="1"/>
        <rFont val="Aptos Narrow"/>
        <family val="2"/>
        <scheme val="minor"/>
      </rPr>
      <t>ME</t>
    </r>
    <r>
      <rPr>
        <sz val="11"/>
        <color theme="1"/>
        <rFont val="Aptos Narrow"/>
        <family val="2"/>
        <scheme val="minor"/>
      </rPr>
      <t xml:space="preserve"> Digital Template</t>
    </r>
  </si>
  <si>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</si>
  <si>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</si>
  <si>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r>
      <t>The purpose of this digital template is to illustrate how VS</t>
    </r>
    <r>
      <rPr>
        <strike/>
        <sz val="11"/>
        <color theme="1"/>
        <rFont val="Aptos Narrow"/>
        <family val="2"/>
        <scheme val="minor"/>
      </rPr>
      <t>ME</t>
    </r>
    <r>
      <rPr>
        <sz val="11"/>
        <color theme="1"/>
        <rFont val="Aptos Narrow"/>
        <family val="2"/>
        <scheme val="minor"/>
      </rPr>
      <t xml:space="preserve"> reporting can be implemented in a digital template. The template reflects the V</t>
    </r>
    <r>
      <rPr>
        <sz val="11"/>
        <color rgb="FFFF0000"/>
        <rFont val="Aptos Narrow"/>
        <family val="2"/>
        <scheme val="minor"/>
      </rPr>
      <t xml:space="preserve">oluntary Standard (Annex I of  Commission Delegated Regulation (EU) …/… ) </t>
    </r>
    <r>
      <rPr>
        <sz val="11"/>
        <color theme="1"/>
        <rFont val="Aptos Narrow"/>
        <family val="2"/>
        <scheme val="minor"/>
      </rPr>
      <t>S</t>
    </r>
    <r>
      <rPr>
        <strike/>
        <sz val="11"/>
        <color theme="1"/>
        <rFont val="Aptos Narrow"/>
        <family val="2"/>
        <scheme val="minor"/>
      </rPr>
      <t>ME Recommendation</t>
    </r>
    <r>
      <rPr>
        <sz val="11"/>
        <color theme="1"/>
        <rFont val="Aptos Narrow"/>
        <family val="2"/>
        <scheme val="minor"/>
      </rPr>
      <t xml:space="preserve"> as published by the European Commission </t>
    </r>
    <r>
      <rPr>
        <sz val="11"/>
        <color rgb="FFFF0000"/>
        <rFont val="Aptos Narrow"/>
        <family val="2"/>
        <scheme val="minor"/>
      </rPr>
      <t>in the Official Journal</t>
    </r>
    <r>
      <rPr>
        <sz val="11"/>
        <color theme="1"/>
        <rFont val="Aptos Narrow"/>
        <family val="2"/>
        <scheme val="minor"/>
      </rPr>
      <t xml:space="preserve"> on</t>
    </r>
    <r>
      <rPr>
        <sz val="11"/>
        <color rgb="FFFF0000"/>
        <rFont val="Aptos Narrow"/>
        <family val="2"/>
        <scheme val="minor"/>
      </rPr>
      <t xml:space="preserve"> XX September 2026</t>
    </r>
    <r>
      <rPr>
        <strike/>
        <sz val="11"/>
        <color theme="1"/>
        <rFont val="Aptos Narrow"/>
        <family val="2"/>
        <scheme val="minor"/>
      </rPr>
      <t>30 July 2025</t>
    </r>
    <r>
      <rPr>
        <sz val="11"/>
        <color theme="1"/>
        <rFont val="Aptos Narrow"/>
        <family val="2"/>
        <scheme val="minor"/>
      </rPr>
      <t>. The template is accompanied by a digital VS</t>
    </r>
    <r>
      <rPr>
        <strike/>
        <sz val="11"/>
        <color theme="1"/>
        <rFont val="Aptos Narrow"/>
        <family val="2"/>
        <scheme val="minor"/>
      </rPr>
      <t>ME</t>
    </r>
    <r>
      <rPr>
        <sz val="11"/>
        <color theme="1"/>
        <rFont val="Aptos Narrow"/>
        <family val="2"/>
        <scheme val="minor"/>
      </rPr>
      <t xml:space="preserve"> XBRL taxonomy, which represents the digital data model of the disclosures and is available on EFRAG's website. </t>
    </r>
    <r>
      <rPr>
        <strike/>
        <sz val="11"/>
        <color theme="1"/>
        <rFont val="Aptos Narrow"/>
        <family val="2"/>
        <scheme val="minor"/>
      </rPr>
      <t>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t>
    </r>
    <r>
      <rPr>
        <sz val="11"/>
        <color theme="1"/>
        <rFont val="Aptos Narrow"/>
        <family val="2"/>
        <scheme val="minor"/>
      </rPr>
      <t xml:space="preserv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 xml:space="preserv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t>
    </r>
    <r>
      <rPr>
        <strike/>
        <sz val="11"/>
        <color theme="1"/>
        <rFont val="Aptos Narrow"/>
        <family val="2"/>
        <scheme val="minor"/>
      </rPr>
      <t>ME</t>
    </r>
    <r>
      <rPr>
        <sz val="11"/>
        <color theme="1"/>
        <rFont val="Aptos Narrow"/>
        <family val="2"/>
        <scheme val="minor"/>
      </rPr>
      <t xml:space="preserve"> Digital Template or the Digital Template to XBRL Converter, please do so by creating an issue in the GitHub project.</t>
    </r>
  </si>
  <si>
    <t>template_label_0_provide_information_that_is_mandatory_in_order_to_generate_the_vsme_and_xbrl_report</t>
  </si>
  <si>
    <t>0. Provide information that is mandatory in order to generate the VSME and XBRL Report.</t>
  </si>
  <si>
    <r>
      <t>0. Provide information that is mandatory in order to generate the VS</t>
    </r>
    <r>
      <rPr>
        <strike/>
        <sz val="11"/>
        <color theme="1"/>
        <rFont val="Aptos Narrow"/>
        <family val="2"/>
        <scheme val="minor"/>
      </rPr>
      <t>ME</t>
    </r>
    <r>
      <rPr>
        <sz val="11"/>
        <color theme="1"/>
        <rFont val="Aptos Narrow"/>
        <family val="2"/>
        <scheme val="minor"/>
      </rPr>
      <t xml:space="preserve"> and XBRL Report.</t>
    </r>
  </si>
  <si>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</si>
  <si>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</si>
  <si>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r>
      <t xml:space="preserve">2. Find more information on the actual disclosure requirements in the </t>
    </r>
    <r>
      <rPr>
        <sz val="11"/>
        <color rgb="FFFF0000"/>
        <rFont val="Aptos Narrow"/>
        <family val="2"/>
        <scheme val="minor"/>
      </rPr>
      <t>Voluntary Standard</t>
    </r>
    <r>
      <rPr>
        <strike/>
        <sz val="11"/>
        <color theme="1"/>
        <rFont val="Aptos Narrow"/>
        <family val="2"/>
        <scheme val="minor"/>
      </rPr>
      <t>SME</t>
    </r>
    <r>
      <rPr>
        <sz val="11"/>
        <color theme="1"/>
        <rFont val="Aptos Narrow"/>
        <family val="2"/>
        <scheme val="minor"/>
      </rPr>
      <t xml:space="preserve"> Standard and the related guidance linked to each cell. Additional or entity-specific disclosures can be provided in each text box at the end of each worksheet.</t>
    </r>
  </si>
  <si>
    <t>template_label_indicates_that_the_disclosure_is_from_the_general_principles_of_the_vsme</t>
  </si>
  <si>
    <t>Indicates that the disclosure is from the general principles of the VSME.</t>
  </si>
  <si>
    <r>
      <t>Indicates that the disclosure is from the general principles of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t>
    </r>
  </si>
  <si>
    <t>template_label_indicates_that_the_disclosure_is_from_the_vsme_basic_module</t>
  </si>
  <si>
    <t>Indicates that the disclosure is from the VSME Basic Module.</t>
  </si>
  <si>
    <r>
      <t>Indicates that the disclosure is from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 xml:space="preserve"> Basic Module.</t>
    </r>
  </si>
  <si>
    <t>template_label_indicates_that_the_disclosure_is_from_the_vsme_comprehensive_module</t>
  </si>
  <si>
    <t>Indicates that the disclosure is from the VSME Comprehensive Module.</t>
  </si>
  <si>
    <r>
      <t>Indicates that the disclosure is from the V</t>
    </r>
    <r>
      <rPr>
        <sz val="11"/>
        <color rgb="FFFF0000"/>
        <rFont val="Aptos Narrow"/>
        <family val="2"/>
        <scheme val="minor"/>
      </rPr>
      <t>oluntary Standard</t>
    </r>
    <r>
      <rPr>
        <strike/>
        <sz val="11"/>
        <color theme="1"/>
        <rFont val="Aptos Narrow"/>
        <family val="2"/>
        <scheme val="minor"/>
      </rPr>
      <t>SME</t>
    </r>
    <r>
      <rPr>
        <sz val="11"/>
        <color theme="1"/>
        <rFont val="Aptos Narrow"/>
        <family val="2"/>
        <scheme val="minor"/>
      </rPr>
      <t xml:space="preserve"> Comprehensive Module.</t>
    </r>
  </si>
  <si>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</si>
  <si>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</si>
  <si>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Indicates that the datapoint (often a condition) will not be included in the </t>
    </r>
    <r>
      <rPr>
        <strike/>
        <sz val="11"/>
        <color theme="1"/>
        <rFont val="Aptos Narrow"/>
        <family val="2"/>
        <scheme val="minor"/>
      </rPr>
      <t>VSME and</t>
    </r>
    <r>
      <rPr>
        <sz val="11"/>
        <color theme="1"/>
        <rFont val="Aptos Narrow"/>
        <family val="2"/>
        <scheme val="minor"/>
      </rPr>
      <t xml:space="preserv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r>
  </si>
  <si>
    <t>template_label_c8_revenues_from_certain_sectors_and_exclusion_from_eu_reference_benchmarks_validation</t>
  </si>
  <si>
    <t>C8 - Revenues from certain activities and exclusion from EU reference benchmarks</t>
  </si>
  <si>
    <r>
      <t xml:space="preserve">C8 - Revenues from certain activities </t>
    </r>
    <r>
      <rPr>
        <strike/>
        <sz val="11"/>
        <color theme="1"/>
        <rFont val="Aptos Narrow"/>
        <family val="2"/>
        <scheme val="minor"/>
      </rPr>
      <t>and exclusion from EU reference benchmarks</t>
    </r>
  </si>
  <si>
    <t>DONE</t>
  </si>
  <si>
    <t>C64 - D69 (GHG Intensity) --&gt;  in Environmental Sheet Deleted
Row 229 to 233 deleted in Translations Sheet</t>
  </si>
  <si>
    <t>Deleted due to alignment with Voluntary Standard</t>
  </si>
  <si>
    <t>Row 24 in Table of Contents and Validation Sheet</t>
  </si>
  <si>
    <t>template_label_list_of_omitted_disclosures_deemed_to_be_classified_or_sensitive_information</t>
  </si>
  <si>
    <r>
      <t xml:space="preserve">List of omitted disclosures </t>
    </r>
    <r>
      <rPr>
        <strike/>
        <sz val="11"/>
        <color theme="1"/>
        <rFont val="Aptos Narrow"/>
        <family val="2"/>
        <scheme val="minor"/>
      </rPr>
      <t>deemed to be classified or sensitive information</t>
    </r>
  </si>
  <si>
    <t>NEW LABEL</t>
  </si>
  <si>
    <t>template_label_circular_economy</t>
  </si>
  <si>
    <r>
      <t xml:space="preserve">Circular economy </t>
    </r>
    <r>
      <rPr>
        <sz val="11"/>
        <color rgb="FFFF0000"/>
        <rFont val="Aptos Narrow"/>
        <family val="2"/>
        <scheme val="minor"/>
      </rPr>
      <t>and Resource Use</t>
    </r>
  </si>
  <si>
    <t>LABEL NAME CHANGE</t>
  </si>
  <si>
    <r>
      <t>template_label_circular_economy</t>
    </r>
    <r>
      <rPr>
        <sz val="11"/>
        <color rgb="FFFF0000"/>
        <rFont val="Aptos Narrow"/>
        <family val="2"/>
        <scheme val="minor"/>
      </rPr>
      <t>_and_resource_use</t>
    </r>
  </si>
  <si>
    <t>template_label_b3_estimated_greenhouse_gas_emissions</t>
  </si>
  <si>
    <t>B3 - Estimated Greenhouse Gas Emissions considering the GHG Protocol Version 2004 (in tCO2e)</t>
  </si>
  <si>
    <r>
      <t xml:space="preserve">B3 - Estimated </t>
    </r>
    <r>
      <rPr>
        <sz val="11"/>
        <color rgb="FFFF0000"/>
        <rFont val="Aptos Narrow"/>
        <family val="2"/>
        <scheme val="minor"/>
      </rPr>
      <t xml:space="preserve">Absolute </t>
    </r>
    <r>
      <rPr>
        <sz val="11"/>
        <color theme="1"/>
        <rFont val="Aptos Narrow"/>
        <family val="2"/>
        <scheme val="minor"/>
      </rPr>
      <t xml:space="preserve">Greenhouse Gas Emissions considering the GHG Protocol </t>
    </r>
    <r>
      <rPr>
        <sz val="11"/>
        <color rgb="FFFF0000"/>
        <rFont val="Aptos Narrow"/>
        <family val="2"/>
        <scheme val="minor"/>
      </rPr>
      <t xml:space="preserve">Corporate Accounting and Reporting  Standard </t>
    </r>
    <r>
      <rPr>
        <strike/>
        <sz val="11"/>
        <color theme="1"/>
        <rFont val="Aptos Narrow"/>
        <family val="2"/>
        <scheme val="minor"/>
      </rPr>
      <t>Version</t>
    </r>
    <r>
      <rPr>
        <sz val="11"/>
        <color theme="1"/>
        <rFont val="Aptos Narrow"/>
        <family val="2"/>
        <scheme val="minor"/>
      </rPr>
      <t xml:space="preserve"> 2004 (in tCO2e</t>
    </r>
    <r>
      <rPr>
        <sz val="11"/>
        <color rgb="FFFF0000"/>
        <rFont val="Aptos Narrow"/>
        <family val="2"/>
        <scheme val="minor"/>
      </rPr>
      <t>q</t>
    </r>
    <r>
      <rPr>
        <sz val="11"/>
        <color theme="1"/>
        <rFont val="Aptos Narrow"/>
        <family val="2"/>
        <scheme val="minor"/>
      </rPr>
      <t>)</t>
    </r>
  </si>
  <si>
    <r>
      <t>template_label_b3_estimated</t>
    </r>
    <r>
      <rPr>
        <sz val="11"/>
        <color rgb="FFFF0000"/>
        <rFont val="Aptos Narrow"/>
        <family val="2"/>
        <scheme val="minor"/>
      </rPr>
      <t>_absolute</t>
    </r>
    <r>
      <rPr>
        <sz val="11"/>
        <color theme="1"/>
        <rFont val="Aptos Narrow"/>
        <family val="2"/>
        <scheme val="minor"/>
      </rPr>
      <t>_greenhouse_gas_emissions</t>
    </r>
  </si>
  <si>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</si>
  <si>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</si>
  <si>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r>
      <t xml:space="preserve">Is the undertaking already required </t>
    </r>
    <r>
      <rPr>
        <strike/>
        <sz val="11"/>
        <color theme="1"/>
        <rFont val="Aptos Narrow"/>
        <family val="2"/>
        <scheme val="minor"/>
      </rPr>
      <t xml:space="preserve">by law or other national regulations </t>
    </r>
    <r>
      <rPr>
        <sz val="11"/>
        <color theme="1"/>
        <rFont val="Aptos Narrow"/>
        <family val="2"/>
        <scheme val="minor"/>
      </rPr>
      <t>to report to competent authorities</t>
    </r>
    <r>
      <rPr>
        <sz val="11"/>
        <color rgb="FFFF0000"/>
        <rFont val="Aptos Narrow"/>
        <family val="2"/>
        <scheme val="minor"/>
      </rPr>
      <t xml:space="preserve"> by EU or national law</t>
    </r>
    <r>
      <rPr>
        <sz val="11"/>
        <color theme="1"/>
        <rFont val="Aptos Narrow"/>
        <family val="2"/>
        <scheme val="minor"/>
      </rPr>
      <t xml:space="preserve"> its emissions </t>
    </r>
    <r>
      <rPr>
        <sz val="11"/>
        <color rgb="FFFF0000"/>
        <rFont val="Aptos Narrow"/>
        <family val="2"/>
        <scheme val="minor"/>
      </rPr>
      <t>to</t>
    </r>
    <r>
      <rPr>
        <sz val="11"/>
        <color theme="1"/>
        <rFont val="Aptos Narrow"/>
        <family val="2"/>
        <scheme val="minor"/>
      </rPr>
      <t xml:space="preserve"> </t>
    </r>
    <r>
      <rPr>
        <strike/>
        <sz val="11"/>
        <color theme="1"/>
        <rFont val="Aptos Narrow"/>
        <family val="2"/>
        <scheme val="minor"/>
      </rPr>
      <t>of</t>
    </r>
    <r>
      <rPr>
        <sz val="11"/>
        <color theme="1"/>
        <rFont val="Aptos Narrow"/>
        <family val="2"/>
        <scheme val="minor"/>
      </rPr>
      <t xml:space="preserve"> pollutants or does it already voluntarily report on them according to an Environmental Management System?</t>
    </r>
  </si>
  <si>
    <t>template_label_required_to_report_to_competent_authorities_by_EU_or_national_law_its_emissions_of_pollutants</t>
  </si>
  <si>
    <t>This looks like it is template only change?</t>
  </si>
  <si>
    <t>template_label_area_hectares_or_m2</t>
  </si>
  <si>
    <t>Area (hectares or m² based on the selection above)</t>
  </si>
  <si>
    <r>
      <rPr>
        <strike/>
        <sz val="11"/>
        <color theme="1"/>
        <rFont val="Aptos Narrow"/>
        <family val="2"/>
        <scheme val="minor"/>
      </rPr>
      <t xml:space="preserve">Area (hectares or m² based on the selection above) </t>
    </r>
    <r>
      <rPr>
        <sz val="11"/>
        <color rgb="FFFF0000"/>
        <rFont val="Aptos Narrow"/>
        <family val="2"/>
        <scheme val="minor"/>
      </rPr>
      <t>Name of biodiversity sensitive area</t>
    </r>
  </si>
  <si>
    <t>Row 96 to 101 on [indication of disclosure] removed in original Translation sheet with related labels deleted</t>
  </si>
  <si>
    <t>Deleted due to streamligning and userfriendliness of template</t>
  </si>
  <si>
    <r>
      <t>template_label_vs</t>
    </r>
    <r>
      <rPr>
        <strike/>
        <sz val="11"/>
        <color theme="1"/>
        <rFont val="Aptos Narrow"/>
        <family val="2"/>
        <scheme val="minor"/>
      </rPr>
      <t>me</t>
    </r>
    <r>
      <rPr>
        <sz val="11"/>
        <color theme="1"/>
        <rFont val="Aptos Narrow"/>
        <family val="2"/>
        <scheme val="minor"/>
      </rPr>
      <t>_digital_template</t>
    </r>
  </si>
  <si>
    <r>
      <t>template_label_the_purpose_of_this_digital_template_is_to_illustrate_how_vs</t>
    </r>
    <r>
      <rPr>
        <strike/>
        <sz val="11"/>
        <color theme="1"/>
        <rFont val="Aptos Narrow"/>
        <family val="2"/>
        <scheme val="minor"/>
      </rPr>
      <t>me</t>
    </r>
    <r>
      <rPr>
        <sz val="11"/>
        <color theme="1"/>
        <rFont val="Aptos Narrow"/>
        <family val="2"/>
        <scheme val="minor"/>
      </rPr>
      <t>_reporting_can_be_implemented_in_a_digital_template</t>
    </r>
  </si>
  <si>
    <t>template_label_please_select_the_unit_used_for_the_area</t>
  </si>
  <si>
    <t>LABEL DELETED</t>
  </si>
  <si>
    <t>Rows 281 - 290 Land Use Change Disclosures of Environmental Sheet Deleted
Subsequently rows 241 to 247 Deleted in Translations Sheet with respective labels</t>
  </si>
  <si>
    <r>
      <t>template_label_0_provide_information_that_is_mandatory_in_order_to_generate_the_vs</t>
    </r>
    <r>
      <rPr>
        <strike/>
        <sz val="11"/>
        <color theme="1"/>
        <rFont val="Aptos Narrow"/>
        <family val="2"/>
        <scheme val="minor"/>
      </rPr>
      <t>me</t>
    </r>
    <r>
      <rPr>
        <sz val="11"/>
        <color theme="1"/>
        <rFont val="Aptos Narrow"/>
        <family val="2"/>
        <scheme val="minor"/>
      </rPr>
      <t>_and_xbrl_report</t>
    </r>
  </si>
  <si>
    <r>
      <t>template_label_2_find_more_information_on_the_actual_disclosure_requirements_in_the_v</t>
    </r>
    <r>
      <rPr>
        <sz val="11"/>
        <color rgb="FFFF0000"/>
        <rFont val="Aptos Narrow"/>
        <family val="2"/>
        <scheme val="minor"/>
      </rPr>
      <t>oluntary</t>
    </r>
    <r>
      <rPr>
        <strike/>
        <sz val="11"/>
        <color theme="1"/>
        <rFont val="Aptos Narrow"/>
        <family val="2"/>
        <scheme val="minor"/>
      </rPr>
      <t>sme</t>
    </r>
    <r>
      <rPr>
        <sz val="11"/>
        <color theme="1"/>
        <rFont val="Aptos Narrow"/>
        <family val="2"/>
        <scheme val="minor"/>
      </rPr>
      <t>_standard</t>
    </r>
  </si>
  <si>
    <r>
      <t>template_label_indicates_that_the_disclosure_is_from_the_general_principles_of_the_vs</t>
    </r>
    <r>
      <rPr>
        <strike/>
        <sz val="11"/>
        <color theme="1"/>
        <rFont val="Aptos Narrow"/>
        <family val="2"/>
        <scheme val="minor"/>
      </rPr>
      <t>me</t>
    </r>
  </si>
  <si>
    <r>
      <t>template_label_indicates_that_the_disclosure_is_from_the_vs</t>
    </r>
    <r>
      <rPr>
        <strike/>
        <sz val="11"/>
        <color theme="1"/>
        <rFont val="Aptos Narrow"/>
        <family val="2"/>
        <scheme val="minor"/>
      </rPr>
      <t>me</t>
    </r>
    <r>
      <rPr>
        <sz val="11"/>
        <color theme="1"/>
        <rFont val="Aptos Narrow"/>
        <family val="2"/>
        <scheme val="minor"/>
      </rPr>
      <t>_basic_module</t>
    </r>
  </si>
  <si>
    <r>
      <t>template_label_indicates_that_the_disclosure_is_from_the_vs</t>
    </r>
    <r>
      <rPr>
        <strike/>
        <sz val="11"/>
        <color theme="1"/>
        <rFont val="Aptos Narrow"/>
        <family val="2"/>
        <scheme val="minor"/>
      </rPr>
      <t>me</t>
    </r>
    <r>
      <rPr>
        <sz val="11"/>
        <color theme="1"/>
        <rFont val="Aptos Narrow"/>
        <family val="2"/>
        <scheme val="minor"/>
      </rPr>
      <t>_comprehensive_module</t>
    </r>
  </si>
  <si>
    <r>
      <t>template_label_indicates_that_the_datapoint_often_a_condition_will_not_be_included_in_the_vs</t>
    </r>
    <r>
      <rPr>
        <strike/>
        <sz val="11"/>
        <color theme="1"/>
        <rFont val="Aptos Narrow"/>
        <family val="2"/>
        <scheme val="minor"/>
      </rPr>
      <t>me</t>
    </r>
    <r>
      <rPr>
        <sz val="11"/>
        <color theme="1"/>
        <rFont val="Aptos Narrow"/>
        <family val="2"/>
        <scheme val="minor"/>
      </rPr>
      <t>_and_digital_xbrl_report</t>
    </r>
  </si>
  <si>
    <t>template_label_c7_severe_negative_human_rights_incidents_validation</t>
  </si>
  <si>
    <r>
      <t>template_label_c7_</t>
    </r>
    <r>
      <rPr>
        <strike/>
        <sz val="11"/>
        <color theme="1"/>
        <rFont val="Aptos Narrow"/>
        <family val="2"/>
        <scheme val="minor"/>
      </rPr>
      <t>severe_negative_</t>
    </r>
    <r>
      <rPr>
        <sz val="11"/>
        <color theme="1"/>
        <rFont val="Aptos Narrow"/>
        <family val="2"/>
        <scheme val="minor"/>
      </rPr>
      <t>human_rights_incidents_validation</t>
    </r>
  </si>
  <si>
    <t>C7 - Severe negative human rights incidents</t>
  </si>
  <si>
    <r>
      <t xml:space="preserve">C7 - </t>
    </r>
    <r>
      <rPr>
        <strike/>
        <sz val="11"/>
        <color theme="1"/>
        <rFont val="Aptos Narrow"/>
        <family val="2"/>
        <scheme val="minor"/>
      </rPr>
      <t>Severe negative h</t>
    </r>
    <r>
      <rPr>
        <strike/>
        <sz val="11"/>
        <color rgb="FFFF0000"/>
        <rFont val="Aptos Narrow"/>
        <family val="2"/>
        <scheme val="minor"/>
      </rPr>
      <t>H</t>
    </r>
    <r>
      <rPr>
        <sz val="11"/>
        <color theme="1"/>
        <rFont val="Aptos Narrow"/>
        <family val="2"/>
        <scheme val="minor"/>
      </rPr>
      <t>uman rights incidents</t>
    </r>
  </si>
  <si>
    <t>template_label_reproduction_and_use_rights_are_strictly_limited</t>
  </si>
  <si>
    <t>Reproduction and use rights are strictly limited. For further details please contact efragsecretariat@efrag.org</t>
  </si>
  <si>
    <r>
      <rPr>
        <strike/>
        <sz val="11"/>
        <color theme="1"/>
        <rFont val="Aptos Narrow"/>
        <family val="2"/>
        <scheme val="minor"/>
      </rPr>
      <t>Reproduction and use rights are strictly limited.</t>
    </r>
    <r>
      <rPr>
        <sz val="11"/>
        <color theme="1"/>
        <rFont val="Aptos Narrow"/>
        <family val="2"/>
        <scheme val="minor"/>
      </rPr>
      <t xml:space="preserve"> For further details please contact efragsecretariat@efrag.org</t>
    </r>
  </si>
  <si>
    <t>template_label_amount_of_water_withdrawn_at_sites_located_in_areas_of_high_water_stress</t>
  </si>
  <si>
    <t>Amount of water withdrawn at sites located in areas of high water-stress (cubic meters m³)</t>
  </si>
  <si>
    <r>
      <t xml:space="preserve">Amount of water </t>
    </r>
    <r>
      <rPr>
        <sz val="11"/>
        <color rgb="FFFF0000"/>
        <rFont val="Aptos Narrow"/>
        <family val="2"/>
        <scheme val="minor"/>
      </rPr>
      <t>consumed</t>
    </r>
    <r>
      <rPr>
        <sz val="11"/>
        <color theme="1"/>
        <rFont val="Aptos Narrow"/>
        <family val="2"/>
        <scheme val="minor"/>
      </rPr>
      <t xml:space="preserve"> </t>
    </r>
    <r>
      <rPr>
        <strike/>
        <sz val="11"/>
        <color theme="1"/>
        <rFont val="Aptos Narrow"/>
        <family val="2"/>
        <scheme val="minor"/>
      </rPr>
      <t>withdrawn</t>
    </r>
    <r>
      <rPr>
        <sz val="11"/>
        <color theme="1"/>
        <rFont val="Aptos Narrow"/>
        <family val="2"/>
        <scheme val="minor"/>
      </rPr>
      <t xml:space="preserve"> at sites located in areas </t>
    </r>
    <r>
      <rPr>
        <sz val="11"/>
        <color rgb="FFFF0000"/>
        <rFont val="Aptos Narrow"/>
        <family val="2"/>
        <scheme val="minor"/>
      </rPr>
      <t>with</t>
    </r>
    <r>
      <rPr>
        <sz val="11"/>
        <color theme="1"/>
        <rFont val="Aptos Narrow"/>
        <family val="2"/>
        <scheme val="minor"/>
      </rPr>
      <t xml:space="preserve"> </t>
    </r>
    <r>
      <rPr>
        <strike/>
        <sz val="11"/>
        <color theme="1"/>
        <rFont val="Aptos Narrow"/>
        <family val="2"/>
        <scheme val="minor"/>
      </rPr>
      <t xml:space="preserve">of </t>
    </r>
    <r>
      <rPr>
        <sz val="11"/>
        <color theme="1"/>
        <rFont val="Aptos Narrow"/>
        <family val="2"/>
        <scheme val="minor"/>
      </rPr>
      <t>high water-stress (cubic meters m³)</t>
    </r>
  </si>
  <si>
    <t>template_label_amount_of_water_consumed_at_sites_located_in_areas_with_water_stress</t>
  </si>
  <si>
    <r>
      <t xml:space="preserve">Amount of water </t>
    </r>
    <r>
      <rPr>
        <strike/>
        <sz val="11"/>
        <color theme="1"/>
        <rFont val="Aptos Narrow"/>
        <family val="2"/>
        <scheme val="minor"/>
      </rPr>
      <t>withdrawn</t>
    </r>
    <r>
      <rPr>
        <sz val="11"/>
        <color theme="1"/>
        <rFont val="Aptos Narrow"/>
        <family val="2"/>
        <scheme val="minor"/>
      </rPr>
      <t xml:space="preserve"> </t>
    </r>
    <r>
      <rPr>
        <sz val="11"/>
        <color rgb="FFFF0000"/>
        <rFont val="Aptos Narrow"/>
        <family val="2"/>
        <scheme val="minor"/>
      </rPr>
      <t xml:space="preserve">consumed </t>
    </r>
    <r>
      <rPr>
        <sz val="11"/>
        <color theme="1"/>
        <rFont val="Aptos Narrow"/>
        <family val="2"/>
        <scheme val="minor"/>
      </rPr>
      <t xml:space="preserve">at sites located in areas </t>
    </r>
    <r>
      <rPr>
        <sz val="11"/>
        <color rgb="FFFF0000"/>
        <rFont val="Aptos Narrow"/>
        <family val="2"/>
        <scheme val="minor"/>
      </rPr>
      <t>with</t>
    </r>
    <r>
      <rPr>
        <sz val="11"/>
        <color theme="1"/>
        <rFont val="Aptos Narrow"/>
        <family val="2"/>
        <scheme val="minor"/>
      </rPr>
      <t xml:space="preserve"> </t>
    </r>
    <r>
      <rPr>
        <strike/>
        <sz val="11"/>
        <color theme="1"/>
        <rFont val="Aptos Narrow"/>
        <family val="2"/>
        <scheme val="minor"/>
      </rPr>
      <t>of</t>
    </r>
    <r>
      <rPr>
        <sz val="11"/>
        <color theme="1"/>
        <rFont val="Aptos Narrow"/>
        <family val="2"/>
        <scheme val="minor"/>
      </rPr>
      <t xml:space="preserve"> </t>
    </r>
    <r>
      <rPr>
        <strike/>
        <sz val="11"/>
        <color theme="1"/>
        <rFont val="Aptos Narrow"/>
        <family val="2"/>
        <scheme val="minor"/>
      </rPr>
      <t>high</t>
    </r>
    <r>
      <rPr>
        <sz val="11"/>
        <color theme="1"/>
        <rFont val="Aptos Narrow"/>
        <family val="2"/>
        <scheme val="minor"/>
      </rPr>
      <t xml:space="preserve"> water-stress (cubic meters m³)</t>
    </r>
  </si>
  <si>
    <t>AmountOfWaterWithdrawnAtSitesLocatedInAreasOfHighWaterStress</t>
  </si>
  <si>
    <t>AmountOfWaterConsumedAtSitesLocatedInAreasWithWaterStress</t>
  </si>
  <si>
    <t>Validation of Water Consumption in Areas with Water Stress both in Environmental Sheet as well as in Table of Contents Sheet.
The validation of water withdrawal needs also to be adapted (both in Env Sheet as well in table of Contents Sheet)</t>
  </si>
  <si>
    <t>VALIDATIONS TO BE CHANGED --&gt; SERGIO</t>
  </si>
  <si>
    <t>template_label_waste_diverted_to_recycle_or_reuse</t>
  </si>
  <si>
    <t>Waste diverted to recycle or reuse</t>
  </si>
  <si>
    <r>
      <t xml:space="preserve">Percentage of </t>
    </r>
    <r>
      <rPr>
        <sz val="11"/>
        <rFont val="Aptos Narrow"/>
        <family val="2"/>
        <scheme val="minor"/>
      </rPr>
      <t>waste diverted to recycl</t>
    </r>
    <r>
      <rPr>
        <sz val="11"/>
        <color rgb="FFFF0000"/>
        <rFont val="Aptos Narrow"/>
        <family val="2"/>
        <scheme val="minor"/>
      </rPr>
      <t>ing</t>
    </r>
    <r>
      <rPr>
        <strike/>
        <sz val="11"/>
        <rFont val="Aptos Narrow"/>
        <family val="2"/>
        <scheme val="minor"/>
      </rPr>
      <t>e</t>
    </r>
    <r>
      <rPr>
        <sz val="11"/>
        <rFont val="Aptos Narrow"/>
        <family val="2"/>
        <scheme val="minor"/>
      </rPr>
      <t xml:space="preserve"> </t>
    </r>
    <r>
      <rPr>
        <strike/>
        <sz val="11"/>
        <rFont val="Aptos Narrow"/>
        <family val="2"/>
        <scheme val="minor"/>
      </rPr>
      <t>or reuse</t>
    </r>
  </si>
  <si>
    <t>template_label_waste_directed_to_disposal</t>
  </si>
  <si>
    <t>Waste directed to disposal</t>
  </si>
  <si>
    <r>
      <rPr>
        <sz val="11"/>
        <color rgb="FFFF0000"/>
        <rFont val="Aptos Narrow"/>
        <family val="2"/>
        <scheme val="minor"/>
      </rPr>
      <t>Percentage of</t>
    </r>
    <r>
      <rPr>
        <sz val="11"/>
        <color theme="1"/>
        <rFont val="Aptos Narrow"/>
        <family val="2"/>
        <scheme val="minor"/>
      </rPr>
      <t xml:space="preserve"> waste diverted to </t>
    </r>
    <r>
      <rPr>
        <sz val="11"/>
        <color rgb="FFFF0000"/>
        <rFont val="Aptos Narrow"/>
        <family val="2"/>
        <scheme val="minor"/>
      </rPr>
      <t>preparation for</t>
    </r>
    <r>
      <rPr>
        <sz val="11"/>
        <color theme="1"/>
        <rFont val="Aptos Narrow"/>
        <family val="2"/>
        <scheme val="minor"/>
      </rPr>
      <t xml:space="preserve"> </t>
    </r>
    <r>
      <rPr>
        <strike/>
        <sz val="11"/>
        <color theme="1"/>
        <rFont val="Aptos Narrow"/>
        <family val="2"/>
        <scheme val="minor"/>
      </rPr>
      <t>recyclinge or</t>
    </r>
    <r>
      <rPr>
        <sz val="11"/>
        <color theme="1"/>
        <rFont val="Aptos Narrow"/>
        <family val="2"/>
        <scheme val="minor"/>
      </rPr>
      <t xml:space="preserve"> reuse</t>
    </r>
  </si>
  <si>
    <t>TotalWasteRecycledReusedAndDirectedToDisposalMass</t>
  </si>
  <si>
    <t>REMOVED</t>
  </si>
  <si>
    <t>WasteDirectedToDisposalVolume_unit</t>
  </si>
  <si>
    <t>WasteDirectedToDisposalMass_unit</t>
  </si>
  <si>
    <t>WasteDirectedToRecycleOrReuseMass_unit</t>
  </si>
  <si>
    <t>WasteDirectedToRecycleOrReuseVolume_unit</t>
  </si>
  <si>
    <t>PercentageOfWasteDivertedToRecycling</t>
  </si>
  <si>
    <t>NEW</t>
  </si>
  <si>
    <t>Inserted due to alignment with Voluntary Standard</t>
  </si>
  <si>
    <t>PercentageOfWasteDivertedToPreparationForReuse</t>
  </si>
  <si>
    <t>WasteGeneratedMass</t>
  </si>
  <si>
    <t>WasteGeneratedVolume</t>
  </si>
  <si>
    <t>WasteGeneratedMass_unit</t>
  </si>
  <si>
    <t>WasteGeneratedVolume_unit</t>
  </si>
  <si>
    <t>TotalWasteRecycledReusedAndDirectedToDisposalMass_unit</t>
  </si>
  <si>
    <t>TotalWasteRecycledReusedAndDirectedToDisposalVolume_unit</t>
  </si>
  <si>
    <t>template_label_b8_workforce_general_characteristics_turnover_rate</t>
  </si>
  <si>
    <t>DELETED</t>
  </si>
  <si>
    <t>Deleted due to alignment with Voluntary Standard (embedded under C5)</t>
  </si>
  <si>
    <t>Number of employees at the beginning of the reporting period</t>
  </si>
  <si>
    <r>
      <t xml:space="preserve">Number of employees at the beginning of the reporting period </t>
    </r>
    <r>
      <rPr>
        <sz val="11"/>
        <color rgb="FFFF0000"/>
        <rFont val="Aptos Narrow"/>
        <family val="2"/>
        <scheme val="minor"/>
      </rPr>
      <t>(in headcount)</t>
    </r>
  </si>
  <si>
    <t>Number of employees at the end of the reporting period</t>
  </si>
  <si>
    <r>
      <t xml:space="preserve">Number of employees at the end of the reporting period </t>
    </r>
    <r>
      <rPr>
        <sz val="11"/>
        <color rgb="FFFF0000"/>
        <rFont val="Aptos Narrow"/>
        <family val="2"/>
        <scheme val="minor"/>
      </rPr>
      <t>(in headcount)</t>
    </r>
  </si>
  <si>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</si>
  <si>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t>
  </si>
  <si>
    <t>NEW (Inserted as a result of new formula in the guidance)</t>
  </si>
  <si>
    <t>Number of fatalities as a result of work-related injuries and work-related ill health</t>
  </si>
  <si>
    <r>
      <t xml:space="preserve">Subject to legal restrictions, the sum </t>
    </r>
    <r>
      <rPr>
        <sz val="11"/>
        <rFont val="Aptos Narrow"/>
        <family val="2"/>
        <scheme val="minor"/>
      </rPr>
      <t xml:space="preserve">of </t>
    </r>
    <r>
      <rPr>
        <sz val="11"/>
        <color rgb="FFFF0000"/>
        <rFont val="Aptos Narrow"/>
        <family val="2"/>
        <scheme val="minor"/>
      </rPr>
      <t>the</t>
    </r>
    <r>
      <rPr>
        <sz val="11"/>
        <rFont val="Aptos Narrow"/>
        <family val="2"/>
        <scheme val="minor"/>
      </rPr>
      <t xml:space="preserve"> fatalities as a result of </t>
    </r>
    <r>
      <rPr>
        <sz val="11"/>
        <color rgb="FFFF0000"/>
        <rFont val="Aptos Narrow"/>
        <family val="2"/>
        <scheme val="minor"/>
      </rPr>
      <t xml:space="preserve">recordable </t>
    </r>
    <r>
      <rPr>
        <sz val="11"/>
        <rFont val="Aptos Narrow"/>
        <family val="2"/>
        <scheme val="minor"/>
      </rPr>
      <t xml:space="preserve">work-related </t>
    </r>
    <r>
      <rPr>
        <sz val="11"/>
        <color rgb="FFFF0000"/>
        <rFont val="Aptos Narrow"/>
        <family val="2"/>
        <scheme val="minor"/>
      </rPr>
      <t>accidents</t>
    </r>
    <r>
      <rPr>
        <sz val="11"/>
        <rFont val="Aptos Narrow"/>
        <family val="2"/>
        <scheme val="minor"/>
      </rPr>
      <t xml:space="preserve"> </t>
    </r>
    <r>
      <rPr>
        <strike/>
        <sz val="11"/>
        <rFont val="Aptos Narrow"/>
        <family val="2"/>
        <scheme val="minor"/>
      </rPr>
      <t>injuries</t>
    </r>
    <r>
      <rPr>
        <sz val="11"/>
        <rFont val="Aptos Narrow"/>
        <family val="2"/>
        <scheme val="minor"/>
      </rPr>
      <t xml:space="preserve"> and </t>
    </r>
    <r>
      <rPr>
        <sz val="11"/>
        <color rgb="FFFF0000"/>
        <rFont val="Aptos Narrow"/>
        <family val="2"/>
        <scheme val="minor"/>
      </rPr>
      <t xml:space="preserve">recordable </t>
    </r>
    <r>
      <rPr>
        <sz val="11"/>
        <rFont val="Aptos Narrow"/>
        <family val="2"/>
        <scheme val="minor"/>
      </rPr>
      <t>work-related ill health</t>
    </r>
  </si>
  <si>
    <t>LABEL CHANGE</t>
  </si>
  <si>
    <t>template_label_subject_to_legal_restrictions_sum_of_fatalities_as_a_result_of_recordable_work_related_accidents_and_recordable_work_related_ill_health</t>
  </si>
  <si>
    <t>NumberOfFatalitiesAsAResultOfWorkRelatedInjuriesAndWorkRelatedIllHealth</t>
  </si>
  <si>
    <t>SumOfFatalitiesAsAResultOfRecordableWorkRelatedAccidentsAndRecordableWorkRelatedIllHealth</t>
  </si>
  <si>
    <t>Number of employees covered by collective bargaining agreements</t>
  </si>
  <si>
    <r>
      <t xml:space="preserve">Number of employees covered by collective bargaining agreements </t>
    </r>
    <r>
      <rPr>
        <sz val="11"/>
        <color rgb="FFFF0000"/>
        <rFont val="Aptos Narrow"/>
        <family val="2"/>
        <scheme val="minor"/>
      </rPr>
      <t>(in headcount)</t>
    </r>
  </si>
  <si>
    <t>AverageNumberOfAnnualTrainingHoursPerFemaleEmployee</t>
  </si>
  <si>
    <t>AverageNumberOfAnnualTrainingHoursPerMaleEmployee</t>
  </si>
  <si>
    <t>AverageNumberOfAnnualTrainingHoursPerNonReportedGenderEmployee</t>
  </si>
  <si>
    <t>AverageNumberOfAnnualTrainingHoursPerOtherGenderEmployee</t>
  </si>
  <si>
    <t>Inserted due to alignment with EFRAG guidance</t>
  </si>
  <si>
    <t>AverageNumberOfAnnualTrainingHoursPerEmployee</t>
  </si>
  <si>
    <t>Number of employees who left during the reporting period</t>
  </si>
  <si>
    <r>
      <t xml:space="preserve">Number of employees who left during the reporting period </t>
    </r>
    <r>
      <rPr>
        <sz val="11"/>
        <color rgb="FFFF0000"/>
        <rFont val="Aptos Narrow"/>
        <family val="2"/>
        <scheme val="minor"/>
      </rPr>
      <t>(in headcount)</t>
    </r>
  </si>
  <si>
    <t>Employee counting methodology for the disclosures below (Headcount or Full time Equivalent linked from B1</t>
  </si>
  <si>
    <r>
      <t xml:space="preserve">Employee counting methodology (Headcount or Full time Equivalent linked from B1) for the disclosures below </t>
    </r>
    <r>
      <rPr>
        <sz val="11"/>
        <color rgb="FFFF0000"/>
        <rFont val="Aptos Narrow"/>
        <family val="2"/>
        <scheme val="minor"/>
      </rPr>
      <t>except specified otherwise</t>
    </r>
    <r>
      <rPr>
        <sz val="11"/>
        <color theme="1"/>
        <rFont val="Aptos Narrow"/>
        <family val="2"/>
        <scheme val="minor"/>
      </rPr>
      <t xml:space="preserve"> </t>
    </r>
  </si>
  <si>
    <t>Employee counting methodology for the disclosures below (At the end of the reporting period or as an average across the reporting period linked from B1)</t>
  </si>
  <si>
    <r>
      <t xml:space="preserve">Employee counting methodology (At the end of the reporting period or as an average across the reporting period linked from B1) for the disclosures below </t>
    </r>
    <r>
      <rPr>
        <sz val="11"/>
        <color rgb="FFFF0000"/>
        <rFont val="Aptos Narrow"/>
        <family val="2"/>
        <scheme val="minor"/>
      </rPr>
      <t>except specified otherwise</t>
    </r>
  </si>
  <si>
    <t>template_label_c7_severe_negative_human_rights_incidents</t>
  </si>
  <si>
    <r>
      <t xml:space="preserve">C7 - </t>
    </r>
    <r>
      <rPr>
        <strike/>
        <sz val="11"/>
        <color theme="1"/>
        <rFont val="Aptos Narrow"/>
        <family val="2"/>
        <scheme val="minor"/>
      </rPr>
      <t>Severe negative</t>
    </r>
    <r>
      <rPr>
        <sz val="11"/>
        <color theme="1"/>
        <rFont val="Aptos Narrow"/>
        <family val="2"/>
        <scheme val="minor"/>
      </rPr>
      <t xml:space="preserve"> </t>
    </r>
    <r>
      <rPr>
        <sz val="11"/>
        <color rgb="FFFF0000"/>
        <rFont val="Aptos Narrow"/>
        <family val="2"/>
        <scheme val="minor"/>
      </rPr>
      <t>H</t>
    </r>
    <r>
      <rPr>
        <sz val="11"/>
        <color theme="1"/>
        <rFont val="Aptos Narrow"/>
        <family val="2"/>
        <scheme val="minor"/>
      </rPr>
      <t>uman rights incidents</t>
    </r>
  </si>
  <si>
    <t>Is the undertaking aware of any confirmed incidents involving workers in the value chain affected communities consumers and end-users?</t>
  </si>
  <si>
    <r>
      <t xml:space="preserve">Is the undertaking aware of any confirmed incidents involving workers in the value chain affected communities consumers and end-users </t>
    </r>
    <r>
      <rPr>
        <sz val="11"/>
        <color rgb="FFFF0000"/>
        <rFont val="Aptos Narrow"/>
        <family val="2"/>
        <scheme val="minor"/>
      </rPr>
      <t>identified in the reporting period?</t>
    </r>
  </si>
  <si>
    <t>Specification of any confirmed incident involving workers in the value chain affected communities consumers and end-users</t>
  </si>
  <si>
    <r>
      <t xml:space="preserve">Specification of any confirmed incident </t>
    </r>
    <r>
      <rPr>
        <sz val="11"/>
        <color rgb="FFFF0000"/>
        <rFont val="Aptos Narrow"/>
        <family val="2"/>
        <scheme val="minor"/>
      </rPr>
      <t xml:space="preserve">identified in the reporitng period </t>
    </r>
    <r>
      <rPr>
        <sz val="11"/>
        <color theme="1"/>
        <rFont val="Aptos Narrow"/>
        <family val="2"/>
        <scheme val="minor"/>
      </rPr>
      <t>involving workers in the value chain affected communities consumers and end-users</t>
    </r>
  </si>
  <si>
    <t>template_label_revenue_derived_from_controversial_weapons</t>
  </si>
  <si>
    <t>Revenue derived from controversial weapons (anti-personnel mines cluster munitions chemical weapons and biological weapons)</t>
  </si>
  <si>
    <r>
      <t xml:space="preserve">Revenue derived from </t>
    </r>
    <r>
      <rPr>
        <sz val="11"/>
        <color rgb="FFFF0000"/>
        <rFont val="Aptos Narrow"/>
        <family val="2"/>
        <scheme val="minor"/>
      </rPr>
      <t xml:space="preserve">the prohibited weapons industry </t>
    </r>
    <r>
      <rPr>
        <strike/>
        <sz val="11"/>
        <color theme="1"/>
        <rFont val="Aptos Narrow"/>
        <family val="2"/>
        <scheme val="minor"/>
      </rPr>
      <t>controversial weapons</t>
    </r>
    <r>
      <rPr>
        <sz val="11"/>
        <color theme="1"/>
        <rFont val="Aptos Narrow"/>
        <family val="2"/>
        <scheme val="minor"/>
      </rPr>
      <t xml:space="preserve"> (anti-personnel mines cluster munitions chemical weapons and biological weapons)</t>
    </r>
  </si>
  <si>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</si>
  <si>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r>
      <t xml:space="preserve">Total revenues derived from </t>
    </r>
    <r>
      <rPr>
        <sz val="11"/>
        <color rgb="FFFF0000"/>
        <rFont val="Aptos Narrow"/>
        <family val="2"/>
        <scheme val="minor"/>
      </rPr>
      <t xml:space="preserve">the </t>
    </r>
    <r>
      <rPr>
        <sz val="11"/>
        <color theme="1"/>
        <rFont val="Aptos Narrow"/>
        <family val="2"/>
        <scheme val="minor"/>
      </rPr>
      <t xml:space="preserve">fossil fuel (coal oil and gas) sector </t>
    </r>
    <r>
      <rPr>
        <strike/>
        <sz val="11"/>
        <color theme="1"/>
        <rFont val="Aptos Narrow"/>
        <family val="2"/>
        <scheme val="minor"/>
      </rPr>
      <t>(i.e.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r>
  </si>
  <si>
    <t>UndertakingsAreExcludedFromAnyEuReferenceBenchmarksThatAreAlignedWithTheParisAgreement</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</si>
  <si>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</si>
  <si>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</si>
  <si>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</si>
  <si>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</si>
  <si>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</si>
  <si>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</si>
  <si>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template_label_undertakings_are_excluded_from_any_eu_reference_benchmarks_that_are_aligned_with_the_paris_agreement</t>
  </si>
  <si>
    <t>RevenueDerivedFromControversialWeaponsAntiPersonnelMinesClusterMunitionsChemicalWeaponsAndBiologicalWeapons</t>
  </si>
  <si>
    <t>CHANGED</t>
  </si>
  <si>
    <r>
      <t>RevenueDerivedFrom</t>
    </r>
    <r>
      <rPr>
        <sz val="11"/>
        <color rgb="FFFF0000"/>
        <rFont val="Aptos Narrow"/>
        <family val="2"/>
        <scheme val="minor"/>
      </rPr>
      <t>TheProhibitedWeaponsIndustry</t>
    </r>
    <r>
      <rPr>
        <sz val="11"/>
        <color theme="1"/>
        <rFont val="Aptos Narrow"/>
        <family val="2"/>
        <scheme val="minor"/>
      </rPr>
      <t>AntiPersonnelMinesClusterMunitionsChemicalWeaponsAndBiologicalWeapons</t>
    </r>
  </si>
  <si>
    <t xml:space="preserve">ℹ️  The entity identifier is a unique ID, that will enable identifying the company that has reported the information. The VSME Standard does not require any specific identifier. An entity identifier is required for the digital reporting. </t>
  </si>
  <si>
    <r>
      <t>ℹ️  The entity identifier is a unique ID, that will enable identifying the company that has reported the information. The V</t>
    </r>
    <r>
      <rPr>
        <sz val="11"/>
        <color rgb="FFFF0000"/>
        <rFont val="Aptos Narrow"/>
        <family val="2"/>
        <scheme val="minor"/>
      </rPr>
      <t>oluntary</t>
    </r>
    <r>
      <rPr>
        <strike/>
        <sz val="11"/>
        <color theme="1"/>
        <rFont val="Aptos Narrow"/>
        <family val="2"/>
        <scheme val="minor"/>
      </rPr>
      <t>SME</t>
    </r>
    <r>
      <rPr>
        <sz val="11"/>
        <color theme="1"/>
        <rFont val="Aptos Narrow"/>
        <family val="2"/>
        <scheme val="minor"/>
      </rPr>
      <t xml:space="preserve"> Standard does not require any specific identifier. An entity identifier is required for the digital reporting. </t>
    </r>
  </si>
  <si>
    <t>ℹ️ WARNING: Information inserted in VSME Digital Template but marked as classified or sensitive information. Please make sure to remove such information from the VSME Digital Template, else it will converted in the Inline XBRL report.</t>
  </si>
  <si>
    <r>
      <t>ℹ️ WARNING: Information inserted in VS</t>
    </r>
    <r>
      <rPr>
        <strike/>
        <sz val="11"/>
        <color theme="1"/>
        <rFont val="Aptos Narrow"/>
        <family val="2"/>
        <scheme val="minor"/>
      </rPr>
      <t>ME</t>
    </r>
    <r>
      <rPr>
        <sz val="11"/>
        <color theme="1"/>
        <rFont val="Aptos Narrow"/>
        <family val="2"/>
        <scheme val="minor"/>
      </rPr>
      <t xml:space="preserve"> Digital Template but marked as classified or sensitive information. Please make sure to remove such information from the VSME Digital Template, else it will converted in the Inline XBRL report.</t>
    </r>
  </si>
  <si>
    <t>VSME Digital Template Sample</t>
  </si>
  <si>
    <r>
      <t>VS</t>
    </r>
    <r>
      <rPr>
        <strike/>
        <sz val="11"/>
        <color theme="1"/>
        <rFont val="Aptos Narrow"/>
        <family val="2"/>
        <scheme val="minor"/>
      </rPr>
      <t>ME</t>
    </r>
    <r>
      <rPr>
        <sz val="11"/>
        <color theme="1"/>
        <rFont val="Aptos Narrow"/>
        <family val="2"/>
        <scheme val="minor"/>
      </rPr>
      <t xml:space="preserve"> Digital Template Sample</t>
    </r>
  </si>
  <si>
    <t>template_vs_digital_template_sample</t>
  </si>
  <si>
    <t>If you need to add footnotes for the converted VSME Digital Template, please select the disclosures in column E and write the related footnote in column C.</t>
  </si>
  <si>
    <r>
      <t>If you need to add footnotes for the converted VS</t>
    </r>
    <r>
      <rPr>
        <strike/>
        <sz val="11"/>
        <color theme="1"/>
        <rFont val="Aptos Narrow"/>
        <family val="2"/>
        <scheme val="minor"/>
      </rPr>
      <t>ME</t>
    </r>
    <r>
      <rPr>
        <sz val="11"/>
        <color theme="1"/>
        <rFont val="Aptos Narrow"/>
        <family val="2"/>
        <scheme val="minor"/>
      </rPr>
      <t xml:space="preserve"> Digital Template, please select the disclosures in column E and write the related footnote in column C.</t>
    </r>
  </si>
  <si>
    <t>TotalLocationBasedGreenhouseGasEmissionsIntensityValue</t>
  </si>
  <si>
    <t>Deleted</t>
  </si>
  <si>
    <t>TotalMarketBasedGreenhouseGasEmissionsIntensityValue</t>
  </si>
  <si>
    <t>TotalNatureOrientedAreaOffSite</t>
  </si>
  <si>
    <t>TotalNatureOrientedAreaOffSite_unit</t>
  </si>
  <si>
    <t>TotalNatureOrientedAreaOnSite</t>
  </si>
  <si>
    <t>TotalNatureOrientedAreaOnSite_unit</t>
  </si>
  <si>
    <t>ListOfOmittedDisclosuresDeemedToBeClassifiedOrSensitiveInformation</t>
  </si>
  <si>
    <t>Renamed</t>
  </si>
  <si>
    <r>
      <t>ListOfOmittedDisclosures</t>
    </r>
    <r>
      <rPr>
        <strike/>
        <sz val="11"/>
        <color theme="1"/>
        <rFont val="Aptos Narrow"/>
        <family val="2"/>
        <scheme val="minor"/>
      </rPr>
      <t>DeemedToBeClassifiedOrSensitiveInformation</t>
    </r>
  </si>
  <si>
    <t>ExplicitStatementOfCompliance</t>
  </si>
  <si>
    <t>[Sergio] To insert validations associated to exemptions for undertakings with less than 10 employees</t>
  </si>
  <si>
    <t>For all the validations to be aligned with Align with VS and the introduction of the new exemption for undertakings with less than 10 employees, three main changes have been done:
NEW CONDITIONAL FORMATTING [=AND('General Information'!$E$285&lt;=10; 'General Information'!$E$285&lt;&gt;"")]
Cells affected:
General Information -&gt; E528, E529, E530
Environmental Disclosures -&gt; M5, D22, D23, D24, D285, D293, D298, D305:K404, G405, J405:J411, J413
Social Disclosures -&gt; D157, D158, D159, D168, D177, D180, D189
Governance Disclosures -&gt;
NEW CONDITION IN VALIDATION FORMULA ['General Information'!E285&lt;=10]
Cells affected:
General Information -&gt; H528, H529, H530
Environmental Disclosures -&gt; G5, L19, L22, L23, L24, E285, E293, H298, M305
Social Disclosures -&gt; I157, I158, I159, I168, I177, I181, I189
Governance Disclosures -&gt;
CHANGE FO LABELS [adding "Voluntary for undertakings with 10 employees or less" in front of labels]
Labels affected:
template_label_has_the_undertaking_obtained_the_necessary_information_to_provide_an_energy_consumption_breakdown
template_label_has_the_undertaking_has_established_ghg_emission_reduction_targets
template_label_does_the_undertaking_have_production_processes_in_place_which_significantly_consume_water
template_label_does_the_undertaking_operate_in_a_sector_using_significant_material_flows
template_label_has_the_strategy_key_elements_that_relate_to_or_affect_sustainability_issues
template_label_is_the_undertaking_disclosing_entity_specific_information_on_scope_3_emissions
template_label_has_the_undertaking_identified_climate_related_hazards_and_climate_related_transition_events</t>
  </si>
  <si>
    <t>[Sergio] B7 table, reviewing and amending validations</t>
  </si>
  <si>
    <t>New lines (411:414) for overall percentages, moreover amended the design of the entire B7 - Waste generated" table and its validations, in order to align it with the new VS text</t>
  </si>
  <si>
    <t>MATHIAS TO INSERT LINKS TO KNOWLEDGE HUB PARAGRAPHS</t>
  </si>
  <si>
    <t>[Sergio] To fix "List of omitted disclosures" in "B1 - Basis for Preparation &amp; Module"</t>
  </si>
  <si>
    <t>Modified the "mirrored" Table of Contents in the Technical Sheet to enable again the automatic fetching of the omitted values in the "List of omitted disclosures" in "B1 - Basis for Preparation &amp; Module"</t>
  </si>
  <si>
    <t>[Sergio] To check all validations (particularly for table of contents) and do a consistency check</t>
  </si>
  <si>
    <t>Done, but to be double checked with Mathias</t>
  </si>
  <si>
    <t>[Sergio] Focus on Table of Contents sheet, to make sure that after all the changes there are no broken validations</t>
  </si>
  <si>
    <t>Most senior level within its employees that is accountable for implementing the policies when this has been determined by the undertaking</t>
  </si>
  <si>
    <r>
      <t xml:space="preserve">Most senior level </t>
    </r>
    <r>
      <rPr>
        <strike/>
        <sz val="11"/>
        <color theme="1"/>
        <rFont val="Aptos Narrow"/>
        <family val="2"/>
        <scheme val="minor"/>
      </rPr>
      <t>with</t>
    </r>
    <r>
      <rPr>
        <sz val="11"/>
        <color theme="1"/>
        <rFont val="Aptos Narrow"/>
        <family val="2"/>
        <scheme val="minor"/>
      </rPr>
      <t xml:space="preserve">in </t>
    </r>
    <r>
      <rPr>
        <sz val="11"/>
        <color rgb="FFFF0000"/>
        <rFont val="Aptos Narrow"/>
        <family val="2"/>
        <scheme val="minor"/>
      </rPr>
      <t>the undertaking (i.e. a person or a body)</t>
    </r>
    <r>
      <rPr>
        <strike/>
        <sz val="11"/>
        <color theme="1"/>
        <rFont val="Aptos Narrow"/>
        <family val="2"/>
        <scheme val="minor"/>
      </rPr>
      <t xml:space="preserve"> its employees</t>
    </r>
    <r>
      <rPr>
        <sz val="11"/>
        <color theme="1"/>
        <rFont val="Aptos Narrow"/>
        <family val="2"/>
        <scheme val="minor"/>
      </rPr>
      <t xml:space="preserve"> that is accountable for implementing th</t>
    </r>
    <r>
      <rPr>
        <sz val="11"/>
        <color rgb="FFFF0000"/>
        <rFont val="Aptos Narrow"/>
        <family val="2"/>
        <scheme val="minor"/>
      </rPr>
      <t>os</t>
    </r>
    <r>
      <rPr>
        <sz val="11"/>
        <color theme="1"/>
        <rFont val="Aptos Narrow"/>
        <family val="2"/>
        <scheme val="minor"/>
      </rPr>
      <t>e</t>
    </r>
    <r>
      <rPr>
        <strike/>
        <sz val="11"/>
        <color theme="1"/>
        <rFont val="Aptos Narrow"/>
        <family val="2"/>
        <scheme val="minor"/>
      </rPr>
      <t xml:space="preserve">e </t>
    </r>
    <r>
      <rPr>
        <sz val="11"/>
        <color theme="1"/>
        <rFont val="Aptos Narrow"/>
        <family val="2"/>
        <scheme val="minor"/>
      </rPr>
      <t xml:space="preserve">  </t>
    </r>
    <r>
      <rPr>
        <sz val="11"/>
        <color rgb="FFFF0000"/>
        <rFont val="Aptos Narrow"/>
        <family val="2"/>
        <scheme val="minor"/>
      </rPr>
      <t xml:space="preserve">practices, </t>
    </r>
    <r>
      <rPr>
        <sz val="11"/>
        <color theme="1"/>
        <rFont val="Aptos Narrow"/>
        <family val="2"/>
        <scheme val="minor"/>
      </rPr>
      <t>policies</t>
    </r>
    <r>
      <rPr>
        <sz val="11"/>
        <color rgb="FFFF0000"/>
        <rFont val="Aptos Narrow"/>
        <family val="2"/>
        <scheme val="minor"/>
      </rPr>
      <t xml:space="preserve">, and future initiatives </t>
    </r>
    <r>
      <rPr>
        <sz val="11"/>
        <color theme="1"/>
        <rFont val="Aptos Narrow"/>
        <family val="2"/>
        <scheme val="minor"/>
      </rPr>
      <t xml:space="preserve"> when this has been determined by the undertaking</t>
    </r>
  </si>
  <si>
    <t>MostSeniorLevelAccountableForImplementationOfPolicies</t>
  </si>
  <si>
    <t>MostSeniorLevelInTheUndertakingAccountableForImplementationOfPracticesPoliciesAndFutureInitiatives</t>
  </si>
  <si>
    <t>Label inserted for those disclosures that are not part of the Voluntary Standard but part of the EFRAG non mandatory guidance</t>
  </si>
  <si>
    <t>AreaOfSiteInBiodiversitySensitiveArea</t>
  </si>
  <si>
    <t>NameOfBiodiversitySensitiveArea</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</si>
  <si>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</si>
  <si>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</si>
  <si>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</si>
  <si>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</si>
  <si>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</si>
  <si>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</si>
  <si>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</si>
  <si>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</si>
  <si>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</si>
  <si>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</si>
  <si>
    <t xml:space="preserve">GPS </t>
  </si>
  <si>
    <t>Numbers for xlookup related to validation for info deemed classified or sensitive</t>
  </si>
  <si>
    <t>Filling the checkboxes below will fill automatically the list of mitted disclosures in B1 (from row 123 to 172 within General Information sheet)</t>
  </si>
  <si>
    <t>ID classified or sensitive information</t>
  </si>
  <si>
    <t>Counting sensitive information disclosures</t>
  </si>
  <si>
    <t>Disclosure of any other general and or entity specific information on the reporting period</t>
  </si>
  <si>
    <t>B2 - Practices policies and future initiatives for transitioning towards a more sustainable economy</t>
  </si>
  <si>
    <t>Disclosure of any other environmental and or entity specific environmental disclosures</t>
  </si>
  <si>
    <t>Disclosure of any other social and or entity specific social disclosures</t>
  </si>
  <si>
    <t>Disclosure of any other governance and or entity specific governance disclosures</t>
  </si>
  <si>
    <t>INTERACTIVE LIST FOR DOCX FEATURE</t>
  </si>
  <si>
    <t>INDEX</t>
  </si>
  <si>
    <t>List of narrative disclusures</t>
  </si>
  <si>
    <t>List of narrative disclusures (with contextual info)</t>
  </si>
  <si>
    <t>DisclosureOfAnyOtherGeneralAndOrEntitySpecificInformation</t>
  </si>
  <si>
    <t>template_checkbox_introduction_docx</t>
  </si>
  <si>
    <t>DescriptionOfSustainabilityRelatedCertificationsOrLabels</t>
  </si>
  <si>
    <t>Introduction: disclosure of any other general and/or entity specific information on the reporting period from 2026-01-01 to 2026-12-31 [May (optional)]    </t>
  </si>
  <si>
    <t>DescriptionOfHowCircularEconomyPrinciplesAreApplied</t>
  </si>
  <si>
    <t>General Information, Cell: C17</t>
  </si>
  <si>
    <t>DescriptionOfSignificantGroupsOfProductsAndOrServicesOffered</t>
  </si>
  <si>
    <t>DescriptionOfSignificantMarketsTheUndertakingOperatesIn</t>
  </si>
  <si>
    <t>template_checkbox_b1_certifications_or_labels_docx</t>
  </si>
  <si>
    <t>DescriptionOfMainBusinessRelationships</t>
  </si>
  <si>
    <t>B1 - Disclosure of sustainability-related certification(s) or label(s) from 2026-01-01 to 2026-12-31 [If applicable]</t>
  </si>
  <si>
    <t>DescriptionOfKeyElementsOfStrategyThatRelatesToOrAffectsSustainabilityIssues</t>
  </si>
  <si>
    <r>
      <t xml:space="preserve">Description of sustainability-related certification(s) or label(s) including where relevant the issuers of the certification or label date and rating score - </t>
    </r>
    <r>
      <rPr>
        <b/>
        <sz val="11"/>
        <color theme="1"/>
        <rFont val="Aptos Narrow"/>
        <family val="2"/>
        <scheme val="minor"/>
      </rPr>
      <t>General Information, Cell: E397</t>
    </r>
  </si>
  <si>
    <t>DescriptionOfPracticesPoliciesAndOrFutureInitiatives</t>
  </si>
  <si>
    <t>DescriptionOfATargetRelatedToAPolicy</t>
  </si>
  <si>
    <t>template_checkbox_b7_description_of_circular_economy_principles_docx</t>
  </si>
  <si>
    <t>B7 - Description of circular economy principles from 2026-01-01 to 2026-12-31 [Always to be reported]        </t>
  </si>
  <si>
    <t>DisclosureOfListOfMainActionsTheEntitySeeksInOrderToAchieveItsTargets</t>
  </si>
  <si>
    <r>
      <t xml:space="preserve">Description of how it applies these principles - </t>
    </r>
    <r>
      <rPr>
        <b/>
        <sz val="11"/>
        <color theme="1"/>
        <rFont val="Aptos Narrow"/>
        <family val="2"/>
        <scheme val="minor"/>
      </rPr>
      <t>Environmental Disclosures, Cell: D317</t>
    </r>
  </si>
  <si>
    <t>DescriptionOfATransitionPlanForClimateChangeMitigationIncludingAnExplanationOfHowItIsContributingToReduceGhgEmissions</t>
  </si>
  <si>
    <t>DescriptionOfClimateRelatedHazardsAndClimateRelatedTransitionEvents</t>
  </si>
  <si>
    <t>template_checkbox_c1_strategy_business_model_and_sustainability_initiatives_docx</t>
  </si>
  <si>
    <t>DisclosureOfHowItHasAssessedTheExposureAndSensitivityOfItsAssetsActivitiesAndValueChainToTheseHazardsAndTransitionEvents</t>
  </si>
  <si>
    <t>C1 - Strategy: Business Model and Sustainability - Related Initiatives from 2026-01-01 to 2026-12-31 [Always to be reported + If applicable]</t>
  </si>
  <si>
    <t>TimeHorizonsOfAnyClimateRelatedHazardsAndTransitionEventsIdentified</t>
  </si>
  <si>
    <r>
      <t xml:space="preserve">Description of significant groups of products and or services offered - </t>
    </r>
    <r>
      <rPr>
        <b/>
        <sz val="11"/>
        <color theme="1"/>
        <rFont val="Aptos Narrow"/>
        <family val="2"/>
        <scheme val="minor"/>
      </rPr>
      <t>General Information, Cell: E527</t>
    </r>
  </si>
  <si>
    <t>PotentialAdverseEffectsOfClimateRisksThatMayAffectItsFinancialPerformanceOrBusinessOperationsInTheShortMediumOrLongTermIndicatingWhetherItAssessesTheRisksToBeHighMediumOrLow</t>
  </si>
  <si>
    <r>
      <t xml:space="preserve">Description of significant market(s) the undertaking operates in (e.g. B2B, wholesale, retail, countries) - </t>
    </r>
    <r>
      <rPr>
        <b/>
        <sz val="11"/>
        <color theme="1"/>
        <rFont val="Aptos Narrow"/>
        <family val="2"/>
        <scheme val="minor"/>
      </rPr>
      <t>General Information, Cell: E528</t>
    </r>
  </si>
  <si>
    <t>SpecificationOfOtherTypesOfContentCoveredByTheCodeOfConductOrHumanRightsPolicy</t>
  </si>
  <si>
    <r>
      <t xml:space="preserve">Description of main business relationships (such as key suppliers, customers, distribution channels) - </t>
    </r>
    <r>
      <rPr>
        <b/>
        <sz val="11"/>
        <color theme="1"/>
        <rFont val="Aptos Narrow"/>
        <family val="2"/>
        <scheme val="minor"/>
      </rPr>
      <t>General Information, Cell: E529</t>
    </r>
  </si>
  <si>
    <t>SpecificationOfOtherHumanRightsRelatedToTheConfirmedIncident</t>
  </si>
  <si>
    <r>
      <t xml:space="preserve">Description of those key elements in the strategy that relate or affect sustainability issues - </t>
    </r>
    <r>
      <rPr>
        <b/>
        <sz val="11"/>
        <color theme="1"/>
        <rFont val="Aptos Narrow"/>
        <family val="2"/>
        <scheme val="minor"/>
      </rPr>
      <t>General Information, Cell: E531</t>
    </r>
  </si>
  <si>
    <t>DescriptionOfActionsTakeToAddressTheConfirmedIncidents</t>
  </si>
  <si>
    <t>SpecificationOfAnyConfirmedIncidentInvolvingWorkersInTheValueChainAffectedCommunitiesConsumersAndEndUsers</t>
  </si>
  <si>
    <t>template_checkbox_c2_description_of_practices_policies_and_future_initiatives_docx</t>
  </si>
  <si>
    <t>DisclosureOfAnyOtherEnvironmentalAndOrEntitySpecificEnvironmentalDisclosures</t>
  </si>
  <si>
    <t>C2 - Description of practices policies and future initiatives for transitioning towards a more sustainable economy from 2026-01-01 to 2026-12-31 [If applicable linked with B2]</t>
  </si>
  <si>
    <t>DisclosureOfAnyOtherSocialAndOrEntitySpecificSocialDisclosures</t>
  </si>
  <si>
    <r>
      <t xml:space="preserve">Description of a practice policy and or future initiative towards a more sustainable future (In case the practice  policy  future initiative covers suppliers or clients the undertaking shall mention it) - </t>
    </r>
    <r>
      <rPr>
        <b/>
        <sz val="11"/>
        <color theme="1"/>
        <rFont val="Aptos Narrow"/>
        <family val="2"/>
        <scheme val="minor"/>
      </rPr>
      <t>General Information, Cell: E521</t>
    </r>
  </si>
  <si>
    <t>DisclosureOfAnyOtherGovernanceAndOrEntitySpecificGovernanceDisclosures</t>
  </si>
  <si>
    <r>
      <t xml:space="preserve">Description of target related to a policy - </t>
    </r>
    <r>
      <rPr>
        <b/>
        <sz val="11"/>
        <color theme="1"/>
        <rFont val="Aptos Narrow"/>
        <family val="2"/>
        <scheme val="minor"/>
      </rPr>
      <t>General Information, Cell: E522</t>
    </r>
  </si>
  <si>
    <t>List of narrative disclusure to include thorugh the DOCX</t>
  </si>
  <si>
    <r>
      <t xml:space="preserve">Most senior level within its employees that is accountable for implementing the policies when this has been determined by the undertaking - </t>
    </r>
    <r>
      <rPr>
        <b/>
        <sz val="11"/>
        <color theme="1"/>
        <rFont val="Aptos Narrow"/>
        <family val="2"/>
        <scheme val="minor"/>
      </rPr>
      <t>General Information, Cell: E523</t>
    </r>
  </si>
  <si>
    <t>template_checkbox_c3_list_of_main_actions_to_achieve_targets_docx</t>
  </si>
  <si>
    <t>C3 - Disclosure of list of main actions the entity seeks in order to achieve its targets from 2026-01-01 to 2026-12-31 [If applicable]</t>
  </si>
  <si>
    <t>Environmental Disclosures, Cell: C52</t>
  </si>
  <si>
    <t>template_checkbox_c3_transition_plan_docx</t>
  </si>
  <si>
    <t>C3 - Transition plan for undertakings operating in high climate impact sectors from 2026-01-01 to 2026-12-31 [If applicable]</t>
  </si>
  <si>
    <r>
      <t xml:space="preserve">Description of a transition plan for climate change mitigation including an explanation of how it is contributing to reduce GHG emissions - May (optional) - </t>
    </r>
    <r>
      <rPr>
        <b/>
        <sz val="11"/>
        <color theme="1"/>
        <rFont val="Aptos Narrow"/>
        <family val="2"/>
        <scheme val="minor"/>
      </rPr>
      <t>Environmental Disclosures, Cell: D58</t>
    </r>
  </si>
  <si>
    <t>C4 - Climate risks from 2026-01-01 to 2026-12-31 [If applicable]</t>
  </si>
  <si>
    <r>
      <t xml:space="preserve">Description of climate-related hazards and climate-related transition events - </t>
    </r>
    <r>
      <rPr>
        <b/>
        <sz val="11"/>
        <color theme="1"/>
        <rFont val="Aptos Narrow"/>
        <family val="2"/>
        <scheme val="minor"/>
      </rPr>
      <t>Environmental Disclosures, Cell: E540</t>
    </r>
  </si>
  <si>
    <r>
      <t xml:space="preserve">Disclosure of how it has assessed the exposure and sensitivity of its assets activities and value chain to these hazards and transition events - </t>
    </r>
    <r>
      <rPr>
        <b/>
        <sz val="11"/>
        <color theme="1"/>
        <rFont val="Aptos Narrow"/>
        <family val="2"/>
        <scheme val="minor"/>
      </rPr>
      <t>Environmental Disclosures, Cell: E541</t>
    </r>
  </si>
  <si>
    <r>
      <t xml:space="preserve">Time horizons of any climate-related hazards and transition events identified - </t>
    </r>
    <r>
      <rPr>
        <b/>
        <sz val="11"/>
        <color theme="1"/>
        <rFont val="Aptos Narrow"/>
        <family val="2"/>
        <scheme val="minor"/>
      </rPr>
      <t>Environmental Disclosures, Cell: E542</t>
    </r>
  </si>
  <si>
    <t>template_checkbox_c6_additional_own_workforce_information_docx</t>
  </si>
  <si>
    <t>C6 - Additional own workforce information - Human rights policies and processes from 2026-01-01 to 2026-12-31 [Always to be reported]          </t>
  </si>
  <si>
    <r>
      <t xml:space="preserve">Specify other types of content covered by the code of conduct or human rights policy - </t>
    </r>
    <r>
      <rPr>
        <b/>
        <sz val="11"/>
        <color theme="1"/>
        <rFont val="Aptos Narrow"/>
        <family val="2"/>
        <scheme val="minor"/>
      </rPr>
      <t>Social Disclosures, Cell: D180</t>
    </r>
  </si>
  <si>
    <t>template_checkbox_c7_severe_negative_human_rights_incidents_docx</t>
  </si>
  <si>
    <t>C7 - Severe negative human rights incidents from 2026-01-01 to 2026-12-31 [Always to be reported]</t>
  </si>
  <si>
    <r>
      <t xml:space="preserve">Specify other human rights related to the confirmed incidents - </t>
    </r>
    <r>
      <rPr>
        <b/>
        <sz val="11"/>
        <color theme="1"/>
        <rFont val="Aptos Narrow"/>
        <family val="2"/>
        <scheme val="minor"/>
      </rPr>
      <t>Social Disclosures, Cell: D191</t>
    </r>
  </si>
  <si>
    <r>
      <t xml:space="preserve">Description of actions taken to address the confirmed incidents - </t>
    </r>
    <r>
      <rPr>
        <b/>
        <sz val="11"/>
        <color theme="1"/>
        <rFont val="Aptos Narrow"/>
        <family val="2"/>
        <scheme val="minor"/>
      </rPr>
      <t>Social Disclosures, Cell: D192</t>
    </r>
  </si>
  <si>
    <t>template_checkbox_entity_specific_environmental_disclosures_docx</t>
  </si>
  <si>
    <t>Disclosure of any other environmental and/or entity specific environmental disclosures from 2026-01-01 to 2026-12-31 [May (optional)]</t>
  </si>
  <si>
    <t>Environmental Disclosures, Cell: C548</t>
  </si>
  <si>
    <t>template_checkbox_entity_specific_social_disclosures_docx</t>
  </si>
  <si>
    <t>Disclosure of any other social and/or entity specific social disclosures from 2026-01-01 to 2026-12-31 [May (optional)]</t>
  </si>
  <si>
    <t>Social Disclosures, Cell: C200</t>
  </si>
  <si>
    <t>Disclosure of any other governance and/or entity specific governance disclosures from 2026-01-01 to 2026-12-31 [May (optional)]</t>
  </si>
  <si>
    <t>Social Disclosures, Cell: C38</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</si>
  <si>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</si>
  <si>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</si>
  <si>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</si>
  <si>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</si>
  <si>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</si>
  <si>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</si>
  <si>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</si>
  <si>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</si>
  <si>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</si>
  <si>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</si>
  <si>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</si>
  <si>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</si>
  <si>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</si>
  <si>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</si>
  <si>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</si>
  <si>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</si>
  <si>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</si>
  <si>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List of Taxonomy Labels for Footnotes</t>
  </si>
  <si>
    <t>Danish - Reviewed translation by Danish Standard Setter [da]</t>
  </si>
  <si>
    <t>Dutch - Reviewed translation by Ducth Standard Setter [nl]</t>
  </si>
  <si>
    <t>French - Reviewed translation by French Standard Setter [fr]</t>
  </si>
  <si>
    <t>German - Reviewed translation by German Standard Setter [de]</t>
  </si>
  <si>
    <t>Irish - Reviewed translation by Irish Standard Setter [ga]</t>
  </si>
  <si>
    <t>Italian - Reviewed translation by Italian Standard Setter [it]</t>
  </si>
  <si>
    <t>Lithuanian - Reviewed translation by Lithuanian Standard Setter [lt]</t>
  </si>
  <si>
    <t>Polish - Reviewed translation by Polish Standard Setter [pl]</t>
  </si>
  <si>
    <t>Portuguese - Reviewed translation by Portuguese Standard Setter [pt]</t>
  </si>
  <si>
    <t>Slovenian - Reviewed translation by Slovenian Standard Setter [sl]</t>
  </si>
  <si>
    <t>Spanish - Reviewed translation by Spanish Standard Setter [es]</t>
  </si>
  <si>
    <t>Grundlag for udarbejdelse (Kun Basismodul eller Basis &amp; Udvidet Modul)</t>
  </si>
  <si>
    <t>Grondslag voor het opstellen van informatie (alleen basismodule of basismodule &amp; uitgebreide module)</t>
  </si>
  <si>
    <t>Base de préparation (Module de base uniquement ou Module de base et module complet)</t>
  </si>
  <si>
    <t>Grundlagen für die Erstellung (nur Basismodul oder Basismodul &amp; Zusatzmodul)</t>
  </si>
  <si>
    <t>An Bunús leis an ullmhú (Bunmhodúl Bunúsach Amháin nó Bunmhodúl Bunúsach agus Cuimsitheach)</t>
  </si>
  <si>
    <t>Criteri per la redazione (solo modulo base o modulo base e modulo onnicomprensivo)</t>
  </si>
  <si>
    <t>Pagrindas parengimui (tik bazinis modulis arba bazinis ir išsamusis modulis)</t>
  </si>
  <si>
    <t>Podstawa sporządzenia (Tylko Moduł podstawowy lub Moduł podstawowy i kompleksowy)</t>
  </si>
  <si>
    <t>Base para la elaboración (Solo Módulo Básico o Módulo Básico y Exhaustivo)</t>
  </si>
  <si>
    <t>Podlaga za pripravo (le osnovni modul ali osnovni in celovit modul)</t>
  </si>
  <si>
    <t>Base para a elaboração (Apenas Módulo Básico ou Módulo Básico e Abrangente)</t>
  </si>
  <si>
    <t>Grundlag for rapportering (konsolideret eller individuel basis)</t>
  </si>
  <si>
    <t>Grondslag voor rapportering (op geconsolideerde of  enkelvoudige basis)</t>
  </si>
  <si>
    <t>Bunús don tuairisciú (bonn comhtháite nó aonair)</t>
  </si>
  <si>
    <t>Base per la redazione (su base consolidata o individuale)</t>
  </si>
  <si>
    <t>Podstawa sporządzenia (w ujęciu skonsolidowanym lub jednostkowym)</t>
  </si>
  <si>
    <t>Podlaga za poročanje (konsolidirana ali posamična osnova)</t>
  </si>
  <si>
    <t>Base para reporte (base consolidada o individual)</t>
  </si>
  <si>
    <t>Report contains disclosures from the previous reporting period that remain unchanged</t>
  </si>
  <si>
    <t>Rapporten indeholder oplysninger fra den foregående rapporteringsperiode, som forbliver uændrede.</t>
  </si>
  <si>
    <t>Rapport bevat  rapportages uit de vorige rapportageperiode die ongewijzigd blijven.</t>
  </si>
  <si>
    <t>Dieser Bericht enthält Angaben, die sich gegenüber dem vorherigen Berichtszeitraum nicht verändert haben.</t>
  </si>
  <si>
    <t>Tá nochtaí ón tréimhse tuairiscithe roimhe sin sa tuarascáil atá fós gan athrú</t>
  </si>
  <si>
    <t>La Relazione contiene le informative del periodo di riferimento precedente che rimangono invariate</t>
  </si>
  <si>
    <t>Atskleidimų, dėl kurių nepateikta pakeitimų, palyginti su ankstesnio laikotarpio ataskaita, sąrašas</t>
  </si>
  <si>
    <t>Sprawozdanie zawiera ujawnienia z poprzedniego okresu sprawozdawczego, które pozostają bez zmian.</t>
  </si>
  <si>
    <t>El informe contiene divulgaciones del período de información anterior que permanecen sin cambios.</t>
  </si>
  <si>
    <t>Poročilo vsebuje razkritja iz prejšnjega poročevalskega obdobja, ki ostajajo nespremenjena</t>
  </si>
  <si>
    <t>O relatório contém divulgações do período de reporte anterior que permanecem inalteradas</t>
  </si>
  <si>
    <t xml:space="preserve">List of disclosures for which no changes are reported compared to the previous period reporting </t>
  </si>
  <si>
    <t>Liste over oplysninger, hvor der ikke rapporteres ændringer i forhold til den foregående periode.</t>
  </si>
  <si>
    <t xml:space="preserve">Lijst van  rapportages waarvoor geen wijzigingen worden gerapporteerd ten opzichte van de verslaglegging over de vorige periode
</t>
  </si>
  <si>
    <t>Liste des informations pour lesquelles aucun changement n’est signalé par rapport à la déclaration de la période précédente</t>
  </si>
  <si>
    <t>Liosta de na nochtaí nár tuairiscíodh aon athruithe orthu i gcomparáid leis an tréimhse thuairiscithe roimhe seo</t>
  </si>
  <si>
    <t xml:space="preserve">Elenco delle informative per le quali non sono segnalate modifiche rispetto al periodo di riferimento precedente 
</t>
  </si>
  <si>
    <t>Atskleidimų, kuriems nepasikeitė duomenys palyginti su ankstesnio laikotarpio ataskaita, sąrašas</t>
  </si>
  <si>
    <t>Listado de divulgaciones para las cuales no se reportan cambios en comparación con el periodo anterior de reporte</t>
  </si>
  <si>
    <t>Seznam razkritij, za katera se v primerjavi s poročanjem v prejšnjem obdobju ne poroča o spremembah</t>
  </si>
  <si>
    <t>Lista de informações divulgadas para as quais não são relatadas alterações em comparação com o relatório do período anterior</t>
  </si>
  <si>
    <t>Link til tidligere rapport, der indeholder oplysninger, som forbliver uændrede</t>
  </si>
  <si>
    <t xml:space="preserve">Verwijzing naar het vorige  rapport met daarin de  rapportages die ongewijzigd blijven
</t>
  </si>
  <si>
    <t>Link zum vorherigen Bericht mit Angaben, die unverändert bleiben (einhietlich mit oben)</t>
  </si>
  <si>
    <t>Nasc chuig an tuarascáil roimhe seo ina bhfuil nochtaí atá fós gan athrú</t>
  </si>
  <si>
    <t>Nuoroda į ankstesnį ataskaitą, kurios atskleidimai liko nepakitę</t>
  </si>
  <si>
    <t>Povezava do prejšnjega poročila, ki vsebuje razkritja, ki ostajajo nespremenjena</t>
  </si>
  <si>
    <t>Link para o relatório anterior contendo divulgações que permanecem inalteradas</t>
  </si>
  <si>
    <t>List of omitted disclosures deemed to be classified or sensitive information</t>
  </si>
  <si>
    <t>Lijst van weggelaten  rapportages die worden beschouwd als gerubriceerde of gevoelige informatie</t>
  </si>
  <si>
    <t>Elenco delle informative omesse ritenute informazioni classificate o sensibili</t>
  </si>
  <si>
    <t>Lista ujawnień pominiętych uznanych za informacje niejawne lub informacje szczególnie chronione</t>
  </si>
  <si>
    <t>Lista de divulgaciones omitidas consideradas información clasificada o sensible</t>
  </si>
  <si>
    <t>Seznam izpuščenih razkritij, ki veljajo za tajne ali občutljive podatke</t>
  </si>
  <si>
    <t>Lista de divulgações omitidas consideradas informações classificadas ou sensíveis</t>
  </si>
  <si>
    <t>Virksomheders juridiske form</t>
  </si>
  <si>
    <t xml:space="preserve"> Rechtsvorm van de onderneming</t>
  </si>
  <si>
    <t>Forme juridique des entreprises</t>
  </si>
  <si>
    <t>Foirm dhlíthiúil an ghnóthais</t>
  </si>
  <si>
    <t>Forma jurídica de las empresas</t>
  </si>
  <si>
    <t>Pravna oblika podjetij</t>
  </si>
  <si>
    <t>Other undertaking's legal form</t>
  </si>
  <si>
    <t>Anden virksomheds juridiske form</t>
  </si>
  <si>
    <t>Rechtsvorm van de andere onderneming</t>
  </si>
  <si>
    <t>Foirm dhlíthiúil gnóthais eile</t>
  </si>
  <si>
    <t>Altra forma giuridica dell'impresa</t>
  </si>
  <si>
    <t>Kitos įmonės teisinė forma</t>
  </si>
  <si>
    <t>Inna forma prawna jednostki</t>
  </si>
  <si>
    <t>Otra personalidad jurídica de la empresa</t>
  </si>
  <si>
    <t>Pravna oblika drugega podjetja</t>
  </si>
  <si>
    <t>Forma jurídica de outra entidade</t>
  </si>
  <si>
    <t>NACE sector classification codes</t>
  </si>
  <si>
    <t>NACE-sektorklassifikationskoder</t>
  </si>
  <si>
    <t>NACE-sectorclassificatiecodes</t>
  </si>
  <si>
    <t>Cóid aicmiúcháin earnála NACE</t>
  </si>
  <si>
    <t>Codici di classificazione settoriale NACE</t>
  </si>
  <si>
    <t>NACE sektorių klasifikacijos kodai</t>
  </si>
  <si>
    <t>Kody klasyfikacji sektorowej NACE</t>
  </si>
  <si>
    <t>Šifre klasifikacije sektorjev NACE</t>
  </si>
  <si>
    <t>Códigos de classificação sectorial NACE</t>
  </si>
  <si>
    <t>Assets</t>
  </si>
  <si>
    <t>Aktiver</t>
  </si>
  <si>
    <t>Activa</t>
  </si>
  <si>
    <t>Actifs</t>
  </si>
  <si>
    <t>Vermögenswerte</t>
  </si>
  <si>
    <t>Sócmhainní</t>
  </si>
  <si>
    <t>Attività</t>
  </si>
  <si>
    <t>Turtas</t>
  </si>
  <si>
    <t>Aktywa</t>
  </si>
  <si>
    <t>Activos</t>
  </si>
  <si>
    <t>Sredstva</t>
  </si>
  <si>
    <t>Ativos</t>
  </si>
  <si>
    <t>Turnover</t>
  </si>
  <si>
    <t>Omsætning</t>
  </si>
  <si>
    <t>Omzet</t>
  </si>
  <si>
    <t>Chiffre d'affaires</t>
  </si>
  <si>
    <t>Umsatzerlöse</t>
  </si>
  <si>
    <t>Lámhdeachas</t>
  </si>
  <si>
    <t>Apyvarta</t>
  </si>
  <si>
    <t>Obrót</t>
  </si>
  <si>
    <t>Volumen de negocio</t>
  </si>
  <si>
    <t>Prihodek</t>
  </si>
  <si>
    <t>Volume de negócios</t>
  </si>
  <si>
    <t>Beschäftigtenzahl</t>
  </si>
  <si>
    <t>Número de empleados</t>
  </si>
  <si>
    <t>Employee counting methodology</t>
  </si>
  <si>
    <t>Metode til optælling af ansatte</t>
  </si>
  <si>
    <t>Gehanteerde methode voor het berekenen aantal personeelsleden</t>
  </si>
  <si>
    <t>Méthodologie de comptage des effectifs</t>
  </si>
  <si>
    <t>Art der Zählung von Beschäftigten</t>
  </si>
  <si>
    <t>Modheolaíocht chomhaireamh fostaithe</t>
  </si>
  <si>
    <t>Metodologia di conteggio dei dipendenti</t>
  </si>
  <si>
    <t>Darbuotojų skaičiavimo metodika</t>
  </si>
  <si>
    <t>Metodyka liczenia pracowników</t>
  </si>
  <si>
    <t>Metodología de recuento de empleados</t>
  </si>
  <si>
    <t>Metodologija štetja zaposlenih</t>
  </si>
  <si>
    <t>Metodologia de contagem de empregados</t>
  </si>
  <si>
    <t>Type of number of employees</t>
  </si>
  <si>
    <t>Type of number of employees = Type af ansættelseskontrakt</t>
  </si>
  <si>
    <t>Soort aantal werknemers</t>
  </si>
  <si>
    <t>Type de nombre de salariés</t>
  </si>
  <si>
    <t xml:space="preserve">Art der Anzahl der Beschäftigten </t>
  </si>
  <si>
    <t>Cineál líon na bhfostaithe</t>
  </si>
  <si>
    <t>Tipo di numero di dipendenti</t>
  </si>
  <si>
    <t>Darbuotojų skaičiaus rūšis</t>
  </si>
  <si>
    <t>Rodzaj liczby pracowników</t>
  </si>
  <si>
    <t>Tipo de número de empleados</t>
  </si>
  <si>
    <t>Vrsta števila zaposlenih</t>
  </si>
  <si>
    <t>Tipo de número de empregados</t>
  </si>
  <si>
    <t>Country of primary operations and location of significant assets</t>
  </si>
  <si>
    <t>Land van hoofdactiviteiten en locatie van belangrijke activa</t>
  </si>
  <si>
    <t>Pays où sont exercées les activités principales et localisation des actifs présentant un intérêt significatif</t>
  </si>
  <si>
    <t>Tír na príomhghníomhaíochtaí agus suíomh na bhfóntais shuntasacha</t>
  </si>
  <si>
    <t>Pagrindinių veiklų šalis ir reikšmingo turto buvimo vieta</t>
  </si>
  <si>
    <t>País de operaciones principales y ubicación de activos significativos</t>
  </si>
  <si>
    <t>Država glavnega poslovanja in lokacija pomembnih sredstev</t>
  </si>
  <si>
    <t>País das operações principais e localização dos ativos significativos</t>
  </si>
  <si>
    <t>Description of sustainability-related certification(s) or label(s)</t>
  </si>
  <si>
    <t>Beskrivelse af bæredygtighedsrelaterede certificeringer eller mærkninger</t>
  </si>
  <si>
    <t>Beschrijving van duurzaamheidsgerelateerde certificering(en) of label(s)</t>
  </si>
  <si>
    <t>Description brève de la ou des certification(s) ou label(s) liés à la durabilité</t>
  </si>
  <si>
    <t xml:space="preserve">Beschreibung der nachhaltigkeitsbezogenen Zertifizierung(en) oder des/der Siegel(s) </t>
  </si>
  <si>
    <t>Cur síos ar dheimhnithe nó lipéid a bhaineann le hinbhuanaitheacht</t>
  </si>
  <si>
    <t>Descrizione della/e certificazione/i o marchio/i di sostenibilità</t>
  </si>
  <si>
    <t>Tvarumo sertifikato(-ų) arba ženklo(-ų) aprašymas</t>
  </si>
  <si>
    <t>Opis certyfikatów lub oznaczeń związanych ze zrównoważonym rozwojem</t>
  </si>
  <si>
    <t>Descripción de la(s) certificación(es) o etiqueta(s) relacionada(s) con la sostenibilidad</t>
  </si>
  <si>
    <t>To razkritje bi moralo po potrebi vključevati izdajatelje certifikata ali znaka, datum in oceno</t>
  </si>
  <si>
    <t>Descrição da(s) certificação(ões) ou rótulo(s) relacionados com a sustentabilidade</t>
  </si>
  <si>
    <t>Name of the subsidiary</t>
  </si>
  <si>
    <t>Navn på datterselskab</t>
  </si>
  <si>
    <t>Naam van de dochteronderneming</t>
  </si>
  <si>
    <t>Nom de la filiale</t>
  </si>
  <si>
    <t>Name des Tochterunternehmens</t>
  </si>
  <si>
    <t>Ainm an fhochuideachta</t>
  </si>
  <si>
    <t>Nome della impresa figlia</t>
  </si>
  <si>
    <t>Dukterinės įmonės pavadinimas</t>
  </si>
  <si>
    <t>Nazwa jednostki zależnej</t>
  </si>
  <si>
    <t>Nombre de la filial</t>
  </si>
  <si>
    <t>Firma odvisne družbe</t>
  </si>
  <si>
    <t>Nome da subsidiária</t>
  </si>
  <si>
    <t>Registered address of the subsidiary</t>
  </si>
  <si>
    <t>Den registrerede adresse for datterselskabet</t>
  </si>
  <si>
    <t>Geregistreerd adres van de dochteronderneming</t>
  </si>
  <si>
    <t>Adresse enregistrée de la filiale</t>
  </si>
  <si>
    <t>Eingetragene Adresse des Tochterunternehmens</t>
  </si>
  <si>
    <t>Seoladh cláraithe na fochuideachta</t>
  </si>
  <si>
    <t>Sede legale della impresa figlia</t>
  </si>
  <si>
    <t>Dukterinės įmonės registruotos buveinės adresas</t>
  </si>
  <si>
    <t>Zarejestrowany adres jednostki zależnej</t>
  </si>
  <si>
    <t>Dirección registrada de la filial</t>
  </si>
  <si>
    <t>Registrirani sedež odvisne družbe</t>
  </si>
  <si>
    <t>Morada registada da subsidiária</t>
  </si>
  <si>
    <t>Address of site</t>
  </si>
  <si>
    <t xml:space="preserve">Adresse på lokation </t>
  </si>
  <si>
    <t>Adres van vestiging</t>
  </si>
  <si>
    <t>Adresse du site</t>
  </si>
  <si>
    <t>Adresse des Standorts</t>
  </si>
  <si>
    <t>Seoladh an láithreáin</t>
  </si>
  <si>
    <t>Indirizzo del sito</t>
  </si>
  <si>
    <t>Objekto adresas</t>
  </si>
  <si>
    <t>Adres lokalizacji</t>
  </si>
  <si>
    <t>Dirección del emplazamiento</t>
  </si>
  <si>
    <t>Ime, ulica, hišna številka, številka stavbe</t>
  </si>
  <si>
    <t>Endereço do local</t>
  </si>
  <si>
    <t>Postal code of site</t>
  </si>
  <si>
    <t>Postnummerr for lokation</t>
  </si>
  <si>
    <t>Postcode van vestiging</t>
  </si>
  <si>
    <t>Code postal du site</t>
  </si>
  <si>
    <t>Postleitzahl des Standorts</t>
  </si>
  <si>
    <t xml:space="preserve">Cód poist nó éirchód na láithreáin </t>
  </si>
  <si>
    <t>Codice postale del sito</t>
  </si>
  <si>
    <t>Objekto pašto kodas</t>
  </si>
  <si>
    <t>Kod pocztowy lokalizacji</t>
  </si>
  <si>
    <t>Código postal del emplazamiento</t>
  </si>
  <si>
    <t>Poštna številka lokacije</t>
  </si>
  <si>
    <t>Código postal do local</t>
  </si>
  <si>
    <t>City of site</t>
  </si>
  <si>
    <t>By for lokation</t>
  </si>
  <si>
    <t>"Plaats van vestiging"</t>
  </si>
  <si>
    <t>Ville du site</t>
  </si>
  <si>
    <t>Stadt des Standorts</t>
  </si>
  <si>
    <t>Cathair an tsuímh</t>
  </si>
  <si>
    <t>Città del sito</t>
  </si>
  <si>
    <t>Objekto miestas</t>
  </si>
  <si>
    <t>Miasto lokalizacji</t>
  </si>
  <si>
    <t>Ciudad del emplazamiento</t>
  </si>
  <si>
    <t>Kraj lokacije</t>
  </si>
  <si>
    <t>Cidade do local</t>
  </si>
  <si>
    <t>Country of site</t>
  </si>
  <si>
    <t>Land for lokation</t>
  </si>
  <si>
    <t>Land van de  vestiging</t>
  </si>
  <si>
    <t>Pays du site</t>
  </si>
  <si>
    <t>Land des Standorts</t>
  </si>
  <si>
    <t>Tír an tsuímh</t>
  </si>
  <si>
    <t>Paese del sito</t>
  </si>
  <si>
    <t>Objekto šalis</t>
  </si>
  <si>
    <t>Kraj lokalizacji</t>
  </si>
  <si>
    <t>País del emplazamiento</t>
  </si>
  <si>
    <t>Država lokacije</t>
  </si>
  <si>
    <t>País do local</t>
  </si>
  <si>
    <t>GPS Location of site</t>
  </si>
  <si>
    <t>Geolokation af lokation</t>
  </si>
  <si>
    <t>GPS-locatie van de vestiging</t>
  </si>
  <si>
    <t>Localisation GPS du site</t>
  </si>
  <si>
    <t>GPS-Koordinaten des Standorts</t>
  </si>
  <si>
    <t>Suíomh GPS an láithreáin</t>
  </si>
  <si>
    <t>Coordinate (geolocalizzazione) del sito</t>
  </si>
  <si>
    <t>Objekto koordinatės</t>
  </si>
  <si>
    <t>Współrzędne GPS lokalizacji</t>
  </si>
  <si>
    <t>Localización GPS del emplazamiento</t>
  </si>
  <si>
    <t>GPS-lokacija kraja</t>
  </si>
  <si>
    <t>Localização GPS do local</t>
  </si>
  <si>
    <t>Sustainability issues addressed by practice, policy and/or future initiative</t>
  </si>
  <si>
    <t>Praksisser, politikker og/eller fremtidige initiativer, der adresserer bæredygtighedsrelaterede udfordringer</t>
  </si>
  <si>
    <t>Duurzaamheidskwesties die worden aangepakt door praktijk, beleid en/of toekomstige initiatieven</t>
  </si>
  <si>
    <t>Enjeux de durabilité traités par la pratique, la politique et/ou l'initiative future</t>
  </si>
  <si>
    <t>Nachhaltigkeitsaspekte, die durch Verfahrensweisen, Richtlinien und/oder künftige Initiativen, die das Unternehmen eingeführt hat, adressiert werden</t>
  </si>
  <si>
    <t>Saincheisteanna inbhuanaitheachta a chlúdaítear trí chleachtas, beartas agus/nó tionscnamh amach anseo</t>
  </si>
  <si>
    <t xml:space="preserve">Questioni attinenti alla sostenibilità affrontate da pratiche, politiche e/o iniziative future
</t>
  </si>
  <si>
    <t>Tvarumo klausimai, sprendžiami praktika, politika ir (arba) būsimomis iniciatyvomis</t>
  </si>
  <si>
    <t>Kwestie związane ze zrównoważonym rozwojem uwzględniane w praktykach, politykach i/lub przyszłych inicjatywach</t>
  </si>
  <si>
    <t>Cuestiones de sostenibilidad abordadas mediante prácticas, políticas y/o iniciativas futuras</t>
  </si>
  <si>
    <t>Trajnostnostne zadeve, ki jih obravnava praksa, politika in/ali prihodnja pobuda</t>
  </si>
  <si>
    <t>Questões de sustentabilidade abordadas por prática, política e/ou iniciativa futura</t>
  </si>
  <si>
    <t>Practice, policy and/or future initiative is publicly available</t>
  </si>
  <si>
    <t>Praksis, politik og/eller fremtidigt initiativ er offentligt tilgængeligt</t>
  </si>
  <si>
    <t>Praktijk, beleid en/of toekomstig initiatief is  publiek beschikbaar</t>
  </si>
  <si>
    <t>La pratique, la politique et/ou l'initiative future sont accessibles au public</t>
  </si>
  <si>
    <t xml:space="preserve">Verfahrensweise, Richtlinie und/oder künftige Initiative ist öffentlich verfügbar </t>
  </si>
  <si>
    <t>Tá cleachtas, beartas agus/nó tionscnamh le haghaidh amach anseo ar fáil go poiblí</t>
  </si>
  <si>
    <t>La pratica, la politica e/o l'iniziativa futura sono disponibili al pubblico</t>
  </si>
  <si>
    <t>Praktika, politika ir (arba) būsimos iniciatyvos yra viešai prieinamos</t>
  </si>
  <si>
    <t>Praktyki, polityki i/lub przyszłe inicjatywy są publicznie dostępne</t>
  </si>
  <si>
    <t>La práctica, política y/o iniciativa futura está públicamente disponible</t>
  </si>
  <si>
    <t>Praksa, politika in/ali prihodnja pobuda je javno dostopna</t>
  </si>
  <si>
    <t>Prática, política e/ou iniciativa futura está publicamente disponível</t>
  </si>
  <si>
    <t xml:space="preserve">Virksomheden har fastsat mål, der er tilknyttet en politik </t>
  </si>
  <si>
    <t>De onderneming heeft een doel gesteld dat betrekking heeft op een beleid.</t>
  </si>
  <si>
    <t>L'entreprise a fixé une cible qui est liée à une politique</t>
  </si>
  <si>
    <t>Das Unternehmen hat ein Ziel festgelegt, das mit einer Richtlinie in Zusammenhang steht.</t>
  </si>
  <si>
    <t>Tá sprioc socraithe ag an ngnóthas a bhaineann le beartas</t>
  </si>
  <si>
    <t>L'impresa ha fissato un obiettivo correlato a una politica.</t>
  </si>
  <si>
    <t xml:space="preserve">Įmonė nustatė tikslą, kuris susijęs su politika.
</t>
  </si>
  <si>
    <t>Jednostka ustaliła cel, który jest powiązany z polityką</t>
  </si>
  <si>
    <t>La empresa ha establecido un objetivo que está relacionado con una política.</t>
  </si>
  <si>
    <t>Podjetje je določilo cilj, ki je povezan s politiko</t>
  </si>
  <si>
    <t>A entidade estabeleceu uma meta relacionada a uma política</t>
  </si>
  <si>
    <t>Description of the effective participation of workers, users or other interested parties or communities in governance</t>
  </si>
  <si>
    <t>Beskrivelse af den faktiske deltagelse af arbejdstagere, brugere eller andre interessenter eller lokalsamfund i ledelsen</t>
  </si>
  <si>
    <t xml:space="preserve"> Beschrijving van de effectieve  deelname van werknemers, gebruikers of andere belanghebbenden of gemeenschappen aan het bestuur</t>
  </si>
  <si>
    <t>Description de la participation effective des travailleurs, des utilisateurs ou d'autres parties ou communautés intéressées à la gouvernance</t>
  </si>
  <si>
    <t>Beschreibung der wirksamen Beteiligung von Arbeitskräften, Nutzern oder anderen interessierten Parteien oder Gemeinschaften an der Governance</t>
  </si>
  <si>
    <t xml:space="preserve"> Tuairisc ar an rannpháirtíocht éifeachtach oibrithe, úsáideoirí nó páirtithe nó pobail leasmhara eile maidir le rialachas</t>
  </si>
  <si>
    <t>Descrizione della partecipazione effettiva alla governancedei lavoratori, degli utilizzatori e altre parti o comunità interessate</t>
  </si>
  <si>
    <t>Darbuotojų, naudotojų ar kitų suinteresuotųjų šalių / bendruomenių dalyvavimo valdymo procesuose aprašymas.</t>
  </si>
  <si>
    <t>Opis efektywnego udziału pracowników, użytkowników lub innych zainteresowanych stron lub społeczności w ładzie korporacyjnym</t>
  </si>
  <si>
    <t>La participación efectiva de los trabajadores, usuarios u otras partes interesadas o comunidades en la gobernanza</t>
  </si>
  <si>
    <t>Opis učinkovitega sodelovanja delavcev, uporabnikov ali drugih zainteresiranih strani ali skupnosti pri upravljanju</t>
  </si>
  <si>
    <t>Participação efetiva dos trabalhadores, usuários ou outras partes interessadas ou comunidades na governação</t>
  </si>
  <si>
    <t>Financial investment in the capital or assets of social economy entities</t>
  </si>
  <si>
    <t>Finansiel investering i kapitalen eller aktiver i socialøkonomiske enheder</t>
  </si>
  <si>
    <t xml:space="preserve">Investeringen in het kapitaal of activa van sociale ondernemingen </t>
  </si>
  <si>
    <t>Investissements financiers dans le capital ou les actifs des entités de l’économie sociale</t>
  </si>
  <si>
    <t>Die finanzielle Investition in das Kapital oder die Vermögenswerte sozialwirtschaftlicher Einrichtungen</t>
  </si>
  <si>
    <t>Infheistíocht airgeadais i gcaipiteal nó i sócmhainní ghnóthas geilleagair shóisialta</t>
  </si>
  <si>
    <t>L'investimento finanziario nel capitale o negli attivi dei soggetti dell'economia sociale</t>
  </si>
  <si>
    <t>Inwestycje finansowe w kapitał lub aktywa podmiotów gospodarki społecznej</t>
  </si>
  <si>
    <t>Inversión financiera en el capital o los activos de las entidades de economía social</t>
  </si>
  <si>
    <t>Navedeno v priporočilu Sveta z dne 29. septembra 2023 (brez donacij in prispevkov)</t>
  </si>
  <si>
    <t>O investimento financeiro no capital ou nos ativos de entidades da economia social</t>
  </si>
  <si>
    <t>Description of limits to the distribution of profits connected to the mutualistic nature or to the nature of the activities consisting in services of general economic interest (SGEI)</t>
  </si>
  <si>
    <t>Beskrivelse af begrænsninger for fordeling af overskud, som er knyttet til den gensidige karakter eller til karakteren af de aktiviteter, der består i tjenesteydelser af almen økonomisk interesse (SGEI)</t>
  </si>
  <si>
    <t>Beschrijving van beperkingen voor de winstuitkering verbonden aan het wederzijdse karakter of aan de aard van de activiteiten bestaande uit diensten van algemeen economisch belang (DAEB)</t>
  </si>
  <si>
    <t>Description des limites à la distribution des bénéfices liées à la nature mutualiste ou à la nature des activités consistant en des services d’intérêt économique général (SIEG)</t>
  </si>
  <si>
    <t>Beschreibung von Beschränkungen der Gewinnausschüttung im Zusammenhang mit dem gegenseitigen Charakter oder der Art der Tätigkeiten, die in Dienstleistungen von allgemeinem wirtschaftlichem Interesse (DAWI)</t>
  </si>
  <si>
    <t>Cur síos ar theorainneacha maidir le dáileadh brabús a bhaineann leis an nádúr frithpháirteach nó le cineál na ngníomhaíochtaí arb é atá iontu seirbhísí leasa eacnamaíoch ghinearálta (SLEI)</t>
  </si>
  <si>
    <t>Descrizione dei limiti alla distribuzione degli utili connessi alla natura mutualistica o alla natura delle attività che consistono in servizi di interesse economico generale (SIEG)</t>
  </si>
  <si>
    <t>Pelno paskirstymo apribojimų, susijusių su viešuoju interesu arba su veikla, kuri sudaro bendrojo ekonominio intereso paslaugą (SGEI), aprašymas</t>
  </si>
  <si>
    <t>Opis wszelkich ograniczeń w podziale zysków związanych z wzajemnym charakterem lub specyfiką działalności polegającej na świadczeniu usług świadczonych w ogólnym interesie gospodarczym (UOIG)</t>
  </si>
  <si>
    <t>"Cualquier límite a la distribución de beneficios relacionado con la naturaleza mutualista o con la naturaleza de las actividades que consisten en servicios de interés económico general (SGEI)"</t>
  </si>
  <si>
    <t>Opis omejitev pri razdelitvi dobička, glede na vzajemnost ali naravo dejavnosti, ki obsegajo storitve splošnega gospodarskega pomena (SSGP)</t>
  </si>
  <si>
    <t>Eventual descrição dos limites à distribuição dos lucros relacionados com o caráter mutualista ou com a natureza das atividades que consistem em serviços de interesse económico geral (SIEG)</t>
  </si>
  <si>
    <t>Total energy consumption</t>
  </si>
  <si>
    <t>Totale energieconsumptie</t>
  </si>
  <si>
    <t>Consommation totale d'énergie</t>
  </si>
  <si>
    <t>Tomhaltas iomlán fuinnimh</t>
  </si>
  <si>
    <t>Totale consumo di energia</t>
  </si>
  <si>
    <t>Consumo total de energía</t>
  </si>
  <si>
    <t>Energy consumption from electricity</t>
  </si>
  <si>
    <t>Energiforbrug fra elektricitet</t>
  </si>
  <si>
    <t>Electriciteitsverbruik</t>
  </si>
  <si>
    <t>Consommation d'énergie provenant de l'électricité</t>
  </si>
  <si>
    <t>Energieverbrauch aus Strom</t>
  </si>
  <si>
    <t>Tomhaltas fuinnimh ó leictreachas</t>
  </si>
  <si>
    <t>Consumo di energia elettrica</t>
  </si>
  <si>
    <t>Elektros energijos suvartojimas</t>
  </si>
  <si>
    <t>Zużycie energii elektrycznej</t>
  </si>
  <si>
    <t>Consumo de energía procedente de la electricidad</t>
  </si>
  <si>
    <t>Kot je razvidno iz računov za komunalne storitve</t>
  </si>
  <si>
    <t>Consumo de energia elétrica</t>
  </si>
  <si>
    <t>Energy consumption from self-generated electricity</t>
  </si>
  <si>
    <t>Energiforbrug fra selvproduceret elektricitet</t>
  </si>
  <si>
    <t>Energieverbruik  van zelfopgewekte elektriciteit</t>
  </si>
  <si>
    <t>Consommation d'énergie provenant de l'électricité auto-produite</t>
  </si>
  <si>
    <t>Energieverbrauch aus selbst erzeugtem Strom</t>
  </si>
  <si>
    <t>Tomhaltas fuinnimh ó leictreachas féinghinte</t>
  </si>
  <si>
    <t>Consumo di energia da energia elettrica autoprodotta</t>
  </si>
  <si>
    <t>Energijos suvartojimas iš savos gamybos elektros energijos</t>
  </si>
  <si>
    <t>Zużycie energii elektrycznej z energii produkowanej samodzielnie</t>
  </si>
  <si>
    <t>Consumo de energía procedente de electricidad autogenerada</t>
  </si>
  <si>
    <t>Poraba energije iz lastne proizvedene električne energije</t>
  </si>
  <si>
    <t>Consumo de energia a partir de eletricidade auto-gerada</t>
  </si>
  <si>
    <t>Energy consumption from fuels</t>
  </si>
  <si>
    <t>Energiforbrug fra brændstoffer</t>
  </si>
  <si>
    <t>"Energieverbruik uit brandstoffen"</t>
  </si>
  <si>
    <t>Consommation d'énergie provenant des combustibles</t>
  </si>
  <si>
    <t>Energieverbrauch aus Brennstoffen</t>
  </si>
  <si>
    <t>Tomhaltas fuinnimh ó bhreoslaí</t>
  </si>
  <si>
    <t>Consumo di energia da combustibili</t>
  </si>
  <si>
    <t>Energijos suvartojimas iš degalų</t>
  </si>
  <si>
    <t>Zużycie energii z paliw</t>
  </si>
  <si>
    <t>Consumo de energía procedente de combustibles</t>
  </si>
  <si>
    <t>Poraba energije iz goriv</t>
  </si>
  <si>
    <t>Consumo de energia proveniente de combustíveis</t>
  </si>
  <si>
    <t>Gross Scope 1 greenhouse gas emissions</t>
  </si>
  <si>
    <t>Brutto Scope 1 drivhusgasudledninger</t>
  </si>
  <si>
    <t>Bruto Scope 1 broeikasgasemissies</t>
  </si>
  <si>
    <t>Émissions brutes des émissions de gaz à effet de serre du scope 1</t>
  </si>
  <si>
    <t>Astaíochtaí comhlána gás ceaptha teasa Raon Feidhme 1</t>
  </si>
  <si>
    <t>Bendros pirmos apimties šiltnamio efektą sukeliančių dujų emisijos</t>
  </si>
  <si>
    <t>Emisje brutto gazów cieplarnianych zakresu 1</t>
  </si>
  <si>
    <t>Emisiones brutas de gases de efecto invernadero (GEI) de alcance 1</t>
  </si>
  <si>
    <t>Emissões brutas de gases com efeito de estufa de Âmbito 1</t>
  </si>
  <si>
    <t>Gross location-based Scope 2 greenhouse gas emissions</t>
  </si>
  <si>
    <t>Brutto Scope 2  drivhusgasudledninger  (lokationsbaseret)</t>
  </si>
  <si>
    <t>Bruto Scope 2 locatiegebaseerde broeikasgasemissies</t>
  </si>
  <si>
    <t>Émissions brutes des émissions de gaz à effet de serre du scope 2 basées sur la localisation</t>
  </si>
  <si>
    <t>Astaíochtaí gás ceaptha teasa comhlána Raon Feidhme 2 bunaithe ar shuíomh</t>
  </si>
  <si>
    <t>Emissioni lorde di gas a effetto serra di ambito 2 (basate sulla posizione)</t>
  </si>
  <si>
    <t>Bendros vietos metodu apskaičiuotos antros apimties  šiltnamio efektą sukeliančių dujų emisijos</t>
  </si>
  <si>
    <t>Emisiones brutas de gases de efecto invernadero (GEI) de Alcance 2 basadas en la ubicación</t>
  </si>
  <si>
    <t>Bruto lokacijske emisije toplogrednih plinov obsega 2</t>
  </si>
  <si>
    <t>Emissões brutas de gases com efeito de estufa (GEE) do Escopo 2 baseadas na localização</t>
  </si>
  <si>
    <t>Gross market-based Scope 2 greenhouse gas emissions</t>
  </si>
  <si>
    <t>Brutto Scope 2 drivhusgasudledninger(markedsbaseret)</t>
  </si>
  <si>
    <t xml:space="preserve">Bruto  marktgebaseerde Scope 2 broeikasgasemissies
</t>
  </si>
  <si>
    <t>Émissions brutes des émissions de gaz à effet de serre du scope 2 basées sur le marché</t>
  </si>
  <si>
    <t xml:space="preserve">Astaíochtaí gás ceaptha teasa comhlána Raon Feidhme 2 bunaithe ar an margadh </t>
  </si>
  <si>
    <t>Emissioni lorde di gas a effetto serra di ambito 2 (basate sul mercato)</t>
  </si>
  <si>
    <t>Bendros rinkos metodu apskaičiuotos antros apimties  šiltnamio efektą sukeliančių dujų emisijos</t>
  </si>
  <si>
    <t>Emissões brutas de gases com efeito de estufa (GEE) de âmbito 2 baseadas no mercado</t>
  </si>
  <si>
    <t>Total (gross) location-based Scope 1 and Scope 2 GHG emissions</t>
  </si>
  <si>
    <t>Samlede (brutto) Scope 1- og Scope 2-drivhusgasudledninger (lokationsbaseret)</t>
  </si>
  <si>
    <t>Totale (bruto) locatiegebaseerde broeikasgasemissies van Scope 1 en Scope 2</t>
  </si>
  <si>
    <t>Émissions totales (brutes) de GES des scopes 1 et 2 basées sur la localisation</t>
  </si>
  <si>
    <t>Gesamte standortbezogene Scope 1- und Scope 2-Brutto-Treibhausgasemissionen</t>
  </si>
  <si>
    <t>Astaíochtaí iomlána (comhlánacha) gás ceaptha teasa Raon feidhme 1 agus Raon feidhme 2 atá bunaithe ar shuíomh</t>
  </si>
  <si>
    <t>Emissioni totali (lorde) di gas a effetto serra di ambito 1 e ambito 2 (basate sulla posizione)</t>
  </si>
  <si>
    <t>Bendros pirmos apimties ir antros apimties vietos metodu apskaičiuotos šiltnamio efektą sukeliančių dujų emisijos</t>
  </si>
  <si>
    <t>Całkowite (brutto) emisje gazów cieplarnianych zakresu 1 i zakresu 2 według metody opartej na lokalizacji</t>
  </si>
  <si>
    <t>Emisiones totales (brutas) de GEI de Alcance 1 y Alcance 2 basadas en la ubicación</t>
  </si>
  <si>
    <t>Skupne (bruto) lokacijske emisije TGP obsega 1 in obsega 2</t>
  </si>
  <si>
    <t>Emissões totais (brutas) de gases com efeito de estufa (GEE) do âmbito 1 e âmbito 2 baseadas na localização</t>
  </si>
  <si>
    <t>Total (gross) market-based Scope 1 and Scope 2 GHG emissions</t>
  </si>
  <si>
    <t>Samlede (brutto) Scope 1- og Scope 2-drivhusgasudledninger (markedsbaseret)</t>
  </si>
  <si>
    <t>Totale (bruto) marktgebaseerde Scope 1 en Scope 2 broeikasgasemissies</t>
  </si>
  <si>
    <t>Émissions totales (brutes) de GES des scopes 1 et 2 basées sur le marché</t>
  </si>
  <si>
    <t>Gesamte marktbasierte Scope 1- und Scope 2-Brutto-Treibhausgasemissionen</t>
  </si>
  <si>
    <t>Astaíochtaí iomlána (comhlánacha) gás ceaptha teasa Raon feidhme 1 agus Raon feidhme 2 atá bunaithe ar an margadh</t>
  </si>
  <si>
    <t>Emissioni totali (lorde) di gas a effetto serra di ambito 1 e ambito 2 (basate sul mercato)</t>
  </si>
  <si>
    <t>Bendros pirmos apimties ir antros apimties rinkos metodu apskaičiuotos šiltnamio efektą sukeliančių dujų emisijos</t>
  </si>
  <si>
    <t>Całkowite (brutto) emisje gazów cieplarnianych zakresu 1 i zakresu 2 według metody opartej na rynku</t>
  </si>
  <si>
    <t>Emisiones totales (brutas) de GEI (alcance 1 y 2 basadas en el mercado)</t>
  </si>
  <si>
    <t>Skupne (bruto) tržne emisije TGP obsega 1 in obsega 2</t>
  </si>
  <si>
    <t>Emissões brutas totais de GEE de Escopo 1 e Escopo 2 baseadas no mercado</t>
  </si>
  <si>
    <t>Gross Scope 3 greenhouse gas emissions</t>
  </si>
  <si>
    <t>Brutto Scope 3 drivhusgasudledninger</t>
  </si>
  <si>
    <t>Bruto broeikasgasemissies Scope 3</t>
  </si>
  <si>
    <t>Émissions brutes de gaz à effet de serre du scope 3</t>
  </si>
  <si>
    <t>Scope 3-Brutto-Treibhausgasemissionen</t>
  </si>
  <si>
    <t>Astaíochtaí comhlána gás ceaptha teasa Raon Feidhme 3</t>
  </si>
  <si>
    <t>Emissioni lorde di gas a effetto serra di ambito 3</t>
  </si>
  <si>
    <t>Bendros trečios apimties šiltnamio efektą sukeliančių dujų emisijos</t>
  </si>
  <si>
    <t>Emisje brutto gazów cieplarnianych zakresu 3</t>
  </si>
  <si>
    <t>Emisiones brutas de gases de efecto invernadero (GEI) de alcance 3</t>
  </si>
  <si>
    <t>Bruto emisije toplogrednih plinov obsega 3</t>
  </si>
  <si>
    <t>Emissões brutas de gases com efeito de estufa de Escopo 3</t>
  </si>
  <si>
    <t>Total (gross) location-based GHG emissions</t>
  </si>
  <si>
    <t>Samlede (brutto) drivhusgasudledninger (lokationsbaseret)</t>
  </si>
  <si>
    <t>Totale (bruto) locatiegebaseerde broeikasgasemissies</t>
  </si>
  <si>
    <t>Émissions totales (brutes) de GES basées sur la localisation</t>
  </si>
  <si>
    <t>Gesamte (Brutto) standortbezogene Treibhausgasemissionen</t>
  </si>
  <si>
    <t>Astaíochtaí comhlána GCT bunaithe ar shuíomh</t>
  </si>
  <si>
    <t>Emissioni totali (lorde) di gas a effetto serra basate sulla posizione</t>
  </si>
  <si>
    <t>Iš viso (bendros) vietos metodu apskaičiuotos ŠESD emisijos</t>
  </si>
  <si>
    <t>Całkowite (brutto) emisje gazów cieplarnianych według metody opartej na lokalizacji</t>
  </si>
  <si>
    <t>Emisiones totales brutas de gases de efecto invernadero (GEI) basadas en la ubicación</t>
  </si>
  <si>
    <t>Izračun: Emisije toplogrednih plinov obsega 1 + obsega 2 + obsega 3 (na podlagi lokacije)</t>
  </si>
  <si>
    <t>Emissões brutas totais de GEE baseadas na localização</t>
  </si>
  <si>
    <t>Total (gross) market-based GHG emissions</t>
  </si>
  <si>
    <t>Samlede (brutto) drivhusgasudledninger (markedsbaseret)</t>
  </si>
  <si>
    <t>Totale (bruto) marktgebaseerde broeikasgasemissies</t>
  </si>
  <si>
    <t>Émissions totales (brutes) de gaz à GES basées sur le marché</t>
  </si>
  <si>
    <t>Gesamte (Brutto) marktbasierte Treibhausgasemissionen</t>
  </si>
  <si>
    <t>Astaíochtaí comhlána GCT bunaithe ar an margadh</t>
  </si>
  <si>
    <t>Emissioni totali (lorde) di gas a effetto serra basate sul mercato</t>
  </si>
  <si>
    <t>Iš viso (bendros) rinkos metodu apskaičiuotos ŠESD emisijos</t>
  </si>
  <si>
    <t>Całkowite (brutto) emisje gazów cieplarnianych według metody opartej na rynku</t>
  </si>
  <si>
    <t>Emisiones totales (brutas) de gases de efecto invernadero (GEI) basadas en el mercado</t>
  </si>
  <si>
    <t>Izračun: Emisije toplogrednih plinov obsega 1 + obsega 2 + obsega 3 (tržno utemeljene)</t>
  </si>
  <si>
    <t>Emissões totais brutas de gases com efeito de estufa baseadas no mercado</t>
  </si>
  <si>
    <t>Location-based Scope 1 and Scope 2 Greenhouse Gas Emissions intensity</t>
  </si>
  <si>
    <t>Scope 1 og Scope 2 drivhusgasintensitet (lokationsbaseret)</t>
  </si>
  <si>
    <t>Locatiegebaseerde  broeikasgasemissies-intensiteit van Scope 1 en Scope 2</t>
  </si>
  <si>
    <t>Intensité des émissions de gaz à effet de serre des scopes 1 et 2 basées sur la localisation</t>
  </si>
  <si>
    <t>Standortbezogene Scope 1- und Scope 2-Treibhausgas-Emissionsintensität</t>
  </si>
  <si>
    <t>Déine Astaíochtaí Gáis Cheaptha Teasa Raon Feidhme 1 agus Raon Feidhme 2 Bunaithe ar Shuíomh</t>
  </si>
  <si>
    <t>Intensità delle emissioni di gas a effetto serra di ambito 1 e ambito 2 basate sulla posizione</t>
  </si>
  <si>
    <t>1 ir 2 apimčių (vietos metodu) bendras ŠESD emisijų intensyvumas</t>
  </si>
  <si>
    <t>Intensywność emisji gazów cieplarnianych z zakresu 1 i zakresu 2 według metody opartej na lokalizacji</t>
  </si>
  <si>
    <t>Intensidad de emisiones de gases de efecto invernadero de Alcance 1 y Alcance 2 basadas en la ubicación</t>
  </si>
  <si>
    <t>Izračun: (emisije toplogrednih plinov obsega 1 + obsega 2 na podlagi lokacije) / promet</t>
  </si>
  <si>
    <t>Intensidade das emissões de gases com efeito de estufa de Escopo 1 e Escopo 2 baseadas na localização</t>
  </si>
  <si>
    <t>Market-based Scope 1 and Scope 2 Greenhouse Gas Emissions intensity</t>
  </si>
  <si>
    <t>Scope 1 og Scope 2 drivhusgasintensitet (markedsbaseret)</t>
  </si>
  <si>
    <t>Marktgebaseerde broeikasgasemissies-intensiteit van Scope 1 en Scope 2</t>
  </si>
  <si>
    <t>Intensité des émissions de gaz à effet de serre des scopes 1 et 2 basées sur le marché</t>
  </si>
  <si>
    <t>Marktbasierte Scope 1- und Scope 2-Treibhausgas-Emissionsintensität</t>
  </si>
  <si>
    <t>Déine Astaíochtaí Gáis Cheaptha Teasa Raon Feidhme 1 agus Raon Feidhme 2 Bunaithe ar an margadh</t>
  </si>
  <si>
    <t>Intensità delle emissioni di gas a effetto serra di ambito 1 e ambito 2 basate sul mercato</t>
  </si>
  <si>
    <t>1 ir 2 apimčių (rinkos metodu) bendras ŠESD emisijų intensyvumas</t>
  </si>
  <si>
    <t>Intensywność emisji gazów cieplarnianych z zakresu 1 i zakresu 2 według metody opartej na rynku</t>
  </si>
  <si>
    <t>Intensidad de las emisiones de gases de efecto invernadero de alcance 1 y alcance 2 basada en el mercado</t>
  </si>
  <si>
    <t>Izračun: (emisije toplogrednih plinov obsega 1 + obsega 2 na podlagi trga) / promet</t>
  </si>
  <si>
    <t>Intensidade das emissões de gases com efeito de estufa de Âmbito 1 e Âmbito 2 baseadas no mercado</t>
  </si>
  <si>
    <t>Total location-based Greenhouse Gas Emissions intensity</t>
  </si>
  <si>
    <t>Total drivhusgasintensitet (lokationsbaseret)</t>
  </si>
  <si>
    <t>Totale locatiegebaseerde broeikasgasemissie-intensiteit</t>
  </si>
  <si>
    <t>Intensité des émissions de gaz à effet de serre totales basées sur la localisation</t>
  </si>
  <si>
    <t>Gesamte standortbezogene Treibhausgas-Emissionsintensität</t>
  </si>
  <si>
    <t>Déine iomlán astaíochtaí gás ceaptha teasa de réir suímh</t>
  </si>
  <si>
    <t>Intensità delle emissioni totali di gas a effetto serra basate sulla posizione</t>
  </si>
  <si>
    <t>Bendras vietos metodu ŠESD emisijų intensyvumas</t>
  </si>
  <si>
    <t>Całkowita intensywność emisji gazów cieplarnianych według metody opartej na lokalizacji</t>
  </si>
  <si>
    <t>Intensidad total de emisiones de gases de efecto invernadero basadas en la ubicación</t>
  </si>
  <si>
    <t>Izračun: (emisije toplogrednih plinov območja 1 + območja 2 + območja 3 na podlagi lokacije) / promet</t>
  </si>
  <si>
    <t>Intensidade total das emissões de gases com efeito de estufa baseadas na localização</t>
  </si>
  <si>
    <t>Total market-based Greenhouse Gas Emissions intensity</t>
  </si>
  <si>
    <t>Total drivhusgasintensitet (markedsbaseret)</t>
  </si>
  <si>
    <t>Totale marktgebaseerde broeikasgasemissies-intensiteit</t>
  </si>
  <si>
    <t>Intensité des émissions de gaz à effet de serre totales basées sur le marché</t>
  </si>
  <si>
    <t>Gesamte marktbasierte Treibhausgas-Emissionsintensität</t>
  </si>
  <si>
    <t>Déine iomlán astaíochtaí gás ceaptha teasa de réir margaidh</t>
  </si>
  <si>
    <t>Intensità delle emissioni totali di gas a effetto serra basate sul mercato</t>
  </si>
  <si>
    <t>Bendras rinkos metodu ŠESD emisijų intensyvumas</t>
  </si>
  <si>
    <t>Całkowita intensywność emisji gazów cieplarnianych według metody opartej na rynku</t>
  </si>
  <si>
    <t>Intensidad total de las emisiones de gases de efecto invernadero basadas en el mercado</t>
  </si>
  <si>
    <t>Izračun: (obseg 1 + obseg 2 + obseg 3 emisije toplogrednih plinov na podlagi trga) / promet</t>
  </si>
  <si>
    <t>Intensidade total das emissões de gases com efeito de estufa baseadas no mercado</t>
  </si>
  <si>
    <t>Publicly available disclosure</t>
  </si>
  <si>
    <t>Offentligt tilgængelig oplysning</t>
  </si>
  <si>
    <t>Publiek beschikbare rapportage</t>
  </si>
  <si>
    <t>Information accessible au public</t>
  </si>
  <si>
    <t>Angabe ist öffentlich verfügbar</t>
  </si>
  <si>
    <t>Nochtadh atá ar fáil go poiblí</t>
  </si>
  <si>
    <t>Informativa disponibile al pubblico</t>
  </si>
  <si>
    <t>Viešai prieinamas atskleidimas</t>
  </si>
  <si>
    <t>Publicznie dostępne ujawnienie</t>
  </si>
  <si>
    <t>Divulgación de acceso público</t>
  </si>
  <si>
    <t>Javno dostopno razkritje</t>
  </si>
  <si>
    <t>Divulgação disponível publicamente</t>
  </si>
  <si>
    <t>URL or link to the publicly available disclosure</t>
  </si>
  <si>
    <t>URL eller link til den offentligt tilgængelige oplysning</t>
  </si>
  <si>
    <t>"URL of link naar de  publiek beschikbare rapportage"</t>
  </si>
  <si>
    <t>URL ou lien vers l'information accessible au public</t>
  </si>
  <si>
    <t>URL oder Link zur öffentlich verfügbaren Angabe</t>
  </si>
  <si>
    <t>URL nó nasc chuig an nochtadh atá ar fáil go poiblí</t>
  </si>
  <si>
    <t>URL o collegamento all'informativa disponibile al pubblico</t>
  </si>
  <si>
    <t>Viešai prieinamo atskleidimo URL arba nuoroda</t>
  </si>
  <si>
    <t>URL lub odnośnik do publicznie dostępnego ujawnienia</t>
  </si>
  <si>
    <t>Enlace URL o vínculo a la divulgación disponible públicamente</t>
  </si>
  <si>
    <t>URL ali povezava do javno dostopnega razkritja</t>
  </si>
  <si>
    <t>Ligação URL ou link para a divulgação publicamente disponível</t>
  </si>
  <si>
    <t>Amount of emission to air</t>
  </si>
  <si>
    <t>Mængde af udledning til luft</t>
  </si>
  <si>
    <t>Hoeveelheid  emissie naar de lucht</t>
  </si>
  <si>
    <t>Quantité de rejets dans l'air</t>
  </si>
  <si>
    <t>an die Luft abgegebene Emissionsmenge</t>
  </si>
  <si>
    <t>Méid na n-astaíochtaí amach san aer</t>
  </si>
  <si>
    <t>Quantità di emissioni nell'aria</t>
  </si>
  <si>
    <t>Išlakų kiekis</t>
  </si>
  <si>
    <t>Ilość emisji do powietrza</t>
  </si>
  <si>
    <t>Cantidad de emisiones al aire</t>
  </si>
  <si>
    <t>Količina emisije v zrak</t>
  </si>
  <si>
    <t>Quantidade de emissões para o ar</t>
  </si>
  <si>
    <t>Amount of emission to water</t>
  </si>
  <si>
    <t>Mængde af udledning til vand</t>
  </si>
  <si>
    <t>Hoeveelheid emissie naar water</t>
  </si>
  <si>
    <t>Quantité de rejets dans l'eau</t>
  </si>
  <si>
    <t>an das Wasser abgegebene Emissionsmenge</t>
  </si>
  <si>
    <t>Méid na n-astaíochtaí isteach san uisece</t>
  </si>
  <si>
    <t>Quantità di emissioni nell'acqua</t>
  </si>
  <si>
    <t>Išmetamųjų teršalų kiekis į vandenį</t>
  </si>
  <si>
    <t>Ilość emisji do wody</t>
  </si>
  <si>
    <t>Cantidad de emisiones al agua</t>
  </si>
  <si>
    <t>Količina emisije v vodo</t>
  </si>
  <si>
    <t>Quantidade de emissões para a água</t>
  </si>
  <si>
    <t>Amount of emission to soil</t>
  </si>
  <si>
    <t xml:space="preserve">Mængde af udledning til jord </t>
  </si>
  <si>
    <t>Hoeveelheid emissie naar de bodem</t>
  </si>
  <si>
    <t>Quantité de rejets dans les sols</t>
  </si>
  <si>
    <t>in den Boden abgegebene Emissionsmenge</t>
  </si>
  <si>
    <t>Méid na n-astaíochtaí go hithir</t>
  </si>
  <si>
    <t>Quantità di emissioni nel suolo</t>
  </si>
  <si>
    <t>Išmetamųjų teršalų kiekis į dirvožemį</t>
  </si>
  <si>
    <t>Ilość emisji do gleby</t>
  </si>
  <si>
    <t>Cantidad de emisiones al suelo</t>
  </si>
  <si>
    <t>Količina emisije v prst</t>
  </si>
  <si>
    <t>Quantidade de emissões para o solo</t>
  </si>
  <si>
    <t>Area of site in biodiversity sensitive area</t>
  </si>
  <si>
    <t xml:space="preserve">Areal af lokation i biodiversitetsfølsomt område </t>
  </si>
  <si>
    <t>Oppervlakte van de  vestiging in biodiversiteitsgevoelig gebied</t>
  </si>
  <si>
    <t>Surface du site situé dans une zone sensible pour la biodiversité</t>
  </si>
  <si>
    <t xml:space="preserve">Fläche des Standorts in einem Gebiet mit schutzbedürftiger Biodiversität </t>
  </si>
  <si>
    <t>Achar an láithreáin atá suite i limistéir atá íogair ó thaobh na bithéagsúlachta de</t>
  </si>
  <si>
    <t>Superficie del sito all'interno di un'area sensibile sotto il profilo della biodiversità</t>
  </si>
  <si>
    <t>Objekto plotas biologinei įvairovei jautrioje teritorijoje</t>
  </si>
  <si>
    <t>Obszar lokalizacji na obszarze wrażliwym pod względem bioróżnorodności</t>
  </si>
  <si>
    <t>Área del emplazamiento en zona sensible en cuanto a la biodiversidad</t>
  </si>
  <si>
    <t>Površina lokacije na območju z občutljivo biotsko raznovrstnostjo</t>
  </si>
  <si>
    <t>Área do sítio localizado em zona sensível à biodiversidade</t>
  </si>
  <si>
    <t xml:space="preserve">Lokation beliggende i  et biodiversitetsfølsomt område </t>
  </si>
  <si>
    <t>Standort in einem Gebiet mit schutzbedürftiger Biodiversität gelegen</t>
  </si>
  <si>
    <t>Láithreán atá suite i limistéar atá íogair ó thaobh na bithéagsúlachta de</t>
  </si>
  <si>
    <t>Lokalizacja na obszarze wrażliwym pod względem bioróżnorodności</t>
  </si>
  <si>
    <t>Emplazamiento ubicado en un área sensible a la biodiversidad</t>
  </si>
  <si>
    <t>Lokacija na območju z občutljivo biotsko raznovrstnostjo</t>
  </si>
  <si>
    <t>Sítio localizado em zona sensível à biodiversidade</t>
  </si>
  <si>
    <t>Lokation beliggende nær et biodiversitetsfølsomt område</t>
  </si>
  <si>
    <t>Standort in der Nähe von einem Gebiet mit schutzbedürftiger Biodiversität gelegen</t>
  </si>
  <si>
    <t>Láithreán atá suite in aice le limistéar atá íogair ó thaobh na bithéagsúlachta de</t>
  </si>
  <si>
    <t>Objektas, esantis netoli biologinei įvairovei jautrioje teritorijoje</t>
  </si>
  <si>
    <t>Emplazamiento ubicado cerca de una zona sensible en cuanto a la biodiversidad</t>
  </si>
  <si>
    <t>Lokacija v bližini območja z občutljivo biotsko raznovrstnostjo</t>
  </si>
  <si>
    <t>Sítio localizado próximo de zona sensível à biodiversidade</t>
  </si>
  <si>
    <t>Total sealed area</t>
  </si>
  <si>
    <t xml:space="preserve">Samlet befæstet areal </t>
  </si>
  <si>
    <t>Totale verharde oppervlakte</t>
  </si>
  <si>
    <t>Surface totale imperméabilisée</t>
  </si>
  <si>
    <t>Gesamte versiegelte Fläche</t>
  </si>
  <si>
    <t>An t-achar iomlán atá séalaithe</t>
  </si>
  <si>
    <t>Superficie totale impermeabilizzata</t>
  </si>
  <si>
    <t>Bendras nepralaidžios dangos plotas</t>
  </si>
  <si>
    <t>Całkowita powierzchnia nieprzepuszczalna</t>
  </si>
  <si>
    <t>Superficie sellada total</t>
  </si>
  <si>
    <t>Skupno zatesnjeno območje</t>
  </si>
  <si>
    <t>Superfície total de área confinada</t>
  </si>
  <si>
    <t>Total nature oriented area on-site</t>
  </si>
  <si>
    <t>Total naturorienteret område på lokationen</t>
  </si>
  <si>
    <t>Totale natuurgerichte oppervlakte op devestigingslocatie</t>
  </si>
  <si>
    <t>Surface totale respectueuse de la nature sur le site</t>
  </si>
  <si>
    <t>Gesamte naturnahe Fläche am Standort</t>
  </si>
  <si>
    <t>An t-achar iomlán atá dírithe ar an dúlra ar an láthair.</t>
  </si>
  <si>
    <t>Superficie totale orientata alla natura nel sito</t>
  </si>
  <si>
    <t>Bendras gamtai palankių teritorijų plotas objekto teritorijoje</t>
  </si>
  <si>
    <t>Całkowity obszar ukierunkowany na naturę w danej lokalizacji</t>
  </si>
  <si>
    <t>Superficie total en el emplazamiento orientada según la naturaleza</t>
  </si>
  <si>
    <t>Celotno območje, usmerjeno v naravo, na lokaciji</t>
  </si>
  <si>
    <t>Superfície total de zona orientada para a natureza no local de atividade</t>
  </si>
  <si>
    <t>Total nature oriented area off-site</t>
  </si>
  <si>
    <t>Samlet naturorienteret område uden for lokationen</t>
  </si>
  <si>
    <t>Totale natuurgerichte oppervlakte buiten de vestigingslocatie</t>
  </si>
  <si>
    <t>Surface totale respectueuse de la nature hors site</t>
  </si>
  <si>
    <t>Gesamte naturnahe Fläche abseits des Standorts</t>
  </si>
  <si>
    <t>An t-achar iomlán atá dírithe ar an dúlra lasmuigh den láthair.</t>
  </si>
  <si>
    <t>Superficie totale orientata alla natura fuori dal sito</t>
  </si>
  <si>
    <t>Bendras gamtai palankių teritorijų plotas ne objekto teritorijoje</t>
  </si>
  <si>
    <t>Całkowity obszar ukierunkowany na naturę poza daną lokalizacją</t>
  </si>
  <si>
    <t>Superficie total fuera del emplazamiento orientada según la naturaleza</t>
  </si>
  <si>
    <t>Celotno območje, usmerjeno v naravo, zunaj lokacije</t>
  </si>
  <si>
    <t>Superfície total de zona orientada para a natureza, fora do local de atividade</t>
  </si>
  <si>
    <t>Total use of land</t>
  </si>
  <si>
    <t>Samlet arealanvendelse</t>
  </si>
  <si>
    <t>Totaal gebruik van land</t>
  </si>
  <si>
    <t>Utilisation totale des terres</t>
  </si>
  <si>
    <t>Gesamter Flächenverbrauch</t>
  </si>
  <si>
    <t>Úsáid iomlán talún</t>
  </si>
  <si>
    <t>Uso totale del suolo</t>
  </si>
  <si>
    <t>Bendras žemės naudojimas</t>
  </si>
  <si>
    <t>Całkowite użytkowanie gruntów</t>
  </si>
  <si>
    <t>Uso total de la tierra</t>
  </si>
  <si>
    <t>Skupna raba zemljišč</t>
  </si>
  <si>
    <t>Utilização total do solo</t>
  </si>
  <si>
    <t>Total amount of water withdrawn from all sites</t>
  </si>
  <si>
    <t>Samlede vandudtag for alle lokationer</t>
  </si>
  <si>
    <t>Totaal opgenomen water uit alle vestigingen</t>
  </si>
  <si>
    <t>Quantité totale d'eau prélevée sur tous les sites</t>
  </si>
  <si>
    <t>Gesamtmenge der Wasserentnahme aus allen Standorten</t>
  </si>
  <si>
    <t>Aistarraingt uisce iomlán ó iomlán na láithreán</t>
  </si>
  <si>
    <t>Quantità totale di acqua prelevata da tutti i siti</t>
  </si>
  <si>
    <t xml:space="preserve">Bendras vandens kiekis, paimtas iš visų vietovių </t>
  </si>
  <si>
    <t>Całkowita ilość wody pobranej ze wszystkich lokalizacji</t>
  </si>
  <si>
    <t>Cantidad total de agua extraída de todos los emplazamientos</t>
  </si>
  <si>
    <t>Skupna količina odvzete vode z vseh lokacij</t>
  </si>
  <si>
    <t>Quantidade total de água retirada de todos os locais</t>
  </si>
  <si>
    <t>Amount of water withdrawn at sites located in areas of high water-stress</t>
  </si>
  <si>
    <t>Samlede vandudtag fra steder beliggende i områder med høj vandstress</t>
  </si>
  <si>
    <t>Hoeveelheid water onttrokken op locaties in gebieden met grote waterstress</t>
  </si>
  <si>
    <t>Quantité d’eau prélevée sur les sites qui se situent dans des zones exposées à un stress hydrique élevé</t>
  </si>
  <si>
    <t xml:space="preserve">Menge des an Standorten entnommenen Wassers in Gebieten mit hohem Wasserstress. </t>
  </si>
  <si>
    <t>An méid uisce arna aistarraingt ag láithreáin atá suite i limistéir ina bhfuil ardstrus maidir le huisce</t>
  </si>
  <si>
    <t>Quantità di acqua prelevata presso siti ubicati in aree ad elevato stress idrico</t>
  </si>
  <si>
    <t xml:space="preserve">Imamo vandens kiekis vietose, esančiose didelio vandens stygiaus zonose </t>
  </si>
  <si>
    <t>Ilość wody pobranej w lokalizacjach znajdujących się na obszarach o znacznym deficycie wody</t>
  </si>
  <si>
    <t>Cantidad de agua extraída en emplazamientos situados en zonas con un alto estrés hídrico</t>
  </si>
  <si>
    <t>Količina odvzete vode na lokacijah, ki se nahajajo na območjih z visoko vodno obremenitvijo</t>
  </si>
  <si>
    <t>Quantidade de água captada em locais situados em áreas com elevado stress hídrico</t>
  </si>
  <si>
    <t>Water discharge from undertaking production processes</t>
  </si>
  <si>
    <t>Vandudledning fra virksomhedens produktionsprocesser</t>
  </si>
  <si>
    <t>Waterlozing van productieprocessen van de onderneming</t>
  </si>
  <si>
    <t>Rejets d’eau provenant des processus de production de l’entreprise</t>
  </si>
  <si>
    <t>Wasserableitung aus den Produktionsprozessen des Unternehmens</t>
  </si>
  <si>
    <t>Scaoileadh uisce ó phróisis táirgthe</t>
  </si>
  <si>
    <t>Scarico di acque risultante dai processi di produzione dell'impresa</t>
  </si>
  <si>
    <t>Vandens išleidimas iš įmonės gamybos procesų</t>
  </si>
  <si>
    <t>Zrzut wody w ramach procesów produkcyjnych jednostki</t>
  </si>
  <si>
    <t>Vertido de agua de los procesos de producción de la empresa</t>
  </si>
  <si>
    <t>Izpust vode iz proizvodnih procesov</t>
  </si>
  <si>
    <t>Descarga de água dos processos de produção da empresa</t>
  </si>
  <si>
    <t>Total water consumption</t>
  </si>
  <si>
    <t>Vandforbrug</t>
  </si>
  <si>
    <t>Totaal waterverbruik</t>
  </si>
  <si>
    <t>Consommation totale d’eau</t>
  </si>
  <si>
    <t>Gesamtwasserverbrauch</t>
  </si>
  <si>
    <t>Tomhaltas iomlán uisce</t>
  </si>
  <si>
    <t>Consumo idrico totale</t>
  </si>
  <si>
    <t>Bendras vandens suvartojimas</t>
  </si>
  <si>
    <t>Całkowite zużycie wody</t>
  </si>
  <si>
    <t>Consumo total de agua</t>
  </si>
  <si>
    <t>Skupna poraba vode</t>
  </si>
  <si>
    <t>Consumo total de água</t>
  </si>
  <si>
    <t>Virksomheden anvender principperne for den cirkulære økonomi</t>
  </si>
  <si>
    <t>De onderneming past circulaire economieprincipes toe</t>
  </si>
  <si>
    <t>Das Unternehmen wendet Grundsätze der Kreislaufwirtschaft an.</t>
  </si>
  <si>
    <t>La empresa aplica los principios de la economía circular</t>
  </si>
  <si>
    <t>Description of how circular economy principles are applied</t>
  </si>
  <si>
    <t>Beskrivelse af, hvordan principperne for cirkulær økonomi anvendes</t>
  </si>
  <si>
    <t>Beschrijving van hoe de beginselen van de circulaire economie worden toegepast</t>
  </si>
  <si>
    <t>Description de la manière dont les principes de l’économie circulaire sont appliqués</t>
  </si>
  <si>
    <t>Beschreibung, wie die Grundsätze der Kreislaufwirtschaft angewendet werden</t>
  </si>
  <si>
    <t>Cur síos ar chonas a gcuirtear prionsabail an gheilleagair chiorclaigh i bhfeidhm</t>
  </si>
  <si>
    <t>Descrizione di come sono applicati i principi dell'economia circolare</t>
  </si>
  <si>
    <t>Aprašymas, kaip taikomi žiedinės ekonomikos principai</t>
  </si>
  <si>
    <t>Opis sposobu stosowania zasad gospodarki o obiegu zamkniętym</t>
  </si>
  <si>
    <t>Descripción de cómo se aplican los principios de la economía circular</t>
  </si>
  <si>
    <t>Opis načina uporabe načel krožnega gospodarstva</t>
  </si>
  <si>
    <t>Descrição de como os princípios da economia circular são aplicados</t>
  </si>
  <si>
    <t>Waste diverted to recycle or reuse (volume)</t>
  </si>
  <si>
    <t>Affald omdirigeret til genanvendelse eller genbrug (volumen)</t>
  </si>
  <si>
    <t>Afval  herbestemd voor recycling of hergebruik (volume)</t>
  </si>
  <si>
    <t>Déchets destinés à être recyclés ou réutilisés (en volume)</t>
  </si>
  <si>
    <t>Abfälle, die zum Recycling oder zur Wiederverwendung umgeleitet werden (Volumen)</t>
  </si>
  <si>
    <t>Dramhaíl atreoraithe chuig athchúrsáil nó athúsáid (toirt)</t>
  </si>
  <si>
    <t>Rifiuti reindirizzati al riciclaggio o riutilizzo (volume)</t>
  </si>
  <si>
    <t>Atliekos, nukreiptos perdirbti arba pakartotinai naudoti (tūris)</t>
  </si>
  <si>
    <t>Odpady kierowane do recyklingu lub ponownego użycia (objętość)</t>
  </si>
  <si>
    <t>Residuos desviados para su reciclaje o reutilización (volumen)</t>
  </si>
  <si>
    <t>Odpadki, preusmerjeni v recikliranje ali ponovno uporabo (prostornina)</t>
  </si>
  <si>
    <t>Resíduos desviados para reciclagem ou reutilização (volume)</t>
  </si>
  <si>
    <t>Waste diverted to recycle or reuse (mass)</t>
  </si>
  <si>
    <t>Affald omdirigeret til genanvendelse eller genbrug (masse)</t>
  </si>
  <si>
    <t>Afval herbestemd voor recycling of hergebruik (massa)</t>
  </si>
  <si>
    <t>Déchets destinés à être recyclés ou réutilisés (en masse)</t>
  </si>
  <si>
    <t>Abfälle, die zum Recycling oder zur Wiederverwendung umgeleitet werden (Masse)</t>
  </si>
  <si>
    <t>Dramhaíl atreoraithe chuig athchúrsáil nó athúsáid (mais)</t>
  </si>
  <si>
    <t>Rifiuti reindirizzati al riciclaggio o riutilizzo (massa)</t>
  </si>
  <si>
    <t>Atliekos, nukreiptos perdirbti arba pakartotinai naudoti (masė)</t>
  </si>
  <si>
    <t>Odpady kierowane do recyklingu lub ponownego użycia (masa)</t>
  </si>
  <si>
    <t>Residuos desviados para su reciclaje o reutilización (masa)</t>
  </si>
  <si>
    <t>Odpadki, preusmerjeni v recikliranje ali ponovno uporabo (masa)</t>
  </si>
  <si>
    <t>Resíduos desviados para reciclagem ou reutilização (massa)</t>
  </si>
  <si>
    <t>Waste directed to disposal (volume)</t>
  </si>
  <si>
    <t>Affald sendt til bortskaffelse (volume)</t>
  </si>
  <si>
    <t>Restafval (niet recyclebaar/herbruikbaar) (volume)</t>
  </si>
  <si>
    <t>Déchets destinés à être éliminés (en volume)</t>
  </si>
  <si>
    <t>Abfälle, die der Beseitigung zugeführt werden (Volumen)</t>
  </si>
  <si>
    <t>Dramhaíl arna treorú chuig diúscairt (toirt)</t>
  </si>
  <si>
    <t>Rifiuti destinati allo smaltimento (volume)</t>
  </si>
  <si>
    <t>Atliekos, nukreiptos šalinimui (tūris)</t>
  </si>
  <si>
    <t>Odpady kierowane do unieszkodliwienia (objętość)</t>
  </si>
  <si>
    <t>Residuos dirigidos a la eliminación (volumen)</t>
  </si>
  <si>
    <t>Odpadki, namenjeni za odstranjevanje (prostornina)</t>
  </si>
  <si>
    <t>Resíduos destinados à eliminação (volume)</t>
  </si>
  <si>
    <t>Waste directed to disposal (mass)</t>
  </si>
  <si>
    <t>Affald sendt til bortskaffelse (masse)</t>
  </si>
  <si>
    <t>Restafval (niet recyclebaar/herbruikbaar) (massa)</t>
  </si>
  <si>
    <t>Déchets destinés à être éliminés (en masse)</t>
  </si>
  <si>
    <t>Abfälle, die der Beseitigung zugeführt werden (Masse)</t>
  </si>
  <si>
    <t>Rifiuti destinati allo smaltimento (massa)</t>
  </si>
  <si>
    <t>Atliekos, nukreiptos šalinimui (masė)</t>
  </si>
  <si>
    <t>Odpady kierowane do unieszkodliwienia (masa)</t>
  </si>
  <si>
    <t>Residuos destinados a eliminación (masa)</t>
  </si>
  <si>
    <t>Odpadki, namenjeni za odstranjevanje (masa)</t>
  </si>
  <si>
    <t>Resíduos destinados à eliminação (massa)</t>
  </si>
  <si>
    <t>Total waste recycled, reused and directed to disposal (volume)</t>
  </si>
  <si>
    <t xml:space="preserve">Samlet mængde affald genanvendt, genbrugt og sendt til bortskaffelse (volume) </t>
  </si>
  <si>
    <t>Totale hoeveelheid afval die wordt gerecycled, hergebruikt en bestemd is voor verwijdering (volume)</t>
  </si>
  <si>
    <t>Total des déchets recyclés, réutilisés et destinés à être éliminés (en volume)</t>
  </si>
  <si>
    <t>Gesamt-Abfallaufkommen, das recycelt, wiederverwendet und der Beseitigung zugeführt wird (Volumen)</t>
  </si>
  <si>
    <t>Iomlán na dramhaíola atá athchúrsáilte, athúsáidte agus treoraithe chun diúscartha (toirt)</t>
  </si>
  <si>
    <t>Totale rifiuti riciclati, riutilizzati e destinati allo smaltimento (volume)</t>
  </si>
  <si>
    <t>Bendras atliekų kiekis, kuris buvo perdirbtas, pakartotinai panaudotas ir nukreiptas šalinimui (tūris)</t>
  </si>
  <si>
    <t>Całkowita ilość odpadów poddanych recyklingowi, ponownemu użyciu oraz unieszkodliwieniu (objętość)</t>
  </si>
  <si>
    <t>Residuos totales reciclados, reutilizados y dirigidos a eliminación (volumen)</t>
  </si>
  <si>
    <t>Izračun: odpadki, preusmerjeni v recikliranje ali ponovno uporabo + odpadki, preusmerjeni v odstranjevanje (prostornina)</t>
  </si>
  <si>
    <t>Resíduos totais reciclados, reutilizados e encaminhados para eliminação (volume)</t>
  </si>
  <si>
    <t>Total waste recycled, reused and directed to disposal (mass)</t>
  </si>
  <si>
    <t xml:space="preserve">Samlet mængde affald genanvendt, genbrugt og sendt til bortskaffelse (masse) </t>
  </si>
  <si>
    <t>Totale hoeveelheid afval gerecycled, hergebruikt en bestemd voor verwijdering (massa)</t>
  </si>
  <si>
    <t>Total des déchets recyclés, réutilisés et destinés à être éliminés (en masse)</t>
  </si>
  <si>
    <t>Gesamt-Abfallaufkommen, das recycelt, wiederverwendet und der Beseitigung zugeführt wird (Masse)</t>
  </si>
  <si>
    <t>Iomlán na dramhaíola atá athchúrsáilte, athúsáidte agus treoraithe chun diúscartha (mais)</t>
  </si>
  <si>
    <t>Bendras atliekų kiekis, kuris buvo perdirbtas, pakartotinai panaudotas ir nukreiptas šalinimui (masė)</t>
  </si>
  <si>
    <t>Całkowita ilość odpadów poddanych recyklingowi, ponownemu użyciu oraz skierowanych do unieszkodliwienia (masa)</t>
  </si>
  <si>
    <t>Residuos totales reciclados, reutilizados y dirigidos a la eliminación (masa)</t>
  </si>
  <si>
    <t>Izračun: odpadki, preusmerjeni v recikliranje ali ponovno uporabo + odpadki, preusmerjeni v odstranjevanje (masa)</t>
  </si>
  <si>
    <t>Total de resíduos reciclados, reutilizados e destinados à eliminação (massa)</t>
  </si>
  <si>
    <t>Samlet mængde farligt affald genereret (masse)</t>
  </si>
  <si>
    <t>Totale hoeveelheid  gegenereerd gevaarlijk afval (massa)</t>
  </si>
  <si>
    <t>Gesamtaufkommen gefährlicher Abfälle (Masse)</t>
  </si>
  <si>
    <t>Iomlán na dramhaíola guaisí a ghintear (mais)</t>
  </si>
  <si>
    <t>Bendras pavojingų atliekų kiekis (masė)</t>
  </si>
  <si>
    <t>Residuos peligrosos totales generados (masa)</t>
  </si>
  <si>
    <t>Total de resíduos perigosos gerados (massa)</t>
  </si>
  <si>
    <t>Samlet mængde ikke-farligt affald genereret (masse)</t>
  </si>
  <si>
    <t>Totale hoeveelheid gegenereerd niet-gevaarlijk afval (massa)</t>
  </si>
  <si>
    <t>Gesamtaufkommen nicht gefährlicher Abfälle (Masse)</t>
  </si>
  <si>
    <t>Dramhaíl neamhghuaiseach iomlán a ghintear (mais)</t>
  </si>
  <si>
    <t>Residuos no peligrosos totales generados (masa)</t>
  </si>
  <si>
    <t>Total de resíduos não perigosos gerados (massa)</t>
  </si>
  <si>
    <t xml:space="preserve">Samlet mængde affald genereret (masse) </t>
  </si>
  <si>
    <t>Totale hoeveelheid  gegenereerd afval (massa)</t>
  </si>
  <si>
    <t>Gesamtabfallaufkommen (Masse)</t>
  </si>
  <si>
    <t>Iomlán na dramhaíola a ghintear (mais)</t>
  </si>
  <si>
    <t>Bendras susidariusių atliekų kiekis (masė)</t>
  </si>
  <si>
    <t>Całkowita ilość wytworzonych odpadów (masa)</t>
  </si>
  <si>
    <t>Izračun: skupna količina nastalih nevarnih odpadkov + skupna količina nastalih nenevarnih odpadkov (masa)</t>
  </si>
  <si>
    <t>Total de resíduos gerados (massa)</t>
  </si>
  <si>
    <t>Samlet mængde farligt affald genereret (volume)</t>
  </si>
  <si>
    <t>Totale hoeveelheid  gegenereerd gevaarlijk afval (volume)</t>
  </si>
  <si>
    <t>Iomlán na dramhaíola guaisí a ghintear (toirt)</t>
  </si>
  <si>
    <t>Bendras susidariusių pavojingųjų atliekų kiekis (tūris)</t>
  </si>
  <si>
    <t>Residuos peligrosos totales generados (volumen)</t>
  </si>
  <si>
    <t>Total de resíduos perigosos gerados (volume)</t>
  </si>
  <si>
    <t>Samlet mængde ikke-farligt affald genereret (volume)</t>
  </si>
  <si>
    <t>Totale hoeveelheid gegenereerd niet-gevaarlijk afval  (volume)</t>
  </si>
  <si>
    <t>Dramhaíl Neamhghuaiseach Iomlán a gineadh (toirt)</t>
  </si>
  <si>
    <t>Bendras susidariusi nepavojingųjų atliekų kiekis (tūris)</t>
  </si>
  <si>
    <t>Total de resíduos não perigosos gerados (volume)</t>
  </si>
  <si>
    <t xml:space="preserve">Samlet mængde affald genereret (volume) </t>
  </si>
  <si>
    <t>Totale hoeveelheid gegenereerd afval  (volume)</t>
  </si>
  <si>
    <t>Iomlán na dramhaíola a ghintear (toirt)</t>
  </si>
  <si>
    <t>Całkowita ilość wytworzonych odpadów (objętość)</t>
  </si>
  <si>
    <t>Total de residuos generados (volumen)</t>
  </si>
  <si>
    <t>skupno število nastalih nevarnih odpadkov + skupno število nastalih nenevarnih odpadkov (prostornina)</t>
  </si>
  <si>
    <t>Total de resíduos gerados (volume)</t>
  </si>
  <si>
    <t>Name of the material used</t>
  </si>
  <si>
    <t>Navn på det anvendte materiale</t>
  </si>
  <si>
    <t>Naam van het gebruikte materiaal</t>
  </si>
  <si>
    <t>Nom de la matière utilisée</t>
  </si>
  <si>
    <t>Name des verwendeten Materials</t>
  </si>
  <si>
    <t>Ainm an ábhair a úsáideadh</t>
  </si>
  <si>
    <t>Nome del materiale utilizzato</t>
  </si>
  <si>
    <t>Naudojamos medžiagos pavadinimas</t>
  </si>
  <si>
    <t>Nazwa wykorzystanego materiału</t>
  </si>
  <si>
    <t>Nombre del material utilizado</t>
  </si>
  <si>
    <t>Ime uporabljenega materiala</t>
  </si>
  <si>
    <t>Nome do material utilizado</t>
  </si>
  <si>
    <t>Weight of material used</t>
  </si>
  <si>
    <t>Vægt af anvendt materiale</t>
  </si>
  <si>
    <t>Gewicht van het gebruikte materiaal</t>
  </si>
  <si>
    <t>Poids de la matière utilisée</t>
  </si>
  <si>
    <t>Gewicht des verwendeten Materials</t>
  </si>
  <si>
    <t>Meáchan an ábhair a úsáideadh</t>
  </si>
  <si>
    <t>Peso del materiale utilizzato</t>
  </si>
  <si>
    <t>Naudotos medžiagos masė</t>
  </si>
  <si>
    <t>Waga wykorzystanego materiału</t>
  </si>
  <si>
    <t>Peso del material utilizado</t>
  </si>
  <si>
    <t>Masa uporabljenega materiala</t>
  </si>
  <si>
    <t>Peso do material utilizado</t>
  </si>
  <si>
    <t>Volume of material used</t>
  </si>
  <si>
    <t>Volumen af anvendt materiale</t>
  </si>
  <si>
    <t xml:space="preserve">Volume van het gebruikte materiaal </t>
  </si>
  <si>
    <t>Volume de la matière utilisée</t>
  </si>
  <si>
    <t>Volumen des verwendeten Materials</t>
  </si>
  <si>
    <t>Toirt an ábhair a úsáideadh</t>
  </si>
  <si>
    <t>Volume del materiale utilizzato</t>
  </si>
  <si>
    <t>Naudotos medžiagos tūris</t>
  </si>
  <si>
    <t>Objętość wykorzystanego materiału</t>
  </si>
  <si>
    <t>Volumen de material utilizado</t>
  </si>
  <si>
    <t>Prostornina uporabljenega materiala</t>
  </si>
  <si>
    <t>Volume de material utilizado</t>
  </si>
  <si>
    <t>Total weight of material used</t>
  </si>
  <si>
    <t>Samlet vægt af anvendt materiale</t>
  </si>
  <si>
    <t>Totaal gewicht van het gebruikte materiaal</t>
  </si>
  <si>
    <t>Poids total de la matière utilisée</t>
  </si>
  <si>
    <t>Gesamtgewicht des verwendeten Materials</t>
  </si>
  <si>
    <t>Meáchan iomlán an ábhair a úsáideadh</t>
  </si>
  <si>
    <t>Peso totale del materiale utilizzato</t>
  </si>
  <si>
    <t>Visų naudotų medžiagų masė</t>
  </si>
  <si>
    <t>Całkowita masa wykorzystanego materiału</t>
  </si>
  <si>
    <t>Peso total del material utilizado</t>
  </si>
  <si>
    <t>Skupna masa uporabljenega materiala</t>
  </si>
  <si>
    <t>Peso total do material utilizado</t>
  </si>
  <si>
    <t>Total volume of material used</t>
  </si>
  <si>
    <t>Samlet mængde af anvendt materiale</t>
  </si>
  <si>
    <t xml:space="preserve">Totaal volume van het gebruikte materiaal </t>
  </si>
  <si>
    <t>Volume total de la matière utilisée</t>
  </si>
  <si>
    <t>Gesamtvolumen des verwendeten Materials</t>
  </si>
  <si>
    <t>Toirt iomlán an ábhair a úsáideadh</t>
  </si>
  <si>
    <t>Volume totale del materiale utilizzato</t>
  </si>
  <si>
    <t>Visų naudotų medžiagų tūris</t>
  </si>
  <si>
    <t xml:space="preserve">Całkowita objętość wykorzystanego materiału </t>
  </si>
  <si>
    <t>Volumen total de material utilizado</t>
  </si>
  <si>
    <t>Skupna prostornina uporabljenega materiala</t>
  </si>
  <si>
    <t>Fluxo mássico total dos materiais utilizados</t>
  </si>
  <si>
    <t>Number of permanent contact employees</t>
  </si>
  <si>
    <t xml:space="preserve">Antal ansatte med tidsubegrænset kontrakt </t>
  </si>
  <si>
    <t>Aantal werknemers met een vast contract</t>
  </si>
  <si>
    <t>Nombre de salariés en contrat de travail à durée indéterminée</t>
  </si>
  <si>
    <t>Anzahl der Beschäftigten mit unbefristetem Vertrag</t>
  </si>
  <si>
    <t>Líon na bhfostaithe ar chonradh buan</t>
  </si>
  <si>
    <t>Numero di dipendenti con contratto permanente</t>
  </si>
  <si>
    <t>Darbuotojų, turinčių neterminuotą sutartį, skaičius</t>
  </si>
  <si>
    <t>Liczba pracowników zatrudnionych na umowę na czas nieokreślony</t>
  </si>
  <si>
    <t>Número de empleados con contrato indefinido</t>
  </si>
  <si>
    <t>Število zaposlenih za nedoločen čas</t>
  </si>
  <si>
    <t>Número de trabalhadores com contrato sem termo</t>
  </si>
  <si>
    <t>Number of temporary contract employees</t>
  </si>
  <si>
    <t xml:space="preserve">Antal ansatte med midlertidige kontrakter </t>
  </si>
  <si>
    <t>Aantal werknemers met een tijdelijk contract</t>
  </si>
  <si>
    <t>Nombre de salariés en contrat de travail à durée déterminée</t>
  </si>
  <si>
    <t>Anzahl der Beschäftigten mit befristetem Vertrag</t>
  </si>
  <si>
    <t>Líon na bhfostaithe ar chonradh sealadach</t>
  </si>
  <si>
    <t>Numero di dipendenti con contratto temporaneo</t>
  </si>
  <si>
    <t>Darbuotojų, turinčių terminuotą sutartį, skaičius</t>
  </si>
  <si>
    <t>Liczba pracowników zatrudnionych na umowę na czas określony</t>
  </si>
  <si>
    <t>Número de empleados con contrato temporal</t>
  </si>
  <si>
    <t>Število zaposlenih za določen čas</t>
  </si>
  <si>
    <t>Número de trabalhadores com contrato a termo certo</t>
  </si>
  <si>
    <t>Number of male employees</t>
  </si>
  <si>
    <t>Antal mandlige ansatte</t>
  </si>
  <si>
    <t>Aantal mannelijke werknemers</t>
  </si>
  <si>
    <t>Nombre de salariés hommes</t>
  </si>
  <si>
    <t>Anzahl der männlicher Beschäftigten</t>
  </si>
  <si>
    <t>Líon na bhfostaithe fireann</t>
  </si>
  <si>
    <t>Numero di dipendenti uomini</t>
  </si>
  <si>
    <t>Vyrų darbuotojų skaičius</t>
  </si>
  <si>
    <t>Liczba pracowników płci męskiej</t>
  </si>
  <si>
    <t>Número de empleados masculinos</t>
  </si>
  <si>
    <t>Število zaposlenih moških</t>
  </si>
  <si>
    <t>Número de trabalhadores do sexo masculino</t>
  </si>
  <si>
    <t>Number of female employees</t>
  </si>
  <si>
    <t>Antal kvindelige ansatte</t>
  </si>
  <si>
    <t>Aantal vrouwelijke werknemers</t>
  </si>
  <si>
    <t>Nombre de salariés femmes</t>
  </si>
  <si>
    <t>Anzahl der weiblichen Beschäftigten</t>
  </si>
  <si>
    <t>Líon na bhfostaithe baineann</t>
  </si>
  <si>
    <t>Numero di dipendenti donne</t>
  </si>
  <si>
    <t>Moterų darbuotojų skaičius</t>
  </si>
  <si>
    <t xml:space="preserve">Liczba pracowników płci żeńskiej </t>
  </si>
  <si>
    <t>Número de empleadas</t>
  </si>
  <si>
    <t>Število zaposlenih žensk</t>
  </si>
  <si>
    <t>Número de trabalhadores do sexo feminino</t>
  </si>
  <si>
    <t>Number of other gender employees</t>
  </si>
  <si>
    <t>Antal ansatte af andet køn</t>
  </si>
  <si>
    <t>Aantal werknemers van overig gender</t>
  </si>
  <si>
    <t>Nombre de salariés d'autres genres</t>
  </si>
  <si>
    <t>Anzahl der Beschäftigten anderen Geschlechts</t>
  </si>
  <si>
    <t>Líon na bhfostaithe de chuid inscne eile</t>
  </si>
  <si>
    <t>Numero di dipendenti altro genere</t>
  </si>
  <si>
    <t>Kitos lyties darbuotojų skaičius</t>
  </si>
  <si>
    <t>Liczba pracowników innej płci</t>
  </si>
  <si>
    <t>Número de empleados de otro género</t>
  </si>
  <si>
    <t>Število zaposlenih oseb drug spol</t>
  </si>
  <si>
    <t>Número de trabalhadores de outro género</t>
  </si>
  <si>
    <t>Number of non-reported gender employees</t>
  </si>
  <si>
    <t>Antal ansatte med ikke-oplyst køn</t>
  </si>
  <si>
    <t>Aantal werknemers waarvan het gender niet is gerapporteerd</t>
  </si>
  <si>
    <t>Nombre d'employés dont le genre n'est pas communiqué</t>
  </si>
  <si>
    <t>Anzahl der Beschäftigten mit nicht angegebenem Geschlecht</t>
  </si>
  <si>
    <t>Líon na bhfostaithe nár tuairiscíodh a gcuid inscne</t>
  </si>
  <si>
    <t>Numero di dipendenti di genere non comunicato</t>
  </si>
  <si>
    <t>Nenurodytos lyties darbuotojų skaičius</t>
  </si>
  <si>
    <t>Liczba pracowników, których płeć nie została zgłoszona</t>
  </si>
  <si>
    <t>Número de empleados con género no notificado</t>
  </si>
  <si>
    <t>Število zaposlenih oseb nerazkriti spol</t>
  </si>
  <si>
    <t>Número de trabalhadores cujo género não foi comunicado</t>
  </si>
  <si>
    <t xml:space="preserve">Number of employees for country of employment contract </t>
  </si>
  <si>
    <t>Antal ansatte for landet, hvor ansættelseskontrakten er indgået</t>
  </si>
  <si>
    <t>Aantal werknemers per land van arbeidsovereenkomst</t>
  </si>
  <si>
    <t>Nombre de salariés pour le pays du contrat de travail</t>
  </si>
  <si>
    <t>Anzahl der Beschäftigten nach Land des Arbeitsvertrags</t>
  </si>
  <si>
    <t>Líon na bhfostaithe don tír ina bhfuil an conradh fostaíochta</t>
  </si>
  <si>
    <t>Numero di dipendenti per paese del contratto di lavoro</t>
  </si>
  <si>
    <t>Darbuotojų skaičius pagal įdarbinimo šalį</t>
  </si>
  <si>
    <t>Liczba pracowników według kraju umowy o pracę</t>
  </si>
  <si>
    <t>Número de empleados por país del contrato de trabajo</t>
  </si>
  <si>
    <t>Število zaposlenih za državo pogodbe o zaposlitvi</t>
  </si>
  <si>
    <t>Número de trabalhadores por país do contrato de trabalho</t>
  </si>
  <si>
    <t>Employee turnover rate</t>
  </si>
  <si>
    <t>Medarbejderomsætning</t>
  </si>
  <si>
    <t>Medewerkerverlooppercentage</t>
  </si>
  <si>
    <t>Taux de rotation du personnel</t>
  </si>
  <si>
    <t>Fluktuationsrate der Beschäftigten</t>
  </si>
  <si>
    <t>Ráta lámhdeachais fostaithe</t>
  </si>
  <si>
    <t>Tasso di avvicendamento dei dipendenti</t>
  </si>
  <si>
    <t>Darbuotojų kaitos rodiklis</t>
  </si>
  <si>
    <t>Wskaźnik rotacji pracowników</t>
  </si>
  <si>
    <t>Tasa de rotación de empleados</t>
  </si>
  <si>
    <t>Izračun: (število zaposlenih, ki so odšli v poročevalskem obdobju / povprečno število zaposlenih v poročevalskem obdobju) * 100</t>
  </si>
  <si>
    <t>Taxa de rotatividade do trabalhador</t>
  </si>
  <si>
    <t>Number of recordable work related accidents in the reporting period</t>
  </si>
  <si>
    <t xml:space="preserve">Antallet af arbejdsrelaterede ulykker i rapporteringsperioden, der kan registreres </t>
  </si>
  <si>
    <t>Aantal registreerbare arbeidsongevallen  in de rapportageperiode</t>
  </si>
  <si>
    <t>Líon na dtimpistí oibre intaifeadta a tharla sa sa thréimhse thuairiscithe</t>
  </si>
  <si>
    <t>Registruojamų su darbu susijusių įvykių, kuriuose įvyko nelaimingų atsitikimų skaičius ataskaitiniu laikotarpiu</t>
  </si>
  <si>
    <t>Número de accidentes de trabajo registrables en el periodo de información</t>
  </si>
  <si>
    <t>Število priglašenih nezgod pri delu v obdobju poročanja</t>
  </si>
  <si>
    <t>Número de acidentes de trabalho passíveis de registo no período de relato</t>
  </si>
  <si>
    <t>Rate of recordable work related accidents in the reporting period</t>
  </si>
  <si>
    <t>Andelen af arbejdsrelaterede ulykker i rapporteringsperioden, der kan registreres</t>
  </si>
  <si>
    <t xml:space="preserve">Tarieven van registreerbare arbeidsongevallen  in de rapportageperiode
</t>
  </si>
  <si>
    <t>Ráta timpistí intaifeadta a bhaineann leis an obair sa thréimhse thuairiscithe</t>
  </si>
  <si>
    <t xml:space="preserve">Tasso di infortuni registrabili connessi al lavoro nel periodo di riferimento
</t>
  </si>
  <si>
    <t>Izračun: (število zabeleženih nezgod pri delu v poročevalnem letu / skupno število ur, ki so jih v letu opravili vsi zaposleni) * 200000. Znesek 200000 ur predstavlja skupne letne delovne ure 100 zaposlenih (40 ur na teden, 50 tednov na leto) in služi kot standardna osnova za izračun stopnje incidence v enem letu, ki velja za podjetja z do 250 zaposlenimi.</t>
  </si>
  <si>
    <t>Taxa de acidentes de trabalho passíveis de registo no período de relato</t>
  </si>
  <si>
    <t>Antallet af dødsfald som følge af arbejdsrelaterede skader og arbejdsrelateret dårligt helbred</t>
  </si>
  <si>
    <t>Het aantal sterfgevallen als gevolg van arbeidsongevallen en beroepsziekten</t>
  </si>
  <si>
    <t>Nombre de décès dus à des accidents du travail ou à des problèmes de santé liés au travail</t>
  </si>
  <si>
    <t>Líon na mbásanna de thoradh gortuithe atá bainteach leis an obair agus drochshláinte atá bainteach leis an obair.</t>
  </si>
  <si>
    <t>Número de fallecimientos como consecuencia de lesiones y problemas de salud relacionados con el trabajo</t>
  </si>
  <si>
    <t>Število smrtnih žrtev zaradi poškodb pri delu in z delom povezanih bolezni</t>
  </si>
  <si>
    <t>Employees receive pay equal or above minimum wage determined by national law or collective bargaining agreement</t>
  </si>
  <si>
    <t>De ansatte modtager en løn, der er lig med eller højere end den gældende mindsteløn for det land, der 
rapporteres om, som fastsat direkte ved national lov om mindsteløn eller gennem en kollektiv overenskomst?</t>
  </si>
  <si>
    <t>Werknemers ontvangen een beloning die gelijk is aan of hoger is dan het minimumloon zoals bepaald  in de nationale wetgeving of collectieve arbeidsovereenkomst.</t>
  </si>
  <si>
    <t>Les salariés perçoivent une rémunération égale ou supérieure au salaire minimum déterminé par la législation nationale ou par une convention collective</t>
  </si>
  <si>
    <t>Beschäftigte erhalten eine Vergütung, die dem durch nationales Recht oder Tarifvertrag festgelegten Mindestlohn entspricht oder darüber liegt.</t>
  </si>
  <si>
    <t>Faigheann fostaithe pá atá cothrom le nó os cionn an íosphá a chinntear de réir an dlí náisiúnta nó comhaontú cómhargála</t>
  </si>
  <si>
    <t xml:space="preserve">I dipendenti percepiscono una retribuzione pari o superiore al salario minimo determinato dal diritto nazionale o mediante contrattazione collettiva
</t>
  </si>
  <si>
    <t>Darbuotojai gauna užmokestį, kuris yra lygus arba aukštesnis už šalyje nustatytą minimalųjį darbo užmokestį pagal nacionalinį įstatymą arba kolektyvinę sutartį.</t>
  </si>
  <si>
    <t>Pracownicy otrzymują wynagrodzenie równe lub wyższe od minimalnego wynagrodzenia określonego przez prawo krajowe lub układ zbiorowy pracy</t>
  </si>
  <si>
    <t>Los empleados reciben un salario igual o superior al salario mínimo determinado por la ley nacional o el convenio colectivo.</t>
  </si>
  <si>
    <t>Zaposleni prejemajo plačilo, ki je enako ali višje od minimalne plače, določene z nacionalno zakonodajo ali kolektivno pogodbo</t>
  </si>
  <si>
    <t>Os trabalhadores recebem uma remuneração igual ou superior ao salário mínimo estabelecido pela legislação nacional ou por convenção coletiva de trabalho</t>
  </si>
  <si>
    <t>Percentage gap in pay between female and male employees</t>
  </si>
  <si>
    <t>Procentvis lønforskel mellem kvindelige og mandlige ansatte</t>
  </si>
  <si>
    <t>Procentueel beloningsverschil tussen vrouwelijke en mannelijke werknemers</t>
  </si>
  <si>
    <t>Écart de rémunération en pourcentage entre les salariés femmes et hommes</t>
  </si>
  <si>
    <t>Bearna phá chéatadánach idir fostaithe fireanna agus baineanna</t>
  </si>
  <si>
    <t>Percentuale del divario retributivo tra dipendenti di sesso femminile e dipendenti di sesso maschile</t>
  </si>
  <si>
    <t>Darbuotojų moterų ir vyrų užmokesčio skirtumas procentais</t>
  </si>
  <si>
    <t>Luka płacowa między pracownikami płci żeńskiej i męskiej w ujęciu procentowym</t>
  </si>
  <si>
    <t>Porcentaje de brecha salarial entre las empleadas y los empleados</t>
  </si>
  <si>
    <t>Izračun: ((povprečna bruto urna postavka zaposlenih moških - povprečna bruto urna postavka zaposlenih žensk) / povprečna bruto urna postavka zaposlenih moških) * 100</t>
  </si>
  <si>
    <t>Diferença percentual na remuneração entre trabalhadores do sexo feminino e masculino</t>
  </si>
  <si>
    <t>Percentage of employees covered by collective bargaining agreements</t>
  </si>
  <si>
    <t>Procentdelen af ansatte, der er omfattet af kollektive overenskomster</t>
  </si>
  <si>
    <t xml:space="preserve">Percentage werknemers dat onder een collectieve arbeidsovereenkomst valt </t>
  </si>
  <si>
    <t>Pourcentage des salariés couverts par des conventions collectives</t>
  </si>
  <si>
    <t>Prozentsatz der Beschäftigten, die durch Tarifverträge abgedeckt sind</t>
  </si>
  <si>
    <t>Céatadán na bhfostaithe a chumhdaítear le comhaontuithe cómhargála</t>
  </si>
  <si>
    <t>Percentuale di dipendenti coperti da contratti collettivi</t>
  </si>
  <si>
    <t>Darbuotojų, kuriems taikomos kolektyvinės sutartys, procentinė dalis</t>
  </si>
  <si>
    <t>Odsetek pracowników objętych układami zbiorowymi pracy</t>
  </si>
  <si>
    <t>Porcentaje de empleados cubiertos por convenios colectivos</t>
  </si>
  <si>
    <t>Izračun: (število zaposlenih, za katere veljajo kolektivne pogodbe / skupno število zaposlenih) * 100</t>
  </si>
  <si>
    <t>Percentagem de trabalhadores abrangidos por convenções coletivas de trabalho</t>
  </si>
  <si>
    <t>Average number of annual training hours per male employee</t>
  </si>
  <si>
    <t>Gennemsnitligt antal årlige uddannelsesstimer pr. mandlig medarbejder</t>
  </si>
  <si>
    <t>Gemiddeld aantal jaarlijkse trainingsuren per mannelijke werknemer</t>
  </si>
  <si>
    <t>Nombre moyen d’heures annuelles de formation par salarié homme</t>
  </si>
  <si>
    <t>Duchschnittliche Anzahl der jährlichen Schulungsstunden je männlichem Beschäftigtem</t>
  </si>
  <si>
    <t>An meánlíon uaireanta oiliúna bliantúla in aghaidh an fhostaí fireann</t>
  </si>
  <si>
    <t>Numero medio annuo di ore di formazione per dipendente di sesso maschile</t>
  </si>
  <si>
    <t>Vidutinis metinis mokymų valandų skaičius vienam darbuotojui (vyrui)</t>
  </si>
  <si>
    <t>Średnia liczba godzin szkoleń w ciągu roku na pracownika płci męskiej</t>
  </si>
  <si>
    <t>Número medio de horas anuales de formación por empleado masculino</t>
  </si>
  <si>
    <t>Povprečno število ur usposabljanja na leto na zaposlenega moškega</t>
  </si>
  <si>
    <t>Número médio de horas de formação anual por trabalhador do sexo masculino</t>
  </si>
  <si>
    <t>Average number of annual training hours per female employee</t>
  </si>
  <si>
    <t>Gennemsnitligt antal årlige uddannelsesstimer pr. kvindelig medarbejder</t>
  </si>
  <si>
    <t>Gemiddeld aantal jaarlijkse trainingsuren per vrouwelijke werknemer</t>
  </si>
  <si>
    <t>Nombre moyen d’heures annuelles de formation par salarié femme</t>
  </si>
  <si>
    <t>Durchschnittliche Anzahl der jährlichen Schulungsstunden je weiblicher Beschäftigter</t>
  </si>
  <si>
    <t>An meánlíon uaireanta oiliúna bliantúla in aghaidh an fhostaí baineann</t>
  </si>
  <si>
    <t>Numero medio annuo di ore di formazione per dipendente di sesso femminile</t>
  </si>
  <si>
    <t>Vidutinis metinis mokymų valandų skaičius vienam darbuotojui (moteriai)</t>
  </si>
  <si>
    <t>Średnia liczba godzin szkoleń w ciągu roku na pracownika płci żeńskiej</t>
  </si>
  <si>
    <t>Número medio de horas anuales de formación por empleada</t>
  </si>
  <si>
    <t>Povprečno število ur usposabljanja na leto na zaposleno žensko</t>
  </si>
  <si>
    <t>Número médio de horas  de formação anual por trabalhador do sexo feminino</t>
  </si>
  <si>
    <t>Average number of annual training hours per other gender employee</t>
  </si>
  <si>
    <t>Gennemsnitligt antal årlige uddannelsesstimer pr. medarbejder med andet køn</t>
  </si>
  <si>
    <t>Gemiddeld aantal jaarlijkse trainingsuren per werknemer van een ander gender</t>
  </si>
  <si>
    <t>Nombre moyen d’heures annuelles de formation par salarié d’un autre genre</t>
  </si>
  <si>
    <t>Durchschnittliche Anzahl der jährlichen Schulungsstunden je Beschäftigtem mit anderem Geschlecht</t>
  </si>
  <si>
    <t>An meánlíon uaireanta oiliúna bliantúla in aghaidh an fhostaí de chuid inscne eile</t>
  </si>
  <si>
    <t>Numero medio annuo di ore di formazione per dipendente di altro genere</t>
  </si>
  <si>
    <t>Vidutinis metinis mokymų valandų skaičius vienam kitos lyties darbuotojui</t>
  </si>
  <si>
    <t>Średnia liczba godzin szkoleń w ciągu roku na pracownika innej płci</t>
  </si>
  <si>
    <t>Número medio de horas anuales de formación por empleado de otro género</t>
  </si>
  <si>
    <t>Povprečno število ur usposabljanja na leto na zaposleno osebo drug spol</t>
  </si>
  <si>
    <t>Número médio de horas de formação anual  por trabalhador de outro género</t>
  </si>
  <si>
    <t>Average number of annual training hours per non-reported gender employee</t>
  </si>
  <si>
    <t>Gennemsnitligt antal årlige uddannelsestimer pr. medarbejder uden oplyst køn</t>
  </si>
  <si>
    <t>Gemiddeld aantal jaarlijkse trainingsuren per werknemer met niet-gerapporteerd geslacht</t>
  </si>
  <si>
    <t xml:space="preserve">Nombre moyen d’heures annuelles de formation par salarié dont le genre n'est pas communiqué </t>
  </si>
  <si>
    <t>Durchschnittliche Anzahl der jährlichen Schulungsstunden je Beschäftigtem mit nicht angegebenem Geschlecht</t>
  </si>
  <si>
    <t>An meánlíon uaireanta oiliúna bliantúla in aghaidh an fhostaí nár tuairscíodh a gcuid inscne</t>
  </si>
  <si>
    <t>Numero medio annuo di ore di formazione per dipendente di genere non comunicato</t>
  </si>
  <si>
    <t>Vidutinis metinis mokymų valandų skaičius vienam neatskleistos lyties darbuotojui</t>
  </si>
  <si>
    <t>Średnia liczba godzin szkoleń w ciągu roku na pracownika, którego płeć nie została ujawniona</t>
  </si>
  <si>
    <t>Número medio de horas de formación anual por empleado de género no declarado</t>
  </si>
  <si>
    <t>Povprečno število ur usposabljanja na leto na zaposleno osebo nerazkriti spol</t>
  </si>
  <si>
    <t>Número médio de horas de formação anual por trabalhador cujo género não foi declarado</t>
  </si>
  <si>
    <t>Total number of convictions for the violation of anti-corruption and anti-bribery laws</t>
  </si>
  <si>
    <t>Samlet antal domfældelser for overtrædelse af love om bekæmpelse af korruption og bestikkelse</t>
  </si>
  <si>
    <t xml:space="preserve">Totaal aantal veroordelingen wegens overtreding van de anti-corruptie- en antiomkopingswetten. </t>
  </si>
  <si>
    <t>Líon iomlán na gciontuithe as sárú ar dhlíthe frith-éillithe agus frithbhreabaireachta</t>
  </si>
  <si>
    <t>Numero totale di condanne per violazione delle leggi in materia di lotta alla corruzione passiva e attiva</t>
  </si>
  <si>
    <t>Bendras apkaltinamųjų nuosprendžių skaičius už kovos su korupcija ir kyšininkavimu įstatymų pažeidimus</t>
  </si>
  <si>
    <t>Całkowita liczba skazań za naruszenie przepisów antykorupcyjnych i przepisów w sprawie zwalczania przekupstwa</t>
  </si>
  <si>
    <t>Skupno število obsodb za kršitev zakonodaje o boju proti korupciji in podkupovanju</t>
  </si>
  <si>
    <t>Total amount of fines for the violation of anticorruption and antibribery laws</t>
  </si>
  <si>
    <t xml:space="preserve">Totaalbedrag van boetes voor overtreding van anticorruptie- en antiomkopingswetten
</t>
  </si>
  <si>
    <t>An méid iomlán fíneálacha as sárú ar dhlíthe frith-éillithe agus frithbhreabaireachta</t>
  </si>
  <si>
    <t>Importo complessivo delle ammende per violazione delle leggi in materia di lotta alla corruzione passiva e attiva</t>
  </si>
  <si>
    <t>Bendras baudų už korupcijos ir kyšininkavimo įstatymų pažeidimus dydis</t>
  </si>
  <si>
    <t>Cantidad total de multas por la violación de las leyes anticorrupción y de soborno</t>
  </si>
  <si>
    <t>Skupni znesek glob za kršitev zakonodaje o boju proti korupciji in podkupovanju</t>
  </si>
  <si>
    <t>Montante total de multas por violação das leis anticorrupção e antissuborno</t>
  </si>
  <si>
    <t>Description of significant groups of products and/or services offered</t>
  </si>
  <si>
    <t xml:space="preserve">Beskrivelse af væsentlige grupper af produkter og/eller tjenesteydelser, som virksomheden tilbyder </t>
  </si>
  <si>
    <t>Tuairisc ar ghrúpaí suntasacha táirgí agus/nó seirbhísí arna dtairiscint</t>
  </si>
  <si>
    <t>Aprašymas apie reikšmingus siūlomus produktus ir (arba) paslaugų grupes</t>
  </si>
  <si>
    <t>Descripción de grupos significativos de productos y/o servicios ofrecidos</t>
  </si>
  <si>
    <t>Opis pomembnih skupin ponujenih proizvodov in/ali storitev</t>
  </si>
  <si>
    <t>Description of significant market(s) the undertaking operates in</t>
  </si>
  <si>
    <t>Beskrivelse af det eller de væsentlige markeder, som virksomheden operer på</t>
  </si>
  <si>
    <t xml:space="preserve"> Beschrijving van de belangrijkste markt(en) waarin  de onderneming actief is</t>
  </si>
  <si>
    <t xml:space="preserve">Description du ou des grands marchés sur lesquels l'entreprise exerce ses activités </t>
  </si>
  <si>
    <t>Beschreibung des bedeutenden Marktes bzw. der bedeutenden Märkte, auf denen das Unternehmen tätig ist</t>
  </si>
  <si>
    <t>Tuairisc ar mhargaí suntasacha ina n-oibríonn an gnóthas</t>
  </si>
  <si>
    <t>Descrizione del/i mercato/i significativo/i in cui l'impresa opera</t>
  </si>
  <si>
    <t>Aprašymas apie reikšmingas rinkas (-ų), kuriose veikia įmonė</t>
  </si>
  <si>
    <t>Opis istotnych rynków, na których jednostka prowadzi działalność</t>
  </si>
  <si>
    <t>Descripción del o los mercados significativos en los que opera la empresa</t>
  </si>
  <si>
    <t>npr. B2B, veleprodaja, maloprodaja, države</t>
  </si>
  <si>
    <t>Descrição do(s) mercado(s) significativo(s) em que a empresa opera</t>
  </si>
  <si>
    <t>Description of main business relationships (e.g. key suppliers, customers distribution channels)</t>
  </si>
  <si>
    <t>Beschrijving van de belangrijkste zakelijke relaties (bijv. belangrijkste leveranciers, klanten, distributiekanalen)</t>
  </si>
  <si>
    <t>Description des principales relations d’affaires (par ex. principaux fournisseurs, clients, canaux de distribution)</t>
  </si>
  <si>
    <t>Beschreibung der wesentlichen Geschäftsbeziehungen (z.B. zentrale Lieferanten, Kunden, Vertriebskanäle)</t>
  </si>
  <si>
    <t>Aprašymas apie pagrindinius verslo santykius (pvz., pagrindiniai tiekėjai, klientai, platinimo kanalai)</t>
  </si>
  <si>
    <t>Descripción de las principales relaciones comerciales (p. ej., proveedores clave, canales de distribución de clientes)</t>
  </si>
  <si>
    <t>npr. ključni dobavitelji, kupci, distribucijski kanali in potrošniki</t>
  </si>
  <si>
    <t>Description of key elements of strategy that relates to or affects sustainability issues</t>
  </si>
  <si>
    <t>Beschrijving van de belangrijkste elementen van de strategie die betrekking hebben op of invloed hebben op duurzaamheidskwesties</t>
  </si>
  <si>
    <t>Tuairisc ar na príomheilimintí straitéise a bhaineann le le saincheisteanna inbhuanaitheachta nó a dhéanann difear dóibh</t>
  </si>
  <si>
    <t>Descrizione degli elementi chiave della strategia che riguardano o hanno ripercussioni su questioni attinenti alla sostenibilità</t>
  </si>
  <si>
    <t>Strategijos pagrindinių elementų, susijusių su tvarumo klausimais arba juos veikiančių, aprašymas</t>
  </si>
  <si>
    <t>Opis kluczowych elementów strategii odnoszących się do lub mających wpływ na kwestie zrównoważonego rozwoju</t>
  </si>
  <si>
    <t>Descripción de los elementos clave de la estrategia que se refieren o afectan a cuestiones de sostenibilidad</t>
  </si>
  <si>
    <t>Opis ključnih elementov strategije, ki se nanašajo na trajnostnostne zadeve ali nanje vplivajo</t>
  </si>
  <si>
    <t>Descrição dos elementos fundamentais da estratégia que estão relacionados com ou que afetam questões de sustentabilidade</t>
  </si>
  <si>
    <t>Description of practices, policies and/or future initiatives</t>
  </si>
  <si>
    <t>Beskrivelse af praksisser, politikker og/eller fremtidige initiativer</t>
  </si>
  <si>
    <t>Beschrijving van praktijken, beleid en toekomstige initiatieven</t>
  </si>
  <si>
    <t>Description des pratiques, politiques et/ou initiatives futures</t>
  </si>
  <si>
    <t>Beschreibung von Verfahrensweisen, Richtlinien und/oder künftigen Initiativen</t>
  </si>
  <si>
    <t>Tuairisc ar chleachtais, beartais agus tionscnaimh amach anseo</t>
  </si>
  <si>
    <t>Descrizione di pratiche, politiche e/o iniziative future</t>
  </si>
  <si>
    <t>Perėjimo prie tvaresnės ekonomikos praktikos, politikos ir (arba) būsimų iniciatyvų aprašymas</t>
  </si>
  <si>
    <t>Opis praktyk, polityk i/lub przyszłych inicjatyw</t>
  </si>
  <si>
    <t>Descripción de prácticas, políticas e iniciativas futuras</t>
  </si>
  <si>
    <t>Opis praks, politik in/ali prihodnjih pobud</t>
  </si>
  <si>
    <t>Descrição das práticas, políticas e/ou iniciativas futuras</t>
  </si>
  <si>
    <t>Most senior level within its employees that is accountable for policies</t>
  </si>
  <si>
    <t>Det højeste ledelsesniveau blandt sine ansatte, der er ansvarlig for gennemførelsen af 
politikkerne, når dette er fastlagt af virksomheden</t>
  </si>
  <si>
    <t>Het meest senior niveau binnen haar werknemers dat verantwoordelijk is voor het implementeren van het beleid</t>
  </si>
  <si>
    <t>Niveau hiérarchique le plus élevé parmi les salariés qui est responsable des politiques</t>
  </si>
  <si>
    <t>Höchste Personalebene, die für die Umsetzung der Richtlinien verantwortlich ist</t>
  </si>
  <si>
    <t>An leibhéal is sinsearaí i measc a chuid fostaithe atá freagrach as na beartais a chur chun feidhme</t>
  </si>
  <si>
    <t>Il livello gerarchico più elevato tra i suoi dipendenti cui spetta la responsabilità delle politiche</t>
  </si>
  <si>
    <t>Aukščiausias darbuotojų hierarchijos lygmuo, atsakingas už politikų įgyvendinimą</t>
  </si>
  <si>
    <t>Najwyższy szczebel wśród pracowników, który jest odpowiedzialny za polityki</t>
  </si>
  <si>
    <t>El nivel más alto dentro de sus empleados que es responsable de las políticas</t>
  </si>
  <si>
    <t>Najvišja raven med zaposlenimi, ki je odgovorna za politike</t>
  </si>
  <si>
    <t>Nível hierárquico mais elevado entre os trabalhadores responsáveis pelas políticas</t>
  </si>
  <si>
    <t>Description of the target of practices, policies or future initiatives</t>
  </si>
  <si>
    <t>Beskrivelse af målet for praksisser, politikker eller fremtidige initiativer</t>
  </si>
  <si>
    <t>Beschrijving van het doel van praktijken, beleid of toekomstige initiatieven</t>
  </si>
  <si>
    <t>Description des cibles des pratiques, politiques ou initiatives futures</t>
  </si>
  <si>
    <t>Beschreibung des Ziels von Verfahrensweisen, Richtlinien oder künftigen Initiativen</t>
  </si>
  <si>
    <t>Tuairisc ar sprioc na gcleachtas, na mbeartas nó na dtionscnamh amach anseo</t>
  </si>
  <si>
    <t>Descrizione dell'obiettivo delle pratiche, politiche o iniziative future</t>
  </si>
  <si>
    <t>Perėjimo prie tvaresnės ekonomikos praktikų, politikos ar būsimų iniciatyvų tikslų aprašymas</t>
  </si>
  <si>
    <t>Opis celu praktyk, polityk lub przyszłych inicjatyw</t>
  </si>
  <si>
    <t>Descripción del objetivo de las prácticas, políticas o iniciativas futuras</t>
  </si>
  <si>
    <t>Opis cilja praks, politik ali prihodnjih pobud</t>
  </si>
  <si>
    <t>Descrição do alvo das práticas, políticas ou iniciativas futuras</t>
  </si>
  <si>
    <t>Greenhouse gas emission reduction target base year</t>
  </si>
  <si>
    <t>Basisår for mål for reduktion af drivhusgasudledninger</t>
  </si>
  <si>
    <t xml:space="preserve"> Basisjaar voor het reductiedoel van broeikasgasemissies</t>
  </si>
  <si>
    <t>Année de référence de la cible de réduction des émissions de gaz à effet de serre</t>
  </si>
  <si>
    <t>Basisjahr der Ziele zur Verringerung der Treibhausgasemissionen</t>
  </si>
  <si>
    <t>Bonnbhliain sprioc laghdaithe astaíochtaí gás ceaptha teasa</t>
  </si>
  <si>
    <t>Anno base per l'obiettivo di riduzione delle emissioni di gas a effetto serra</t>
  </si>
  <si>
    <t>Šiltnamio efektą sukeliančių dujų išmetimo mažinimo tikslo baziniai metai</t>
  </si>
  <si>
    <t>Rok bazowy celu redukcji emisji gazów cieplarnianych</t>
  </si>
  <si>
    <t>Año base del objetivo de reducción de emisiones de gases de efecto invernadero</t>
  </si>
  <si>
    <t>Izhodiščno leto cilja zmanjšanja emisij toplogrednih plinov</t>
  </si>
  <si>
    <t>Ano base da meta de redução das emissões de gases com efeito de estufa</t>
  </si>
  <si>
    <t>Greenhouse gas emission reduction target year</t>
  </si>
  <si>
    <t>Målår for mål for reduktion af drivhusgasudledninger</t>
  </si>
  <si>
    <t>Doeljaar voor broeikasgasemissiereductie</t>
  </si>
  <si>
    <t>Année cible de la cible de réduction des émissions de gaz à effet de serre</t>
  </si>
  <si>
    <t>Zieljahr der Ziele zur Verringerung der Treibhausgasemissionen</t>
  </si>
  <si>
    <t>Spriocbhliain laghdaithe astaíochtaí gás ceaptha teasa</t>
  </si>
  <si>
    <t>Anno-obiettivo di riduzione delle emissioni di gas a effetto serra</t>
  </si>
  <si>
    <t>ŠESD emisijų mažinimo tiksliniai metai</t>
  </si>
  <si>
    <t>Rok docelowy redukcji emisji gazów cieplarnianych</t>
  </si>
  <si>
    <t>Año objetivo de reducción de emisiones de gases de efecto invernadero</t>
  </si>
  <si>
    <t>Ciljno leto za zmanjšanje emisij toplogrednih plinov</t>
  </si>
  <si>
    <t>Ano alvo para a redução das emissões de gases com efeito de estufa</t>
  </si>
  <si>
    <t>Disclosure of list of main actions the entity seeks in order to achieve its targets</t>
  </si>
  <si>
    <t xml:space="preserve"> Liste over de vigtigste foranstaltninger, som virksomheden søger at gennemføre for at nå sine mål</t>
  </si>
  <si>
    <t xml:space="preserve">Rapportage van een  lijst van de belangrijkste acties die de entiteit nastreeft om haar doelstellingen te bereiken
</t>
  </si>
  <si>
    <t>Publication de la liste des principales actions que l'entreprise entend mettre en œuvre pour atteindre ses cibles</t>
  </si>
  <si>
    <t>Angabe der wesentlichen Maßnahmen, die das Unternehmen ergreift, um seine Ziele zu erreichen</t>
  </si>
  <si>
    <t xml:space="preserve">Nochtadh de liosta príomhghníomhartha a fhéachann an gnóthas lena gcur chun feidhme chun a spriocanna a bhaint amach </t>
  </si>
  <si>
    <t>Elenco delle principali azioni che l'impresa intende attuare per conseguire i propri obiettivi</t>
  </si>
  <si>
    <t>Pagrindinių veiksmų, kuriuos įmonė numato/ketina vykdyti savo tikslams pasiekti, sąrašo atskleidimas</t>
  </si>
  <si>
    <t>Lista głównych działań, które jednostka zamierza wdrożyć, aby osiągnąć swoje cele</t>
  </si>
  <si>
    <t>Divulgación de la lista de las principales actuaciones que la entidad busca implementar para alcanzar sus metas</t>
  </si>
  <si>
    <t>Razkritje seznama glavnih ukrepov, s katerimi si subjekt prizadeva doseči svoje cilje</t>
  </si>
  <si>
    <t>Divulgação da lista das principais ações que a entidade pretende executar para alcançar as suas metas</t>
  </si>
  <si>
    <t>Description of a transition plan for climate change mitigation, including an explanation of how it is contributing to reduce GHG emissions</t>
  </si>
  <si>
    <t>Oplysninger om omstillingsplanen for modvirkning af klimaændringer, herunder en redegørelse for, hvordan den bidrager til at reducere drivhusgasudledninger</t>
  </si>
  <si>
    <t>Beschrijving van een transitieplan voor klimaatmitigatie, inclusief een toelichting op hoe dit bijdraagt aan de vermindering van broeikasgasemissies</t>
  </si>
  <si>
    <t>Description d’un plan de transition pour l’atténuation du changement climatique comprenant une explication de la manière dont il contribue à réduire les émissions de gaz à effet de serre (GES)</t>
  </si>
  <si>
    <t>Tuairisc ar phlean aistrithe maidir le maolú ar an athrú aeráide, lena n-áirítear míniú ar an gcaoi a bhfuil sé ag rannchuidiú chun a chuid astaíochtaí GCT a laghdú</t>
  </si>
  <si>
    <t>Descrizione di un piano di transizione per la mitigazione dei cambiamenti climatici, compresa una spiegazione del modo in cui il piano sta contribuendo a ridurre le emissioni di gas a effetto serra</t>
  </si>
  <si>
    <t>Perėjimo plano klimato kaitos švelninimui aprašymas, įskaitant paaiškinimą, kaip jis prisideda prie ŠESD emisijų mažinimo.</t>
  </si>
  <si>
    <t>Opis planu transformacji na potrzeby łagodzenia zmiany klimatu, w tym wyjaśnienie, w jaki sposób przyczynia się on do redukcji emisji gazów cieplarnianych</t>
  </si>
  <si>
    <t>Descripción de un plan de transición para la mitigación del cambio climático, incluida una explicación de cómo contribuye a la reducción de las emisiones de GEI</t>
  </si>
  <si>
    <t>Opis načrta prehoda za blažitev podnebnih sprememb, vključno z opisom, kako prispeva k zmanjšanju emisij toplogrednih plinov</t>
  </si>
  <si>
    <t>Descrição do plano de transição para a mitigação das alterações climáticas, incluindo uma explicação sobre como contribui para a redução das emissões de gases com efeito de estufa</t>
  </si>
  <si>
    <t>Date of adoption of transition plan for undertaking not having adopted transition plan yet</t>
  </si>
  <si>
    <t>Tidspunkt for vedtagelse af omstillingsplan for virksomheder, der endnu ikke har vedtaget en omstillingsplan</t>
  </si>
  <si>
    <t>Datum van vaststellingvan het transitieplan voor de onderneming die nog geen transitieplan heeft aangenomen</t>
  </si>
  <si>
    <t>Date d’adoption du plan de transition pour l’entreprise n’ayant pas encore adopté de plan de transition</t>
  </si>
  <si>
    <t>Datum der Annahme des Übergangsplans für Unternehmen, die noch keinen Übergangsplan angenommen haben</t>
  </si>
  <si>
    <t>Dáta a ghlacfaidh le plean aistrithe do ghnóthas nach bhfuil plean aistrithe i bhfeidhm fós aige</t>
  </si>
  <si>
    <t>Data di adozione del piano di transizione per l’impresa che non ha ancora adottato un piano di transizione</t>
  </si>
  <si>
    <t>Planuojama perėjimo plano patvirtinimo data, jei dar nepatvirtinta</t>
  </si>
  <si>
    <t>Data przyjęcia planu transformacji dla jednostki, która jeszcze nie przyjęła planu transformacji</t>
  </si>
  <si>
    <t>Fecha de adopción del plan de transición para la empresa que aún no ha adoptado un plan de transición</t>
  </si>
  <si>
    <t>Datum sprejetja načrta prehoda za podjetje, ki ga še ni sprejelo</t>
  </si>
  <si>
    <t>Data de adoção do plano de transição quando ainda não foi adotado um plano de transição</t>
  </si>
  <si>
    <t>Beschrijving van klimaatgerelateerde gevaren en klimaatgerelateerde transitiegebeurtenissen</t>
  </si>
  <si>
    <t>Description des aléas liés au changement climatique et événements liés à la transition climatique</t>
  </si>
  <si>
    <t>Beschreibung klimabedingter Gefahren und klimabedingter Übergangsereignisse</t>
  </si>
  <si>
    <t>Tuairisc ar na guaiseacha a bhaineann leis an aeráid agus ar na teagmhais aistrithe a bhaineann leis an aeráid</t>
  </si>
  <si>
    <t>Su klimatu susijusių ir pereinamojo laikotarpio rizikų aprašymas</t>
  </si>
  <si>
    <t>Opis zagrożeń związanych z klimatem i zdarzeń dotyczących przejścia związanego z klimatem</t>
  </si>
  <si>
    <t>Descripción de los peligros relacionados con el clima y de los sucesos de transición relacionados con el clima</t>
  </si>
  <si>
    <t>Opis s podnebjem povezanih nevarnosti in s podnebjem povezanih prehodnih dogodkov</t>
  </si>
  <si>
    <t>Descrição dos perigos relacionados com o clima e eventos de transição relacionados com o clima</t>
  </si>
  <si>
    <t>Disclosure of how it has assessed the exposure and sensitivity of its assets, activities and value chain to these hazards and transition events</t>
  </si>
  <si>
    <t xml:space="preserve"> Rapportage van hoe zij de blootstelling aan en gevoeligheid van haar activa, activiteiten en waardeketen met betrekking tot deze gevaren en transitiegebeurtenissen heeft beoordeeld.</t>
  </si>
  <si>
    <t>Angabe, wie es die Exposition und Anfälligkeit seiner Vermögenswerte, Tätigkeiten und Wertschöpfungskette gegenüber diesen Gefahren und Übergangsereignissen bewertet hat</t>
  </si>
  <si>
    <t xml:space="preserve">Nochtadh ar an gcaoi a ndearna sé measúnú ar neamhchosaint agus íogaireacht a chuid sócmhainní, gníomhaíochtaí agus </t>
  </si>
  <si>
    <t xml:space="preserve">Comunicazione del modo in cui ha valutato l'esposizione e la sensibilità dei suoi attivi, delle sue attività e della sua catena del valore a tali pericoli ed eventi di transizione
</t>
  </si>
  <si>
    <t>Atskleidimas, kaip įvertintas turto, veiklos ir vertės grandinės poveikio mastas ir jautrumas klimato ir pereinamojo laikotarpio rizikoms.</t>
  </si>
  <si>
    <t>Divulgación de cómo ha evaluado la exposición y sensibilidad de sus activos, actividades y cadena de valor a estos peligros y sucesos de transición</t>
  </si>
  <si>
    <t>Razkritje načina ocenjevanja izpostavljenosti in občutljivosti svojih sredstev, dejavnosti in vrednostne verige tem nevarnostim in prehodnim dogodkom</t>
  </si>
  <si>
    <t>Tidshorisonterne for eventuelle identificerede klimarelaterede farer og omstillingshændelser</t>
  </si>
  <si>
    <t>Tijdshorizonten van geïdentificeerde klimaatgerelateerde gevaren en transitiegebeurtenissen</t>
  </si>
  <si>
    <t>Na tréimhsí ama d’aon ghuais a bhaineann leis an aeráid agus d’aon teagmhas aistrithe arna sainaithint a nochtadh</t>
  </si>
  <si>
    <t>Indica gli orizzonti temporali di eventuali pericoli ed eventi di transizione legati al clima individuati</t>
  </si>
  <si>
    <t>Nustatytų su klimatu susijusių ir pereinamojo laikotarpio laiko horizontai.</t>
  </si>
  <si>
    <t>Horizontes temporales de cualquier peligro relacionado con el clima y eventos de transición identificados</t>
  </si>
  <si>
    <t>Časovna obdobja vseh opredeljenih s podnebjem povezanih nevarnosti in prehodnih dogodkov</t>
  </si>
  <si>
    <t>Disclosure of whether it has undertaken climate change adaptation actions for any climate related hazards and transition events</t>
  </si>
  <si>
    <t>Oplysning om, hvorvidt virksomheden har gennemført tilpasningstiltag til klimaforandringer for klimarelaterede farer og omstillingshændelser</t>
  </si>
  <si>
    <t xml:space="preserve"> Rapportage over of zij maatregelen voor aanpassing aan de klimaatverandering heeft genomen voor klimaatgerelateerde gevaren en transitiegebeurtenissen.</t>
  </si>
  <si>
    <t xml:space="preserve">Nochtadh cé acu atá nó nach bhfuil gníomhartha oiriúnaithe don athrú aeráide déanta aige le haghaidh aon ghuaise a bhaineann leis an aeráid agus teagmhais aistrithe </t>
  </si>
  <si>
    <t xml:space="preserve">Atskleidimas, ar įmonė ėmėsi veiksmų prisitaikyti prie klimato kaitos dėl bet kokių su klimatu susijusių ir pereinamojo laikotarpio rizikų.
</t>
  </si>
  <si>
    <t>Divulgación de si ha emprendido actuaciones de adaptación al cambio climático con respecto a cualquier peligro y suceso de transición relacionado con el clima.</t>
  </si>
  <si>
    <t>Razkritje, ali je sprejelo ukrepe za prilagajanje podnebnim spremembam za katero koli s podnebjem povezano nevarnost in prehodni dogodek</t>
  </si>
  <si>
    <t>Divulgação de se a empresa empreendeu ações de adaptação às alterações climáticas para quaisquer perigos relacionados com o clima e eventos de transição.</t>
  </si>
  <si>
    <t>Potential adverse effects of climate risks that may affect its financial performance or business operations in the short-, medium- or long-term, indicating whether it assesses the risks to be high, medium or low</t>
  </si>
  <si>
    <t>Oplysninger om de potentielle negative virkninger af klimarisici, der kan påvirke dens finansielle 
resultater eller forretningsaktiviteter på kort, mellemlang eller lang sigt, og angive, om den vurderer risiciene som  høje, mellemstore eller lave.</t>
  </si>
  <si>
    <t xml:space="preserve">De potentiële negatieve effecten van klimaatrisico’s die van invloed kunnen zijn op haar financiële prestaties of bedrijfsactiviteiten op korte, middellange of lange termijn, waarbij zij aangeeft of zij de risico’s als hoog, gemiddeld of laag beoordeelt. 
</t>
  </si>
  <si>
    <t>Potenziell nachteilige Auswirkungen von klimabedingten Risiken, die seine finanzielle Leistungsfähigkeit oder Geschäftstätigkeit kurz-, mittel- oder langfristig beeinträchtigen können, unter der Angabe, ob es die Risiken als hoch, mittel oder niedrig einschätzt.</t>
  </si>
  <si>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</si>
  <si>
    <t>Galimas neigiamas klimato rizikų poveikis, galintis paveikti įmonės finansinius rezultatus ar veiklą trumpuoju, vidutiniu ar ilguoju laikotarpiu, nurodant, ar rizikos vertinamos kaip didelės, vidutinės ar mažos.</t>
  </si>
  <si>
    <t>Los posibles efectos adversos de los riesgos climáticos que puedan afectar a su rendimiento financiero o a sus operaciones empresariales a corto, medio o largo plazo, indicando si considera que dichos riesgos son elevados, medios o bajos.</t>
  </si>
  <si>
    <t>Morebitni škodljivi učinki podnebnih tveganj, ki lahko kratko-, srednje- ali dolgoročno vplivajo na finančno uspešnost ali poslovanje, z navedbo, ali tveganja ocenjuje kot visoka, srednja ali nizka</t>
  </si>
  <si>
    <t>Efeitos adversos potenciais dos riscos climáticos que possam afetar o desempenho financeiro ou as operações da empresa a curto, médio ou longo prazo, indicando se avalia esses riscos como elevados, médios ou baixos</t>
  </si>
  <si>
    <t>Vrouw-man verhouding op managementniveau voor de  rapportageperiode</t>
  </si>
  <si>
    <t>Ratio de femmes par rapport aux hommes au niveau de l’encadrement pour la période de reporting</t>
  </si>
  <si>
    <t>Cóimheas idir mná agus fir a nochtadh ar leibhéal bainistíochta don tréimhse tuairiscithe</t>
  </si>
  <si>
    <t>Vadovų lygmens moterų ir vyrų santykis ataskaitiniu laikotarpiu</t>
  </si>
  <si>
    <t>Ratio mujeres/hombres a nivel directivo durante el periodo de reporte</t>
  </si>
  <si>
    <t>Izračun: število zaposlenih žensk na vodstveni ravni / število zaposlenih moških na vodstveni ravni</t>
  </si>
  <si>
    <t>Rácio entre mulheres e homens a nível dos quadros superiores para o período de relato</t>
  </si>
  <si>
    <t>Total number of self-employed workers without personnel that are working exclusively for the undertaking</t>
  </si>
  <si>
    <t>Antallet af selvstændige uden personale, der udelukkende arbejder for virksomheden</t>
  </si>
  <si>
    <t xml:space="preserve">Totaal aantal zelfstandigen zonder personeel dat uitsluitend voor de onderneming werkt
</t>
  </si>
  <si>
    <t>Nombre total des travailleurs indépendants sans personnel qui travaillent exclusivement pour l’entreprise</t>
  </si>
  <si>
    <t>Gesamtzahl der Selbstständigen, die ausschließlich für das Unternehmen tätig sind und kein eigenes Personal haben</t>
  </si>
  <si>
    <t>An líon daoine féinfhostaithe seachas daoine atá ag obair don ghnóthas ar bhonn eisiach</t>
  </si>
  <si>
    <t xml:space="preserve">Número total de trabajadores autónomos sin personal que trabajan exclusivamente para la empresa
</t>
  </si>
  <si>
    <t>Skupno število samozaposlenih delavcev brez osebja, ki delajo izključno za podjetje</t>
  </si>
  <si>
    <t>Número total de trabalhadores independentes, sem pessoal ao seu cargo, que trabalham exclusivamente para a empresa</t>
  </si>
  <si>
    <t>Total number of temporary-workers provided by undertakings primarily engaged in employment activities</t>
  </si>
  <si>
    <t xml:space="preserve">Totaal aantal tijdelijke arbeidskrachten, uitgezonden door ondernemingen die zich voornamelijk bezighouden met arbeidsbemiddeling en personeelswerk
</t>
  </si>
  <si>
    <t>Nombre total de travailleurs temporaires mis à disposition par des entreprises exerçant principalement des activités liées à l’emploi</t>
  </si>
  <si>
    <t>Gesamtzahl der Zeitarbeitskräfte, die von Unternehmen bereitgestellt werden, die in erster Linie im Bereich der Vermittlung und Überlassung von Arbeitskräften tätig sind</t>
  </si>
  <si>
    <t>An líon oibrithe sealadacha arna gcur ar fáil ag gnóthais a bhíonn gafa den chuid is mó le ‘gníomhaíochtaí fostaíochta’</t>
  </si>
  <si>
    <t>Skupno število začasnih delavcev, ki jih zagotovijo podjetja, ki se ukvarjajo predvsem z dejavnostmi zaposlovanja</t>
  </si>
  <si>
    <t>Número total de trabalhadores temporários fornecidos por empresas principalmente envolvidas em atividades de emprego</t>
  </si>
  <si>
    <t>Undertaking has a code of conduct or human rights policy for its own workforce</t>
  </si>
  <si>
    <t>Virksomheden har en adfærdskodeks eller menneskerettighedspolitik for sin egen arbejdsstyrke</t>
  </si>
  <si>
    <t>De onderneming beschikt over een gedragscode of een mensenrechtenbeleid voor haar eigen personeel</t>
  </si>
  <si>
    <t>L’entreprise dispose d’un code de conduite ou d’une politique en matière de droits de l’homme pour son personnel</t>
  </si>
  <si>
    <t>Das Unternehmen verfügt über einen Verhaltenskodex oder Richtlinien für die Achtung der Menschenrechte bei seinen eigenen Arbeitskräften</t>
  </si>
  <si>
    <t>Cód iompair nó beartas um chearta an duine ag an ngnóthas dá lucht saothair féin</t>
  </si>
  <si>
    <t>Įmonė turi elgesio kodeksą arba žmogaus teisių politiką savo darbuotojams</t>
  </si>
  <si>
    <t>Jednostka posiada kodeks postępowania lub politykę dotyczącą praw człowieka dla własnych pracowników</t>
  </si>
  <si>
    <t>Podjetje ima kodeks ravnanja ali politiko na področju človekovih pravic za lastno delovno silo</t>
  </si>
  <si>
    <t>A empresa dispõe de um código de conduta ou de uma política de direitos humanos para a sua própria mão-de-obra</t>
  </si>
  <si>
    <t>Type of content covered by the code of conduct or human rights policy for its own workforce</t>
  </si>
  <si>
    <t>Type af indhold omfattet af adfærdskodeks eller menneskerettighedspolitik for egen arbejdsstyrke</t>
  </si>
  <si>
    <t>Type inhoud die wordt bestreken door de gedragscode of het mensenrechtenbeleid voor het eigen personeel</t>
  </si>
  <si>
    <t>Type de contenu couvert par le code de conduite ou la politique en matière de droits de l’homme pour son personnel</t>
  </si>
  <si>
    <t>Art des Inhalts, der vom Verhaltenskodex oder den Richtlinien für die Achtung der Menschenrechte bei den eigenen Arbeitskräften abgedeckt ist</t>
  </si>
  <si>
    <t>Cineál ábhair a chlúdaítear faoin gcód iompair nó beartas um chearta an duine ag an ngnóthas dá lucht saothair féin</t>
  </si>
  <si>
    <t>Tipologia di contenuti coperti dal codice di condotta o dalla politica in materia di diritti umani per la forza lavoro propria</t>
  </si>
  <si>
    <t>Koks turinys  apimamas elgesio kodekso ar žmogaus teisių politikos darbuotojams</t>
  </si>
  <si>
    <t>Rodzaj treści objętych kodeksem postępowania lub polityką dotyczącą praw człowieka wobec własnych zasobów pracowniczych</t>
  </si>
  <si>
    <t>Tipo de contenido cubierto por el código de conducta o la política de derechos humanos para su personal propio</t>
  </si>
  <si>
    <t>Vrsta vsebine, ki jo zajema kodeks ravnanja ali politika na področju človekovih pravic za lastno delovno silo</t>
  </si>
  <si>
    <t>Tipo de conteúdo abrangido pelo código de conduta ou pela política de direitos humanos para a sua própria mão-de-obra</t>
  </si>
  <si>
    <t>Specification other types of content covered by the code of conduct or human rights policy</t>
  </si>
  <si>
    <t>Specifikation af andre typer indhold, der er omfattet af adfærdskodeks eller menneskerettighedspolitik</t>
  </si>
  <si>
    <t>Specificatie van andere typen inhoud die onder de gedragscode of mensenrechtenbeleid vallen</t>
  </si>
  <si>
    <t>Spécification des autres types de contenu couverts par le code de conduite ou la politique en matière de droits de l’homme</t>
  </si>
  <si>
    <t>Erläuterung anderer Arten von Inhalten, die vom Verhaltenskodex oder den Richtlinien für die Achtung der Menschenrechte bei den eigenen Arbeitskräften abgedeckt sind</t>
  </si>
  <si>
    <t>Sonraíocht cineálacha eile ábhar atá clúdaithe ag an gcód iompair nó beartas um chearta an duine</t>
  </si>
  <si>
    <t>Specifica altri tipi di contenuto coperti dal codice di condotta o dalla politica in materia di diritti umani</t>
  </si>
  <si>
    <t>Nurodykite papildomą turinį, kurį apima elgesio kodeksas / žmogaus teisių politika</t>
  </si>
  <si>
    <t>Specyfikacja innych rodzajów treści objętych kodeksem postępowania lub polityką dotyczącą praw człowieka</t>
  </si>
  <si>
    <t>Especificación de otros tipos de contenido cubiertos por el código de conducta o la política de derechos humanos</t>
  </si>
  <si>
    <t>Navedba drugih vrst vsebin, ki jih zajema kodeks ravnanja ali politika na področju človekovih pravic</t>
  </si>
  <si>
    <t>Especificação de outros tipos de conteúdo abrangidos pelo código de conduta ou política de direitos humanos</t>
  </si>
  <si>
    <t>Undertaking has a complaint handling mechanism for its own workforce</t>
  </si>
  <si>
    <t>Virksomheden har en mekanisme til behandling af klager fra sin egen arbejdsstyrke</t>
  </si>
  <si>
    <t>De onderneming heeft een klachtenbehandelingsmechanisme voor haar eigen personeel.</t>
  </si>
  <si>
    <t xml:space="preserve">L’entreprise dispose d’un mécanisme de traitement des plaintes pour son personnel </t>
  </si>
  <si>
    <t>Das Unternehmen verfügt über ein Verfahren zur Bearbeitung von Beschwerden der eigenen Arbeitskräfte</t>
  </si>
  <si>
    <t>Tá sásra láimhsithe gearán ag an ngnóthas dá lucht saothair féin</t>
  </si>
  <si>
    <t>Įmonėje veikia skundų nagrinėjimo mechanizmas jos darbuotojams</t>
  </si>
  <si>
    <t>Jednostka posiada mechanizm rozpatrywania skarg dla własnych zasobów pracowniczych</t>
  </si>
  <si>
    <t>Podjetje ima mehanizem za obravnavanje pritožb lastne delovne sile</t>
  </si>
  <si>
    <t>A empresa possui um mecanismo de tratamento de reclamações para a sua própria mão-de-obra</t>
  </si>
  <si>
    <t>Undertaking has confirmed human rights incidents in its own workforce</t>
  </si>
  <si>
    <t>Virksomheden har bekræftede negative hændelser relateret til menneskerettigheder i sin egen arbejdsstyrke</t>
  </si>
  <si>
    <t xml:space="preserve">De onderneming heeft incidenten met betrekking tot mensenrechten bevestigd binnen haar eigen personeel. 
</t>
  </si>
  <si>
    <t>L’entreprise a confirmé des incidents en matière de droits de l’homme au sein de son personnel</t>
  </si>
  <si>
    <t>Das Unternehmen hat bestätigte Vorfälle im Zusammenhang mit Menschenrechten bei seinen eigenen Arbeitskräften.</t>
  </si>
  <si>
    <t>Teagmhais dheimhnithe ag an ngnóthas dá lucht saothair féin</t>
  </si>
  <si>
    <t>L'impresa ha confermato incidenti in seno alla forza lavoro propria relativi a violazioni dei diritti umani.</t>
  </si>
  <si>
    <t>Patvirtinti žmogaus teisių pažeidimų incidentai įmonės darbuotojų tarpe</t>
  </si>
  <si>
    <t>Jednostka potwierdziła incydenty naruszeń praw człowieka wśród własnych zasobów pracowniczych</t>
  </si>
  <si>
    <t>La entidad ha confirmado incidentes de derechos humanos en su personal propio.</t>
  </si>
  <si>
    <t>Podjetje ima potrjene incidente na področju človekovih pravic lastne delovne sile</t>
  </si>
  <si>
    <t>A entidade confirmou incidentes de direitos humanos na sua própria mão-de-obra</t>
  </si>
  <si>
    <t>Type of human right related to the confirmed incident</t>
  </si>
  <si>
    <t xml:space="preserve">
Type af menneskerettighed relateret til den bekræftede hændelse
</t>
  </si>
  <si>
    <t>Soort mensenrecht gerelateerd aan het bevestigde incident</t>
  </si>
  <si>
    <t>Type de droit de l'homme auquel se rattache l'incident confirmé</t>
  </si>
  <si>
    <t>Art des Menschenrechts im Zusammenhang mit dem bestätigten Vorfall</t>
  </si>
  <si>
    <t>Cineál cearta daonna a bhaineann leis an eachtra deimhnithe</t>
  </si>
  <si>
    <t>Tipo di diritto umano relativo all’incidente confermato</t>
  </si>
  <si>
    <t>Žmogaus teisių sritis, kuriai priskiriamas patvirtintas incidentas</t>
  </si>
  <si>
    <t>Rodzaj prawa człowieka związany z potwierdzonym incydentem</t>
  </si>
  <si>
    <t>Tipo de derecho humano relacionado con el incidente confirmado</t>
  </si>
  <si>
    <t>Vrsta človekove pravice, povezane s potrjenim incidentom</t>
  </si>
  <si>
    <t>Tipo de direito humano relacionado ao incidente confirmado</t>
  </si>
  <si>
    <t>Specification of other human rights related to the confirmed incident</t>
  </si>
  <si>
    <t>Specifikation af andre menneskerettigheder relateret til den bekræftede hændelse</t>
  </si>
  <si>
    <t>Specificatie van andere mensenrechten gerelateerd aan het bevestigde incident</t>
  </si>
  <si>
    <t>Spécification des autres droits humains auxquels se rattache l'incident confirmé</t>
  </si>
  <si>
    <t>Angabe weiterer Menschenrechte im Zusammenhang mit dem bestätigten Vorfall</t>
  </si>
  <si>
    <t>Sonraíocht ar chearta eile an duine a bhaineann leis an teagmhas</t>
  </si>
  <si>
    <t>Specificazione di altri diritti umani relativi all'incidente confermato</t>
  </si>
  <si>
    <t>Kitos žmogaus teisės, susijusios su patvirtintu incidentu (nurodyti ir detalizuoti)</t>
  </si>
  <si>
    <t>Specyfikacja innych praw człowieka związanych z potwierdzonym incydentem</t>
  </si>
  <si>
    <t>Especificación de otros derechos humanos relacionados con el incidente confirmado</t>
  </si>
  <si>
    <t>Navedba drugih človekovih pravic, povezanih s potrjenim incidentom</t>
  </si>
  <si>
    <t xml:space="preserve">Especificação de outros direitos humanos relacionados com o incidente confirmado
</t>
  </si>
  <si>
    <t>Description of actions take to address the confirmed incidents</t>
  </si>
  <si>
    <t xml:space="preserve">Beskrivelse af de handlinger, der er truffet for at imødekomme de bekræftede hændelser
</t>
  </si>
  <si>
    <t>Beschrijving van de genomen acties ter aanpak van de bevestigde incidenten</t>
  </si>
  <si>
    <t>Tuairisc a thabhairt ar na gníomhartha a bhfuiltear á ndéanamh chun aghaidh a thabhairt ar na teagmhais deimhnithe</t>
  </si>
  <si>
    <t>Aprašymai, kokių veiksmų imtasi patvirtintiems incidentams spręsti</t>
  </si>
  <si>
    <t>Opis działań podjętych w celu zaradzenia potwierdzonym incydentom</t>
  </si>
  <si>
    <t>Descripción de las acciones tomadas para abordar los incidentes confirmados</t>
  </si>
  <si>
    <t>Undertaking aware of any confirmed incidents involving workers in the value chain, affected communities, consumers and end-users</t>
  </si>
  <si>
    <t>Virksomheden er bekendt med bekræftede hændelser, der involverer arbejdstagere i værdikæden, berørte lokalsamfund, forbrugere og slutbrugere</t>
  </si>
  <si>
    <t>Is de onderneming op de hoogte van bevestigde incidenten waarbij werknemers in de waardeketen, getroffen gemeenschappen, consumenten en eindgebruikers betrokken waren? Zo ja, licht toe.</t>
  </si>
  <si>
    <t>L’entreprise a connaissance d’incidents confirmés impliquant des travailleurs de la chaîne de valeur, des communautés affectées, des consommateurs et des utilisateurs finaux</t>
  </si>
  <si>
    <t>Dem Unternehmen sind bestätigte Vorfälle bekannt, an denen Arbeitskräfte in der Wertschöpfungskette, betroffene Gemeinschaften, Verbraucher und Endnutzer beteiligt sind</t>
  </si>
  <si>
    <t>An feasach don ghnóthas aon teagmhas deimhnithe lena mbaineann oibrithe sa slabhra luacha, pobail dá ndéantar difear, tomhaltóirí agus úsáideoirí deiridh?</t>
  </si>
  <si>
    <t>L'impresa è a conoscenza di incidenti confermati che coinvolgono lavoratori nella catena del valore, comunità interessate, consumatori e utilizzatori finali</t>
  </si>
  <si>
    <t>Įmonė, kuri žino apie bet kokius patvirtintus incidentus, susijusius su vertės grandinės darbuotojais, paveiktais bendruomenėmis, vartotojais ir galutiniais naudotojais</t>
  </si>
  <si>
    <t>Jednostka posiada wiedzę na temat potwierdzonych incydentówdotyczących osób wykonujących pracę w łańcuchu wartości, dotkniętych społeczności, konsumentów i użytkowników końcowych</t>
  </si>
  <si>
    <t xml:space="preserve">¿Tiene conocimiento la empresa de cualquier incidente confirmado en el que estén involucrados trabajadores de la cadena de valor, colectivos afectados, consumidores y usuarios finales? En caso afirmativo, especifíquese. 
</t>
  </si>
  <si>
    <t>Podjetje je seznanjeno z vsemi potrjenimi incidenti, v katere so vključeni delavci v vrednostni verigi, prizadete skupnosti, potrošniki in končni uporabniki</t>
  </si>
  <si>
    <t>Empresa ciente de quaisquer incidentes confirmados que envolvam trabalhadores da cadeia de valor, comunidades afetadas, consumidores e utilizadores finais</t>
  </si>
  <si>
    <t>Specification of any confirmed incident involving workers in the value chain, affected communities, consumers and end-users</t>
  </si>
  <si>
    <t>Specificering af enhver bekræftet hændelse, der involverer arbejdstagere i værdikæden, berørte lokalsamfund, forbrugere og slutbrugere</t>
  </si>
  <si>
    <t>Specificatie van elk bevestigd incident waarbij werknemers in de waardeketen, getroffen gemeenschappen, consumenten en eindgebruikers betrokken zijn geweest</t>
  </si>
  <si>
    <t>Spécification de tout incident confirmé impliquant des travailleurs dans la chaîne de valeur, des communautés affectées, des consommateurs et des utilisateurs finaux</t>
  </si>
  <si>
    <t>Sonraíocht ar aon teagmhas deimhnithe lena mbaineann oibrithe sa slabhra luacha, pobail dá ndéantar difear, tomhaltóirí agus úsáideoirí deiridh</t>
  </si>
  <si>
    <t>Specificazione di qualsiasi incidente confermato che coinvolge i lavoratori nella catena del valore, le comunità interessate, i consumatori e gli utilizzatori finali.</t>
  </si>
  <si>
    <t>Bet kurio patvirtinto incidento, susijusio su vertės grandinės darbuotojais, paveiktomis bendruomenėmis, vartotojais ir galutiniais naudotojais, aprašymas</t>
  </si>
  <si>
    <t>Navedba vseh potrjenih incidentov, v katere so vključeni delavci v vrednostni verigi, prizadete skupnosti, potrošniki in končni uporabniki</t>
  </si>
  <si>
    <t>Especificação de quaisquer incidentes confirmados envolvendo trabalhadores da cadeia de valor, comunidades afetadas, consumidores e utilizadores finais</t>
  </si>
  <si>
    <t xml:space="preserve">Revenue derived from controversial weapons (anti-personnel mines, cluster munitions, chemical weapons and biological weapons) </t>
  </si>
  <si>
    <t>Indægter fra kontroversielle våben (personelminer, klyngeammunition, kemiske våben og biologiske våben)</t>
  </si>
  <si>
    <t xml:space="preserve"> Inkomsten uit controversiële wapens (antipersoonsmijnen, clustermunitie, chemische wapens en biologische wapens)</t>
  </si>
  <si>
    <t>Ioncam a dhíorthaítear as airm chonspóideacha (mianaigh frithphearsanra, cnuas-mhuinisin, airm cheimiceacha agus airm 
bhitheolaíocha)</t>
  </si>
  <si>
    <t>Pajamos, gautos iš prieštaringai vertinamų ginklų (pėstininkų minų, kasetinių šaudmenų, cheminių ir biologinių ginklų).</t>
  </si>
  <si>
    <t>Rédito proveniente de armas controversas (minas anti-pessoais, munições de fragmentação, armas químicas e armas biológicas)</t>
  </si>
  <si>
    <t>Inkomsten uit de teelt en productie van tabak</t>
  </si>
  <si>
    <t>Ioncam a dhíorthaítear as saothrú agus táirgeadh tobac</t>
  </si>
  <si>
    <t>Ricavi derivanti dalla coltivazione e produzione del tabacco</t>
  </si>
  <si>
    <t>Pajamos iš tabako auginimo ir gamybos</t>
  </si>
  <si>
    <t>Los ingresos derivados del cultivo y la producción de tabaco</t>
  </si>
  <si>
    <t>Total revenues derived from fossil (fuel, coal and gas) sector</t>
  </si>
  <si>
    <t>Indtægter fra fossile brændstoffer (kul, olie og gas) sektor</t>
  </si>
  <si>
    <t>Totale inkomsten  uit de fossiele sector (olie, kolen en gas)</t>
  </si>
  <si>
    <t xml:space="preserve">	
Chiffre d'affaire total réalisé à partir du secteur des combustibles fossiles (charbon, pétrole et gaz)</t>
  </si>
  <si>
    <t>Gesamtumsatzerlöse aus dem Sektor der fossilen (Kohle, Erdöl und Erdgas) Brennstoffe</t>
  </si>
  <si>
    <t xml:space="preserve">Ioncam iomlán a dhíorthaítear ó earnáil an bhreosla iontaise (gual, ola agus gás) </t>
  </si>
  <si>
    <t>Ricavi totali derivanti dal settore dei combustibili fossili (carbone, petrolio e gas)</t>
  </si>
  <si>
    <t>Bendros pajamos, gautos iš iškastinio kuro (naftos, anglies ir dujų) sektoriaus</t>
  </si>
  <si>
    <t>Całkowite przychody z sektora paliw kopalnych (węgiel, ropa i gaz)</t>
  </si>
  <si>
    <t>Ingresos totales derivados del sector de combustibles fósiles (combustible, carbón y gas)</t>
  </si>
  <si>
    <t>Skupni prihodki iz sektorja fosilnih goriv (gorivo, premog in plin)</t>
  </si>
  <si>
    <t>Rendimentos totais provenientes do setor dos combustíveis fósseis (combustível, carvão e gás)</t>
  </si>
  <si>
    <t>Indtægter fra kul</t>
  </si>
  <si>
    <t>Ioncam a dhíorthaítear ó ghual</t>
  </si>
  <si>
    <t>Pajamos, gautos iš anglių</t>
  </si>
  <si>
    <t>Rédito proveniente do carvão</t>
  </si>
  <si>
    <t>Indtægter fra olie</t>
  </si>
  <si>
    <t>Ioncam a dhíorthaítear ó ola</t>
  </si>
  <si>
    <t>Rédito proveniente do petróleo</t>
  </si>
  <si>
    <t>Indtægter fra gas</t>
  </si>
  <si>
    <t xml:space="preserve">
Inkomsten uit gas
</t>
  </si>
  <si>
    <t>Ioncam a dhíorthaítear ó ghás</t>
  </si>
  <si>
    <t>Rédito proveniente do gás</t>
  </si>
  <si>
    <t>Revenue derived from chemical production</t>
  </si>
  <si>
    <t>Indtægter fra produktion af kemikalier</t>
  </si>
  <si>
    <t>Inkomsten uit  de chemische productie</t>
  </si>
  <si>
    <t>Ingresos derivados de la producción química</t>
  </si>
  <si>
    <t>Prihodki iz proizvodnje kemikalij</t>
  </si>
  <si>
    <t>Rédito proveniente da produção química</t>
  </si>
  <si>
    <t xml:space="preserve">Undertakings are excluded from any EU reference benchmarks that are aligned with the Paris Agreement </t>
  </si>
  <si>
    <t>Virksomheder er udelukket fra alle EU-referencebenchmarks, der er tilpasset Parisaftalen.</t>
  </si>
  <si>
    <t>Ondernemingen zijn uitgesloten van op de Overeenkomst van Parijs afgestemde EU-referentiebenchmarks.</t>
  </si>
  <si>
    <t>Exclusion des indices de référence  « accord de Paris » de l'Union européenne</t>
  </si>
  <si>
    <t>Unternehmen sind von allen EU-Referenzwerten, die mit dem Pariser Abkommen in Einklang stehen, ausgeschlossen.</t>
  </si>
  <si>
    <t>Gnóthais a eisiatar ó na Tagarmharcanna AE atá ailínithe le Comhaontú Pháras</t>
  </si>
  <si>
    <t>Le imprese sono escluse dagli indici di riferimento UE allineati con l'accordo di Parigi.</t>
  </si>
  <si>
    <t>Įmonės yra pašalintos iš bet kokių ES lyginamųjų etalonų, suderintų su Paryžiaus susitarimu</t>
  </si>
  <si>
    <t>Jednostki są wykluczone z jakichkolwiek unijnych wskaźników referencyjnych, które są zgodne z porozumieniem paryskim.</t>
  </si>
  <si>
    <t>Las empresas están excluidas de cualquier índice de referencia de la UE que esté alineado con el Acuerdo de París.</t>
  </si>
  <si>
    <t>Podjetja so izključena iz vseh referenčnih vrednosti EU, usklajenih s Pariškim sporazumom</t>
  </si>
  <si>
    <t>Empresas excluídas de quaisquer índices de referência da UE que estejam alinhados com o Acordo de Paris</t>
  </si>
  <si>
    <t>Kønsfordeling i ledelsesorganet</t>
  </si>
  <si>
    <t>Genderdiversiteitsverhouding  in het bestuursorgaan</t>
  </si>
  <si>
    <t>Ratio de mixité au sein de l'organe de gouvernance</t>
  </si>
  <si>
    <t>Geschlechtervielfalt im Leitungsorgan</t>
  </si>
  <si>
    <t>Cóimheas éagsúlachta inscne sa chomhlacht rialachais</t>
  </si>
  <si>
    <t>Lyčių įvairovės rodiklis valdymo organe</t>
  </si>
  <si>
    <t>Izračun: število članic upravnega odbora / število članov upravnega odbora</t>
  </si>
  <si>
    <t xml:space="preserve">Oplysning af øvrige generelle og/eller virksomhedsspecifik information
</t>
  </si>
  <si>
    <t xml:space="preserve"> Rapportage van alle overige algemene en/of entiteitspecifieke  informatie</t>
  </si>
  <si>
    <t>Publication de toute autre information générale et/ou spécifique à l’entité</t>
  </si>
  <si>
    <t>Angabe weiterer sonstiger allgemeiner und/oder unternehmensspezifischer Informationen</t>
  </si>
  <si>
    <t>Nochtadh aon fhaisnéis ghinearálta eile agus/nó a bhaineann go sonrach leis an ngnóthas</t>
  </si>
  <si>
    <t>Comunicazione di qualsiasi altra informazione generale e/o specifica per soggetto</t>
  </si>
  <si>
    <t>Kita bendroji / įmonei specifinė informacija</t>
  </si>
  <si>
    <t>Ujawnienie wszelkich innych informacji ogólnych i/lub specyficznych dla jednostki</t>
  </si>
  <si>
    <t>Razkritje vseh drugih splošnih in/ali za subjekt specifičnih informacij o obdobju poročanja</t>
  </si>
  <si>
    <t>Divulgação de quaisquer outras informações gerais e/ou específicas da empresa</t>
  </si>
  <si>
    <t>Disclosure of any other environmental and or/entity specific environmental disclosures</t>
  </si>
  <si>
    <t xml:space="preserve"> Rapportage van andere milieugerelateerde en/of entiteitspecifieke  milieurapportages</t>
  </si>
  <si>
    <t>Nochtadh aon nochtaí comhshaoil eile agus/nó comhshaoil sonrach don ghnóthas</t>
  </si>
  <si>
    <t>Razkritje vseh drugih okoljskih in/ali za subjekt specifičnih okoljskih razkritij</t>
  </si>
  <si>
    <t>Disclosure of any other social and or/entity specific social disclosures</t>
  </si>
  <si>
    <t xml:space="preserve">Oplysninger om andre sociale og/eller virksomhedsspecifikke sociale oplysninger </t>
  </si>
  <si>
    <t xml:space="preserve">
 Rapportage van andere sociale en/of entiteitspecifieke sociale rapportages
</t>
  </si>
  <si>
    <t>Razkritje vseh drugih socialnih in/ali za subjekt specifičnih socialnih razkritij</t>
  </si>
  <si>
    <t>Disclosure of any other governance and or/entity specific governance disclosures</t>
  </si>
  <si>
    <t>Razkritje vseh drugih upravljavskih in/ali za subjekt specifičnih upravljavskih razkritij</t>
  </si>
  <si>
    <t>Narrativt indhold leveret som ekstern DOCX-fil</t>
  </si>
  <si>
    <t>Narratieve inhoud geleverd als extern DOCX-bestand</t>
  </si>
  <si>
    <t>Contenu narratif fourni sous forme de fichier DOCX externe</t>
  </si>
  <si>
    <t>Narrativer Inhalt bereitgestellt als externe DOCX-Datei</t>
  </si>
  <si>
    <t>Ábhar insinte a chuirtear ar fáil mar chomhad seachtrach DOCX</t>
  </si>
  <si>
    <t>Contenuti narrativi forniti come file DOCX esterno</t>
  </si>
  <si>
    <t>Naratyvinis turinys pateikiamas kaip išorinis DOCX failas</t>
  </si>
  <si>
    <t>Zawartość narracji udostępniona jako zewnętrzny plik DOCX</t>
  </si>
  <si>
    <t>Conteúdo narrativo fornecido como arquivo DOCX externo</t>
  </si>
  <si>
    <t>Narativna vsebina je na voljo kot zunanja DOCX datoteka</t>
  </si>
  <si>
    <t>Contenido narrativo proporcionado como archivo DOCX externo</t>
  </si>
  <si>
    <t>If you need to add footnotes for the converted VS Digital Template, please select the disclosures in column D and write the related footnote in column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</si>
</sst>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000000"/>
  </numFmts>
  <fonts count="57">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u/>
      <sz val="11"/>
      <color theme="7" tint="-0.249977111117893"/>
      <name val="Aptos Narrow"/>
      <family val="2"/>
      <scheme val="minor"/>
    </font>
    <font>
      <b/>
      <sz val="18"/>
      <color theme="1"/>
      <name val="Aptos Narrow"/>
      <family val="2"/>
      <scheme val="minor"/>
    </font>
    <font>
      <b/>
      <sz val="28"/>
      <color theme="1"/>
      <name val="Aptos Narrow"/>
      <family val="2"/>
      <scheme val="minor"/>
    </font>
    <font>
      <b/>
      <sz val="72"/>
      <color theme="1"/>
      <name val="Aptos Narrow"/>
      <family val="2"/>
      <scheme val="minor"/>
    </font>
    <font>
      <b/>
      <sz val="48"/>
      <color theme="1"/>
      <name val="Aptos Narrow"/>
      <family val="2"/>
      <scheme val="minor"/>
    </font>
    <font>
      <b/>
      <sz val="10"/>
      <color theme="1"/>
      <name val="Aptos Narrow"/>
      <family val="2"/>
      <scheme val="minor"/>
    </font>
    <font>
      <b/>
      <sz val="28"/>
      <color theme="1"/>
      <name val="Symbol"/>
      <family val="1"/>
      <charset val="2"/>
    </font>
    <font>
      <sz val="15"/>
      <color theme="1"/>
      <name val="Aptos Narrow"/>
      <family val="2"/>
      <scheme val="minor"/>
    </font>
    <font>
      <b/>
      <u/>
      <sz val="14"/>
      <color theme="1"/>
      <name val="Aptos Narrow"/>
      <family val="2"/>
      <scheme val="minor"/>
    </font>
    <font>
      <b/>
      <sz val="24"/>
      <color theme="1"/>
      <name val="Symbol"/>
      <family val="1"/>
      <charset val="2"/>
    </font>
    <font>
      <b/>
      <sz val="20"/>
      <color theme="1"/>
      <name val="Aptos Narrow"/>
      <family val="2"/>
      <scheme val="minor"/>
    </font>
    <font>
      <sz val="10"/>
      <color theme="1"/>
      <name val="Arial Unicode MS"/>
    </font>
    <font>
      <sz val="11"/>
      <color rgb="FFFF0000"/>
      <name val="Aptos Narrow"/>
      <family val="2"/>
      <scheme val="minor"/>
    </font>
    <font>
      <b/>
      <sz val="12"/>
      <color theme="1"/>
      <name val="Aptos"/>
      <family val="2"/>
    </font>
    <font>
      <strike/>
      <sz val="11"/>
      <color theme="1"/>
      <name val="Aptos Narrow"/>
      <family val="2"/>
      <scheme val="minor"/>
    </font>
    <font>
      <strike/>
      <sz val="11"/>
      <color rgb="FFFF0000"/>
      <name val="Aptos Narrow"/>
      <family val="2"/>
      <scheme val="minor"/>
    </font>
    <font>
      <strike/>
      <sz val="11"/>
      <name val="Aptos Narrow"/>
      <family val="2"/>
      <scheme val="minor"/>
    </font>
    <font>
      <i/>
      <u/>
      <sz val="11"/>
      <color theme="10"/>
      <name val="Aptos Narrow"/>
      <family val="2"/>
      <scheme val="minor"/>
    </font>
  </fonts>
  <fills count="28">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1"/>
        <bgColor indexed="64"/>
      </patternFill>
    </fill>
    <fill>
      <patternFill patternType="solid">
        <fgColor theme="0" tint="-4.9989318521683403E-2"/>
        <bgColor indexed="64"/>
      </patternFill>
    </fill>
    <fill>
      <patternFill patternType="solid">
        <fgColor rgb="FF00B0F0"/>
        <bgColor indexed="64"/>
      </patternFill>
    </fill>
  </fills>
  <borders count="9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s>
  <cellStyleXfs count="5">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xf numFmtId="43" fontId="1" fillId="0" borderId="0" applyFont="0" applyFill="0" applyBorder="0" applyAlignment="0" applyProtection="0"/>
  </cellStyleXfs>
  <cellXfs count="131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0" fontId="2" fillId="0" borderId="70" xfId="0" applyFont="1" applyBorder="1"/>
    <xf numFmtId="0" fontId="2" fillId="0" borderId="70" xfId="0" applyFont="1" applyBorder="1" applyAlignment="1">
      <alignment horizontal="center" vertical="center" wrapText="1"/>
    </xf>
    <xf numFmtId="0" fontId="2" fillId="0" borderId="73"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0"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2"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0" applyFont="1"/>
    <xf numFmtId="0" fontId="9" fillId="0" borderId="0" xfId="0" applyFont="1" applyAlignment="1">
      <alignment horizontal="center" vertical="center"/>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2" fillId="0" borderId="19" xfId="0" applyFont="1" applyBorder="1" applyAlignment="1">
      <alignment horizontal="left" vertical="center" wrapText="1"/>
    </xf>
    <xf numFmtId="0" fontId="4" fillId="18"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4" fillId="7" borderId="79" xfId="0" applyFont="1" applyFill="1" applyBorder="1"/>
    <xf numFmtId="0" fontId="2" fillId="0" borderId="11" xfId="0" applyFont="1" applyBorder="1" applyAlignment="1">
      <alignment horizontal="center" vertical="center"/>
    </xf>
    <xf numFmtId="0" fontId="4" fillId="7" borderId="65" xfId="0" applyFont="1" applyFill="1" applyBorder="1"/>
    <xf numFmtId="9" fontId="1" fillId="12" borderId="11" xfId="1" applyFill="1" applyBorder="1" applyAlignment="1" applyProtection="1">
      <alignment horizontal="right"/>
    </xf>
    <xf numFmtId="0" fontId="4" fillId="7" borderId="82" xfId="0" applyFont="1" applyFill="1" applyBorder="1"/>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12" xfId="0" applyBorder="1"/>
    <xf numFmtId="0" fontId="0" fillId="0" borderId="0" xfId="0" applyAlignment="1">
      <alignment vertical="center"/>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2" fontId="2" fillId="0" borderId="0" xfId="0" applyNumberFormat="1" applyFont="1" applyAlignment="1">
      <alignment horizontal="center" vertical="center"/>
    </xf>
    <xf numFmtId="0" fontId="0" fillId="18" borderId="18" xfId="0" applyFill="1"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0" fillId="0" borderId="10" xfId="0" applyBorder="1"/>
    <xf numFmtId="2" fontId="0" fillId="12" borderId="14" xfId="0" applyNumberFormat="1" applyFill="1" applyBorder="1" applyAlignment="1">
      <alignment horizontal="center"/>
    </xf>
    <xf numFmtId="0" fontId="2" fillId="0" borderId="18" xfId="0" applyFont="1" applyBorder="1" applyAlignment="1">
      <alignment horizontal="center" vertical="center" wrapText="1"/>
    </xf>
    <xf numFmtId="0" fontId="0" fillId="12"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8"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0" fillId="7" borderId="0" xfId="0" quotePrefix="1" applyFill="1"/>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8"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8"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8"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2" fillId="0" borderId="70"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0"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6"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5" borderId="18" xfId="0" applyNumberFormat="1" applyFill="1" applyBorder="1" applyAlignment="1" applyProtection="1">
      <alignment horizontal="left"/>
      <protection locked="0"/>
    </xf>
    <xf numFmtId="2" fontId="0" fillId="15" borderId="1" xfId="0" applyNumberFormat="1" applyFill="1" applyBorder="1" applyAlignment="1" applyProtection="1">
      <alignment horizontal="left"/>
      <protection locked="0"/>
    </xf>
    <xf numFmtId="0" fontId="2" fillId="18" borderId="70" xfId="0" applyFont="1" applyFill="1" applyBorder="1" applyAlignment="1">
      <alignment horizontal="center" vertical="center" wrapText="1"/>
    </xf>
    <xf numFmtId="0" fontId="2" fillId="18" borderId="66" xfId="0" applyFont="1" applyFill="1" applyBorder="1" applyAlignment="1">
      <alignment horizontal="center" vertical="center" wrapText="1"/>
    </xf>
    <xf numFmtId="0" fontId="2" fillId="18" borderId="33" xfId="0" applyFont="1" applyFill="1" applyBorder="1" applyAlignment="1">
      <alignment horizontal="center" vertical="center" wrapText="1"/>
    </xf>
    <xf numFmtId="170" fontId="0" fillId="18" borderId="7" xfId="0" applyNumberFormat="1" applyFill="1" applyBorder="1" applyAlignment="1">
      <alignment vertical="center" wrapText="1"/>
    </xf>
    <xf numFmtId="170" fontId="0" fillId="18" borderId="8" xfId="0" applyNumberFormat="1" applyFill="1" applyBorder="1" applyAlignment="1">
      <alignment vertical="center" wrapText="1"/>
    </xf>
    <xf numFmtId="170" fontId="0" fillId="18" borderId="9" xfId="0" applyNumberFormat="1" applyFill="1" applyBorder="1" applyAlignment="1">
      <alignment vertical="center" wrapText="1"/>
    </xf>
    <xf numFmtId="170" fontId="0" fillId="18" borderId="18" xfId="0" applyNumberFormat="1" applyFill="1" applyBorder="1" applyAlignment="1">
      <alignment vertical="center" wrapText="1"/>
    </xf>
    <xf numFmtId="170" fontId="0" fillId="18" borderId="1" xfId="0" applyNumberFormat="1" applyFill="1" applyBorder="1" applyAlignment="1">
      <alignment vertical="center" wrapText="1"/>
    </xf>
    <xf numFmtId="170" fontId="0" fillId="18" borderId="11" xfId="0" applyNumberFormat="1" applyFill="1" applyBorder="1" applyAlignment="1">
      <alignment vertical="center" wrapText="1"/>
    </xf>
    <xf numFmtId="170" fontId="0" fillId="18" borderId="19" xfId="0" applyNumberFormat="1" applyFill="1" applyBorder="1" applyAlignment="1">
      <alignment vertical="center" wrapText="1"/>
    </xf>
    <xf numFmtId="170" fontId="0" fillId="18" borderId="20" xfId="0" applyNumberFormat="1" applyFill="1" applyBorder="1" applyAlignment="1">
      <alignment vertical="center" wrapText="1"/>
    </xf>
    <xf numFmtId="170" fontId="0" fillId="18"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9" fillId="0" borderId="32" xfId="0" applyFont="1" applyBorder="1" applyAlignment="1">
      <alignment horizontal="left" vertical="center" wrapText="1"/>
    </xf>
    <xf numFmtId="0" fontId="30" fillId="0" borderId="0" xfId="0" applyFont="1"/>
    <xf numFmtId="2" fontId="0" fillId="19" borderId="1" xfId="0" applyNumberFormat="1" applyFill="1" applyBorder="1" applyProtection="1">
      <protection locked="0"/>
    </xf>
    <xf numFmtId="0" fontId="2" fillId="0" borderId="70" xfId="0" applyFont="1" applyBorder="1" applyAlignment="1" applyProtection="1">
      <alignment horizontal="center" vertical="center"/>
      <protection locked="0"/>
    </xf>
    <xf numFmtId="2" fontId="0" fillId="19" borderId="2" xfId="0" applyNumberFormat="1" applyFill="1" applyBorder="1" applyProtection="1">
      <protection locked="0"/>
    </xf>
    <xf numFmtId="2" fontId="0" fillId="15"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5" borderId="39" xfId="0" applyNumberFormat="1" applyFill="1" applyBorder="1" applyAlignment="1" applyProtection="1">
      <alignment horizontal="left"/>
      <protection locked="0"/>
    </xf>
    <xf numFmtId="2" fontId="0" fillId="15" borderId="48" xfId="0" applyNumberFormat="1" applyFill="1" applyBorder="1" applyAlignment="1" applyProtection="1">
      <alignment horizontal="left"/>
      <protection locked="0"/>
    </xf>
    <xf numFmtId="2" fontId="0" fillId="15"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2" borderId="14" xfId="1" applyFont="1" applyFill="1" applyBorder="1" applyAlignment="1" applyProtection="1">
      <alignment horizontal="right"/>
    </xf>
    <xf numFmtId="9" fontId="0" fillId="12"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10" fillId="0" borderId="2" xfId="0" applyFont="1" applyBorder="1" applyAlignment="1">
      <alignment horizontal="center" vertical="center" wrapText="1"/>
    </xf>
    <xf numFmtId="0" fontId="0" fillId="7" borderId="66" xfId="0" applyFill="1" applyBorder="1"/>
    <xf numFmtId="0" fontId="0" fillId="7" borderId="86" xfId="0" applyFill="1" applyBorder="1"/>
    <xf numFmtId="0" fontId="0" fillId="7" borderId="73"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2" fontId="0" fillId="6" borderId="1" xfId="0" applyNumberFormat="1" applyFill="1" applyBorder="1" applyAlignment="1" applyProtection="1">
      <alignment horizontal="right" vertical="center"/>
      <protection locked="0"/>
    </xf>
    <xf numFmtId="2" fontId="0" fillId="12" borderId="20" xfId="0" applyNumberFormat="1" applyFill="1" applyBorder="1" applyAlignment="1" applyProtection="1">
      <alignment horizontal="right" vertical="center"/>
      <protection locked="0"/>
    </xf>
    <xf numFmtId="2" fontId="0" fillId="12" borderId="6" xfId="2" applyFont="1" applyFill="1" applyBorder="1" applyAlignment="1">
      <alignment horizontal="right" vertical="center"/>
    </xf>
    <xf numFmtId="2" fontId="0" fillId="12"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2"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protection locked="0"/>
    </xf>
    <xf numFmtId="2" fontId="0" fillId="0" borderId="20" xfId="0" applyNumberFormat="1" applyBorder="1" applyAlignment="1" applyProtection="1">
      <alignment horizontal="right"/>
      <protection locked="0"/>
    </xf>
    <xf numFmtId="2" fontId="0" fillId="12"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9" fontId="0" fillId="18" borderId="11" xfId="1" applyFont="1" applyFill="1" applyBorder="1" applyAlignment="1" applyProtection="1">
      <alignment horizontal="right"/>
    </xf>
    <xf numFmtId="0" fontId="2" fillId="0" borderId="1" xfId="0" applyFont="1" applyBorder="1" applyAlignment="1">
      <alignment horizontal="center" vertical="center" wrapText="1"/>
    </xf>
    <xf numFmtId="2" fontId="0" fillId="12" borderId="11" xfId="2" applyFont="1" applyFill="1" applyBorder="1" applyAlignment="1">
      <alignment horizontal="right"/>
    </xf>
    <xf numFmtId="2" fontId="0" fillId="12" borderId="14" xfId="2" applyFont="1" applyFill="1" applyBorder="1" applyAlignment="1">
      <alignment horizontal="right"/>
    </xf>
    <xf numFmtId="2" fontId="0" fillId="16" borderId="6" xfId="0" applyNumberFormat="1" applyFill="1" applyBorder="1"/>
    <xf numFmtId="2" fontId="0" fillId="16" borderId="43" xfId="0" applyNumberFormat="1" applyFill="1" applyBorder="1"/>
    <xf numFmtId="2" fontId="0" fillId="16" borderId="2" xfId="0" applyNumberFormat="1" applyFill="1" applyBorder="1"/>
    <xf numFmtId="2" fontId="21" fillId="16" borderId="2" xfId="0" applyNumberFormat="1" applyFont="1" applyFill="1" applyBorder="1" applyAlignment="1">
      <alignment horizontal="right"/>
    </xf>
    <xf numFmtId="2" fontId="0" fillId="16" borderId="1" xfId="0" applyNumberFormat="1" applyFill="1" applyBorder="1"/>
    <xf numFmtId="2" fontId="2" fillId="16" borderId="2" xfId="0" applyNumberFormat="1" applyFont="1" applyFill="1" applyBorder="1"/>
    <xf numFmtId="2" fontId="0" fillId="16" borderId="48" xfId="0" applyNumberFormat="1" applyFill="1" applyBorder="1"/>
    <xf numFmtId="2" fontId="0" fillId="16" borderId="46" xfId="0" applyNumberFormat="1" applyFill="1" applyBorder="1"/>
    <xf numFmtId="0" fontId="2" fillId="0" borderId="70" xfId="0" applyFont="1" applyBorder="1" applyAlignment="1">
      <alignment horizontal="left" vertical="center"/>
    </xf>
    <xf numFmtId="0" fontId="0" fillId="7" borderId="26" xfId="0" applyFill="1" applyBorder="1" applyAlignment="1">
      <alignment horizontal="center"/>
    </xf>
    <xf numFmtId="2" fontId="0" fillId="19"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2"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0" fontId="0" fillId="10" borderId="0" xfId="0" applyFill="1"/>
    <xf numFmtId="0" fontId="15" fillId="10" borderId="0" xfId="0" applyFont="1" applyFill="1"/>
    <xf numFmtId="0" fontId="15" fillId="0" borderId="0" xfId="0" applyFont="1"/>
    <xf numFmtId="0" fontId="22" fillId="10" borderId="0" xfId="0" applyFont="1" applyFill="1" applyAlignment="1">
      <alignment vertical="center" wrapText="1"/>
    </xf>
    <xf numFmtId="0" fontId="19" fillId="10" borderId="0" xfId="0" applyFont="1" applyFill="1" applyAlignment="1">
      <alignment horizontal="left" vertical="center" wrapText="1"/>
    </xf>
    <xf numFmtId="0" fontId="26" fillId="10"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0" borderId="0" xfId="0" applyFont="1" applyFill="1" applyAlignment="1">
      <alignment vertical="center" wrapText="1"/>
    </xf>
    <xf numFmtId="0" fontId="18" fillId="10" borderId="0" xfId="0" applyFont="1" applyFill="1" applyAlignment="1">
      <alignment vertical="top" wrapText="1"/>
    </xf>
    <xf numFmtId="0" fontId="0" fillId="0" borderId="0" xfId="0" applyAlignment="1">
      <alignment vertical="top"/>
    </xf>
    <xf numFmtId="0" fontId="26" fillId="20" borderId="2" xfId="0" applyFont="1" applyFill="1" applyBorder="1" applyAlignment="1">
      <alignment horizontal="left" vertical="center"/>
    </xf>
    <xf numFmtId="0" fontId="14" fillId="0" borderId="0" xfId="0" applyFont="1" applyAlignment="1">
      <alignment horizontal="center" vertical="center"/>
    </xf>
    <xf numFmtId="0" fontId="26" fillId="11" borderId="2" xfId="0" applyFont="1" applyFill="1" applyBorder="1" applyAlignment="1">
      <alignment horizontal="left" vertical="center"/>
    </xf>
    <xf numFmtId="0" fontId="18" fillId="0" borderId="0" xfId="0" applyFont="1" applyAlignment="1">
      <alignment vertical="center"/>
    </xf>
    <xf numFmtId="0" fontId="26" fillId="4" borderId="2" xfId="0" applyFont="1" applyFill="1" applyBorder="1" applyAlignment="1">
      <alignment horizontal="left" vertical="center"/>
    </xf>
    <xf numFmtId="0" fontId="27" fillId="12" borderId="2" xfId="0" applyFont="1" applyFill="1" applyBorder="1" applyAlignment="1">
      <alignment horizontal="left" vertical="center" wrapText="1"/>
    </xf>
    <xf numFmtId="0" fontId="18" fillId="0" borderId="0" xfId="0" applyFont="1" applyAlignment="1">
      <alignment vertical="center" wrapText="1"/>
    </xf>
    <xf numFmtId="0" fontId="27" fillId="18" borderId="2" xfId="0" applyFont="1" applyFill="1" applyBorder="1" applyAlignment="1">
      <alignment horizontal="left" vertical="center" wrapText="1"/>
    </xf>
    <xf numFmtId="0" fontId="27" fillId="6" borderId="2" xfId="0" applyFont="1" applyFill="1" applyBorder="1" applyAlignment="1">
      <alignment horizontal="left" vertical="center" wrapText="1"/>
    </xf>
    <xf numFmtId="0" fontId="26" fillId="9" borderId="2" xfId="0" applyFont="1" applyFill="1" applyBorder="1" applyAlignment="1">
      <alignment horizontal="left" vertical="center" wrapText="1"/>
    </xf>
    <xf numFmtId="0" fontId="26" fillId="8" borderId="2" xfId="0" applyFont="1" applyFill="1" applyBorder="1" applyAlignment="1">
      <alignment horizontal="left" vertical="center"/>
    </xf>
    <xf numFmtId="0" fontId="19" fillId="7" borderId="67" xfId="0" applyFont="1" applyFill="1" applyBorder="1" applyAlignment="1">
      <alignment horizontal="left" vertical="center"/>
    </xf>
    <xf numFmtId="0" fontId="26" fillId="0" borderId="43" xfId="0" applyFont="1" applyBorder="1" applyAlignment="1">
      <alignment horizontal="left" vertical="center"/>
    </xf>
    <xf numFmtId="0" fontId="18" fillId="0" borderId="0" xfId="0" applyFont="1" applyAlignment="1">
      <alignment horizontal="left" vertical="center" wrapText="1"/>
    </xf>
    <xf numFmtId="0" fontId="6" fillId="7" borderId="25" xfId="3" applyFill="1" applyBorder="1" applyAlignment="1" applyProtection="1">
      <alignment wrapText="1"/>
    </xf>
    <xf numFmtId="0" fontId="7" fillId="7" borderId="25" xfId="3" applyFont="1" applyFill="1" applyBorder="1" applyAlignment="1" applyProtection="1">
      <alignment wrapText="1"/>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 xfId="0" applyBorder="1" applyAlignment="1" applyProtection="1">
      <alignment horizontal="center" wrapText="1"/>
      <protection locked="0"/>
    </xf>
    <xf numFmtId="0" fontId="0" fillId="15" borderId="88" xfId="0" applyFill="1" applyBorder="1" applyAlignment="1" applyProtection="1">
      <alignment horizontal="center"/>
      <protection locked="0"/>
    </xf>
    <xf numFmtId="0" fontId="0" fillId="15" borderId="56" xfId="0" applyFill="1" applyBorder="1" applyAlignment="1" applyProtection="1">
      <alignment horizontal="center"/>
      <protection locked="0"/>
    </xf>
    <xf numFmtId="0" fontId="26" fillId="7" borderId="74" xfId="0" applyFont="1" applyFill="1" applyBorder="1"/>
    <xf numFmtId="0" fontId="2" fillId="7" borderId="0" xfId="0" applyFont="1" applyFill="1"/>
    <xf numFmtId="0" fontId="28" fillId="7" borderId="0" xfId="0" applyFont="1" applyFill="1" applyAlignment="1">
      <alignment horizontal="left" wrapText="1"/>
    </xf>
    <xf numFmtId="2" fontId="0" fillId="15" borderId="70" xfId="0" applyNumberFormat="1" applyFill="1" applyBorder="1" applyAlignment="1">
      <alignment horizontal="center"/>
    </xf>
    <xf numFmtId="0" fontId="18" fillId="7" borderId="0" xfId="0" applyFont="1" applyFill="1" applyAlignment="1">
      <alignment vertical="center" wrapText="1"/>
    </xf>
    <xf numFmtId="166" fontId="0" fillId="12" borderId="70" xfId="2" applyNumberFormat="1" applyFont="1" applyFill="1" applyBorder="1" applyAlignment="1">
      <alignment horizontal="center" vertical="center"/>
    </xf>
    <xf numFmtId="0" fontId="0" fillId="7" borderId="41" xfId="0" applyFill="1" applyBorder="1"/>
    <xf numFmtId="0" fontId="2" fillId="0" borderId="70" xfId="0" applyFont="1" applyBorder="1" applyAlignment="1">
      <alignment horizontal="center"/>
    </xf>
    <xf numFmtId="166" fontId="0" fillId="12" borderId="56" xfId="0" applyNumberFormat="1" applyFill="1" applyBorder="1" applyAlignment="1">
      <alignment horizontal="center"/>
    </xf>
    <xf numFmtId="166" fontId="0" fillId="12" borderId="88" xfId="0" applyNumberFormat="1" applyFill="1" applyBorder="1" applyAlignment="1">
      <alignment horizontal="center"/>
    </xf>
    <xf numFmtId="166" fontId="0" fillId="12" borderId="49" xfId="0" applyNumberFormat="1" applyFill="1" applyBorder="1" applyAlignment="1">
      <alignment horizontal="center"/>
    </xf>
    <xf numFmtId="0" fontId="2" fillId="0" borderId="62" xfId="0" applyFont="1" applyBorder="1" applyAlignment="1">
      <alignment horizontal="center"/>
    </xf>
    <xf numFmtId="166" fontId="0" fillId="12" borderId="21" xfId="0" applyNumberFormat="1" applyFill="1" applyBorder="1" applyAlignment="1">
      <alignment horizontal="center"/>
    </xf>
    <xf numFmtId="166" fontId="0" fillId="12" borderId="63" xfId="0" applyNumberFormat="1" applyFill="1" applyBorder="1" applyAlignment="1">
      <alignment horizontal="center"/>
    </xf>
    <xf numFmtId="0" fontId="0" fillId="7" borderId="0" xfId="0" applyFill="1" applyAlignment="1">
      <alignment wrapText="1"/>
    </xf>
    <xf numFmtId="166" fontId="0" fillId="12" borderId="36" xfId="0" applyNumberFormat="1" applyFill="1" applyBorder="1" applyAlignment="1">
      <alignment horizontal="center"/>
    </xf>
    <xf numFmtId="166" fontId="0" fillId="12" borderId="87" xfId="0" applyNumberFormat="1" applyFill="1" applyBorder="1" applyAlignment="1">
      <alignment horizontal="center"/>
    </xf>
    <xf numFmtId="166" fontId="2" fillId="12" borderId="62"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6" fillId="7" borderId="25" xfId="3" quotePrefix="1" applyFill="1" applyBorder="1" applyAlignment="1" applyProtection="1">
      <alignment wrapText="1"/>
    </xf>
    <xf numFmtId="0" fontId="6" fillId="7" borderId="45" xfId="3" quotePrefix="1" applyFill="1" applyBorder="1" applyAlignment="1" applyProtection="1">
      <alignment wrapText="1"/>
    </xf>
    <xf numFmtId="0" fontId="35"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6" fillId="7" borderId="0" xfId="0" applyFont="1" applyFill="1"/>
    <xf numFmtId="0" fontId="36" fillId="7" borderId="0" xfId="3" applyFont="1" applyFill="1" applyProtection="1"/>
    <xf numFmtId="0" fontId="0" fillId="0" borderId="0" xfId="0" applyAlignment="1">
      <alignment vertical="center" wrapText="1"/>
    </xf>
    <xf numFmtId="0" fontId="0" fillId="0" borderId="0" xfId="0" applyAlignment="1">
      <alignment horizontal="left" indent="2"/>
    </xf>
    <xf numFmtId="0" fontId="0" fillId="0" borderId="0" xfId="0" applyAlignment="1">
      <alignment horizontal="left" indent="1"/>
    </xf>
    <xf numFmtId="0" fontId="0" fillId="6" borderId="1" xfId="0" applyFill="1" applyBorder="1" applyProtection="1">
      <protection locked="0"/>
    </xf>
    <xf numFmtId="2" fontId="0" fillId="0" borderId="48" xfId="0" applyNumberFormat="1" applyBorder="1" applyAlignment="1" applyProtection="1">
      <alignment horizontal="right" vertical="center"/>
      <protection locked="0"/>
    </xf>
    <xf numFmtId="0" fontId="0" fillId="7" borderId="46" xfId="0" applyFill="1" applyBorder="1"/>
    <xf numFmtId="0" fontId="0" fillId="7" borderId="5" xfId="0" applyFill="1" applyBorder="1"/>
    <xf numFmtId="0" fontId="0" fillId="7" borderId="53" xfId="0" applyFill="1" applyBorder="1"/>
    <xf numFmtId="0" fontId="0" fillId="15" borderId="70" xfId="0" applyFill="1" applyBorder="1" applyAlignment="1">
      <alignment horizontal="center" vertical="center"/>
    </xf>
    <xf numFmtId="0" fontId="0" fillId="7" borderId="54" xfId="0" applyFill="1" applyBorder="1"/>
    <xf numFmtId="0" fontId="0" fillId="12" borderId="70"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5" borderId="59" xfId="0" applyFill="1" applyBorder="1" applyAlignment="1">
      <alignment horizontal="center"/>
    </xf>
    <xf numFmtId="0" fontId="2" fillId="7" borderId="54" xfId="0" applyFont="1" applyFill="1" applyBorder="1"/>
    <xf numFmtId="0" fontId="0" fillId="15" borderId="61" xfId="0" applyFill="1" applyBorder="1" applyAlignment="1">
      <alignment horizontal="center"/>
    </xf>
    <xf numFmtId="0" fontId="0" fillId="7" borderId="40" xfId="0" applyFill="1" applyBorder="1"/>
    <xf numFmtId="0" fontId="2" fillId="12"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5" borderId="87" xfId="0" applyFill="1" applyBorder="1" applyAlignment="1" applyProtection="1">
      <alignment horizontal="center"/>
      <protection locked="0"/>
    </xf>
    <xf numFmtId="0" fontId="0" fillId="15" borderId="36" xfId="0" applyFill="1" applyBorder="1" applyAlignment="1" applyProtection="1">
      <alignment horizontal="center"/>
      <protection locked="0"/>
    </xf>
    <xf numFmtId="166" fontId="0" fillId="12" borderId="12" xfId="0" applyNumberFormat="1" applyFill="1" applyBorder="1" applyAlignment="1">
      <alignment horizontal="center"/>
    </xf>
    <xf numFmtId="0" fontId="0" fillId="0" borderId="19" xfId="0" applyBorder="1" applyAlignment="1">
      <alignment horizontal="left" vertical="center" wrapText="1"/>
    </xf>
    <xf numFmtId="0" fontId="0" fillId="0" borderId="19" xfId="0" applyBorder="1" applyAlignment="1">
      <alignment horizontal="left" vertical="top" wrapText="1"/>
    </xf>
    <xf numFmtId="0" fontId="0" fillId="12" borderId="11" xfId="0" applyFill="1" applyBorder="1" applyAlignment="1">
      <alignment horizontal="right" vertical="center" wrapText="1"/>
    </xf>
    <xf numFmtId="0" fontId="33" fillId="7" borderId="28" xfId="0" applyFont="1" applyFill="1" applyBorder="1" applyAlignment="1">
      <alignment horizontal="center" wrapText="1"/>
    </xf>
    <xf numFmtId="0" fontId="7" fillId="7" borderId="28" xfId="3" quotePrefix="1" applyFont="1" applyFill="1" applyBorder="1" applyAlignment="1" applyProtection="1">
      <alignment wrapText="1"/>
    </xf>
    <xf numFmtId="0" fontId="4" fillId="0" borderId="1" xfId="0" applyFont="1" applyBorder="1" applyAlignment="1">
      <alignment vertical="center" wrapText="1"/>
    </xf>
    <xf numFmtId="0" fontId="6" fillId="0" borderId="1" xfId="3" applyFill="1" applyBorder="1" applyAlignment="1">
      <alignment horizontal="center" vertical="center"/>
    </xf>
    <xf numFmtId="0" fontId="6" fillId="0" borderId="2" xfId="3" applyFill="1" applyBorder="1" applyAlignment="1">
      <alignment horizontal="center" vertical="center"/>
    </xf>
    <xf numFmtId="0" fontId="6" fillId="0" borderId="11" xfId="3" applyFill="1" applyBorder="1" applyAlignment="1">
      <alignment horizontal="center" vertical="center"/>
    </xf>
    <xf numFmtId="0" fontId="0" fillId="0" borderId="11" xfId="0" applyBorder="1"/>
    <xf numFmtId="0" fontId="0" fillId="6" borderId="20" xfId="0" applyFill="1" applyBorder="1" applyProtection="1">
      <protection locked="0"/>
    </xf>
    <xf numFmtId="0" fontId="0" fillId="0" borderId="1" xfId="0" applyBorder="1" applyAlignment="1" applyProtection="1">
      <alignment wrapText="1"/>
      <protection locked="0"/>
    </xf>
    <xf numFmtId="0" fontId="0" fillId="0" borderId="11" xfId="0" applyBorder="1" applyAlignment="1">
      <alignment horizontal="center" vertical="center" wrapText="1"/>
    </xf>
    <xf numFmtId="0" fontId="0" fillId="18" borderId="11" xfId="0" applyFill="1" applyBorder="1" applyAlignment="1">
      <alignment horizontal="left" vertical="top" wrapText="1"/>
    </xf>
    <xf numFmtId="0" fontId="0" fillId="18" borderId="11" xfId="0" applyFill="1" applyBorder="1" applyAlignment="1">
      <alignment horizontal="left" vertical="center" wrapText="1"/>
    </xf>
    <xf numFmtId="0" fontId="0" fillId="18" borderId="11"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0" fontId="0" fillId="12" borderId="11" xfId="0" applyFill="1" applyBorder="1" applyAlignment="1" applyProtection="1">
      <alignment horizontal="center" wrapText="1"/>
      <protection locked="0"/>
    </xf>
    <xf numFmtId="0" fontId="6" fillId="0" borderId="6" xfId="3" applyFill="1" applyBorder="1" applyAlignment="1">
      <alignment horizontal="center" vertical="center"/>
    </xf>
    <xf numFmtId="0" fontId="6" fillId="0" borderId="44" xfId="3" applyFill="1" applyBorder="1" applyAlignment="1">
      <alignment horizontal="center" vertical="center"/>
    </xf>
    <xf numFmtId="2" fontId="0" fillId="12" borderId="1" xfId="2" applyFont="1" applyFill="1" applyAlignment="1">
      <alignment horizontal="right" vertical="center"/>
    </xf>
    <xf numFmtId="0" fontId="10" fillId="0" borderId="18" xfId="0" applyFont="1" applyBorder="1" applyAlignment="1">
      <alignment horizontal="center" vertical="center" wrapText="1"/>
    </xf>
    <xf numFmtId="2" fontId="0" fillId="12" borderId="48" xfId="2" applyFont="1" applyFill="1" applyBorder="1" applyAlignment="1">
      <alignment horizontal="right" vertical="center"/>
    </xf>
    <xf numFmtId="9" fontId="1" fillId="12" borderId="51" xfId="1" applyFill="1" applyBorder="1" applyAlignment="1" applyProtection="1">
      <alignment horizontal="right"/>
    </xf>
    <xf numFmtId="9" fontId="0" fillId="7" borderId="65" xfId="1" applyFont="1" applyFill="1" applyBorder="1" applyAlignment="1" applyProtection="1">
      <alignment horizontal="right"/>
    </xf>
    <xf numFmtId="0" fontId="2" fillId="0" borderId="30" xfId="0" applyFont="1" applyBorder="1" applyAlignment="1">
      <alignment horizontal="center" vertical="center" wrapText="1"/>
    </xf>
    <xf numFmtId="0" fontId="2" fillId="0" borderId="84" xfId="0" applyFont="1" applyBorder="1" applyAlignment="1">
      <alignment horizontal="center" vertical="center" wrapText="1"/>
    </xf>
    <xf numFmtId="2" fontId="0" fillId="12" borderId="14" xfId="0" applyNumberFormat="1" applyFill="1" applyBorder="1" applyAlignment="1">
      <alignment horizontal="right" vertical="center" wrapText="1"/>
    </xf>
    <xf numFmtId="0" fontId="7" fillId="0" borderId="18" xfId="0" applyFont="1" applyBorder="1" applyAlignment="1">
      <alignment horizontal="center" vertical="center" wrapText="1"/>
    </xf>
    <xf numFmtId="0" fontId="2" fillId="0" borderId="19" xfId="0" applyFont="1" applyBorder="1" applyAlignment="1">
      <alignment horizontal="center" vertical="center" wrapText="1"/>
    </xf>
    <xf numFmtId="0" fontId="4" fillId="18" borderId="30" xfId="0" applyFont="1" applyFill="1" applyBorder="1" applyAlignment="1">
      <alignment horizontal="left" vertical="center" wrapText="1"/>
    </xf>
    <xf numFmtId="0" fontId="0" fillId="0" borderId="49" xfId="0" applyBorder="1" applyAlignment="1">
      <alignment wrapText="1"/>
    </xf>
    <xf numFmtId="0" fontId="0" fillId="0" borderId="44" xfId="0" applyBorder="1" applyAlignment="1" applyProtection="1">
      <alignment horizontal="right" vertical="center" wrapText="1"/>
      <protection locked="0"/>
    </xf>
    <xf numFmtId="0" fontId="2" fillId="0" borderId="70" xfId="0" applyFont="1" applyBorder="1" applyAlignment="1">
      <alignment horizontal="center" vertical="center"/>
    </xf>
    <xf numFmtId="0" fontId="2" fillId="7" borderId="35" xfId="0" applyFont="1" applyFill="1" applyBorder="1" applyAlignment="1">
      <alignment horizontal="center" vertical="center"/>
    </xf>
    <xf numFmtId="0" fontId="2" fillId="7" borderId="70" xfId="0" applyFont="1" applyFill="1" applyBorder="1" applyAlignment="1">
      <alignment horizontal="center" vertical="center"/>
    </xf>
    <xf numFmtId="0" fontId="2" fillId="7" borderId="33" xfId="0" applyFont="1" applyFill="1" applyBorder="1" applyAlignment="1">
      <alignment horizontal="center" vertical="center"/>
    </xf>
    <xf numFmtId="0" fontId="33" fillId="6" borderId="61" xfId="0" applyFont="1" applyFill="1" applyBorder="1" applyAlignment="1">
      <alignment wrapText="1"/>
    </xf>
    <xf numFmtId="0" fontId="33" fillId="6" borderId="86" xfId="0" applyFont="1" applyFill="1" applyBorder="1" applyAlignment="1">
      <alignment wrapText="1"/>
    </xf>
    <xf numFmtId="0" fontId="2" fillId="6" borderId="66" xfId="0" applyFont="1" applyFill="1" applyBorder="1" applyAlignment="1">
      <alignment horizontal="center" vertical="center"/>
    </xf>
    <xf numFmtId="0" fontId="2" fillId="6" borderId="61" xfId="0" applyFont="1" applyFill="1" applyBorder="1" applyAlignment="1">
      <alignment horizontal="center" vertical="center"/>
    </xf>
    <xf numFmtId="0" fontId="0" fillId="0" borderId="50" xfId="0" applyBorder="1"/>
    <xf numFmtId="0" fontId="2" fillId="21" borderId="50" xfId="0" applyFont="1" applyFill="1" applyBorder="1" applyAlignment="1">
      <alignment horizontal="center" vertical="center" wrapText="1"/>
    </xf>
    <xf numFmtId="0" fontId="8" fillId="0" borderId="1" xfId="0" applyFont="1" applyBorder="1" applyAlignment="1">
      <alignment horizontal="center" vertical="center"/>
    </xf>
    <xf numFmtId="0" fontId="26" fillId="21" borderId="2" xfId="0" applyFont="1" applyFill="1" applyBorder="1" applyAlignment="1">
      <alignment horizontal="left" vertical="center"/>
    </xf>
    <xf numFmtId="0" fontId="18" fillId="0" borderId="0" xfId="0" applyFont="1" applyAlignment="1">
      <alignment horizontal="center"/>
    </xf>
    <xf numFmtId="0" fontId="32" fillId="7" borderId="25" xfId="3" quotePrefix="1" applyFont="1" applyFill="1" applyBorder="1" applyAlignment="1" applyProtection="1">
      <alignment horizontal="left" wrapText="1" indent="1"/>
    </xf>
    <xf numFmtId="0" fontId="7" fillId="7" borderId="52" xfId="3" applyFont="1" applyFill="1" applyBorder="1" applyProtection="1"/>
    <xf numFmtId="0" fontId="7" fillId="7" borderId="52" xfId="3" applyFont="1" applyFill="1" applyBorder="1" applyAlignment="1" applyProtection="1">
      <alignment wrapText="1"/>
    </xf>
    <xf numFmtId="0" fontId="6" fillId="7" borderId="49" xfId="3" quotePrefix="1" applyFill="1" applyBorder="1" applyAlignment="1" applyProtection="1">
      <alignment wrapText="1"/>
    </xf>
    <xf numFmtId="0" fontId="2" fillId="7" borderId="73" xfId="0" applyFont="1" applyFill="1" applyBorder="1" applyAlignment="1">
      <alignment horizontal="center" vertical="center"/>
    </xf>
    <xf numFmtId="0" fontId="33" fillId="0" borderId="86" xfId="0" applyFont="1" applyBorder="1" applyAlignment="1">
      <alignment horizontal="center" vertical="center"/>
    </xf>
    <xf numFmtId="0" fontId="2" fillId="7" borderId="86" xfId="0" applyFont="1" applyFill="1" applyBorder="1" applyAlignment="1">
      <alignment horizontal="center" vertical="center"/>
    </xf>
    <xf numFmtId="0" fontId="2" fillId="6" borderId="59" xfId="0" applyFont="1" applyFill="1" applyBorder="1" applyAlignment="1">
      <alignment horizontal="center" vertical="center"/>
    </xf>
    <xf numFmtId="0" fontId="2" fillId="0" borderId="86" xfId="0" applyFont="1" applyBorder="1" applyAlignment="1">
      <alignment horizontal="center" vertical="center"/>
    </xf>
    <xf numFmtId="0" fontId="2" fillId="7" borderId="88" xfId="0" applyFont="1" applyFill="1" applyBorder="1" applyAlignment="1">
      <alignment horizontal="center" vertical="center"/>
    </xf>
    <xf numFmtId="0" fontId="2" fillId="6" borderId="86" xfId="0" applyFont="1" applyFill="1" applyBorder="1" applyAlignment="1">
      <alignment horizontal="center" vertical="center"/>
    </xf>
    <xf numFmtId="0" fontId="0" fillId="7" borderId="86" xfId="0" applyFill="1" applyBorder="1" applyProtection="1">
      <protection locked="0"/>
      <extLst>
        <ext xmlns:xfpb="http://schemas.microsoft.com/office/spreadsheetml/2022/featurepropertybag" uri="{C7286773-470A-42A8-94C5-96B5CB345126}">
          <xfpb:xfComplement i="0"/>
        </ext>
      </extLst>
    </xf>
    <xf numFmtId="0" fontId="0" fillId="7" borderId="73" xfId="0" applyFill="1" applyBorder="1" applyProtection="1">
      <protection locked="0"/>
      <extLst>
        <ext xmlns:xfpb="http://schemas.microsoft.com/office/spreadsheetml/2022/featurepropertybag" uri="{C7286773-470A-42A8-94C5-96B5CB345126}">
          <xfpb:xfComplement i="0"/>
        </ext>
      </extLst>
    </xf>
    <xf numFmtId="0" fontId="0" fillId="7" borderId="48" xfId="0" applyFill="1" applyBorder="1"/>
    <xf numFmtId="0" fontId="0" fillId="7" borderId="50" xfId="0" applyFill="1" applyBorder="1"/>
    <xf numFmtId="0" fontId="0" fillId="7" borderId="6" xfId="0" applyFill="1" applyBorder="1"/>
    <xf numFmtId="0" fontId="7" fillId="7" borderId="52" xfId="3" applyFont="1" applyFill="1" applyBorder="1"/>
    <xf numFmtId="0" fontId="6" fillId="7" borderId="25" xfId="3" applyFill="1" applyBorder="1" applyAlignment="1">
      <alignment wrapText="1"/>
    </xf>
    <xf numFmtId="0" fontId="7" fillId="7" borderId="52" xfId="3" applyFont="1" applyFill="1" applyBorder="1" applyAlignment="1">
      <alignment wrapText="1"/>
    </xf>
    <xf numFmtId="0" fontId="7" fillId="7" borderId="25" xfId="3" applyFont="1" applyFill="1" applyBorder="1" applyAlignment="1">
      <alignment wrapText="1"/>
    </xf>
    <xf numFmtId="0" fontId="6" fillId="7" borderId="25" xfId="3" quotePrefix="1" applyFill="1" applyBorder="1" applyAlignment="1">
      <alignment wrapText="1"/>
    </xf>
    <xf numFmtId="0" fontId="32" fillId="7" borderId="25" xfId="3" quotePrefix="1" applyFont="1" applyFill="1" applyBorder="1" applyAlignment="1">
      <alignment horizontal="left" wrapText="1" indent="1"/>
    </xf>
    <xf numFmtId="0" fontId="6" fillId="7" borderId="45" xfId="3" quotePrefix="1" applyFill="1" applyBorder="1" applyAlignment="1">
      <alignment wrapText="1"/>
    </xf>
    <xf numFmtId="0" fontId="6" fillId="7" borderId="49" xfId="3" quotePrefix="1" applyFill="1" applyBorder="1" applyAlignment="1">
      <alignment wrapText="1"/>
    </xf>
    <xf numFmtId="0" fontId="7" fillId="7" borderId="28" xfId="3" quotePrefix="1" applyFont="1" applyFill="1" applyBorder="1" applyAlignment="1">
      <alignment wrapText="1"/>
    </xf>
    <xf numFmtId="0" fontId="2" fillId="22" borderId="61" xfId="0" applyFont="1" applyFill="1" applyBorder="1" applyAlignment="1">
      <alignment horizontal="center" vertical="center"/>
    </xf>
    <xf numFmtId="0" fontId="2" fillId="22" borderId="86" xfId="0" applyFont="1" applyFill="1" applyBorder="1" applyAlignment="1">
      <alignment horizontal="center" vertical="center"/>
    </xf>
    <xf numFmtId="0" fontId="2" fillId="22" borderId="59" xfId="0" applyFont="1" applyFill="1" applyBorder="1" applyAlignment="1">
      <alignment horizontal="center" vertical="center"/>
    </xf>
    <xf numFmtId="0" fontId="2" fillId="22" borderId="73" xfId="0" applyFont="1" applyFill="1" applyBorder="1" applyAlignment="1">
      <alignment horizontal="center" vertical="center"/>
    </xf>
    <xf numFmtId="0" fontId="2" fillId="22" borderId="88" xfId="0" applyFont="1" applyFill="1" applyBorder="1" applyAlignment="1">
      <alignment horizontal="center" vertical="center"/>
    </xf>
    <xf numFmtId="0" fontId="2" fillId="22" borderId="66" xfId="0" applyFont="1" applyFill="1" applyBorder="1" applyAlignment="1">
      <alignment horizontal="center" vertical="center"/>
    </xf>
    <xf numFmtId="0" fontId="0" fillId="7" borderId="86" xfId="0" applyFill="1" applyBorder="1" applyAlignment="1">
      <alignment wrapText="1"/>
      <extLst>
        <ext xmlns:xfpb="http://schemas.microsoft.com/office/spreadsheetml/2022/featurepropertybag" uri="{C7286773-470A-42A8-94C5-96B5CB345126}">
          <xfpb:xfComplement i="0"/>
        </ext>
      </extLst>
    </xf>
    <xf numFmtId="0" fontId="0" fillId="7" borderId="86" xfId="0" applyFill="1" applyBorder="1">
      <extLst>
        <ext xmlns:xfpb="http://schemas.microsoft.com/office/spreadsheetml/2022/featurepropertybag" uri="{C7286773-470A-42A8-94C5-96B5CB345126}">
          <xfpb:xfComplement i="0"/>
        </ext>
      </extLst>
    </xf>
    <xf numFmtId="0" fontId="2" fillId="7" borderId="61" xfId="0" applyFont="1" applyFill="1" applyBorder="1" applyAlignment="1">
      <alignment horizontal="center" vertical="center"/>
    </xf>
    <xf numFmtId="0" fontId="0" fillId="7" borderId="61" xfId="0" applyFill="1" applyBorder="1"/>
    <xf numFmtId="0" fontId="0" fillId="7" borderId="59" xfId="0" applyFill="1" applyBorder="1"/>
    <xf numFmtId="0" fontId="0" fillId="7" borderId="66" xfId="0" applyFill="1" applyBorder="1" applyProtection="1">
      <protection locked="0"/>
    </xf>
    <xf numFmtId="0" fontId="6" fillId="0" borderId="48" xfId="3" applyFill="1" applyBorder="1" applyAlignment="1">
      <alignment horizontal="center" vertical="center"/>
    </xf>
    <xf numFmtId="0" fontId="10" fillId="0" borderId="46" xfId="0" applyFont="1" applyBorder="1" applyAlignment="1">
      <alignment horizontal="center" vertical="center" wrapText="1"/>
    </xf>
    <xf numFmtId="0" fontId="26" fillId="7" borderId="28" xfId="0" applyFont="1" applyFill="1" applyBorder="1" applyAlignment="1">
      <alignment horizontal="center"/>
    </xf>
    <xf numFmtId="0" fontId="26" fillId="7" borderId="31" xfId="0" applyFont="1" applyFill="1" applyBorder="1" applyAlignment="1">
      <alignment horizontal="center"/>
    </xf>
    <xf numFmtId="0" fontId="34" fillId="7" borderId="49" xfId="0" applyFont="1" applyFill="1" applyBorder="1" applyAlignment="1">
      <alignment horizontal="center"/>
    </xf>
    <xf numFmtId="0" fontId="34" fillId="7" borderId="88" xfId="0" applyFont="1" applyFill="1" applyBorder="1" applyAlignment="1">
      <alignment horizontal="center"/>
    </xf>
    <xf numFmtId="0" fontId="34" fillId="0" borderId="88" xfId="0" quotePrefix="1" applyFont="1" applyBorder="1" applyAlignment="1">
      <alignment horizontal="center" wrapText="1"/>
    </xf>
    <xf numFmtId="0" fontId="0" fillId="0" borderId="57" xfId="0" applyBorder="1"/>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41" fillId="7" borderId="15" xfId="0" applyFont="1" applyFill="1" applyBorder="1" applyAlignment="1">
      <alignment horizontal="center" vertical="center"/>
    </xf>
    <xf numFmtId="0" fontId="32" fillId="7" borderId="25" xfId="3" applyFont="1" applyFill="1" applyBorder="1" applyAlignment="1" applyProtection="1">
      <alignment horizontal="left" wrapText="1" indent="1"/>
    </xf>
    <xf numFmtId="0" fontId="32" fillId="7" borderId="25" xfId="3" quotePrefix="1" applyFont="1" applyFill="1" applyBorder="1" applyAlignment="1" applyProtection="1">
      <alignment horizontal="left" vertical="center" wrapText="1"/>
    </xf>
    <xf numFmtId="0" fontId="32" fillId="7" borderId="25" xfId="3" quotePrefix="1" applyFont="1" applyFill="1" applyBorder="1" applyAlignment="1">
      <alignment horizontal="left" vertical="center" wrapText="1" indent="1"/>
    </xf>
    <xf numFmtId="0" fontId="32" fillId="7" borderId="25" xfId="3" applyFont="1" applyFill="1" applyBorder="1" applyAlignment="1" applyProtection="1">
      <alignment horizontal="left" vertical="center" wrapText="1" indent="1"/>
    </xf>
    <xf numFmtId="0" fontId="32" fillId="7" borderId="25" xfId="3" quotePrefix="1" applyFont="1" applyFill="1" applyBorder="1" applyAlignment="1" applyProtection="1">
      <alignment horizontal="left" vertical="center" wrapText="1" indent="1"/>
    </xf>
    <xf numFmtId="0" fontId="6" fillId="7" borderId="25" xfId="3" applyFill="1" applyBorder="1" applyAlignment="1" applyProtection="1">
      <alignment vertical="center" wrapText="1"/>
    </xf>
    <xf numFmtId="0" fontId="0" fillId="7" borderId="0" xfId="0" applyFill="1" applyAlignment="1">
      <alignment vertical="center"/>
    </xf>
    <xf numFmtId="0" fontId="6" fillId="7" borderId="25" xfId="3" quotePrefix="1" applyFill="1" applyBorder="1" applyAlignment="1" applyProtection="1">
      <alignment horizontal="left" vertical="center" wrapText="1"/>
    </xf>
    <xf numFmtId="0" fontId="32" fillId="7" borderId="25" xfId="3" quotePrefix="1" applyFont="1" applyFill="1" applyBorder="1" applyAlignment="1">
      <alignment horizontal="left" wrapText="1"/>
    </xf>
    <xf numFmtId="0" fontId="6" fillId="7" borderId="25" xfId="3" quotePrefix="1" applyFill="1" applyBorder="1" applyAlignment="1">
      <alignment horizontal="left" wrapText="1"/>
    </xf>
    <xf numFmtId="0" fontId="0" fillId="0" borderId="0" xfId="0" applyAlignment="1">
      <alignment horizontal="left" vertical="center" wrapText="1"/>
    </xf>
    <xf numFmtId="0" fontId="2" fillId="0" borderId="1" xfId="0" applyFont="1" applyBorder="1" applyAlignment="1">
      <alignment vertical="center" wrapText="1"/>
    </xf>
    <xf numFmtId="0" fontId="2" fillId="0" borderId="1" xfId="0" applyFont="1" applyBorder="1" applyAlignment="1">
      <alignment wrapText="1"/>
    </xf>
    <xf numFmtId="0" fontId="0" fillId="0" borderId="1" xfId="0" applyBorder="1" applyAlignment="1">
      <alignment horizontal="center" wrapText="1"/>
    </xf>
    <xf numFmtId="0" fontId="0" fillId="0" borderId="1" xfId="0" quotePrefix="1" applyBorder="1" applyAlignment="1">
      <alignment horizontal="center" vertical="center" wrapText="1"/>
    </xf>
    <xf numFmtId="0" fontId="0" fillId="0" borderId="0" xfId="0" quotePrefix="1" applyAlignment="1">
      <alignment horizontal="left" vertical="center" wrapText="1"/>
    </xf>
    <xf numFmtId="0" fontId="0" fillId="0" borderId="0" xfId="0" applyAlignment="1">
      <alignment horizontal="left" wrapText="1"/>
    </xf>
    <xf numFmtId="0" fontId="9" fillId="0" borderId="0" xfId="0" applyFont="1" applyAlignment="1">
      <alignment horizontal="left" vertical="top" wrapText="1"/>
    </xf>
    <xf numFmtId="0" fontId="0" fillId="0" borderId="22" xfId="0" applyBorder="1" applyAlignment="1">
      <alignment horizontal="left" vertical="center" wrapText="1"/>
    </xf>
    <xf numFmtId="0" fontId="0" fillId="0" borderId="22" xfId="0" quotePrefix="1" applyBorder="1" applyAlignment="1">
      <alignment horizontal="left" vertical="center" wrapText="1"/>
    </xf>
    <xf numFmtId="0" fontId="0" fillId="0" borderId="22" xfId="0" applyBorder="1" applyAlignment="1">
      <alignment horizontal="left" wrapText="1"/>
    </xf>
    <xf numFmtId="0" fontId="9" fillId="0" borderId="22" xfId="0" applyFont="1" applyBorder="1" applyAlignment="1">
      <alignment horizontal="left" vertical="top" wrapText="1"/>
    </xf>
    <xf numFmtId="0" fontId="0" fillId="0" borderId="22" xfId="0" applyBorder="1" applyAlignment="1">
      <alignment wrapText="1"/>
    </xf>
    <xf numFmtId="0" fontId="38" fillId="0" borderId="0" xfId="0" applyFont="1" applyAlignment="1">
      <alignment wrapText="1"/>
    </xf>
    <xf numFmtId="0" fontId="0" fillId="0" borderId="18" xfId="0" applyBorder="1" applyAlignment="1">
      <alignment vertical="center" wrapText="1"/>
    </xf>
    <xf numFmtId="0" fontId="38" fillId="0" borderId="22" xfId="0" applyFont="1" applyBorder="1" applyAlignment="1">
      <alignment wrapText="1"/>
    </xf>
    <xf numFmtId="165" fontId="1" fillId="15" borderId="1" xfId="2" applyNumberFormat="1" applyFill="1" applyAlignment="1" applyProtection="1">
      <alignment horizontal="center" vertical="center"/>
      <protection locked="0"/>
    </xf>
    <xf numFmtId="0" fontId="0" fillId="15" borderId="8" xfId="0" applyFill="1" applyBorder="1" applyAlignment="1" applyProtection="1">
      <alignment horizontal="center"/>
      <protection locked="0"/>
    </xf>
    <xf numFmtId="0" fontId="0" fillId="15" borderId="9" xfId="0" applyFill="1" applyBorder="1" applyAlignment="1" applyProtection="1">
      <alignment horizontal="center"/>
      <protection locked="0"/>
    </xf>
    <xf numFmtId="165" fontId="1" fillId="15" borderId="20" xfId="2" applyNumberFormat="1" applyFill="1" applyBorder="1" applyAlignment="1" applyProtection="1">
      <alignment horizontal="center" vertical="center"/>
      <protection locked="0"/>
    </xf>
    <xf numFmtId="167" fontId="1" fillId="12" borderId="14" xfId="2" applyNumberFormat="1" applyFill="1" applyBorder="1" applyAlignment="1">
      <alignment horizontal="center" vertical="center"/>
    </xf>
    <xf numFmtId="167" fontId="1" fillId="12" borderId="11" xfId="2" applyNumberFormat="1" applyFill="1" applyBorder="1" applyAlignment="1">
      <alignment horizontal="center" vertical="center"/>
    </xf>
    <xf numFmtId="165" fontId="1" fillId="7" borderId="22" xfId="2" applyNumberFormat="1" applyFill="1" applyBorder="1" applyAlignment="1">
      <alignment horizontal="center" vertical="center"/>
    </xf>
    <xf numFmtId="165" fontId="1" fillId="12" borderId="14" xfId="2" applyNumberFormat="1" applyFill="1" applyBorder="1" applyAlignment="1">
      <alignment horizontal="center" vertical="center"/>
    </xf>
    <xf numFmtId="166" fontId="1" fillId="12" borderId="14" xfId="2" applyNumberFormat="1" applyFill="1" applyBorder="1" applyAlignment="1">
      <alignment horizontal="center" vertical="center"/>
    </xf>
    <xf numFmtId="0" fontId="0" fillId="17" borderId="6" xfId="0" applyFill="1" applyBorder="1" applyAlignment="1">
      <alignment horizontal="center"/>
    </xf>
    <xf numFmtId="167" fontId="1" fillId="12" borderId="44" xfId="2" applyNumberFormat="1" applyFill="1" applyBorder="1" applyAlignment="1">
      <alignment horizontal="center" vertical="center"/>
    </xf>
    <xf numFmtId="0" fontId="0" fillId="23" borderId="0" xfId="0" applyFill="1"/>
    <xf numFmtId="0" fontId="42" fillId="23" borderId="0" xfId="0" applyFont="1" applyFill="1" applyAlignment="1">
      <alignment vertical="top"/>
    </xf>
    <xf numFmtId="0" fontId="0" fillId="0" borderId="5" xfId="0" applyBorder="1"/>
    <xf numFmtId="0" fontId="42" fillId="23" borderId="25" xfId="0" applyFont="1" applyFill="1" applyBorder="1" applyAlignment="1">
      <alignment vertical="top"/>
    </xf>
    <xf numFmtId="0" fontId="45" fillId="22" borderId="62" xfId="0" applyFont="1" applyFill="1" applyBorder="1" applyAlignment="1">
      <alignment horizontal="right"/>
    </xf>
    <xf numFmtId="0" fontId="44" fillId="23" borderId="0" xfId="0" applyFont="1" applyFill="1" applyAlignment="1">
      <alignment vertical="top"/>
    </xf>
    <xf numFmtId="0" fontId="2" fillId="0" borderId="70" xfId="0" applyFont="1" applyBorder="1" applyAlignment="1">
      <alignment wrapText="1"/>
    </xf>
    <xf numFmtId="0" fontId="0" fillId="0" borderId="6" xfId="0" applyBorder="1" applyAlignment="1">
      <alignment wrapText="1"/>
    </xf>
    <xf numFmtId="0" fontId="0" fillId="0" borderId="1" xfId="0" applyBorder="1" applyAlignment="1">
      <alignment wrapText="1"/>
    </xf>
    <xf numFmtId="0" fontId="0" fillId="0" borderId="44" xfId="0" applyBorder="1" applyAlignment="1">
      <alignment wrapText="1"/>
    </xf>
    <xf numFmtId="0" fontId="0" fillId="0" borderId="11" xfId="0" applyBorder="1" applyAlignment="1">
      <alignment wrapText="1"/>
    </xf>
    <xf numFmtId="0" fontId="0" fillId="0" borderId="20" xfId="0" applyBorder="1" applyAlignment="1">
      <alignment wrapText="1"/>
    </xf>
    <xf numFmtId="0" fontId="0" fillId="0" borderId="14" xfId="0" applyBorder="1" applyAlignment="1">
      <alignment wrapText="1"/>
    </xf>
    <xf numFmtId="0" fontId="2" fillId="0" borderId="35" xfId="0" applyFont="1" applyBorder="1" applyAlignment="1">
      <alignment wrapText="1"/>
    </xf>
    <xf numFmtId="0" fontId="0" fillId="0" borderId="40" xfId="0" applyBorder="1" applyAlignment="1">
      <alignment wrapText="1"/>
    </xf>
    <xf numFmtId="0" fontId="0" fillId="0" borderId="4" xfId="0" applyBorder="1" applyAlignment="1">
      <alignment wrapText="1"/>
    </xf>
    <xf numFmtId="0" fontId="0" fillId="0" borderId="13" xfId="0" applyBorder="1" applyAlignment="1">
      <alignment wrapText="1"/>
    </xf>
    <xf numFmtId="0" fontId="2" fillId="6" borderId="70" xfId="0" applyFont="1" applyFill="1" applyBorder="1" applyAlignment="1">
      <alignment horizontal="center"/>
    </xf>
    <xf numFmtId="0" fontId="0" fillId="7" borderId="0" xfId="0" applyFill="1" applyAlignment="1">
      <alignment vertical="center" wrapText="1"/>
    </xf>
    <xf numFmtId="0" fontId="0" fillId="6" borderId="34" xfId="0" applyFill="1" applyBorder="1"/>
    <xf numFmtId="0" fontId="0" fillId="6" borderId="35" xfId="0" applyFill="1" applyBorder="1"/>
    <xf numFmtId="0" fontId="33" fillId="7" borderId="0" xfId="0" applyFont="1" applyFill="1" applyAlignment="1">
      <alignment vertical="center" wrapText="1"/>
    </xf>
    <xf numFmtId="0" fontId="33" fillId="7" borderId="29" xfId="0" applyFont="1" applyFill="1" applyBorder="1" applyAlignment="1">
      <alignment vertical="center" wrapText="1"/>
    </xf>
    <xf numFmtId="0" fontId="0" fillId="0" borderId="34" xfId="0" applyBorder="1"/>
    <xf numFmtId="0" fontId="9" fillId="22" borderId="1" xfId="0" applyFont="1" applyFill="1" applyBorder="1" applyAlignment="1">
      <alignment wrapText="1"/>
    </xf>
    <xf numFmtId="0" fontId="0" fillId="22" borderId="1" xfId="0" applyFill="1" applyBorder="1" applyAlignment="1">
      <alignment wrapText="1"/>
    </xf>
    <xf numFmtId="0" fontId="0" fillId="0" borderId="22" xfId="0" applyBorder="1" applyAlignment="1">
      <alignment vertical="center" wrapText="1"/>
    </xf>
    <xf numFmtId="0" fontId="0" fillId="0" borderId="34" xfId="0" applyBorder="1" applyAlignment="1">
      <alignment wrapText="1"/>
    </xf>
    <xf numFmtId="0" fontId="0" fillId="0" borderId="29" xfId="0" applyBorder="1" applyAlignment="1">
      <alignment wrapText="1"/>
    </xf>
    <xf numFmtId="0" fontId="0" fillId="0" borderId="29" xfId="0" quotePrefix="1" applyBorder="1" applyAlignment="1">
      <alignment horizontal="left" vertical="center" wrapText="1"/>
    </xf>
    <xf numFmtId="0" fontId="6" fillId="0" borderId="0" xfId="3" applyFill="1" applyProtection="1"/>
    <xf numFmtId="0" fontId="0" fillId="7" borderId="30" xfId="0" applyFill="1" applyBorder="1"/>
    <xf numFmtId="0" fontId="0" fillId="25" borderId="0" xfId="0" applyFill="1"/>
    <xf numFmtId="0" fontId="0" fillId="25" borderId="50" xfId="0" applyFill="1" applyBorder="1"/>
    <xf numFmtId="0" fontId="47" fillId="24" borderId="35" xfId="0" applyFont="1" applyFill="1" applyBorder="1" applyAlignment="1">
      <alignment vertical="center" wrapText="1"/>
    </xf>
    <xf numFmtId="0" fontId="48" fillId="22" borderId="78" xfId="0" applyFont="1" applyFill="1" applyBorder="1" applyAlignment="1">
      <alignment horizontal="right" vertical="center"/>
    </xf>
    <xf numFmtId="0" fontId="47" fillId="24" borderId="70" xfId="0" applyFont="1" applyFill="1" applyBorder="1" applyAlignment="1">
      <alignment vertical="center" wrapText="1"/>
    </xf>
    <xf numFmtId="0" fontId="0" fillId="6" borderId="70" xfId="0" applyFill="1" applyBorder="1"/>
    <xf numFmtId="0" fontId="0" fillId="7" borderId="63" xfId="0" applyFill="1" applyBorder="1" applyProtection="1">
      <protection locked="0"/>
    </xf>
    <xf numFmtId="0" fontId="0" fillId="0" borderId="56" xfId="0" applyBorder="1" applyProtection="1">
      <protection locked="0"/>
    </xf>
    <xf numFmtId="0" fontId="0" fillId="7" borderId="87" xfId="0" applyFill="1" applyBorder="1" applyProtection="1">
      <protection locked="0"/>
    </xf>
    <xf numFmtId="0" fontId="0" fillId="7" borderId="88" xfId="0" applyFill="1" applyBorder="1" applyProtection="1">
      <protection locked="0"/>
    </xf>
    <xf numFmtId="0" fontId="0" fillId="21" borderId="0" xfId="0" applyFill="1"/>
    <xf numFmtId="0" fontId="0" fillId="7" borderId="25" xfId="0" applyFill="1" applyBorder="1" applyProtection="1">
      <protection locked="0"/>
      <extLst>
        <ext xmlns:xfpb="http://schemas.microsoft.com/office/spreadsheetml/2022/featurepropertybag" uri="{C7286773-470A-42A8-94C5-96B5CB345126}">
          <xfpb:xfComplement i="0"/>
        </ext>
      </extLst>
    </xf>
    <xf numFmtId="0" fontId="0" fillId="12" borderId="25" xfId="0" applyFill="1" applyBorder="1" applyAlignment="1">
      <alignment vertical="center" wrapText="1"/>
      <extLst>
        <ext xmlns:xfpb="http://schemas.microsoft.com/office/spreadsheetml/2022/featurepropertybag" uri="{C7286773-470A-42A8-94C5-96B5CB345126}">
          <xfpb:xfComplement i="0"/>
        </ext>
      </extLst>
    </xf>
    <xf numFmtId="0" fontId="0" fillId="6" borderId="25" xfId="0" applyFill="1" applyBorder="1" applyAlignment="1">
      <alignment horizontal="left" vertical="center"/>
    </xf>
    <xf numFmtId="0" fontId="0" fillId="0" borderId="25" xfId="0"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7" borderId="2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2" borderId="25" xfId="0" applyFill="1" applyBorder="1" applyAlignment="1">
      <alignment vertical="center"/>
      <extLst>
        <ext xmlns:xfpb="http://schemas.microsoft.com/office/spreadsheetml/2022/featurepropertybag" uri="{C7286773-470A-42A8-94C5-96B5CB345126}">
          <xfpb:xfComplement i="0"/>
        </ext>
      </extLst>
    </xf>
    <xf numFmtId="0" fontId="0" fillId="12" borderId="25" xfId="0" applyFill="1" applyBorder="1">
      <extLst>
        <ext xmlns:xfpb="http://schemas.microsoft.com/office/spreadsheetml/2022/featurepropertybag" uri="{C7286773-470A-42A8-94C5-96B5CB345126}">
          <xfpb:xfComplement i="0"/>
        </ext>
      </extLst>
    </xf>
    <xf numFmtId="0" fontId="0" fillId="7" borderId="25"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49" fillId="0" borderId="59" xfId="0" quotePrefix="1" applyFont="1" applyBorder="1" applyAlignment="1">
      <alignment horizontal="center" vertical="center" wrapText="1"/>
    </xf>
    <xf numFmtId="0" fontId="2" fillId="7" borderId="0" xfId="0" applyFont="1" applyFill="1" applyAlignment="1">
      <alignment vertical="center" wrapText="1"/>
    </xf>
    <xf numFmtId="0" fontId="2" fillId="0" borderId="0" xfId="0" applyFont="1" applyAlignment="1">
      <alignment vertical="center"/>
    </xf>
    <xf numFmtId="0" fontId="0" fillId="7" borderId="45" xfId="0" applyFill="1" applyBorder="1" applyProtection="1">
      <protection locked="0"/>
      <extLst>
        <ext xmlns:xfpb="http://schemas.microsoft.com/office/spreadsheetml/2022/featurepropertybag" uri="{C7286773-470A-42A8-94C5-96B5CB345126}">
          <xfpb:xfComplement i="0"/>
        </ext>
      </extLst>
    </xf>
    <xf numFmtId="0" fontId="33" fillId="6" borderId="52" xfId="0" applyFont="1" applyFill="1" applyBorder="1" applyAlignment="1">
      <alignment wrapText="1"/>
    </xf>
    <xf numFmtId="0" fontId="33" fillId="6" borderId="25" xfId="0" applyFont="1" applyFill="1" applyBorder="1" applyAlignment="1">
      <alignment wrapText="1"/>
    </xf>
    <xf numFmtId="0" fontId="2" fillId="6" borderId="28" xfId="0" applyFont="1" applyFill="1" applyBorder="1" applyAlignment="1">
      <alignment horizontal="center" vertical="center"/>
    </xf>
    <xf numFmtId="0" fontId="2" fillId="6" borderId="52" xfId="0" applyFont="1" applyFill="1" applyBorder="1" applyAlignment="1">
      <alignment horizontal="center" vertical="center"/>
    </xf>
    <xf numFmtId="0" fontId="0" fillId="6" borderId="52" xfId="0" applyFill="1" applyBorder="1"/>
    <xf numFmtId="0" fontId="0" fillId="6" borderId="15" xfId="0" applyFill="1" applyBorder="1"/>
    <xf numFmtId="0" fontId="0" fillId="6" borderId="28" xfId="0" applyFill="1" applyBorder="1" applyProtection="1">
      <protection locked="0"/>
    </xf>
    <xf numFmtId="0" fontId="0" fillId="22" borderId="86" xfId="0" applyFill="1" applyBorder="1" applyAlignment="1">
      <alignment horizontal="center" vertical="center"/>
    </xf>
    <xf numFmtId="0" fontId="0" fillId="22" borderId="73" xfId="0" applyFill="1" applyBorder="1" applyAlignment="1">
      <alignment horizontal="center" vertical="center"/>
    </xf>
    <xf numFmtId="0" fontId="0" fillId="7" borderId="86" xfId="0" applyFill="1" applyBorder="1" applyAlignment="1">
      <alignment horizontal="center" vertical="center"/>
      <extLst>
        <ext xmlns:xfpb="http://schemas.microsoft.com/office/spreadsheetml/2022/featurepropertybag" uri="{C7286773-470A-42A8-94C5-96B5CB345126}">
          <xfpb:xfComplement i="0"/>
        </ext>
      </extLst>
    </xf>
    <xf numFmtId="0" fontId="0" fillId="7" borderId="73" xfId="0" applyFill="1" applyBorder="1" applyAlignment="1">
      <alignment horizontal="center" vertical="center"/>
      <extLst>
        <ext xmlns:xfpb="http://schemas.microsoft.com/office/spreadsheetml/2022/featurepropertybag" uri="{C7286773-470A-42A8-94C5-96B5CB345126}">
          <xfpb:xfComplement i="0"/>
        </ext>
      </extLst>
    </xf>
    <xf numFmtId="0" fontId="0" fillId="22" borderId="88" xfId="0" applyFill="1" applyBorder="1" applyAlignment="1">
      <alignment horizontal="center" vertical="center"/>
    </xf>
    <xf numFmtId="0" fontId="0" fillId="7" borderId="88" xfId="0" applyFill="1" applyBorder="1" applyAlignment="1">
      <alignment horizontal="center" vertical="center"/>
      <extLst>
        <ext xmlns:xfpb="http://schemas.microsoft.com/office/spreadsheetml/2022/featurepropertybag" uri="{C7286773-470A-42A8-94C5-96B5CB345126}">
          <xfpb:xfComplement i="0"/>
        </ext>
      </extLst>
    </xf>
    <xf numFmtId="0" fontId="50" fillId="0" borderId="0" xfId="0" applyFont="1"/>
    <xf numFmtId="0" fontId="50" fillId="21" borderId="0" xfId="0" applyFont="1" applyFill="1"/>
    <xf numFmtId="0" fontId="2" fillId="21" borderId="0" xfId="0" applyFont="1" applyFill="1"/>
    <xf numFmtId="0" fontId="0" fillId="26" borderId="1" xfId="0" applyFill="1" applyBorder="1"/>
    <xf numFmtId="0" fontId="0" fillId="22" borderId="1" xfId="0" applyFill="1" applyBorder="1"/>
    <xf numFmtId="0" fontId="2" fillId="12" borderId="1" xfId="0" applyFont="1" applyFill="1" applyBorder="1"/>
    <xf numFmtId="0" fontId="7" fillId="12" borderId="1" xfId="3" applyFont="1" applyFill="1" applyBorder="1" applyAlignment="1"/>
    <xf numFmtId="0" fontId="0" fillId="0" borderId="1" xfId="0" applyBorder="1" applyAlignment="1">
      <alignment horizontal="left" wrapText="1"/>
    </xf>
    <xf numFmtId="0" fontId="0" fillId="0" borderId="20" xfId="0" applyBorder="1"/>
    <xf numFmtId="0" fontId="2" fillId="12" borderId="1" xfId="0" applyFont="1" applyFill="1" applyBorder="1" applyAlignment="1">
      <alignment wrapText="1"/>
    </xf>
    <xf numFmtId="0" fontId="0" fillId="21" borderId="0" xfId="0" applyFill="1" applyAlignment="1">
      <alignment horizontal="left" vertical="center" wrapText="1"/>
    </xf>
    <xf numFmtId="0" fontId="52" fillId="0" borderId="70" xfId="0" applyFont="1" applyBorder="1" applyAlignment="1">
      <alignment horizontal="center" vertical="center" wrapText="1"/>
    </xf>
    <xf numFmtId="0" fontId="52" fillId="0" borderId="35" xfId="0" applyFont="1" applyBorder="1" applyAlignment="1">
      <alignment horizontal="center" vertical="center" wrapText="1"/>
    </xf>
    <xf numFmtId="0" fontId="0" fillId="21" borderId="0" xfId="0" applyFill="1" applyAlignment="1">
      <alignment horizontal="left" wrapText="1"/>
    </xf>
    <xf numFmtId="0" fontId="0" fillId="0" borderId="0" xfId="0" applyAlignment="1">
      <alignment vertical="center" wrapText="1"/>
      <extLst>
        <ext xmlns:xfpb="http://schemas.microsoft.com/office/spreadsheetml/2022/featurepropertybag" uri="{C7286773-470A-42A8-94C5-96B5CB345126}">
          <xfpb:xfComplement i="0"/>
        </ext>
      </extLst>
    </xf>
    <xf numFmtId="0" fontId="0" fillId="9" borderId="0" xfId="0" applyFill="1" applyAlignment="1">
      <alignment wrapText="1"/>
    </xf>
    <xf numFmtId="0" fontId="0" fillId="9" borderId="0" xfId="0" quotePrefix="1" applyFill="1" applyAlignment="1">
      <alignment horizontal="left" vertical="center" wrapText="1"/>
    </xf>
    <xf numFmtId="0" fontId="0" fillId="9" borderId="0" xfId="0" applyFill="1" applyAlignment="1">
      <alignment horizontal="left" vertical="center" wrapText="1"/>
    </xf>
    <xf numFmtId="0" fontId="9" fillId="9" borderId="0" xfId="0" applyFont="1" applyFill="1" applyAlignment="1">
      <alignment horizontal="left" vertical="top" wrapText="1"/>
    </xf>
    <xf numFmtId="0" fontId="0" fillId="9" borderId="0" xfId="0" applyFill="1" applyAlignment="1">
      <alignment horizontal="left" wrapText="1"/>
    </xf>
    <xf numFmtId="0" fontId="0" fillId="9" borderId="0" xfId="0" applyFill="1"/>
    <xf numFmtId="0" fontId="0" fillId="21" borderId="0" xfId="0" applyFill="1" applyAlignment="1">
      <alignment wrapText="1"/>
    </xf>
    <xf numFmtId="0" fontId="0" fillId="21" borderId="0" xfId="0" quotePrefix="1" applyFill="1" applyAlignment="1">
      <alignment horizontal="left" vertical="center" wrapText="1"/>
    </xf>
    <xf numFmtId="0" fontId="9" fillId="21" borderId="0" xfId="0" applyFont="1" applyFill="1" applyAlignment="1">
      <alignment horizontal="left" vertical="top" wrapText="1"/>
    </xf>
    <xf numFmtId="0" fontId="0" fillId="21" borderId="0" xfId="0" applyFill="1" applyAlignment="1">
      <alignment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0" fillId="6" borderId="14" xfId="0" applyFill="1" applyBorder="1" applyAlignment="1" applyProtection="1">
      <alignment horizontal="left" vertical="top"/>
      <protection locked="0"/>
    </xf>
    <xf numFmtId="0" fontId="0" fillId="21" borderId="22" xfId="0" applyFill="1" applyBorder="1" applyAlignment="1">
      <alignment wrapText="1"/>
    </xf>
    <xf numFmtId="0" fontId="0" fillId="21" borderId="22" xfId="0" quotePrefix="1" applyFill="1" applyBorder="1" applyAlignment="1">
      <alignment horizontal="left" vertical="center" wrapText="1"/>
    </xf>
    <xf numFmtId="0" fontId="0" fillId="21" borderId="22" xfId="0" applyFill="1" applyBorder="1" applyAlignment="1">
      <alignment horizontal="left" vertical="center" wrapText="1"/>
    </xf>
    <xf numFmtId="0" fontId="9" fillId="21" borderId="22" xfId="0" applyFont="1" applyFill="1" applyBorder="1" applyAlignment="1">
      <alignment horizontal="left" vertical="top" wrapText="1"/>
    </xf>
    <xf numFmtId="0" fontId="0" fillId="21" borderId="22" xfId="0" applyFill="1" applyBorder="1" applyAlignment="1">
      <alignment horizontal="left" wrapText="1"/>
    </xf>
    <xf numFmtId="0" fontId="51" fillId="0" borderId="0" xfId="0" applyFont="1" applyAlignment="1">
      <alignment wrapText="1"/>
    </xf>
    <xf numFmtId="0" fontId="0" fillId="21" borderId="0" xfId="0" applyFill="1" applyAlignment="1">
      <alignment vertical="center"/>
    </xf>
    <xf numFmtId="0" fontId="9" fillId="0" borderId="0" xfId="0" applyFont="1" applyAlignment="1">
      <alignment horizontal="left" vertical="center" wrapText="1"/>
    </xf>
    <xf numFmtId="0" fontId="0" fillId="7" borderId="18" xfId="0" applyFill="1" applyBorder="1" applyAlignment="1">
      <alignment vertical="center" wrapText="1"/>
    </xf>
    <xf numFmtId="0" fontId="4" fillId="18" borderId="18" xfId="0" applyFont="1" applyFill="1" applyBorder="1" applyAlignment="1">
      <alignment wrapText="1"/>
    </xf>
    <xf numFmtId="0" fontId="2" fillId="7" borderId="18" xfId="0" applyFont="1" applyFill="1" applyBorder="1" applyAlignment="1">
      <alignment wrapText="1"/>
    </xf>
    <xf numFmtId="0" fontId="2" fillId="7" borderId="19" xfId="0" applyFont="1" applyFill="1" applyBorder="1" applyAlignment="1">
      <alignment vertical="center" wrapText="1"/>
    </xf>
    <xf numFmtId="0" fontId="6" fillId="7" borderId="25" xfId="3" quotePrefix="1" applyFill="1" applyBorder="1" applyAlignment="1" applyProtection="1">
      <alignment horizontal="left" wrapText="1"/>
    </xf>
    <xf numFmtId="9" fontId="0" fillId="0" borderId="1" xfId="1" applyFont="1" applyBorder="1" applyAlignment="1" applyProtection="1">
      <alignment horizontal="right" vertical="center" wrapText="1"/>
      <protection locked="0"/>
    </xf>
    <xf numFmtId="9" fontId="0" fillId="0" borderId="0" xfId="1" applyFont="1"/>
    <xf numFmtId="0" fontId="0" fillId="27" borderId="0" xfId="0" applyFill="1" applyAlignment="1">
      <alignment wrapText="1"/>
    </xf>
    <xf numFmtId="0" fontId="0" fillId="27" borderId="0" xfId="0" quotePrefix="1" applyFill="1" applyAlignment="1">
      <alignment horizontal="left" vertical="center" wrapText="1"/>
    </xf>
    <xf numFmtId="0" fontId="0" fillId="27" borderId="0" xfId="0" applyFill="1" applyAlignment="1">
      <alignment horizontal="left" vertical="center" wrapText="1"/>
    </xf>
    <xf numFmtId="0" fontId="9" fillId="27" borderId="0" xfId="0" applyFont="1" applyFill="1" applyAlignment="1">
      <alignment horizontal="left" vertical="top" wrapText="1"/>
    </xf>
    <xf numFmtId="0" fontId="0" fillId="27" borderId="0" xfId="0" applyFill="1" applyAlignment="1">
      <alignment horizontal="left" wrapText="1"/>
    </xf>
    <xf numFmtId="0" fontId="0" fillId="27" borderId="0" xfId="0" applyFill="1"/>
    <xf numFmtId="0" fontId="0" fillId="21" borderId="22" xfId="0" applyFill="1" applyBorder="1"/>
    <xf numFmtId="0" fontId="0" fillId="9" borderId="0" xfId="0" applyFill="1" applyAlignment="1">
      <alignment vertical="center" wrapText="1"/>
    </xf>
    <xf numFmtId="2" fontId="0" fillId="6" borderId="14" xfId="0" applyNumberFormat="1" applyFill="1" applyBorder="1" applyAlignment="1" applyProtection="1">
      <alignment horizontal="right" vertical="center" wrapText="1"/>
      <protection locked="0"/>
    </xf>
    <xf numFmtId="9" fontId="0" fillId="0" borderId="6" xfId="1" applyFont="1" applyBorder="1" applyAlignment="1" applyProtection="1">
      <alignment horizontal="right" vertical="center" wrapText="1"/>
      <protection locked="0"/>
    </xf>
    <xf numFmtId="9" fontId="0" fillId="0" borderId="11" xfId="1" applyFont="1" applyBorder="1" applyAlignment="1" applyProtection="1">
      <alignment horizontal="right" vertical="center" wrapText="1"/>
      <protection locked="0"/>
    </xf>
    <xf numFmtId="9" fontId="0" fillId="0" borderId="14" xfId="1" applyFont="1" applyBorder="1" applyAlignment="1" applyProtection="1">
      <alignment horizontal="right" vertical="center" wrapText="1"/>
      <protection locked="0"/>
    </xf>
    <xf numFmtId="9" fontId="0" fillId="0" borderId="20" xfId="1" applyFont="1" applyBorder="1" applyAlignment="1" applyProtection="1">
      <alignment horizontal="right" vertical="center" wrapText="1"/>
      <protection locked="0"/>
    </xf>
    <xf numFmtId="9" fontId="0" fillId="0" borderId="44" xfId="1" applyFont="1" applyBorder="1" applyAlignment="1" applyProtection="1">
      <alignment horizontal="right" vertical="center" wrapText="1"/>
      <protection locked="0"/>
    </xf>
    <xf numFmtId="0" fontId="9" fillId="0" borderId="24" xfId="0" applyFont="1" applyBorder="1" applyAlignment="1">
      <alignment horizontal="left" vertical="center" wrapText="1"/>
    </xf>
    <xf numFmtId="0" fontId="10" fillId="18" borderId="4" xfId="0" applyFont="1" applyFill="1" applyBorder="1" applyAlignment="1">
      <alignment horizontal="left" vertical="center" wrapText="1"/>
    </xf>
    <xf numFmtId="0" fontId="10" fillId="18" borderId="53" xfId="0" applyFont="1" applyFill="1" applyBorder="1" applyAlignment="1">
      <alignment horizontal="left" vertical="center" wrapText="1"/>
    </xf>
    <xf numFmtId="0" fontId="7" fillId="0" borderId="13" xfId="0" applyFont="1" applyBorder="1" applyAlignment="1">
      <alignment horizontal="left" vertical="top" wrapText="1"/>
    </xf>
    <xf numFmtId="49" fontId="6" fillId="0" borderId="2" xfId="3" applyNumberFormat="1" applyFill="1" applyBorder="1" applyAlignment="1">
      <alignment horizontal="center" vertical="center"/>
    </xf>
    <xf numFmtId="0" fontId="17" fillId="0" borderId="0" xfId="0" applyFont="1" applyAlignment="1">
      <alignment vertical="center" wrapText="1"/>
    </xf>
    <xf numFmtId="0" fontId="0" fillId="0" borderId="40" xfId="0" applyBorder="1" applyAlignment="1">
      <alignment horizontal="left" indent="1"/>
    </xf>
    <xf numFmtId="0" fontId="0" fillId="0" borderId="4" xfId="0" applyBorder="1" applyAlignment="1">
      <alignment horizontal="left" indent="1"/>
    </xf>
    <xf numFmtId="0" fontId="0" fillId="0" borderId="4" xfId="0" applyBorder="1" applyAlignment="1">
      <alignment horizontal="left" vertical="center" wrapText="1"/>
    </xf>
    <xf numFmtId="0" fontId="17" fillId="0" borderId="7" xfId="0" applyFont="1" applyBorder="1" applyAlignment="1">
      <alignment vertical="center" wrapText="1"/>
    </xf>
    <xf numFmtId="0" fontId="6" fillId="7" borderId="0" xfId="3" applyFill="1" applyBorder="1" applyAlignment="1">
      <alignment vertical="center"/>
    </xf>
    <xf numFmtId="43" fontId="0" fillId="5" borderId="0" xfId="4" applyFont="1" applyFill="1" applyAlignment="1">
      <alignment wrapText="1"/>
    </xf>
    <xf numFmtId="43" fontId="0" fillId="0" borderId="0" xfId="4" applyFont="1" applyFill="1" applyAlignment="1">
      <alignment wrapText="1"/>
    </xf>
    <xf numFmtId="0" fontId="16" fillId="9" borderId="0" xfId="0" applyFont="1" applyFill="1"/>
    <xf numFmtId="14" fontId="16" fillId="9" borderId="0" xfId="0" applyNumberFormat="1" applyFont="1" applyFill="1" applyAlignment="1">
      <alignment horizontal="left"/>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6" xfId="0" applyBorder="1" applyAlignment="1" applyProtection="1">
      <alignment wrapText="1"/>
      <protection locked="0"/>
    </xf>
    <xf numFmtId="0" fontId="0" fillId="12" borderId="44" xfId="0" applyFill="1" applyBorder="1" applyAlignment="1" applyProtection="1">
      <alignment horizontal="center"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20" xfId="0" applyBorder="1" applyAlignment="1" applyProtection="1">
      <alignment wrapText="1"/>
      <protection locked="0"/>
    </xf>
    <xf numFmtId="0" fontId="0" fillId="12" borderId="14" xfId="0" applyFill="1" applyBorder="1" applyAlignment="1" applyProtection="1">
      <alignment horizontal="center" wrapText="1"/>
      <protection locked="0"/>
    </xf>
    <xf numFmtId="0" fontId="41" fillId="7" borderId="59" xfId="0" applyFont="1" applyFill="1" applyBorder="1" applyAlignment="1">
      <alignment horizontal="center" vertical="center" wrapText="1"/>
    </xf>
    <xf numFmtId="0" fontId="40" fillId="0" borderId="86" xfId="0" applyFont="1" applyBorder="1" applyAlignment="1">
      <alignment horizontal="center" vertical="center" wrapText="1"/>
    </xf>
    <xf numFmtId="0" fontId="41" fillId="0" borderId="59" xfId="0" quotePrefix="1" applyFont="1" applyBorder="1" applyAlignment="1">
      <alignment horizontal="center" vertical="center"/>
    </xf>
    <xf numFmtId="0" fontId="0" fillId="7" borderId="61" xfId="0" quotePrefix="1" applyFill="1" applyBorder="1" applyAlignment="1">
      <alignment vertical="center" wrapText="1"/>
    </xf>
    <xf numFmtId="0" fontId="0" fillId="7" borderId="88" xfId="0" quotePrefix="1" applyFill="1" applyBorder="1" applyAlignment="1">
      <alignment vertical="center" wrapText="1"/>
      <extLst>
        <ext xmlns:xfpb="http://schemas.microsoft.com/office/spreadsheetml/2022/featurepropertybag" uri="{C7286773-470A-42A8-94C5-96B5CB345126}">
          <xfpb:xfComplement i="0"/>
        </ext>
      </extLst>
    </xf>
    <xf numFmtId="0" fontId="0" fillId="12" borderId="86" xfId="0" applyFill="1" applyBorder="1" applyAlignment="1">
      <alignment horizontal="center" vertical="center"/>
      <extLst>
        <ext xmlns:xfpb="http://schemas.microsoft.com/office/spreadsheetml/2022/featurepropertybag" uri="{C7286773-470A-42A8-94C5-96B5CB345126}">
          <xfpb:xfComplement i="0"/>
        </ext>
      </extLst>
    </xf>
    <xf numFmtId="0" fontId="0" fillId="0" borderId="25" xfId="0" applyBorder="1" applyAlignment="1">
      <alignment horizontal="center" vertical="center" wrapText="1"/>
    </xf>
    <xf numFmtId="0" fontId="0" fillId="0" borderId="49" xfId="0" quotePrefix="1" applyBorder="1" applyAlignment="1">
      <alignment horizontal="center" vertical="center" wrapText="1"/>
    </xf>
    <xf numFmtId="0" fontId="0" fillId="7" borderId="86" xfId="0" applyFill="1" applyBorder="1" applyAlignment="1">
      <alignment horizontal="center" vertical="center"/>
    </xf>
    <xf numFmtId="0" fontId="0" fillId="7" borderId="88" xfId="0" applyFill="1" applyBorder="1" applyAlignment="1">
      <alignment horizontal="center" vertical="center"/>
    </xf>
    <xf numFmtId="0" fontId="43" fillId="7" borderId="28" xfId="0" applyFont="1" applyFill="1" applyBorder="1" applyAlignment="1">
      <alignment horizontal="center"/>
    </xf>
    <xf numFmtId="0" fontId="43" fillId="7" borderId="29" xfId="0" applyFont="1" applyFill="1" applyBorder="1" applyAlignment="1">
      <alignment horizontal="center"/>
    </xf>
    <xf numFmtId="0" fontId="43" fillId="7" borderId="31" xfId="0" applyFont="1" applyFill="1" applyBorder="1" applyAlignment="1">
      <alignment horizontal="center"/>
    </xf>
    <xf numFmtId="0" fontId="18" fillId="7" borderId="49" xfId="0" applyFont="1" applyFill="1" applyBorder="1" applyAlignment="1">
      <alignment horizontal="center" vertical="top" wrapText="1"/>
    </xf>
    <xf numFmtId="0" fontId="18" fillId="7" borderId="41" xfId="0" applyFont="1" applyFill="1" applyBorder="1" applyAlignment="1">
      <alignment horizontal="center" vertical="top" wrapText="1"/>
    </xf>
    <xf numFmtId="0" fontId="18" fillId="7" borderId="56" xfId="0" applyFont="1" applyFill="1" applyBorder="1" applyAlignment="1">
      <alignment horizontal="center" vertical="top" wrapText="1"/>
    </xf>
    <xf numFmtId="0" fontId="33" fillId="24" borderId="12" xfId="0" applyFont="1" applyFill="1" applyBorder="1" applyAlignment="1" applyProtection="1">
      <alignment horizontal="center" vertical="center" wrapText="1"/>
      <protection locked="0"/>
    </xf>
    <xf numFmtId="0" fontId="33" fillId="24" borderId="27" xfId="0" applyFont="1" applyFill="1" applyBorder="1" applyAlignment="1" applyProtection="1">
      <alignment horizontal="center" vertical="center" wrapText="1"/>
      <protection locked="0"/>
    </xf>
    <xf numFmtId="14" fontId="16" fillId="0" borderId="0" xfId="0" applyNumberFormat="1" applyFont="1" applyAlignment="1">
      <alignment horizontal="center" wrapText="1"/>
    </xf>
    <xf numFmtId="0" fontId="19" fillId="10" borderId="2" xfId="0" applyFont="1" applyFill="1" applyBorder="1" applyAlignment="1">
      <alignment horizontal="left" vertical="center" wrapText="1"/>
    </xf>
    <xf numFmtId="0" fontId="19" fillId="10" borderId="3" xfId="0" applyFont="1" applyFill="1" applyBorder="1" applyAlignment="1">
      <alignment horizontal="left" vertical="center" wrapText="1"/>
    </xf>
    <xf numFmtId="0" fontId="19" fillId="10" borderId="4" xfId="0" applyFont="1" applyFill="1" applyBorder="1" applyAlignment="1">
      <alignment horizontal="left" vertical="center" wrapText="1"/>
    </xf>
    <xf numFmtId="0" fontId="18" fillId="10" borderId="55" xfId="0" applyFont="1" applyFill="1" applyBorder="1" applyAlignment="1">
      <alignment horizontal="left" vertical="center" wrapText="1"/>
    </xf>
    <xf numFmtId="0" fontId="18" fillId="10" borderId="0" xfId="0" applyFont="1" applyFill="1" applyAlignment="1">
      <alignment horizontal="left" vertical="center" wrapText="1"/>
    </xf>
    <xf numFmtId="0" fontId="18" fillId="10"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0" borderId="43" xfId="0" applyFont="1" applyFill="1" applyBorder="1" applyAlignment="1">
      <alignment horizontal="left" vertical="top" wrapText="1"/>
    </xf>
    <xf numFmtId="0" fontId="18" fillId="10" borderId="41" xfId="0" applyFont="1" applyFill="1" applyBorder="1" applyAlignment="1">
      <alignment horizontal="left" vertical="top" wrapText="1"/>
    </xf>
    <xf numFmtId="0" fontId="18" fillId="10" borderId="40" xfId="0" applyFont="1" applyFill="1" applyBorder="1" applyAlignment="1">
      <alignment horizontal="left" vertical="top" wrapText="1"/>
    </xf>
    <xf numFmtId="0" fontId="19" fillId="10" borderId="55" xfId="0" applyFont="1" applyFill="1" applyBorder="1" applyAlignment="1">
      <alignment horizontal="left" wrapText="1"/>
    </xf>
    <xf numFmtId="0" fontId="19" fillId="10" borderId="0" xfId="0" applyFont="1" applyFill="1" applyAlignment="1">
      <alignment horizontal="left" wrapText="1"/>
    </xf>
    <xf numFmtId="0" fontId="19" fillId="10" borderId="54" xfId="0" applyFont="1" applyFill="1" applyBorder="1" applyAlignment="1">
      <alignment horizontal="left" wrapText="1"/>
    </xf>
    <xf numFmtId="0" fontId="19" fillId="10" borderId="43" xfId="0" applyFont="1" applyFill="1" applyBorder="1" applyAlignment="1">
      <alignment horizontal="left" wrapText="1"/>
    </xf>
    <xf numFmtId="0" fontId="19" fillId="10" borderId="41" xfId="0" applyFont="1" applyFill="1" applyBorder="1" applyAlignment="1">
      <alignment horizontal="left" wrapText="1"/>
    </xf>
    <xf numFmtId="0" fontId="19" fillId="10"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0" borderId="55"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54" xfId="0" applyFont="1" applyFill="1" applyBorder="1" applyAlignment="1">
      <alignment horizontal="left" vertical="top" wrapText="1"/>
    </xf>
    <xf numFmtId="0" fontId="26" fillId="0" borderId="2" xfId="0" applyFont="1" applyBorder="1" applyAlignment="1">
      <alignment horizontal="left" vertical="center"/>
    </xf>
    <xf numFmtId="0" fontId="26" fillId="0" borderId="3" xfId="0" applyFont="1" applyBorder="1" applyAlignment="1">
      <alignment horizontal="left" vertical="center"/>
    </xf>
    <xf numFmtId="0" fontId="26" fillId="0" borderId="4" xfId="0" applyFont="1" applyBorder="1" applyAlignment="1">
      <alignment horizontal="left" vertical="center"/>
    </xf>
    <xf numFmtId="0" fontId="2" fillId="13" borderId="71" xfId="0" applyFont="1" applyFill="1" applyBorder="1" applyAlignment="1">
      <alignment horizontal="center" vertical="center" wrapText="1"/>
    </xf>
    <xf numFmtId="0" fontId="2" fillId="13" borderId="60" xfId="0" applyFont="1" applyFill="1" applyBorder="1" applyAlignment="1">
      <alignment horizontal="center" vertical="center" wrapText="1"/>
    </xf>
    <xf numFmtId="0" fontId="2" fillId="13" borderId="62" xfId="0" applyFont="1" applyFill="1" applyBorder="1" applyAlignment="1">
      <alignment horizontal="center" vertical="center" wrapText="1"/>
    </xf>
    <xf numFmtId="0" fontId="6" fillId="0" borderId="30" xfId="3" applyBorder="1" applyAlignment="1">
      <alignment horizontal="center"/>
    </xf>
    <xf numFmtId="0" fontId="6" fillId="0" borderId="6" xfId="3" applyBorder="1" applyAlignment="1">
      <alignment horizontal="center"/>
    </xf>
    <xf numFmtId="0" fontId="6" fillId="0" borderId="44" xfId="3"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14" xfId="0" applyBorder="1" applyAlignment="1">
      <alignment horizontal="center"/>
    </xf>
    <xf numFmtId="0" fontId="6" fillId="0" borderId="48" xfId="3" applyFill="1" applyBorder="1" applyAlignment="1">
      <alignment horizontal="center" vertical="center"/>
    </xf>
    <xf numFmtId="0" fontId="6" fillId="0" borderId="50" xfId="3" applyFill="1" applyBorder="1" applyAlignment="1">
      <alignment horizontal="center" vertical="center"/>
    </xf>
    <xf numFmtId="0" fontId="6" fillId="0" borderId="6" xfId="3" applyFill="1" applyBorder="1" applyAlignment="1">
      <alignment horizontal="center" vertical="center"/>
    </xf>
    <xf numFmtId="49" fontId="6" fillId="0" borderId="51" xfId="3" applyNumberFormat="1" applyFill="1" applyBorder="1" applyAlignment="1">
      <alignment horizontal="center" vertical="center"/>
    </xf>
    <xf numFmtId="49" fontId="6" fillId="0" borderId="84" xfId="3" applyNumberFormat="1" applyFill="1" applyBorder="1" applyAlignment="1">
      <alignment horizontal="center" vertical="center"/>
    </xf>
    <xf numFmtId="49" fontId="6" fillId="0" borderId="44" xfId="3" applyNumberFormat="1" applyFill="1" applyBorder="1" applyAlignment="1">
      <alignment horizontal="center" vertical="center"/>
    </xf>
    <xf numFmtId="0" fontId="6" fillId="0" borderId="51" xfId="3" applyFill="1" applyBorder="1" applyAlignment="1">
      <alignment horizontal="center" vertical="center"/>
    </xf>
    <xf numFmtId="0" fontId="6" fillId="0" borderId="44" xfId="3" applyFill="1" applyBorder="1" applyAlignment="1">
      <alignment horizontal="center" vertical="center"/>
    </xf>
    <xf numFmtId="0" fontId="2" fillId="4" borderId="33" xfId="0" applyFont="1" applyFill="1" applyBorder="1" applyAlignment="1">
      <alignment horizontal="center" vertical="center" wrapText="1"/>
    </xf>
    <xf numFmtId="0" fontId="2" fillId="4" borderId="70" xfId="0" applyFont="1" applyFill="1" applyBorder="1" applyAlignment="1">
      <alignment horizontal="center" vertical="center" wrapText="1"/>
    </xf>
    <xf numFmtId="0" fontId="6" fillId="0" borderId="25" xfId="3" applyFill="1" applyBorder="1" applyAlignment="1">
      <alignment horizontal="center"/>
    </xf>
    <xf numFmtId="0" fontId="6" fillId="0" borderId="86" xfId="3" applyFill="1" applyBorder="1" applyAlignment="1">
      <alignment horizontal="center"/>
    </xf>
    <xf numFmtId="0" fontId="6" fillId="0" borderId="30" xfId="3" applyFill="1" applyBorder="1" applyAlignment="1">
      <alignment horizontal="center" vertical="center"/>
    </xf>
    <xf numFmtId="0" fontId="6" fillId="0" borderId="88" xfId="3" applyFill="1" applyBorder="1" applyAlignment="1">
      <alignment horizontal="center" vertical="center"/>
    </xf>
    <xf numFmtId="0" fontId="0" fillId="0" borderId="18" xfId="0" applyBorder="1" applyAlignment="1">
      <alignment horizontal="center" vertical="center"/>
    </xf>
    <xf numFmtId="0" fontId="0" fillId="0" borderId="1" xfId="0" applyBorder="1" applyAlignment="1">
      <alignment horizontal="center" vertical="center"/>
    </xf>
    <xf numFmtId="0" fontId="6" fillId="0" borderId="0" xfId="3" applyFill="1" applyBorder="1" applyAlignment="1">
      <alignment horizontal="center"/>
    </xf>
    <xf numFmtId="0" fontId="6" fillId="0" borderId="26" xfId="3" applyFill="1" applyBorder="1" applyAlignment="1">
      <alignment horizont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6" fillId="0" borderId="15" xfId="3" applyFill="1" applyBorder="1" applyAlignment="1">
      <alignment horizontal="center" vertical="center"/>
    </xf>
    <xf numFmtId="0" fontId="6" fillId="0" borderId="16" xfId="3" applyFill="1" applyBorder="1" applyAlignment="1">
      <alignment horizontal="center" vertical="center"/>
    </xf>
    <xf numFmtId="0" fontId="6" fillId="0" borderId="17" xfId="3" applyFill="1" applyBorder="1" applyAlignment="1">
      <alignment horizontal="center" vertical="center"/>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0" borderId="36" xfId="0" applyBorder="1" applyAlignment="1" applyProtection="1">
      <alignment horizontal="left" vertical="top" wrapText="1"/>
      <protection locked="0"/>
    </xf>
    <xf numFmtId="0" fontId="6" fillId="0" borderId="1" xfId="3" applyFill="1" applyBorder="1" applyAlignment="1">
      <alignment horizontal="center" vertical="center"/>
    </xf>
    <xf numFmtId="49" fontId="6" fillId="0" borderId="2" xfId="3" applyNumberFormat="1" applyFill="1" applyBorder="1" applyAlignment="1">
      <alignment horizontal="center" vertical="center"/>
    </xf>
    <xf numFmtId="0" fontId="6" fillId="0" borderId="2" xfId="3" applyFill="1" applyBorder="1" applyAlignment="1">
      <alignment horizontal="center" vertical="center"/>
    </xf>
    <xf numFmtId="0" fontId="6" fillId="0" borderId="46" xfId="3" applyBorder="1" applyAlignment="1">
      <alignment horizontal="center" vertical="center"/>
    </xf>
    <xf numFmtId="0" fontId="6" fillId="0" borderId="55" xfId="3" applyBorder="1" applyAlignment="1">
      <alignment horizontal="center" vertical="center"/>
    </xf>
    <xf numFmtId="0" fontId="10" fillId="0" borderId="51" xfId="0" applyFont="1" applyBorder="1" applyAlignment="1">
      <alignment horizontal="center" vertical="center" wrapText="1"/>
    </xf>
    <xf numFmtId="0" fontId="10" fillId="0" borderId="84" xfId="0" applyFont="1" applyBorder="1" applyAlignment="1">
      <alignment horizontal="center" vertical="center" wrapText="1"/>
    </xf>
    <xf numFmtId="0" fontId="2" fillId="3" borderId="33" xfId="0" applyFont="1" applyFill="1" applyBorder="1" applyAlignment="1">
      <alignment horizontal="center"/>
    </xf>
    <xf numFmtId="0" fontId="2" fillId="3" borderId="34" xfId="0" applyFont="1" applyFill="1" applyBorder="1" applyAlignment="1">
      <alignment horizontal="center"/>
    </xf>
    <xf numFmtId="0" fontId="2" fillId="3" borderId="35" xfId="0" applyFont="1" applyFill="1" applyBorder="1" applyAlignment="1">
      <alignment horizontal="center"/>
    </xf>
    <xf numFmtId="0" fontId="0" fillId="0" borderId="10" xfId="0" applyBorder="1" applyAlignment="1">
      <alignment horizontal="left" vertical="center"/>
    </xf>
    <xf numFmtId="0" fontId="0" fillId="0" borderId="4" xfId="0" applyBorder="1" applyAlignment="1">
      <alignment horizontal="left" vertical="center"/>
    </xf>
    <xf numFmtId="0" fontId="0" fillId="0" borderId="18" xfId="0" applyBorder="1" applyAlignment="1">
      <alignment vertical="center"/>
    </xf>
    <xf numFmtId="0" fontId="0" fillId="0" borderId="10" xfId="0" applyBorder="1" applyAlignment="1">
      <alignment horizontal="left" vertical="center" wrapText="1"/>
    </xf>
    <xf numFmtId="0" fontId="2" fillId="3" borderId="71" xfId="0" applyFont="1" applyFill="1" applyBorder="1" applyAlignment="1">
      <alignment horizontal="center"/>
    </xf>
    <xf numFmtId="0" fontId="2" fillId="3" borderId="70" xfId="0" applyFont="1" applyFill="1" applyBorder="1" applyAlignment="1">
      <alignment horizontal="center"/>
    </xf>
    <xf numFmtId="0" fontId="0" fillId="6" borderId="19" xfId="0" applyFill="1" applyBorder="1" applyAlignment="1">
      <alignment horizontal="left" vertical="center"/>
    </xf>
    <xf numFmtId="0" fontId="0" fillId="0" borderId="52" xfId="0" applyBorder="1" applyAlignment="1">
      <alignment horizontal="left" vertical="center" wrapText="1"/>
    </xf>
    <xf numFmtId="0" fontId="0" fillId="0" borderId="5" xfId="0" applyBorder="1" applyAlignment="1">
      <alignment horizontal="left" vertical="center" wrapText="1"/>
    </xf>
    <xf numFmtId="0" fontId="0" fillId="0" borderId="25" xfId="0" applyBorder="1" applyAlignment="1">
      <alignment horizontal="left" vertical="center" wrapText="1"/>
    </xf>
    <xf numFmtId="0" fontId="0" fillId="0" borderId="0" xfId="0" applyAlignment="1">
      <alignment horizontal="left" vertical="center" wrapText="1"/>
    </xf>
    <xf numFmtId="0" fontId="0" fillId="6" borderId="37"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vertical="center"/>
    </xf>
    <xf numFmtId="0" fontId="6" fillId="0" borderId="18" xfId="3" applyFill="1" applyBorder="1" applyAlignment="1">
      <alignment horizontal="center" vertical="center"/>
    </xf>
    <xf numFmtId="0" fontId="6" fillId="0" borderId="63" xfId="3" applyFill="1" applyBorder="1" applyAlignment="1">
      <alignment horizontal="center" vertical="center"/>
    </xf>
    <xf numFmtId="0" fontId="4" fillId="18" borderId="10" xfId="0" applyFont="1" applyFill="1" applyBorder="1" applyAlignment="1">
      <alignment horizontal="left" vertical="center" wrapText="1"/>
    </xf>
    <xf numFmtId="0" fontId="0" fillId="18"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71" xfId="0" applyFont="1" applyFill="1" applyBorder="1" applyAlignment="1">
      <alignment horizontal="center" vertical="center"/>
    </xf>
    <xf numFmtId="0" fontId="2" fillId="3" borderId="70" xfId="0" applyFont="1" applyFill="1" applyBorder="1" applyAlignment="1">
      <alignment horizontal="center" vertical="center"/>
    </xf>
    <xf numFmtId="0" fontId="0" fillId="0" borderId="1" xfId="0" applyBorder="1" applyAlignment="1">
      <alignment horizontal="center" vertical="center" wrapText="1"/>
    </xf>
    <xf numFmtId="0" fontId="0" fillId="0" borderId="11" xfId="0" applyBorder="1" applyAlignment="1">
      <alignment horizontal="center" vertical="center" wrapText="1"/>
    </xf>
    <xf numFmtId="0" fontId="0" fillId="0" borderId="19" xfId="0" applyBorder="1" applyAlignment="1">
      <alignment horizontal="left" vertical="center" wrapText="1"/>
    </xf>
    <xf numFmtId="0" fontId="0" fillId="6" borderId="43" xfId="0" applyFill="1" applyBorder="1" applyAlignment="1" applyProtection="1">
      <alignment horizontal="left" vertical="center" wrapText="1"/>
      <protection locked="0"/>
    </xf>
    <xf numFmtId="0" fontId="0" fillId="6" borderId="44"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14" xfId="0" applyFill="1" applyBorder="1" applyAlignment="1" applyProtection="1">
      <alignment horizontal="left" vertical="center" wrapText="1"/>
      <protection locked="0"/>
    </xf>
    <xf numFmtId="0" fontId="0" fillId="6" borderId="2" xfId="0" applyFill="1" applyBorder="1" applyAlignment="1" applyProtection="1">
      <alignment horizontal="left" vertical="center" wrapText="1"/>
      <protection locked="0"/>
    </xf>
    <xf numFmtId="0" fontId="0" fillId="6" borderId="11" xfId="0" applyFill="1" applyBorder="1" applyAlignment="1" applyProtection="1">
      <alignment horizontal="left" vertical="center" wrapText="1"/>
      <protection locked="0"/>
    </xf>
    <xf numFmtId="0" fontId="0" fillId="0" borderId="30" xfId="0" applyBorder="1" applyAlignment="1">
      <alignment horizontal="left" vertical="center" wrapText="1"/>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49" xfId="0" applyBorder="1" applyAlignment="1">
      <alignment horizontal="left" vertical="top" wrapText="1"/>
    </xf>
    <xf numFmtId="0" fontId="0" fillId="0" borderId="18" xfId="0" applyBorder="1" applyAlignment="1">
      <alignment horizontal="left" vertical="top" wrapText="1"/>
    </xf>
    <xf numFmtId="0" fontId="4" fillId="18" borderId="30" xfId="0" applyFont="1" applyFill="1" applyBorder="1" applyAlignment="1">
      <alignment horizontal="left" vertical="center"/>
    </xf>
    <xf numFmtId="0" fontId="4" fillId="18" borderId="6" xfId="0" applyFont="1" applyFill="1" applyBorder="1" applyAlignment="1">
      <alignment horizontal="left" vertical="center"/>
    </xf>
    <xf numFmtId="0" fontId="0" fillId="18" borderId="6"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4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43" xfId="0" applyBorder="1" applyAlignment="1" applyProtection="1">
      <alignment horizontal="left" vertical="top" wrapText="1"/>
      <protection locked="0"/>
    </xf>
    <xf numFmtId="0" fontId="0" fillId="0" borderId="44"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0" xfId="0" applyAlignment="1">
      <alignment horizontal="left" vertical="center"/>
    </xf>
    <xf numFmtId="0" fontId="0" fillId="0" borderId="52" xfId="0" applyBorder="1" applyAlignment="1">
      <alignment horizontal="left" vertical="center"/>
    </xf>
    <xf numFmtId="0" fontId="0" fillId="6" borderId="18" xfId="0" applyFill="1" applyBorder="1" applyAlignment="1">
      <alignment vertical="center"/>
    </xf>
    <xf numFmtId="14" fontId="1" fillId="12" borderId="20" xfId="2" applyNumberFormat="1" applyFill="1" applyBorder="1" applyAlignment="1">
      <alignment horizontal="center" vertical="center"/>
    </xf>
    <xf numFmtId="14" fontId="1" fillId="12"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0" fillId="6" borderId="52" xfId="0" applyFill="1" applyBorder="1" applyAlignment="1">
      <alignment horizontal="left" vertical="center" wrapText="1"/>
    </xf>
    <xf numFmtId="0" fontId="2" fillId="0" borderId="25" xfId="0" applyFont="1" applyBorder="1" applyAlignment="1">
      <alignment horizontal="center" vertical="center" wrapText="1"/>
    </xf>
    <xf numFmtId="0" fontId="2" fillId="13" borderId="33" xfId="0" applyFont="1" applyFill="1" applyBorder="1" applyAlignment="1">
      <alignment horizontal="center" vertical="center" wrapText="1"/>
    </xf>
    <xf numFmtId="0" fontId="2" fillId="13" borderId="34" xfId="0" applyFont="1" applyFill="1" applyBorder="1" applyAlignment="1">
      <alignment horizontal="center" vertical="center" wrapText="1"/>
    </xf>
    <xf numFmtId="0" fontId="2" fillId="13" borderId="35" xfId="0" applyFont="1" applyFill="1" applyBorder="1" applyAlignment="1">
      <alignment horizontal="center" vertical="center" wrapText="1"/>
    </xf>
    <xf numFmtId="0" fontId="2" fillId="14" borderId="71" xfId="0" applyFont="1" applyFill="1" applyBorder="1" applyAlignment="1">
      <alignment horizontal="center"/>
    </xf>
    <xf numFmtId="0" fontId="2" fillId="14" borderId="70" xfId="0" applyFont="1" applyFill="1" applyBorder="1" applyAlignment="1">
      <alignment horizontal="center"/>
    </xf>
    <xf numFmtId="0" fontId="0" fillId="0" borderId="32" xfId="0" applyBorder="1" applyAlignment="1">
      <alignment horizontal="left" vertical="top" wrapText="1"/>
    </xf>
    <xf numFmtId="0" fontId="2" fillId="20" borderId="33" xfId="0" applyFont="1" applyFill="1" applyBorder="1" applyAlignment="1">
      <alignment horizontal="center"/>
    </xf>
    <xf numFmtId="0" fontId="2" fillId="20" borderId="70" xfId="0" applyFont="1" applyFill="1" applyBorder="1" applyAlignment="1">
      <alignment horizontal="center"/>
    </xf>
    <xf numFmtId="0" fontId="0" fillId="0" borderId="30" xfId="0" applyBorder="1" applyAlignment="1">
      <alignment vertical="center"/>
    </xf>
    <xf numFmtId="0" fontId="0" fillId="0" borderId="18" xfId="0" applyBorder="1" applyAlignment="1">
      <alignment horizontal="left" vertical="center" wrapText="1"/>
    </xf>
    <xf numFmtId="0" fontId="6" fillId="0" borderId="25" xfId="3" applyFill="1" applyBorder="1" applyAlignment="1">
      <alignment horizontal="center" vertical="center"/>
    </xf>
    <xf numFmtId="0" fontId="6" fillId="0" borderId="86" xfId="3" applyFill="1" applyBorder="1" applyAlignment="1">
      <alignment horizontal="center" vertical="center"/>
    </xf>
    <xf numFmtId="0" fontId="0" fillId="0" borderId="6" xfId="0" applyBorder="1" applyAlignment="1" applyProtection="1">
      <alignment horizontal="center"/>
      <protection locked="0"/>
    </xf>
    <xf numFmtId="0" fontId="0" fillId="0" borderId="44"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6" fillId="0" borderId="41" xfId="3" applyBorder="1" applyAlignment="1">
      <alignment horizontal="center" wrapText="1"/>
    </xf>
    <xf numFmtId="0" fontId="2" fillId="4" borderId="34" xfId="0" applyFont="1" applyFill="1" applyBorder="1" applyAlignment="1">
      <alignment horizontal="center" vertical="center" wrapText="1"/>
    </xf>
    <xf numFmtId="0" fontId="2" fillId="4" borderId="35" xfId="0" applyFont="1" applyFill="1" applyBorder="1" applyAlignment="1">
      <alignment horizontal="center" vertical="center" wrapText="1"/>
    </xf>
    <xf numFmtId="0" fontId="4" fillId="18" borderId="18" xfId="0" applyFont="1" applyFill="1" applyBorder="1" applyAlignment="1">
      <alignment horizontal="left" vertical="center" wrapText="1"/>
    </xf>
    <xf numFmtId="0" fontId="2" fillId="11" borderId="71" xfId="0" applyFont="1" applyFill="1" applyBorder="1" applyAlignment="1">
      <alignment horizontal="center" vertical="center"/>
    </xf>
    <xf numFmtId="0" fontId="2" fillId="11" borderId="70" xfId="0" applyFont="1" applyFill="1" applyBorder="1" applyAlignment="1">
      <alignment horizontal="center" vertical="center"/>
    </xf>
    <xf numFmtId="2" fontId="0" fillId="6" borderId="1" xfId="0" applyNumberFormat="1" applyFill="1" applyBorder="1" applyAlignment="1" applyProtection="1">
      <alignment horizontal="right"/>
      <protection locked="0"/>
    </xf>
    <xf numFmtId="0" fontId="56" fillId="18" borderId="39" xfId="3" applyFont="1" applyFill="1" applyBorder="1" applyAlignment="1" applyProtection="1">
      <alignment horizontal="center" vertical="center"/>
      <protection locked="0"/>
    </xf>
    <xf numFmtId="0" fontId="56" fillId="18" borderId="85" xfId="3" applyFont="1" applyFill="1" applyBorder="1" applyAlignment="1" applyProtection="1">
      <alignment horizontal="center" vertical="center"/>
      <protection locked="0"/>
    </xf>
    <xf numFmtId="0" fontId="56" fillId="18" borderId="32" xfId="3" applyFont="1" applyFill="1" applyBorder="1" applyAlignment="1" applyProtection="1">
      <alignment horizontal="center" vertical="center"/>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10" fillId="0" borderId="10"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6" fillId="0" borderId="84" xfId="3" applyFill="1" applyBorder="1" applyAlignment="1">
      <alignment horizontal="center" vertic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0" fontId="0" fillId="18"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8"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1" xfId="0" applyFont="1" applyBorder="1" applyAlignment="1">
      <alignment horizontal="center" vertical="center" wrapText="1"/>
    </xf>
    <xf numFmtId="0" fontId="0" fillId="6" borderId="1" xfId="0" applyFill="1" applyBorder="1" applyAlignment="1" applyProtection="1">
      <alignment horizontal="center"/>
      <protection locked="0"/>
    </xf>
    <xf numFmtId="0" fontId="0" fillId="6" borderId="1" xfId="0" applyFill="1" applyBorder="1" applyAlignment="1" applyProtection="1">
      <alignment horizontal="center" vertical="center" wrapText="1"/>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0" fontId="0" fillId="0" borderId="1" xfId="0" applyBorder="1" applyAlignment="1" applyProtection="1">
      <alignment vertical="center" wrapText="1"/>
      <protection locked="0"/>
    </xf>
    <xf numFmtId="0" fontId="0" fillId="12" borderId="16" xfId="0" applyFill="1" applyBorder="1" applyAlignment="1">
      <alignment horizontal="center"/>
    </xf>
    <xf numFmtId="0" fontId="6" fillId="0" borderId="11" xfId="3" applyFill="1" applyBorder="1" applyAlignment="1">
      <alignment horizontal="center" vertical="center"/>
    </xf>
    <xf numFmtId="0" fontId="2" fillId="0" borderId="30" xfId="0" applyFont="1" applyBorder="1" applyAlignment="1">
      <alignment horizontal="left"/>
    </xf>
    <xf numFmtId="0" fontId="2" fillId="0" borderId="6" xfId="0" applyFont="1" applyBorder="1" applyAlignment="1">
      <alignment horizontal="left"/>
    </xf>
    <xf numFmtId="0" fontId="2" fillId="0" borderId="44" xfId="0" applyFont="1" applyBorder="1" applyAlignment="1">
      <alignment horizontal="left"/>
    </xf>
    <xf numFmtId="0" fontId="2" fillId="0" borderId="18"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2" fillId="3" borderId="60" xfId="0" applyFont="1" applyFill="1" applyBorder="1" applyAlignment="1">
      <alignment horizontal="center" vertical="center"/>
    </xf>
    <xf numFmtId="0" fontId="2" fillId="3" borderId="62" xfId="0" applyFont="1" applyFill="1" applyBorder="1" applyAlignment="1">
      <alignment horizontal="center" vertical="center"/>
    </xf>
    <xf numFmtId="0" fontId="24" fillId="18" borderId="3" xfId="0" applyFont="1" applyFill="1" applyBorder="1" applyAlignment="1">
      <alignment horizontal="left" vertical="center" wrapText="1"/>
    </xf>
    <xf numFmtId="0" fontId="24" fillId="18" borderId="4" xfId="0" applyFont="1" applyFill="1" applyBorder="1" applyAlignment="1">
      <alignment horizontal="left" vertical="center" wrapText="1"/>
    </xf>
    <xf numFmtId="2" fontId="0" fillId="12" borderId="2" xfId="2" applyFont="1" applyFill="1" applyBorder="1" applyAlignment="1">
      <alignment horizontal="center"/>
    </xf>
    <xf numFmtId="2" fontId="0" fillId="12" borderId="3" xfId="2" applyFont="1" applyFill="1" applyBorder="1" applyAlignment="1">
      <alignment horizontal="center"/>
    </xf>
    <xf numFmtId="2" fontId="0" fillId="12" borderId="4" xfId="2" applyFont="1" applyFill="1" applyBorder="1" applyAlignment="1">
      <alignment horizontal="center"/>
    </xf>
    <xf numFmtId="0" fontId="2" fillId="0" borderId="43"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0"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2" fontId="1" fillId="12" borderId="2" xfId="2" applyFill="1" applyBorder="1" applyAlignment="1">
      <alignment horizontal="center"/>
    </xf>
    <xf numFmtId="2" fontId="1" fillId="12" borderId="3" xfId="2" applyFill="1" applyBorder="1" applyAlignment="1">
      <alignment horizontal="center"/>
    </xf>
    <xf numFmtId="2" fontId="1" fillId="12" borderId="4" xfId="2" applyFill="1" applyBorder="1" applyAlignment="1">
      <alignment horizontal="center"/>
    </xf>
    <xf numFmtId="0" fontId="10" fillId="18" borderId="18" xfId="3" applyFont="1" applyFill="1" applyBorder="1" applyAlignment="1" applyProtection="1">
      <alignment horizontal="left" vertical="center" wrapText="1"/>
    </xf>
    <xf numFmtId="0" fontId="10" fillId="18" borderId="1" xfId="3" applyFont="1" applyFill="1" applyBorder="1" applyAlignment="1" applyProtection="1">
      <alignment horizontal="left" vertical="center" wrapText="1"/>
    </xf>
    <xf numFmtId="2" fontId="0" fillId="12" borderId="72" xfId="2" applyFont="1" applyFill="1" applyBorder="1" applyAlignment="1">
      <alignment horizontal="center"/>
    </xf>
    <xf numFmtId="2" fontId="0" fillId="12" borderId="16" xfId="2" applyFont="1" applyFill="1" applyBorder="1" applyAlignment="1">
      <alignment horizontal="center"/>
    </xf>
    <xf numFmtId="2" fontId="0" fillId="12" borderId="24" xfId="2" applyFont="1" applyFill="1" applyBorder="1" applyAlignment="1">
      <alignment horizontal="center"/>
    </xf>
    <xf numFmtId="0" fontId="6" fillId="0" borderId="56" xfId="3" applyBorder="1" applyAlignment="1">
      <alignment horizontal="center" wrapText="1"/>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6" borderId="11" xfId="0" applyNumberFormat="1" applyFill="1" applyBorder="1" applyAlignment="1" applyProtection="1">
      <alignment horizontal="right"/>
      <protection locked="0"/>
    </xf>
    <xf numFmtId="0" fontId="39" fillId="0" borderId="0" xfId="0" applyFont="1" applyAlignment="1">
      <alignment horizontal="center" vertical="center" wrapText="1"/>
    </xf>
    <xf numFmtId="0" fontId="2" fillId="0" borderId="25" xfId="0" applyFont="1" applyBorder="1" applyAlignment="1">
      <alignment horizontal="center" vertical="center"/>
    </xf>
    <xf numFmtId="0" fontId="0" fillId="0" borderId="39" xfId="0" applyBorder="1" applyAlignment="1">
      <alignment horizontal="left" vertical="center" wrapText="1"/>
    </xf>
    <xf numFmtId="0" fontId="0" fillId="0" borderId="85" xfId="0" applyBorder="1" applyAlignment="1">
      <alignment horizontal="left" vertical="center" wrapText="1"/>
    </xf>
    <xf numFmtId="0" fontId="0" fillId="0" borderId="32" xfId="0" applyBorder="1" applyAlignment="1">
      <alignment horizontal="left" vertical="center" wrapText="1"/>
    </xf>
    <xf numFmtId="0" fontId="4" fillId="18" borderId="2" xfId="0" applyFont="1" applyFill="1" applyBorder="1" applyAlignment="1">
      <alignment horizontal="center" vertical="top" wrapText="1"/>
    </xf>
    <xf numFmtId="0" fontId="4" fillId="18" borderId="3" xfId="0" applyFont="1" applyFill="1" applyBorder="1" applyAlignment="1">
      <alignment horizontal="center" vertical="top" wrapText="1"/>
    </xf>
    <xf numFmtId="0" fontId="4" fillId="18" borderId="4" xfId="0" applyFont="1" applyFill="1" applyBorder="1" applyAlignment="1">
      <alignment horizontal="center" vertical="top" wrapText="1"/>
    </xf>
    <xf numFmtId="0" fontId="0" fillId="18" borderId="2" xfId="0" applyFill="1" applyBorder="1" applyAlignment="1" applyProtection="1">
      <alignment horizontal="center" vertical="top" wrapText="1"/>
      <protection locked="0"/>
    </xf>
    <xf numFmtId="0" fontId="0" fillId="18" borderId="3" xfId="0" applyFill="1" applyBorder="1" applyAlignment="1" applyProtection="1">
      <alignment horizontal="center" vertical="top" wrapText="1"/>
      <protection locked="0"/>
    </xf>
    <xf numFmtId="0" fontId="0" fillId="18" borderId="21" xfId="0" applyFill="1" applyBorder="1" applyAlignment="1" applyProtection="1">
      <alignment horizontal="center" vertical="top" wrapText="1"/>
      <protection locked="0"/>
    </xf>
    <xf numFmtId="2" fontId="0" fillId="6" borderId="4" xfId="0" applyNumberFormat="1" applyFill="1" applyBorder="1" applyAlignment="1" applyProtection="1">
      <alignment horizontal="right"/>
      <protection locked="0"/>
    </xf>
    <xf numFmtId="0" fontId="2" fillId="0" borderId="0" xfId="0" applyFont="1" applyAlignment="1">
      <alignment horizontal="center" vertical="center"/>
    </xf>
    <xf numFmtId="2" fontId="0" fillId="12" borderId="13" xfId="0" applyNumberFormat="1" applyFill="1" applyBorder="1" applyAlignment="1">
      <alignment horizontal="right"/>
    </xf>
    <xf numFmtId="2" fontId="0" fillId="12" borderId="20" xfId="0" applyNumberFormat="1" applyFill="1" applyBorder="1" applyAlignment="1">
      <alignment horizontal="right"/>
    </xf>
    <xf numFmtId="0" fontId="6" fillId="0" borderId="18" xfId="3" applyBorder="1" applyAlignment="1">
      <alignment horizontal="center" vertical="center"/>
    </xf>
    <xf numFmtId="0" fontId="6" fillId="0" borderId="1" xfId="3" applyBorder="1" applyAlignment="1">
      <alignment horizontal="center" vertical="center"/>
    </xf>
    <xf numFmtId="0" fontId="6" fillId="0" borderId="11" xfId="3" applyBorder="1" applyAlignment="1">
      <alignment horizontal="center" vertical="center"/>
    </xf>
    <xf numFmtId="0" fontId="25" fillId="18" borderId="4" xfId="0" applyFont="1" applyFill="1" applyBorder="1" applyAlignment="1">
      <alignment horizontal="center" wrapText="1"/>
    </xf>
    <xf numFmtId="0" fontId="25" fillId="18" borderId="1" xfId="0" applyFont="1" applyFill="1" applyBorder="1" applyAlignment="1">
      <alignment horizontal="center" wrapText="1"/>
    </xf>
    <xf numFmtId="0" fontId="6" fillId="0" borderId="4" xfId="3" applyFill="1" applyBorder="1" applyAlignment="1">
      <alignment horizontal="center" vertical="center"/>
    </xf>
    <xf numFmtId="0" fontId="6" fillId="0" borderId="7" xfId="3" applyFill="1" applyBorder="1" applyAlignment="1">
      <alignment horizontal="center" vertical="center"/>
    </xf>
    <xf numFmtId="0" fontId="6" fillId="0" borderId="8" xfId="3" applyFill="1" applyBorder="1" applyAlignment="1">
      <alignment horizontal="center" vertical="center"/>
    </xf>
    <xf numFmtId="0" fontId="6" fillId="0" borderId="9" xfId="3" applyFill="1" applyBorder="1" applyAlignment="1">
      <alignment horizontal="center" vertical="center"/>
    </xf>
    <xf numFmtId="0" fontId="0" fillId="0" borderId="1" xfId="0" applyBorder="1" applyAlignment="1">
      <alignment horizontal="left" vertical="center" wrapText="1"/>
    </xf>
    <xf numFmtId="0" fontId="4" fillId="12" borderId="4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2" borderId="41"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2" borderId="56"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8"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8"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8" borderId="1" xfId="0" applyFont="1" applyFill="1" applyBorder="1" applyAlignment="1">
      <alignment horizontal="left" vertical="center" wrapText="1"/>
    </xf>
    <xf numFmtId="0" fontId="2" fillId="3" borderId="60" xfId="0" applyFont="1" applyFill="1" applyBorder="1" applyAlignment="1">
      <alignment horizontal="center"/>
    </xf>
    <xf numFmtId="0" fontId="2" fillId="3" borderId="62" xfId="0" applyFont="1" applyFill="1" applyBorder="1" applyAlignment="1">
      <alignment horizontal="center"/>
    </xf>
    <xf numFmtId="0" fontId="2" fillId="4" borderId="71" xfId="0" applyFont="1" applyFill="1" applyBorder="1" applyAlignment="1">
      <alignment horizontal="center" vertical="center"/>
    </xf>
    <xf numFmtId="0" fontId="2" fillId="4" borderId="70" xfId="0" applyFont="1" applyFill="1" applyBorder="1" applyAlignment="1">
      <alignment horizontal="center" vertical="center"/>
    </xf>
    <xf numFmtId="0" fontId="2" fillId="3" borderId="71" xfId="0" applyFont="1" applyFill="1" applyBorder="1" applyAlignment="1">
      <alignment horizontal="center" vertical="center" wrapText="1"/>
    </xf>
    <xf numFmtId="0" fontId="2" fillId="3" borderId="60" xfId="0" applyFont="1" applyFill="1" applyBorder="1" applyAlignment="1">
      <alignment horizontal="center" vertical="center" wrapText="1"/>
    </xf>
    <xf numFmtId="0" fontId="2" fillId="3" borderId="62" xfId="0" applyFont="1" applyFill="1" applyBorder="1" applyAlignment="1">
      <alignment horizontal="center" vertical="center" wrapText="1"/>
    </xf>
    <xf numFmtId="0" fontId="2" fillId="4" borderId="89" xfId="0" applyFont="1" applyFill="1" applyBorder="1" applyAlignment="1">
      <alignment horizontal="center" vertical="center"/>
    </xf>
    <xf numFmtId="0" fontId="2" fillId="4" borderId="60" xfId="0" applyFont="1" applyFill="1" applyBorder="1" applyAlignment="1">
      <alignment horizontal="center" vertical="center"/>
    </xf>
    <xf numFmtId="0" fontId="2" fillId="4" borderId="62" xfId="0" applyFont="1" applyFill="1" applyBorder="1" applyAlignment="1">
      <alignment horizontal="center" vertical="center"/>
    </xf>
    <xf numFmtId="0" fontId="0" fillId="0" borderId="19" xfId="0" applyBorder="1" applyAlignment="1">
      <alignment horizontal="left"/>
    </xf>
    <xf numFmtId="0" fontId="0" fillId="0" borderId="20"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2" borderId="37" xfId="0" applyNumberFormat="1" applyFill="1" applyBorder="1" applyAlignment="1" applyProtection="1">
      <alignment horizontal="right" vertical="center"/>
      <protection locked="0"/>
    </xf>
    <xf numFmtId="2" fontId="0" fillId="12" borderId="27" xfId="0" applyNumberFormat="1" applyFill="1" applyBorder="1" applyAlignment="1" applyProtection="1">
      <alignment horizontal="right" vertical="center"/>
      <protection locked="0"/>
    </xf>
    <xf numFmtId="2" fontId="0" fillId="12"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40" xfId="3" applyFill="1" applyBorder="1" applyAlignment="1">
      <alignment horizontal="center" vertical="center"/>
    </xf>
    <xf numFmtId="0" fontId="0" fillId="18"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0" borderId="20" xfId="0" applyNumberFormat="1" applyBorder="1" applyAlignment="1" applyProtection="1">
      <alignment horizontal="right"/>
      <protection locked="0"/>
    </xf>
    <xf numFmtId="2" fontId="0" fillId="0" borderId="14"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24" xfId="3" applyFill="1" applyBorder="1" applyAlignment="1">
      <alignment horizontal="center" vertical="center"/>
    </xf>
    <xf numFmtId="0" fontId="0" fillId="18" borderId="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2" borderId="4" xfId="2" applyFont="1" applyFill="1" applyBorder="1" applyAlignment="1">
      <alignment horizontal="right" vertical="center"/>
    </xf>
    <xf numFmtId="2" fontId="0" fillId="12" borderId="1" xfId="2" applyFont="1" applyFill="1" applyAlignment="1">
      <alignment horizontal="right" vertical="center"/>
    </xf>
    <xf numFmtId="2" fontId="0" fillId="12" borderId="53" xfId="2" applyFont="1" applyFill="1" applyBorder="1" applyAlignment="1">
      <alignment horizontal="right" vertical="center"/>
    </xf>
    <xf numFmtId="2" fontId="0" fillId="12" borderId="48" xfId="2" applyFont="1" applyFill="1" applyBorder="1" applyAlignment="1">
      <alignment horizontal="right" vertical="center"/>
    </xf>
    <xf numFmtId="2" fontId="0" fillId="6" borderId="6" xfId="0" applyNumberFormat="1" applyFill="1" applyBorder="1" applyAlignment="1" applyProtection="1">
      <alignment horizontal="right"/>
      <protection locked="0"/>
    </xf>
    <xf numFmtId="2" fontId="0" fillId="12" borderId="14" xfId="0" applyNumberFormat="1" applyFill="1" applyBorder="1" applyAlignment="1">
      <alignment horizontal="right"/>
    </xf>
    <xf numFmtId="2" fontId="0" fillId="12" borderId="11" xfId="2" applyFont="1" applyFill="1" applyBorder="1" applyAlignment="1">
      <alignment horizontal="right" vertical="center"/>
    </xf>
    <xf numFmtId="2" fontId="0" fillId="12" borderId="51" xfId="2" applyFont="1" applyFill="1" applyBorder="1" applyAlignment="1">
      <alignment horizontal="right" vertical="center"/>
    </xf>
    <xf numFmtId="2" fontId="0" fillId="7" borderId="80" xfId="2" applyFont="1" applyFill="1" applyBorder="1" applyAlignment="1">
      <alignment horizontal="center"/>
    </xf>
    <xf numFmtId="2" fontId="0" fillId="7" borderId="81" xfId="2" applyFont="1" applyFill="1" applyBorder="1" applyAlignment="1">
      <alignment horizontal="center"/>
    </xf>
    <xf numFmtId="2" fontId="0" fillId="12" borderId="30" xfId="2" applyFont="1" applyFill="1" applyBorder="1" applyAlignment="1">
      <alignment horizontal="right" vertical="center"/>
    </xf>
    <xf numFmtId="2" fontId="0" fillId="12" borderId="6" xfId="2" applyFont="1" applyFill="1" applyBorder="1" applyAlignment="1">
      <alignment horizontal="right" vertical="center"/>
    </xf>
    <xf numFmtId="2" fontId="0" fillId="12" borderId="12" xfId="2" applyFont="1" applyFill="1" applyBorder="1" applyAlignment="1">
      <alignment horizontal="right" vertical="center"/>
    </xf>
    <xf numFmtId="2" fontId="0" fillId="12" borderId="27" xfId="2" applyFont="1" applyFill="1" applyBorder="1" applyAlignment="1">
      <alignment horizontal="right" vertical="center"/>
    </xf>
    <xf numFmtId="2" fontId="0" fillId="12" borderId="13" xfId="2" applyFont="1" applyFill="1" applyBorder="1" applyAlignment="1">
      <alignment horizontal="right" vertical="center"/>
    </xf>
    <xf numFmtId="0" fontId="6" fillId="0" borderId="12" xfId="3" applyFill="1" applyBorder="1" applyAlignment="1"/>
    <xf numFmtId="0" fontId="6" fillId="0" borderId="27" xfId="3" applyFill="1" applyBorder="1" applyAlignment="1"/>
    <xf numFmtId="0" fontId="6" fillId="0" borderId="13" xfId="3" applyFill="1" applyBorder="1" applyAlignment="1"/>
    <xf numFmtId="0" fontId="4" fillId="7" borderId="79" xfId="0" applyFont="1" applyFill="1" applyBorder="1" applyAlignment="1">
      <alignment horizontal="center"/>
    </xf>
    <xf numFmtId="0" fontId="4" fillId="7" borderId="83" xfId="0" applyFont="1" applyFill="1" applyBorder="1" applyAlignment="1">
      <alignment horizontal="center"/>
    </xf>
    <xf numFmtId="0" fontId="4" fillId="7" borderId="65" xfId="0" applyFont="1" applyFill="1" applyBorder="1" applyAlignment="1">
      <alignment horizontal="center"/>
    </xf>
    <xf numFmtId="0" fontId="4" fillId="18" borderId="18" xfId="0" applyFont="1" applyFill="1" applyBorder="1" applyAlignment="1">
      <alignment horizontal="left" vertical="center"/>
    </xf>
    <xf numFmtId="0" fontId="4" fillId="18" borderId="1" xfId="0" applyFont="1" applyFill="1" applyBorder="1" applyAlignment="1">
      <alignment horizontal="left" vertical="center"/>
    </xf>
    <xf numFmtId="0" fontId="4" fillId="18" borderId="11" xfId="0" applyFont="1" applyFill="1" applyBorder="1" applyAlignment="1">
      <alignment horizontal="left" vertical="center"/>
    </xf>
    <xf numFmtId="0" fontId="2" fillId="0" borderId="11" xfId="0" applyFont="1" applyBorder="1" applyAlignment="1">
      <alignment horizontal="center" vertical="center"/>
    </xf>
    <xf numFmtId="0" fontId="2" fillId="12" borderId="1" xfId="2" applyNumberFormat="1" applyFont="1" applyFill="1" applyAlignment="1">
      <alignment horizontal="center"/>
    </xf>
    <xf numFmtId="0" fontId="2" fillId="12" borderId="11" xfId="2" applyNumberFormat="1" applyFont="1" applyFill="1" applyBorder="1" applyAlignment="1">
      <alignment horizontal="center"/>
    </xf>
    <xf numFmtId="2" fontId="0" fillId="12" borderId="37" xfId="2" applyFont="1" applyFill="1" applyBorder="1" applyAlignment="1">
      <alignment horizontal="right" vertical="center"/>
    </xf>
    <xf numFmtId="2" fontId="0" fillId="12" borderId="36" xfId="2" applyFont="1" applyFill="1" applyBorder="1" applyAlignment="1">
      <alignment horizontal="right" vertical="center"/>
    </xf>
    <xf numFmtId="14" fontId="0" fillId="12" borderId="20" xfId="0" applyNumberFormat="1" applyFill="1" applyBorder="1" applyAlignment="1">
      <alignment horizontal="center" vertical="top" wrapText="1"/>
    </xf>
    <xf numFmtId="14" fontId="0" fillId="12" borderId="14" xfId="0" applyNumberFormat="1" applyFill="1" applyBorder="1" applyAlignment="1">
      <alignment horizontal="center" vertical="top" wrapText="1"/>
    </xf>
    <xf numFmtId="0" fontId="0" fillId="0" borderId="2" xfId="0" applyBorder="1" applyAlignment="1" applyProtection="1">
      <alignment horizontal="left" vertical="center" wrapText="1"/>
      <protection locked="0"/>
    </xf>
    <xf numFmtId="0" fontId="0" fillId="0" borderId="3" xfId="0" applyBorder="1" applyAlignment="1" applyProtection="1">
      <alignment horizontal="left" vertical="center" wrapText="1"/>
      <protection locked="0"/>
    </xf>
    <xf numFmtId="0" fontId="0" fillId="0" borderId="21" xfId="0"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2" fillId="4" borderId="71" xfId="0" applyFont="1" applyFill="1" applyBorder="1" applyAlignment="1">
      <alignment horizontal="center"/>
    </xf>
    <xf numFmtId="0" fontId="2" fillId="4" borderId="60" xfId="0" applyFont="1" applyFill="1" applyBorder="1" applyAlignment="1">
      <alignment horizontal="center"/>
    </xf>
    <xf numFmtId="0" fontId="2" fillId="4" borderId="62" xfId="0" applyFont="1" applyFill="1" applyBorder="1" applyAlignment="1">
      <alignment horizontal="center"/>
    </xf>
    <xf numFmtId="0" fontId="7" fillId="0" borderId="18" xfId="3" applyFont="1" applyBorder="1" applyAlignment="1" applyProtection="1">
      <alignment horizontal="center" vertical="center" wrapText="1"/>
    </xf>
    <xf numFmtId="0" fontId="7" fillId="0" borderId="1" xfId="3" applyFont="1" applyBorder="1" applyAlignment="1" applyProtection="1">
      <alignment horizontal="center" vertical="center" wrapText="1"/>
    </xf>
    <xf numFmtId="0" fontId="7" fillId="0" borderId="11" xfId="3" applyFont="1" applyBorder="1" applyAlignment="1" applyProtection="1">
      <alignment horizontal="center" vertical="center" wrapText="1"/>
    </xf>
    <xf numFmtId="2" fontId="0" fillId="12" borderId="44" xfId="2" applyFont="1" applyFill="1" applyBorder="1" applyAlignment="1">
      <alignment horizontal="right" vertical="center"/>
    </xf>
    <xf numFmtId="0" fontId="0" fillId="6" borderId="37" xfId="0" applyFill="1" applyBorder="1" applyAlignment="1" applyProtection="1">
      <alignment horizontal="center"/>
      <protection locked="0"/>
    </xf>
    <xf numFmtId="0" fontId="0" fillId="6" borderId="27" xfId="0" applyFill="1" applyBorder="1" applyAlignment="1" applyProtection="1">
      <alignment horizontal="center"/>
      <protection locked="0"/>
    </xf>
    <xf numFmtId="0" fontId="0" fillId="6" borderId="13" xfId="0" applyFill="1" applyBorder="1" applyAlignment="1" applyProtection="1">
      <alignment horizontal="center"/>
      <protection locked="0"/>
    </xf>
    <xf numFmtId="0" fontId="0" fillId="0" borderId="18" xfId="0" applyBorder="1" applyAlignment="1">
      <alignment horizontal="left"/>
    </xf>
    <xf numFmtId="0" fontId="0" fillId="0" borderId="1" xfId="0" applyBorder="1" applyAlignment="1">
      <alignment horizontal="left"/>
    </xf>
    <xf numFmtId="0" fontId="6" fillId="0" borderId="19" xfId="3" applyBorder="1" applyAlignment="1">
      <alignment horizontal="center" vertical="center"/>
    </xf>
    <xf numFmtId="0" fontId="6" fillId="0" borderId="20" xfId="3" applyBorder="1" applyAlignment="1">
      <alignment horizontal="center" vertical="center"/>
    </xf>
    <xf numFmtId="0" fontId="6" fillId="0" borderId="14" xfId="3" applyBorder="1" applyAlignment="1">
      <alignment horizontal="center" vertical="center"/>
    </xf>
    <xf numFmtId="0" fontId="2" fillId="4" borderId="71" xfId="0" applyFont="1" applyFill="1" applyBorder="1" applyAlignment="1">
      <alignment horizontal="center" vertical="center" wrapText="1"/>
    </xf>
    <xf numFmtId="0" fontId="2" fillId="4" borderId="60" xfId="0" applyFont="1" applyFill="1" applyBorder="1" applyAlignment="1">
      <alignment horizontal="center" vertical="center" wrapText="1"/>
    </xf>
    <xf numFmtId="0" fontId="2" fillId="4" borderId="62" xfId="0" applyFont="1" applyFill="1" applyBorder="1" applyAlignment="1">
      <alignment horizontal="center" vertical="center" wrapText="1"/>
    </xf>
    <xf numFmtId="0" fontId="0" fillId="6" borderId="1" xfId="0" applyFill="1" applyBorder="1" applyAlignment="1" applyProtection="1">
      <alignment horizontal="left" vertical="center" wrapText="1"/>
      <protection locked="0"/>
    </xf>
    <xf numFmtId="0" fontId="0" fillId="6" borderId="11" xfId="0" applyFill="1" applyBorder="1" applyAlignment="1" applyProtection="1">
      <alignment horizontal="center" vertical="center" wrapText="1"/>
      <protection locked="0"/>
    </xf>
    <xf numFmtId="0" fontId="0" fillId="6" borderId="20" xfId="0" applyFill="1" applyBorder="1" applyAlignment="1" applyProtection="1">
      <alignment horizontal="left" vertical="center" wrapText="1"/>
      <protection locked="0"/>
    </xf>
    <xf numFmtId="0" fontId="4" fillId="18" borderId="30" xfId="0" applyFont="1" applyFill="1" applyBorder="1" applyAlignment="1">
      <alignment horizontal="left" vertical="center" wrapText="1"/>
    </xf>
    <xf numFmtId="0" fontId="4" fillId="18" borderId="6" xfId="0" applyFont="1" applyFill="1" applyBorder="1" applyAlignment="1">
      <alignment horizontal="left" vertical="center" wrapText="1"/>
    </xf>
    <xf numFmtId="0" fontId="4" fillId="18" borderId="6"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8" borderId="44"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2" borderId="1"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12" borderId="46" xfId="2" applyFont="1" applyFill="1" applyBorder="1" applyAlignment="1">
      <alignment horizontal="center"/>
    </xf>
    <xf numFmtId="2" fontId="0" fillId="12" borderId="5" xfId="2" applyFont="1" applyFill="1" applyBorder="1" applyAlignment="1">
      <alignment horizontal="center"/>
    </xf>
    <xf numFmtId="2" fontId="0" fillId="12" borderId="53" xfId="2" applyFont="1" applyFill="1" applyBorder="1" applyAlignment="1">
      <alignment horizontal="center"/>
    </xf>
    <xf numFmtId="0" fontId="0" fillId="12" borderId="12" xfId="0" applyFill="1" applyBorder="1" applyAlignment="1">
      <alignment horizontal="center"/>
    </xf>
    <xf numFmtId="0" fontId="0" fillId="12" borderId="27" xfId="0" applyFill="1" applyBorder="1" applyAlignment="1">
      <alignment horizontal="center"/>
    </xf>
    <xf numFmtId="0" fontId="0" fillId="7" borderId="15" xfId="0" applyFill="1" applyBorder="1" applyAlignment="1" applyProtection="1">
      <alignment horizontal="center"/>
      <protection locked="0"/>
    </xf>
    <xf numFmtId="0" fontId="0" fillId="7" borderId="16" xfId="0" applyFill="1" applyBorder="1" applyAlignment="1" applyProtection="1">
      <alignment horizontal="center"/>
      <protection locked="0"/>
    </xf>
    <xf numFmtId="0" fontId="2" fillId="0" borderId="19" xfId="0" applyFont="1" applyBorder="1" applyAlignment="1">
      <alignment horizontal="left"/>
    </xf>
    <xf numFmtId="0" fontId="2" fillId="0" borderId="20" xfId="0" applyFont="1" applyBorder="1" applyAlignment="1">
      <alignment horizontal="left"/>
    </xf>
    <xf numFmtId="0" fontId="2" fillId="0" borderId="14" xfId="0" applyFont="1" applyBorder="1" applyAlignment="1">
      <alignment horizontal="left"/>
    </xf>
    <xf numFmtId="0" fontId="2" fillId="0" borderId="7"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48" xfId="0" applyBorder="1" applyAlignment="1" applyProtection="1">
      <alignment horizontal="center" vertical="center"/>
      <protection locked="0"/>
    </xf>
    <xf numFmtId="0" fontId="0" fillId="0" borderId="6" xfId="0" applyBorder="1" applyAlignment="1" applyProtection="1">
      <alignment vertical="center" wrapText="1"/>
      <protection locked="0"/>
    </xf>
    <xf numFmtId="2" fontId="2" fillId="0" borderId="0" xfId="0" applyNumberFormat="1" applyFont="1" applyAlignment="1">
      <alignment horizontal="center" vertical="center"/>
    </xf>
    <xf numFmtId="0" fontId="0" fillId="6" borderId="18" xfId="0" applyFill="1" applyBorder="1" applyAlignment="1" applyProtection="1">
      <alignment horizontal="center"/>
      <protection locked="0"/>
    </xf>
    <xf numFmtId="0" fontId="13" fillId="6" borderId="2" xfId="0" applyFont="1" applyFill="1" applyBorder="1" applyAlignment="1" applyProtection="1">
      <alignment horizontal="center" vertical="center"/>
      <protection locked="0"/>
    </xf>
    <xf numFmtId="0" fontId="13" fillId="6" borderId="3" xfId="0" applyFont="1" applyFill="1" applyBorder="1" applyAlignment="1" applyProtection="1">
      <alignment horizontal="center" vertical="center"/>
      <protection locked="0"/>
    </xf>
    <xf numFmtId="0" fontId="13" fillId="6" borderId="21" xfId="0" applyFont="1" applyFill="1" applyBorder="1" applyAlignment="1" applyProtection="1">
      <alignment horizontal="center" vertical="center"/>
      <protection locked="0"/>
    </xf>
    <xf numFmtId="0" fontId="0" fillId="6" borderId="72" xfId="0" applyFill="1" applyBorder="1" applyAlignment="1" applyProtection="1">
      <alignment horizontal="center"/>
      <protection locked="0"/>
    </xf>
    <xf numFmtId="0" fontId="0" fillId="6" borderId="16" xfId="0" applyFill="1" applyBorder="1" applyAlignment="1" applyProtection="1">
      <alignment horizontal="center"/>
      <protection locked="0"/>
    </xf>
    <xf numFmtId="0" fontId="0" fillId="6" borderId="24" xfId="0" applyFill="1" applyBorder="1" applyAlignment="1" applyProtection="1">
      <alignment horizontal="center"/>
      <protection locked="0"/>
    </xf>
    <xf numFmtId="2" fontId="0" fillId="6" borderId="72"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3" fillId="18"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8"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7" xfId="0" applyFont="1" applyFill="1" applyBorder="1" applyAlignment="1">
      <alignment horizontal="center" vertical="center"/>
    </xf>
    <xf numFmtId="0" fontId="2" fillId="3" borderId="9" xfId="0" applyFont="1" applyFill="1" applyBorder="1" applyAlignment="1">
      <alignment horizontal="center" vertical="center"/>
    </xf>
    <xf numFmtId="0" fontId="2" fillId="0" borderId="0" xfId="0" applyFont="1" applyAlignment="1">
      <alignment horizontal="center" vertical="center" wrapText="1"/>
    </xf>
    <xf numFmtId="0" fontId="0" fillId="0" borderId="1"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0" fontId="0" fillId="0" borderId="20" xfId="0" applyBorder="1" applyAlignment="1" applyProtection="1">
      <alignment horizontal="center" vertical="center"/>
      <protection locked="0"/>
    </xf>
    <xf numFmtId="0" fontId="2" fillId="3" borderId="8" xfId="0" applyFont="1" applyFill="1" applyBorder="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0" fillId="0" borderId="43" xfId="0" applyBorder="1" applyAlignment="1" applyProtection="1">
      <alignment horizontal="center" vertical="center"/>
      <protection locked="0"/>
    </xf>
    <xf numFmtId="0" fontId="0" fillId="12" borderId="7" xfId="0" applyFill="1" applyBorder="1" applyAlignment="1">
      <alignment horizontal="center"/>
    </xf>
    <xf numFmtId="0" fontId="0" fillId="12" borderId="8" xfId="0" applyFill="1" applyBorder="1" applyAlignment="1">
      <alignment horizontal="center"/>
    </xf>
    <xf numFmtId="0" fontId="0" fillId="12" borderId="9" xfId="0" applyFill="1" applyBorder="1" applyAlignment="1">
      <alignment horizontal="center"/>
    </xf>
    <xf numFmtId="0" fontId="0" fillId="12" borderId="18" xfId="0" applyFill="1" applyBorder="1" applyAlignment="1">
      <alignment horizontal="center"/>
    </xf>
    <xf numFmtId="0" fontId="0" fillId="12" borderId="1" xfId="0" applyFill="1" applyBorder="1" applyAlignment="1">
      <alignment horizontal="center"/>
    </xf>
    <xf numFmtId="0" fontId="0" fillId="12" borderId="11" xfId="0" applyFill="1" applyBorder="1" applyAlignment="1">
      <alignment horizontal="center"/>
    </xf>
    <xf numFmtId="0" fontId="0" fillId="12" borderId="19" xfId="0" applyFill="1" applyBorder="1" applyAlignment="1">
      <alignment horizontal="center"/>
    </xf>
    <xf numFmtId="0" fontId="0" fillId="12" borderId="20" xfId="0" applyFill="1" applyBorder="1" applyAlignment="1">
      <alignment horizontal="center"/>
    </xf>
    <xf numFmtId="0" fontId="0" fillId="12" borderId="14" xfId="0" applyFill="1" applyBorder="1" applyAlignment="1">
      <alignment horizontal="center"/>
    </xf>
    <xf numFmtId="9" fontId="0" fillId="12" borderId="24" xfId="1" applyFont="1" applyFill="1" applyBorder="1" applyAlignment="1">
      <alignment horizontal="center"/>
    </xf>
    <xf numFmtId="9" fontId="0" fillId="12" borderId="8" xfId="1" applyFont="1" applyFill="1" applyBorder="1" applyAlignment="1">
      <alignment horizontal="center"/>
    </xf>
    <xf numFmtId="9" fontId="0" fillId="12" borderId="9" xfId="1" applyFont="1" applyFill="1" applyBorder="1" applyAlignment="1">
      <alignment horizontal="center"/>
    </xf>
    <xf numFmtId="9" fontId="0" fillId="12" borderId="53" xfId="1" applyFont="1" applyFill="1" applyBorder="1" applyAlignment="1">
      <alignment horizontal="center"/>
    </xf>
    <xf numFmtId="9" fontId="0" fillId="12" borderId="48" xfId="1" applyFont="1" applyFill="1" applyBorder="1" applyAlignment="1">
      <alignment horizontal="center"/>
    </xf>
    <xf numFmtId="9" fontId="0" fillId="12" borderId="51" xfId="1" applyFont="1" applyFill="1" applyBorder="1" applyAlignment="1">
      <alignment horizontal="center"/>
    </xf>
    <xf numFmtId="0" fontId="2" fillId="0" borderId="66" xfId="0" applyFont="1" applyBorder="1" applyAlignment="1">
      <alignment horizontal="center" vertical="center"/>
    </xf>
    <xf numFmtId="0" fontId="2" fillId="0" borderId="86" xfId="0" applyFont="1" applyBorder="1" applyAlignment="1">
      <alignment horizontal="center" vertical="center"/>
    </xf>
    <xf numFmtId="0" fontId="2" fillId="0" borderId="45" xfId="0" applyFont="1" applyBorder="1" applyAlignment="1">
      <alignment horizontal="center" vertical="center"/>
    </xf>
    <xf numFmtId="9" fontId="0" fillId="12" borderId="13" xfId="1" applyFont="1" applyFill="1" applyBorder="1" applyAlignment="1">
      <alignment horizontal="center"/>
    </xf>
    <xf numFmtId="9" fontId="0" fillId="12" borderId="20" xfId="1" applyFont="1" applyFill="1" applyBorder="1" applyAlignment="1">
      <alignment horizontal="center"/>
    </xf>
    <xf numFmtId="9" fontId="0" fillId="12" borderId="14" xfId="1" applyFont="1" applyFill="1" applyBorder="1" applyAlignment="1">
      <alignment horizontal="center"/>
    </xf>
    <xf numFmtId="0" fontId="0" fillId="12" borderId="3" xfId="0" applyFill="1" applyBorder="1" applyAlignment="1">
      <alignment horizontal="center"/>
    </xf>
    <xf numFmtId="0" fontId="0" fillId="12" borderId="5" xfId="0" applyFill="1" applyBorder="1" applyAlignment="1">
      <alignment horizontal="center"/>
    </xf>
    <xf numFmtId="0" fontId="0" fillId="12" borderId="10" xfId="0" applyFill="1" applyBorder="1" applyAlignment="1">
      <alignment horizontal="center"/>
    </xf>
    <xf numFmtId="0" fontId="2" fillId="0" borderId="39" xfId="0" applyFont="1" applyBorder="1" applyAlignment="1">
      <alignment horizontal="left"/>
    </xf>
    <xf numFmtId="0" fontId="2" fillId="0" borderId="48" xfId="0" applyFont="1" applyBorder="1" applyAlignment="1">
      <alignment horizontal="left"/>
    </xf>
    <xf numFmtId="0" fontId="2" fillId="0" borderId="51" xfId="0" applyFont="1" applyBorder="1" applyAlignment="1">
      <alignment horizontal="left"/>
    </xf>
    <xf numFmtId="0" fontId="6" fillId="0" borderId="53" xfId="3" applyBorder="1" applyAlignment="1">
      <alignment horizontal="center" vertical="center"/>
    </xf>
    <xf numFmtId="0" fontId="6" fillId="0" borderId="54" xfId="3" applyBorder="1" applyAlignment="1">
      <alignment horizontal="center" vertical="center"/>
    </xf>
    <xf numFmtId="0" fontId="6" fillId="0" borderId="40" xfId="3" applyBorder="1" applyAlignment="1">
      <alignment horizontal="center" vertical="center"/>
    </xf>
    <xf numFmtId="0" fontId="6" fillId="0" borderId="48" xfId="3" applyBorder="1" applyAlignment="1">
      <alignment horizontal="center" vertical="center"/>
    </xf>
    <xf numFmtId="0" fontId="6" fillId="0" borderId="50" xfId="3" applyBorder="1" applyAlignment="1">
      <alignment horizontal="center" vertical="center"/>
    </xf>
    <xf numFmtId="0" fontId="6" fillId="0" borderId="6" xfId="3" applyBorder="1" applyAlignment="1">
      <alignment horizontal="center" vertic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2" fontId="9" fillId="18" borderId="1" xfId="3" applyNumberFormat="1" applyFont="1" applyFill="1" applyBorder="1" applyAlignment="1" applyProtection="1">
      <alignment horizontal="right" vertical="center" wrapText="1"/>
      <protection locked="0"/>
    </xf>
    <xf numFmtId="2" fontId="9" fillId="18" borderId="11" xfId="3" applyNumberFormat="1" applyFont="1" applyFill="1" applyBorder="1" applyAlignment="1" applyProtection="1">
      <alignment horizontal="right" vertical="center" wrapText="1"/>
      <protection locked="0"/>
    </xf>
    <xf numFmtId="10" fontId="0" fillId="12" borderId="20" xfId="0" applyNumberFormat="1" applyFill="1" applyBorder="1" applyAlignment="1">
      <alignment horizontal="right" vertical="center"/>
    </xf>
    <xf numFmtId="10" fontId="0" fillId="12" borderId="14" xfId="0" applyNumberFormat="1" applyFill="1" applyBorder="1" applyAlignment="1">
      <alignment horizontal="right" vertical="center"/>
    </xf>
    <xf numFmtId="2" fontId="0" fillId="18" borderId="2" xfId="0" applyNumberFormat="1" applyFill="1" applyBorder="1" applyAlignment="1" applyProtection="1">
      <alignment horizontal="right" vertical="center" wrapText="1"/>
      <protection locked="0"/>
    </xf>
    <xf numFmtId="2" fontId="0" fillId="18" borderId="3" xfId="0" applyNumberFormat="1" applyFill="1" applyBorder="1" applyAlignment="1" applyProtection="1">
      <alignment horizontal="right" vertical="center" wrapText="1"/>
      <protection locked="0"/>
    </xf>
    <xf numFmtId="2" fontId="0" fillId="18" borderId="21" xfId="0" applyNumberFormat="1" applyFill="1" applyBorder="1" applyAlignment="1" applyProtection="1">
      <alignment horizontal="right" vertical="center" wrapText="1"/>
      <protection locked="0"/>
    </xf>
    <xf numFmtId="0" fontId="4" fillId="12" borderId="37" xfId="0" applyFont="1" applyFill="1" applyBorder="1" applyAlignment="1">
      <alignment horizontal="right" vertical="center" wrapText="1"/>
    </xf>
    <xf numFmtId="0" fontId="4" fillId="12" borderId="27" xfId="0" applyFont="1" applyFill="1" applyBorder="1" applyAlignment="1">
      <alignment horizontal="right" vertical="center" wrapText="1"/>
    </xf>
    <xf numFmtId="0" fontId="4" fillId="12" borderId="36" xfId="0" applyFont="1" applyFill="1" applyBorder="1" applyAlignment="1">
      <alignment horizontal="right" vertical="center" wrapText="1"/>
    </xf>
    <xf numFmtId="0" fontId="6" fillId="7" borderId="51" xfId="3" applyFill="1" applyBorder="1" applyAlignment="1">
      <alignment horizontal="center" vertical="center"/>
    </xf>
    <xf numFmtId="0" fontId="6" fillId="0" borderId="84" xfId="3" applyBorder="1" applyAlignment="1">
      <alignment horizontal="center" vertical="center"/>
    </xf>
    <xf numFmtId="0" fontId="6" fillId="0" borderId="44" xfId="3" applyBorder="1" applyAlignment="1">
      <alignment horizontal="center" vertical="center"/>
    </xf>
    <xf numFmtId="0" fontId="0" fillId="0" borderId="84" xfId="0" applyBorder="1" applyAlignment="1">
      <alignment horizontal="center" vertical="center"/>
    </xf>
    <xf numFmtId="0" fontId="0" fillId="0" borderId="44" xfId="0" applyBorder="1" applyAlignment="1">
      <alignment horizontal="center" vertical="center"/>
    </xf>
    <xf numFmtId="2" fontId="0" fillId="18" borderId="1" xfId="0" applyNumberFormat="1" applyFill="1" applyBorder="1" applyAlignment="1" applyProtection="1">
      <alignment horizontal="right" vertical="center" wrapText="1"/>
      <protection locked="0"/>
    </xf>
    <xf numFmtId="2" fontId="0" fillId="18" borderId="11" xfId="0" applyNumberFormat="1" applyFill="1" applyBorder="1" applyAlignment="1" applyProtection="1">
      <alignment horizontal="right" vertical="center" wrapText="1"/>
      <protection locked="0"/>
    </xf>
    <xf numFmtId="2" fontId="0" fillId="0" borderId="37" xfId="0" applyNumberFormat="1" applyBorder="1" applyAlignment="1" applyProtection="1">
      <alignment horizontal="right" vertical="center" wrapText="1"/>
      <protection locked="0"/>
    </xf>
    <xf numFmtId="2" fontId="0" fillId="0" borderId="27" xfId="0" applyNumberFormat="1" applyBorder="1" applyAlignment="1" applyProtection="1">
      <alignment horizontal="right" vertical="center" wrapText="1"/>
      <protection locked="0"/>
    </xf>
    <xf numFmtId="2" fontId="0" fillId="0" borderId="36" xfId="0" applyNumberFormat="1" applyBorder="1" applyAlignment="1" applyProtection="1">
      <alignment horizontal="right" vertical="center" wrapText="1"/>
      <protection locked="0"/>
    </xf>
    <xf numFmtId="0" fontId="2" fillId="4" borderId="71" xfId="0" applyFont="1" applyFill="1" applyBorder="1" applyAlignment="1">
      <alignment horizontal="center" wrapText="1"/>
    </xf>
    <xf numFmtId="0" fontId="2" fillId="4" borderId="60" xfId="0" applyFont="1" applyFill="1" applyBorder="1" applyAlignment="1">
      <alignment horizontal="center" wrapText="1"/>
    </xf>
    <xf numFmtId="0" fontId="2" fillId="4" borderId="62" xfId="0" applyFont="1" applyFill="1" applyBorder="1" applyAlignment="1">
      <alignment horizontal="center" wrapText="1"/>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0" fillId="12" borderId="33" xfId="2" applyFont="1" applyFill="1" applyBorder="1" applyAlignment="1">
      <alignment horizontal="center" vertical="center"/>
    </xf>
    <xf numFmtId="2" fontId="0" fillId="12" borderId="34" xfId="2" applyFont="1" applyFill="1" applyBorder="1" applyAlignment="1">
      <alignment horizontal="center" vertical="center"/>
    </xf>
    <xf numFmtId="2" fontId="0" fillId="12" borderId="35" xfId="2" applyFont="1" applyFill="1" applyBorder="1" applyAlignment="1">
      <alignment horizontal="center"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2" fontId="1" fillId="12" borderId="60" xfId="2" applyFill="1" applyBorder="1" applyAlignment="1">
      <alignment horizontal="center" vertical="center"/>
    </xf>
    <xf numFmtId="2" fontId="1" fillId="12" borderId="62" xfId="2" applyFill="1" applyBorder="1" applyAlignment="1">
      <alignment horizontal="center" vertical="center"/>
    </xf>
    <xf numFmtId="0" fontId="2" fillId="3" borderId="70"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12" borderId="1" xfId="0" applyNumberFormat="1" applyFill="1" applyBorder="1" applyAlignment="1">
      <alignment horizontal="right" wrapText="1"/>
    </xf>
    <xf numFmtId="2" fontId="0" fillId="12" borderId="11" xfId="0" applyNumberFormat="1" applyFill="1" applyBorder="1" applyAlignment="1">
      <alignment horizontal="right" wrapText="1"/>
    </xf>
    <xf numFmtId="2" fontId="0" fillId="12" borderId="20" xfId="0" applyNumberFormat="1" applyFill="1" applyBorder="1" applyAlignment="1">
      <alignment horizontal="right" wrapText="1"/>
    </xf>
    <xf numFmtId="2" fontId="0" fillId="12" borderId="14" xfId="0" applyNumberFormat="1" applyFill="1" applyBorder="1" applyAlignment="1">
      <alignment horizontal="right" wrapText="1"/>
    </xf>
    <xf numFmtId="0" fontId="2" fillId="0" borderId="18"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21" xfId="0" applyFont="1" applyBorder="1" applyAlignment="1">
      <alignment horizontal="center" vertical="center" wrapText="1"/>
    </xf>
    <xf numFmtId="0" fontId="10" fillId="18" borderId="18" xfId="3" applyFont="1" applyFill="1" applyBorder="1" applyAlignment="1" applyProtection="1">
      <alignment horizontal="center" vertical="center" wrapText="1"/>
    </xf>
    <xf numFmtId="0" fontId="37" fillId="18" borderId="1" xfId="3" applyFont="1" applyFill="1" applyBorder="1" applyAlignment="1" applyProtection="1">
      <alignment horizontal="center" vertical="center" wrapText="1"/>
    </xf>
    <xf numFmtId="0" fontId="10" fillId="18" borderId="1" xfId="3" applyFont="1" applyFill="1" applyBorder="1" applyAlignment="1" applyProtection="1">
      <alignment horizontal="center" vertical="center" wrapText="1"/>
      <extLst>
        <ext xmlns:xfpb="http://schemas.microsoft.com/office/spreadsheetml/2022/featurepropertybag" uri="{C7286773-470A-42A8-94C5-96B5CB345126}">
          <xfpb:xfComplement i="0"/>
        </ext>
      </extLst>
    </xf>
    <xf numFmtId="0" fontId="10" fillId="18" borderId="11" xfId="3" applyFont="1" applyFill="1" applyBorder="1" applyAlignment="1" applyProtection="1">
      <alignment horizontal="center" vertical="center" wrapText="1"/>
      <extLst>
        <ext xmlns:xfpb="http://schemas.microsoft.com/office/spreadsheetml/2022/featurepropertybag" uri="{C7286773-470A-42A8-94C5-96B5CB345126}">
          <xfpb:xfComplement i="0"/>
        </ext>
      </extLst>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2" fontId="0" fillId="6" borderId="1" xfId="0" applyNumberFormat="1" applyFill="1" applyBorder="1" applyAlignment="1" applyProtection="1">
      <alignment horizontal="right" vertical="center" wrapText="1"/>
      <protection locked="0"/>
    </xf>
    <xf numFmtId="2" fontId="0" fillId="6" borderId="11" xfId="0" applyNumberFormat="1" applyFill="1" applyBorder="1" applyAlignment="1" applyProtection="1">
      <alignment horizontal="right" vertical="center" wrapText="1"/>
      <protection locked="0"/>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8" borderId="2" xfId="0" applyNumberFormat="1" applyFont="1" applyFill="1" applyBorder="1" applyAlignment="1" applyProtection="1">
      <alignment horizontal="right" vertical="center" wrapText="1"/>
      <protection locked="0"/>
    </xf>
    <xf numFmtId="2" fontId="9" fillId="18" borderId="3" xfId="0" applyNumberFormat="1" applyFont="1" applyFill="1" applyBorder="1" applyAlignment="1" applyProtection="1">
      <alignment horizontal="right" vertical="center" wrapText="1"/>
      <protection locked="0"/>
    </xf>
    <xf numFmtId="2" fontId="9" fillId="18" borderId="21" xfId="0" applyNumberFormat="1" applyFont="1" applyFill="1" applyBorder="1" applyAlignment="1" applyProtection="1">
      <alignment horizontal="right" vertical="center" wrapText="1"/>
      <protection locked="0"/>
    </xf>
    <xf numFmtId="2" fontId="0" fillId="12" borderId="2" xfId="0" applyNumberFormat="1" applyFill="1" applyBorder="1" applyAlignment="1" applyProtection="1">
      <alignment horizontal="right" vertical="center" wrapText="1"/>
      <protection locked="0"/>
    </xf>
    <xf numFmtId="2" fontId="0" fillId="12" borderId="3" xfId="0" applyNumberFormat="1" applyFill="1" applyBorder="1" applyAlignment="1" applyProtection="1">
      <alignment horizontal="right" vertical="center" wrapText="1"/>
      <protection locked="0"/>
    </xf>
    <xf numFmtId="2" fontId="0" fillId="12" borderId="21" xfId="0" applyNumberFormat="1" applyFill="1" applyBorder="1" applyAlignment="1" applyProtection="1">
      <alignment horizontal="right" vertical="center" wrapText="1"/>
      <protection locked="0"/>
    </xf>
    <xf numFmtId="2" fontId="0" fillId="12" borderId="37" xfId="0" applyNumberFormat="1" applyFill="1" applyBorder="1" applyAlignment="1" applyProtection="1">
      <alignment horizontal="right" vertical="center" wrapText="1"/>
      <protection locked="0"/>
    </xf>
    <xf numFmtId="2" fontId="0" fillId="12" borderId="27" xfId="0" applyNumberFormat="1" applyFill="1" applyBorder="1" applyAlignment="1" applyProtection="1">
      <alignment horizontal="right" vertical="center" wrapText="1"/>
      <protection locked="0"/>
    </xf>
    <xf numFmtId="2" fontId="0" fillId="12" borderId="36" xfId="0" applyNumberFormat="1" applyFill="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0" borderId="41" xfId="0" applyBorder="1" applyAlignment="1" applyProtection="1">
      <alignment horizontal="center" vertical="center"/>
      <protection locked="0"/>
    </xf>
    <xf numFmtId="0" fontId="0" fillId="0" borderId="56" xfId="0" applyBorder="1" applyAlignment="1" applyProtection="1">
      <alignment horizontal="center" vertical="center"/>
      <protection locked="0"/>
    </xf>
    <xf numFmtId="0" fontId="4" fillId="7" borderId="67" xfId="0" applyFont="1" applyFill="1" applyBorder="1" applyAlignment="1">
      <alignment horizontal="center"/>
    </xf>
    <xf numFmtId="0" fontId="4" fillId="7" borderId="68" xfId="0" applyFont="1" applyFill="1" applyBorder="1" applyAlignment="1">
      <alignment horizontal="center"/>
    </xf>
    <xf numFmtId="0" fontId="4" fillId="7" borderId="69" xfId="0" applyFont="1" applyFill="1" applyBorder="1" applyAlignment="1">
      <alignment horizontal="center"/>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0" fillId="0" borderId="8"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9" xfId="0" applyBorder="1" applyAlignment="1" applyProtection="1">
      <alignment horizontal="left" vertical="top" wrapText="1"/>
      <protection locked="0"/>
    </xf>
    <xf numFmtId="2" fontId="0" fillId="0" borderId="43" xfId="0" applyNumberFormat="1" applyBorder="1" applyAlignment="1" applyProtection="1">
      <alignment horizontal="right" vertical="center" wrapText="1"/>
      <protection locked="0"/>
    </xf>
    <xf numFmtId="2" fontId="0" fillId="0" borderId="41" xfId="0" applyNumberFormat="1" applyBorder="1" applyAlignment="1" applyProtection="1">
      <alignment horizontal="right" vertical="center" wrapText="1"/>
      <protection locked="0"/>
    </xf>
    <xf numFmtId="2" fontId="0" fillId="0" borderId="56" xfId="0" applyNumberFormat="1" applyBorder="1" applyAlignment="1" applyProtection="1">
      <alignment horizontal="right" vertical="center" wrapText="1"/>
      <protection locked="0"/>
    </xf>
    <xf numFmtId="0" fontId="6" fillId="7" borderId="41" xfId="3" applyFill="1" applyBorder="1" applyAlignment="1">
      <alignment horizontal="center" wrapText="1"/>
    </xf>
    <xf numFmtId="0" fontId="6" fillId="7" borderId="56" xfId="3" applyFill="1" applyBorder="1" applyAlignment="1">
      <alignment horizontal="center" wrapText="1"/>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0" borderId="11" xfId="0" applyBorder="1" applyAlignment="1" applyProtection="1">
      <alignment horizontal="center"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10" fontId="0" fillId="12" borderId="1" xfId="0" applyNumberFormat="1" applyFill="1" applyBorder="1" applyAlignment="1">
      <alignment horizontal="right" vertical="center" wrapText="1"/>
    </xf>
    <xf numFmtId="10" fontId="0" fillId="12" borderId="11" xfId="0" applyNumberFormat="1" applyFill="1" applyBorder="1" applyAlignment="1">
      <alignment horizontal="right" vertical="center" wrapText="1"/>
    </xf>
    <xf numFmtId="0" fontId="2" fillId="4" borderId="38" xfId="0" applyFont="1" applyFill="1" applyBorder="1" applyAlignment="1">
      <alignment horizontal="center" wrapText="1"/>
    </xf>
    <xf numFmtId="0" fontId="2" fillId="4" borderId="64" xfId="0" applyFont="1" applyFill="1" applyBorder="1" applyAlignment="1">
      <alignment horizontal="center" wrapText="1"/>
    </xf>
    <xf numFmtId="0" fontId="2" fillId="4" borderId="42" xfId="0" applyFont="1" applyFill="1" applyBorder="1" applyAlignment="1">
      <alignment horizontal="center" wrapText="1"/>
    </xf>
    <xf numFmtId="2" fontId="0" fillId="18" borderId="72" xfId="0" applyNumberFormat="1" applyFill="1" applyBorder="1" applyAlignment="1" applyProtection="1">
      <alignment horizontal="right" vertical="center" wrapText="1"/>
      <protection locked="0"/>
    </xf>
    <xf numFmtId="2" fontId="0" fillId="18" borderId="16" xfId="0" applyNumberFormat="1" applyFill="1" applyBorder="1" applyAlignment="1" applyProtection="1">
      <alignment horizontal="right" vertical="center" wrapText="1"/>
      <protection locked="0"/>
    </xf>
    <xf numFmtId="2" fontId="0" fillId="18" borderId="17" xfId="0" applyNumberFormat="1" applyFill="1" applyBorder="1" applyAlignment="1" applyProtection="1">
      <alignment horizontal="right" vertical="center" wrapText="1"/>
      <protection locked="0"/>
    </xf>
    <xf numFmtId="2" fontId="0" fillId="12" borderId="37" xfId="0" applyNumberFormat="1" applyFill="1" applyBorder="1" applyAlignment="1">
      <alignment horizontal="right" vertical="center" wrapText="1"/>
    </xf>
    <xf numFmtId="2" fontId="0" fillId="12" borderId="27" xfId="0" applyNumberFormat="1" applyFill="1" applyBorder="1" applyAlignment="1">
      <alignment horizontal="right" vertical="center" wrapText="1"/>
    </xf>
    <xf numFmtId="2" fontId="0" fillId="12"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10" fontId="0" fillId="12" borderId="20" xfId="0" applyNumberFormat="1" applyFill="1" applyBorder="1" applyAlignment="1" applyProtection="1">
      <alignment horizontal="right" vertical="center"/>
      <protection locked="0"/>
    </xf>
    <xf numFmtId="10" fontId="0" fillId="12" borderId="14" xfId="0" applyNumberFormat="1" applyFill="1" applyBorder="1" applyAlignment="1" applyProtection="1">
      <alignment horizontal="right" vertical="center"/>
      <protection locked="0"/>
    </xf>
    <xf numFmtId="0" fontId="2" fillId="3" borderId="71" xfId="0" applyFont="1" applyFill="1" applyBorder="1" applyAlignment="1">
      <alignment horizontal="center" wrapText="1"/>
    </xf>
    <xf numFmtId="0" fontId="2" fillId="3" borderId="60" xfId="0" applyFont="1" applyFill="1" applyBorder="1" applyAlignment="1">
      <alignment horizontal="center" wrapText="1"/>
    </xf>
    <xf numFmtId="0" fontId="2" fillId="3" borderId="62" xfId="0" applyFont="1" applyFill="1" applyBorder="1" applyAlignment="1">
      <alignment horizont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48"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2" fillId="4" borderId="33" xfId="0" applyFont="1" applyFill="1" applyBorder="1" applyAlignment="1">
      <alignment horizontal="center"/>
    </xf>
    <xf numFmtId="0" fontId="2" fillId="4" borderId="34" xfId="0" applyFont="1" applyFill="1" applyBorder="1" applyAlignment="1">
      <alignment horizontal="center"/>
    </xf>
    <xf numFmtId="0" fontId="2" fillId="4" borderId="35" xfId="0" applyFont="1" applyFill="1" applyBorder="1" applyAlignment="1">
      <alignment horizontal="center"/>
    </xf>
    <xf numFmtId="0" fontId="0" fillId="0" borderId="57" xfId="0" applyBorder="1" applyAlignment="1">
      <alignment horizontal="left" vertical="center" wrapText="1"/>
    </xf>
    <xf numFmtId="0" fontId="0" fillId="7" borderId="18" xfId="0" applyFill="1" applyBorder="1" applyAlignment="1">
      <alignment horizontal="left" vertical="center" wrapText="1"/>
    </xf>
    <xf numFmtId="0" fontId="0" fillId="7" borderId="1" xfId="0" applyFill="1" applyBorder="1" applyAlignment="1">
      <alignment horizontal="left" vertical="center" wrapText="1"/>
    </xf>
    <xf numFmtId="0" fontId="0" fillId="7" borderId="19" xfId="0" applyFill="1" applyBorder="1" applyAlignment="1">
      <alignment horizontal="left" vertical="center" wrapText="1"/>
    </xf>
    <xf numFmtId="0" fontId="0" fillId="7" borderId="20" xfId="0" applyFill="1" applyBorder="1" applyAlignment="1">
      <alignment horizontal="left" vertical="center" wrapText="1"/>
    </xf>
    <xf numFmtId="0" fontId="46" fillId="7" borderId="28" xfId="0" applyFont="1" applyFill="1" applyBorder="1" applyAlignment="1">
      <alignment horizontal="center" vertical="center" wrapText="1"/>
    </xf>
    <xf numFmtId="0" fontId="46" fillId="7" borderId="29" xfId="0" applyFont="1" applyFill="1" applyBorder="1" applyAlignment="1">
      <alignment horizontal="center" vertical="center" wrapText="1"/>
    </xf>
    <xf numFmtId="0" fontId="46" fillId="7" borderId="31" xfId="0" applyFont="1" applyFill="1" applyBorder="1" applyAlignment="1">
      <alignment horizontal="center" vertical="center" wrapText="1"/>
    </xf>
    <xf numFmtId="0" fontId="18" fillId="7" borderId="45" xfId="0" applyFont="1" applyFill="1" applyBorder="1" applyAlignment="1">
      <alignment horizontal="center" vertical="center" wrapText="1"/>
    </xf>
    <xf numFmtId="0" fontId="18" fillId="7" borderId="22" xfId="0" applyFont="1" applyFill="1" applyBorder="1" applyAlignment="1">
      <alignment horizontal="center" vertical="center" wrapText="1"/>
    </xf>
    <xf numFmtId="0" fontId="18" fillId="7" borderId="23" xfId="0" applyFont="1" applyFill="1" applyBorder="1" applyAlignment="1">
      <alignment horizontal="center" vertical="center" wrapText="1"/>
    </xf>
    <xf numFmtId="0" fontId="0" fillId="7" borderId="25" xfId="0" applyFill="1" applyBorder="1" applyAlignment="1">
      <alignment horizontal="left" vertical="center" wrapText="1"/>
    </xf>
    <xf numFmtId="0" fontId="0" fillId="7" borderId="0" xfId="0" applyFill="1" applyAlignment="1">
      <alignment horizontal="left" vertical="center" wrapText="1"/>
    </xf>
    <xf numFmtId="0" fontId="0" fillId="0" borderId="63" xfId="0" applyBorder="1" applyAlignment="1" applyProtection="1">
      <alignment horizontal="left" vertical="center" wrapText="1"/>
      <protection locked="0"/>
    </xf>
    <xf numFmtId="0" fontId="2" fillId="7" borderId="18" xfId="0" applyFont="1" applyFill="1" applyBorder="1" applyAlignment="1">
      <alignment horizontal="center"/>
    </xf>
    <xf numFmtId="0" fontId="2" fillId="7" borderId="11" xfId="0" applyFont="1" applyFill="1" applyBorder="1" applyAlignment="1">
      <alignment horizontal="center"/>
    </xf>
    <xf numFmtId="0" fontId="2" fillId="7" borderId="19" xfId="0" applyFont="1" applyFill="1" applyBorder="1" applyAlignment="1">
      <alignment horizontal="center"/>
    </xf>
    <xf numFmtId="0" fontId="2" fillId="7" borderId="14" xfId="0" applyFont="1" applyFill="1" applyBorder="1" applyAlignment="1">
      <alignment horizontal="center"/>
    </xf>
    <xf numFmtId="0" fontId="31" fillId="7" borderId="0" xfId="0" applyFont="1" applyFill="1" applyAlignment="1">
      <alignment horizontal="left" wrapText="1"/>
    </xf>
    <xf numFmtId="0" fontId="0" fillId="7" borderId="0" xfId="0" applyFill="1"/>
    <xf numFmtId="0" fontId="35" fillId="7" borderId="0" xfId="0" applyFont="1" applyFill="1"/>
    <xf numFmtId="0" fontId="2" fillId="0" borderId="78" xfId="0" applyFont="1" applyBorder="1" applyAlignment="1">
      <alignment horizontal="center"/>
    </xf>
    <xf numFmtId="0" fontId="2" fillId="0" borderId="35" xfId="0" applyFont="1" applyBorder="1" applyAlignment="1">
      <alignment horizontal="center"/>
    </xf>
    <xf numFmtId="166" fontId="2" fillId="12" borderId="78" xfId="2" quotePrefix="1" applyNumberFormat="1" applyFont="1" applyFill="1" applyBorder="1" applyAlignment="1">
      <alignment horizontal="center" vertical="center"/>
    </xf>
    <xf numFmtId="166" fontId="2" fillId="12" borderId="35" xfId="2" applyNumberFormat="1" applyFont="1" applyFill="1" applyBorder="1" applyAlignment="1">
      <alignment horizontal="center" vertical="center"/>
    </xf>
    <xf numFmtId="0" fontId="0" fillId="5" borderId="28" xfId="0" applyFill="1" applyBorder="1" applyAlignment="1">
      <alignment horizontal="center" vertical="center"/>
    </xf>
    <xf numFmtId="0" fontId="0" fillId="5" borderId="29" xfId="0" applyFill="1" applyBorder="1" applyAlignment="1">
      <alignment horizontal="center" vertical="center"/>
    </xf>
    <xf numFmtId="0" fontId="0" fillId="5" borderId="31" xfId="0" applyFill="1" applyBorder="1" applyAlignment="1">
      <alignment horizontal="center" vertical="center"/>
    </xf>
    <xf numFmtId="0" fontId="0" fillId="5" borderId="45" xfId="0" applyFill="1" applyBorder="1" applyAlignment="1">
      <alignment horizontal="center" vertical="center"/>
    </xf>
    <xf numFmtId="0" fontId="0" fillId="5" borderId="22" xfId="0" applyFill="1" applyBorder="1" applyAlignment="1">
      <alignment horizontal="center" vertical="center"/>
    </xf>
    <xf numFmtId="0" fontId="0" fillId="5" borderId="23" xfId="0" applyFill="1" applyBorder="1" applyAlignment="1">
      <alignment horizontal="center" vertical="center"/>
    </xf>
    <xf numFmtId="0" fontId="0" fillId="5"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5"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2" fillId="7" borderId="7" xfId="0" applyFont="1" applyFill="1" applyBorder="1" applyAlignment="1">
      <alignment horizontal="center"/>
    </xf>
    <xf numFmtId="0" fontId="2" fillId="7" borderId="9" xfId="0" applyFont="1" applyFill="1" applyBorder="1" applyAlignment="1">
      <alignment horizontal="center"/>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7" borderId="75" xfId="0" applyFont="1" applyFill="1" applyBorder="1" applyAlignment="1">
      <alignment horizontal="center"/>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17" borderId="28" xfId="0" applyFont="1" applyFill="1" applyBorder="1" applyAlignment="1">
      <alignment horizontal="center" vertical="center" wrapText="1"/>
    </xf>
    <xf numFmtId="0" fontId="2" fillId="17" borderId="29" xfId="0" applyFont="1" applyFill="1" applyBorder="1" applyAlignment="1">
      <alignment horizontal="center" vertical="center" wrapText="1"/>
    </xf>
    <xf numFmtId="0" fontId="2" fillId="17" borderId="31" xfId="0" applyFont="1" applyFill="1" applyBorder="1" applyAlignment="1">
      <alignment horizontal="center" vertical="center" wrapText="1"/>
    </xf>
    <xf numFmtId="0" fontId="0" fillId="17" borderId="7" xfId="0" applyFill="1" applyBorder="1" applyAlignment="1">
      <alignment horizontal="center" vertical="center"/>
    </xf>
    <xf numFmtId="0" fontId="0" fillId="17" borderId="19" xfId="0" applyFill="1" applyBorder="1" applyAlignment="1">
      <alignment horizontal="center" vertical="center"/>
    </xf>
    <xf numFmtId="0" fontId="0" fillId="17" borderId="8" xfId="0" applyFill="1" applyBorder="1" applyAlignment="1">
      <alignment horizontal="center" vertical="center"/>
    </xf>
    <xf numFmtId="0" fontId="0" fillId="17" borderId="20" xfId="0" applyFill="1" applyBorder="1" applyAlignment="1">
      <alignment horizontal="center" vertical="center"/>
    </xf>
    <xf numFmtId="0" fontId="0" fillId="17" borderId="30" xfId="0" applyFill="1" applyBorder="1" applyAlignment="1">
      <alignment horizontal="center" vertical="center"/>
    </xf>
    <xf numFmtId="0" fontId="0" fillId="17" borderId="18" xfId="0" applyFill="1" applyBorder="1" applyAlignment="1">
      <alignment horizontal="center" vertical="center"/>
    </xf>
    <xf numFmtId="0" fontId="0" fillId="17" borderId="6" xfId="0" applyFill="1" applyBorder="1" applyAlignment="1">
      <alignment horizontal="center" vertical="center"/>
    </xf>
    <xf numFmtId="0" fontId="0" fillId="17" borderId="1" xfId="0" applyFill="1" applyBorder="1" applyAlignment="1">
      <alignment horizontal="center" vertical="center"/>
    </xf>
    <xf numFmtId="0" fontId="0" fillId="17" borderId="15" xfId="0" applyFill="1" applyBorder="1" applyAlignment="1">
      <alignment horizontal="center"/>
    </xf>
    <xf numFmtId="0" fontId="0" fillId="17" borderId="16" xfId="0" applyFill="1" applyBorder="1" applyAlignment="1">
      <alignment horizontal="center"/>
    </xf>
    <xf numFmtId="0" fontId="0" fillId="17" borderId="17" xfId="0" applyFill="1" applyBorder="1" applyAlignment="1">
      <alignment horizontal="center"/>
    </xf>
    <xf numFmtId="165" fontId="1" fillId="15" borderId="45" xfId="2" applyNumberFormat="1" applyFill="1" applyBorder="1" applyAlignment="1" applyProtection="1">
      <alignment horizontal="center" vertical="center"/>
      <protection locked="0"/>
    </xf>
    <xf numFmtId="165" fontId="1" fillId="15" borderId="22" xfId="2" applyNumberFormat="1" applyFill="1" applyBorder="1" applyAlignment="1" applyProtection="1">
      <alignment horizontal="center" vertical="center"/>
      <protection locked="0"/>
    </xf>
    <xf numFmtId="165" fontId="1" fillId="15" borderId="23" xfId="2" applyNumberFormat="1" applyFill="1" applyBorder="1" applyAlignment="1" applyProtection="1">
      <alignment horizontal="center" vertical="center"/>
      <protection locked="0"/>
    </xf>
    <xf numFmtId="0" fontId="2" fillId="17" borderId="33" xfId="0" applyFont="1" applyFill="1" applyBorder="1" applyAlignment="1">
      <alignment horizontal="center" vertical="center" wrapText="1"/>
    </xf>
    <xf numFmtId="0" fontId="2" fillId="17" borderId="34" xfId="0" applyFont="1" applyFill="1" applyBorder="1" applyAlignment="1">
      <alignment horizontal="center" vertical="center" wrapText="1"/>
    </xf>
    <xf numFmtId="0" fontId="2" fillId="17" borderId="35" xfId="0" applyFont="1" applyFill="1" applyBorder="1" applyAlignment="1">
      <alignment horizontal="center" vertical="center" wrapText="1"/>
    </xf>
    <xf numFmtId="0" fontId="0" fillId="0" borderId="86" xfId="0" quotePrefix="1" applyBorder="1" applyAlignment="1">
      <alignment horizontal="center" vertical="center" wrapText="1"/>
    </xf>
    <xf numFmtId="0" fontId="0" fillId="0" borderId="88" xfId="0" applyBorder="1" applyAlignment="1">
      <alignment horizontal="center" vertical="center" wrapText="1"/>
    </xf>
  </cellXfs>
  <cellStyles count="5">
    <cellStyle name="Auto-Calculated-Cells" xfId="2" xr:uid="{4E8529B9-507C-4B39-B503-553D51545A9E}"/>
    <cellStyle name="Comma" xfId="4" builtinId="3"/>
    <cellStyle name="Hyperlink" xfId="3" builtinId="8"/>
    <cellStyle name="Normal" xfId="0" builtinId="0"/>
    <cellStyle name="Percent" xfId="1" builtinId="5"/>
  </cellStyles>
  <dxfs count="397">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00B05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00B05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fill>
        <patternFill>
          <bgColor theme="8" tint="0.79998168889431442"/>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theme="0" tint="-0.14996795556505021"/>
        </patternFill>
      </fill>
    </dxf>
    <dxf>
      <fill>
        <patternFill>
          <bgColor theme="0"/>
        </patternFill>
      </fill>
    </dxf>
    <dxf>
      <fill>
        <patternFill>
          <bgColor theme="0" tint="-0.14996795556505021"/>
        </patternFill>
      </fill>
    </dxf>
    <dxf>
      <numFmt numFmtId="0" formatCode="General"/>
      <fill>
        <patternFill>
          <bgColor theme="0" tint="-0.14996795556505021"/>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ont>
        <b/>
        <i val="0"/>
      </font>
      <fill>
        <patternFill>
          <bgColor rgb="FFFF0000"/>
        </patternFill>
      </fill>
    </dxf>
    <dxf>
      <font>
        <b/>
        <i val="0"/>
      </font>
      <fill>
        <patternFill>
          <bgColor rgb="FFFF0000"/>
        </patternFill>
      </fill>
    </dxf>
    <dxf>
      <numFmt numFmtId="0" formatCode="General"/>
      <fill>
        <patternFill>
          <bgColor theme="0" tint="-0.14996795556505021"/>
        </patternFill>
      </fill>
    </dxf>
    <dxf>
      <fill>
        <patternFill>
          <bgColor rgb="FFFFFF99"/>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ont>
        <b/>
        <i val="0"/>
      </font>
    </dxf>
    <dxf>
      <font>
        <b/>
        <i val="0"/>
      </font>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00"/>
      <color rgb="FFFFFF99"/>
      <color rgb="FFFFC000"/>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3.xml"/></Relationships>
</file>

<file path=xl/documenttasks/documenttask1.xml><?xml version="1.0" encoding="utf-8"?>
<Tasks xmlns="http://schemas.microsoft.com/office/tasks/2019/documenttasks">
  <Task id="{1B5C1F63-B020-4FD9-8A8F-F6008D01BDEA}">
    <Anchor>
      <Comment id="{20E01DFF-755D-48A7-B249-08EB863A2C76}"/>
    </Anchor>
    <History>
      <Event time="2026-08-11T15:25:40.96" id="{34C98360-FC7B-459D-9B23-428C7758C22F}">
        <Attribution userId="S::sergio.carosio@efrag.org::845cb9e5-9f93-4962-8fab-e139c5d6076c" userName="Sergio Carosio" userProvider="AD"/>
        <Anchor>
          <Comment id="{20E01DFF-755D-48A7-B249-08EB863A2C76}"/>
        </Anchor>
        <Create/>
      </Event>
      <Event time="2026-08-11T15:25:40.96" id="{A180C8BD-1321-43BE-9723-182EEA920A0F}">
        <Attribution userId="S::sergio.carosio@efrag.org::845cb9e5-9f93-4962-8fab-e139c5d6076c" userName="Sergio Carosio" userProvider="AD"/>
        <Anchor>
          <Comment id="{20E01DFF-755D-48A7-B249-08EB863A2C76}"/>
        </Anchor>
        <Assign userId="S::Mathias.Mingazzini@efrag.org::a07691dd-c4c2-41dc-aa30-086ca5e7eee8" userName="Mathias Mingazzini" userProvider="AD"/>
      </Event>
      <Event time="2026-08-11T15:25:40.96" id="{3C1E8514-1423-466C-8F54-5C1D82A17E61}">
        <Attribution userId="S::sergio.carosio@efrag.org::845cb9e5-9f93-4962-8fab-e139c5d6076c" userName="Sergio Carosio" userProvider="AD"/>
        <Anchor>
          <Comment id="{20E01DFF-755D-48A7-B249-08EB863A2C76}"/>
        </Anchor>
        <SetTitle title="@Mathias Mingazzini "/>
      </Event>
    </History>
  </Task>
</Task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Governance Disclosures'!A1"/><Relationship Id="rId7" Type="http://schemas.openxmlformats.org/officeDocument/2006/relationships/hyperlink" Target="https://www.komoot.com/privacy" TargetMode="External"/><Relationship Id="rId2" Type="http://schemas.openxmlformats.org/officeDocument/2006/relationships/hyperlink" Target="#'Social Disclosures'!A1"/><Relationship Id="rId1" Type="http://schemas.openxmlformats.org/officeDocument/2006/relationships/hyperlink" Target="#'Environmental Disclosures'!A1"/><Relationship Id="rId6" Type="http://schemas.openxmlformats.org/officeDocument/2006/relationships/hyperlink" Target="https://photon.komoot.io/" TargetMode="External"/><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1</xdr:col>
      <xdr:colOff>4744235</xdr:colOff>
      <xdr:row>8</xdr:row>
      <xdr:rowOff>130175</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189812</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13</xdr:row>
      <xdr:rowOff>111125</xdr:rowOff>
    </xdr:from>
    <xdr:to>
      <xdr:col>5</xdr:col>
      <xdr:colOff>952500</xdr:colOff>
      <xdr:row>13</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13</xdr:row>
      <xdr:rowOff>3984625</xdr:rowOff>
    </xdr:from>
    <xdr:to>
      <xdr:col>6</xdr:col>
      <xdr:colOff>1238250</xdr:colOff>
      <xdr:row>13</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13</xdr:row>
      <xdr:rowOff>128861</xdr:rowOff>
    </xdr:from>
    <xdr:to>
      <xdr:col>4</xdr:col>
      <xdr:colOff>133685</xdr:colOff>
      <xdr:row>13</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13</xdr:row>
      <xdr:rowOff>3853543</xdr:rowOff>
    </xdr:from>
    <xdr:to>
      <xdr:col>2</xdr:col>
      <xdr:colOff>359229</xdr:colOff>
      <xdr:row>14</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13</xdr:row>
      <xdr:rowOff>4135855</xdr:rowOff>
    </xdr:from>
    <xdr:to>
      <xdr:col>4</xdr:col>
      <xdr:colOff>359802</xdr:colOff>
      <xdr:row>13</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13</xdr:row>
      <xdr:rowOff>1455821</xdr:rowOff>
    </xdr:from>
    <xdr:to>
      <xdr:col>3</xdr:col>
      <xdr:colOff>342566</xdr:colOff>
      <xdr:row>13</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3460750</xdr:colOff>
      <xdr:row>532</xdr:row>
      <xdr:rowOff>12699</xdr:rowOff>
    </xdr:from>
    <xdr:to>
      <xdr:col>7</xdr:col>
      <xdr:colOff>6200323</xdr:colOff>
      <xdr:row>539</xdr:row>
      <xdr:rowOff>139245</xdr:rowOff>
    </xdr:to>
    <xdr:sp macro="" textlink="">
      <xdr:nvSpPr>
        <xdr:cNvPr id="4" name="Arrow: Right 3">
          <a:hlinkClick xmlns:r="http://schemas.openxmlformats.org/officeDocument/2006/relationships" r:id="rId1"/>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541</xdr:row>
      <xdr:rowOff>35831</xdr:rowOff>
    </xdr:from>
    <xdr:to>
      <xdr:col>7</xdr:col>
      <xdr:colOff>6192158</xdr:colOff>
      <xdr:row>548</xdr:row>
      <xdr:rowOff>162378</xdr:rowOff>
    </xdr:to>
    <xdr:sp macro="" textlink="">
      <xdr:nvSpPr>
        <xdr:cNvPr id="5" name="Arrow: Right 4">
          <a:hlinkClick xmlns:r="http://schemas.openxmlformats.org/officeDocument/2006/relationships" r:id="rId2"/>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549</xdr:row>
      <xdr:rowOff>178707</xdr:rowOff>
    </xdr:from>
    <xdr:to>
      <xdr:col>7</xdr:col>
      <xdr:colOff>6213930</xdr:colOff>
      <xdr:row>557</xdr:row>
      <xdr:rowOff>128361</xdr:rowOff>
    </xdr:to>
    <xdr:sp macro="" textlink="">
      <xdr:nvSpPr>
        <xdr:cNvPr id="6" name="Arrow: Right 5">
          <a:hlinkClick xmlns:r="http://schemas.openxmlformats.org/officeDocument/2006/relationships" r:id="rId3"/>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533</xdr:row>
      <xdr:rowOff>154214</xdr:rowOff>
    </xdr:from>
    <xdr:to>
      <xdr:col>4</xdr:col>
      <xdr:colOff>1841500</xdr:colOff>
      <xdr:row>537</xdr:row>
      <xdr:rowOff>110672</xdr:rowOff>
    </xdr:to>
    <xdr:sp macro="" textlink="">
      <xdr:nvSpPr>
        <xdr:cNvPr id="7" name="Rectangle 6">
          <a:hlinkClick xmlns:r="http://schemas.openxmlformats.org/officeDocument/2006/relationships" r:id="rId4"/>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542</xdr:row>
      <xdr:rowOff>121557</xdr:rowOff>
    </xdr:from>
    <xdr:to>
      <xdr:col>4</xdr:col>
      <xdr:colOff>1863271</xdr:colOff>
      <xdr:row>546</xdr:row>
      <xdr:rowOff>78014</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6953</xdr:colOff>
      <xdr:row>399</xdr:row>
      <xdr:rowOff>34762</xdr:rowOff>
    </xdr:from>
    <xdr:to>
      <xdr:col>7</xdr:col>
      <xdr:colOff>959453</xdr:colOff>
      <xdr:row>399</xdr:row>
      <xdr:rowOff>229434</xdr:rowOff>
    </xdr:to>
    <xdr:sp macro="" textlink="">
      <xdr:nvSpPr>
        <xdr:cNvPr id="12" name="Rectangle 11">
          <a:hlinkClick xmlns:r="http://schemas.openxmlformats.org/officeDocument/2006/relationships" r:id="rId6"/>
          <a:extLst>
            <a:ext uri="{FF2B5EF4-FFF2-40B4-BE49-F238E27FC236}">
              <a16:creationId xmlns:a16="http://schemas.microsoft.com/office/drawing/2014/main" id="{40B44990-256C-6754-48BC-19EB86DDE063}"/>
            </a:ext>
          </a:extLst>
        </xdr:cNvPr>
        <xdr:cNvSpPr/>
      </xdr:nvSpPr>
      <xdr:spPr>
        <a:xfrm>
          <a:off x="23659544" y="13188996"/>
          <a:ext cx="952500" cy="194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15811</xdr:colOff>
      <xdr:row>399</xdr:row>
      <xdr:rowOff>410200</xdr:rowOff>
    </xdr:from>
    <xdr:to>
      <xdr:col>7</xdr:col>
      <xdr:colOff>968311</xdr:colOff>
      <xdr:row>399</xdr:row>
      <xdr:rowOff>604872</xdr:rowOff>
    </xdr:to>
    <xdr:sp macro="" textlink="">
      <xdr:nvSpPr>
        <xdr:cNvPr id="13" name="Rectangle 12">
          <a:hlinkClick xmlns:r="http://schemas.openxmlformats.org/officeDocument/2006/relationships" r:id="rId7"/>
          <a:extLst>
            <a:ext uri="{FF2B5EF4-FFF2-40B4-BE49-F238E27FC236}">
              <a16:creationId xmlns:a16="http://schemas.microsoft.com/office/drawing/2014/main" id="{7B580C86-4D37-4C34-AF08-B78D90AE7DCD}"/>
            </a:ext>
          </a:extLst>
        </xdr:cNvPr>
        <xdr:cNvSpPr/>
      </xdr:nvSpPr>
      <xdr:spPr>
        <a:xfrm>
          <a:off x="23668402" y="13564434"/>
          <a:ext cx="952500" cy="194672"/>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546</xdr:row>
      <xdr:rowOff>149679</xdr:rowOff>
    </xdr:from>
    <xdr:to>
      <xdr:col>11</xdr:col>
      <xdr:colOff>1802947</xdr:colOff>
      <xdr:row>554</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555</xdr:row>
      <xdr:rowOff>164647</xdr:rowOff>
    </xdr:from>
    <xdr:to>
      <xdr:col>11</xdr:col>
      <xdr:colOff>1857376</xdr:colOff>
      <xdr:row>563</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548</xdr:row>
      <xdr:rowOff>119743</xdr:rowOff>
    </xdr:from>
    <xdr:to>
      <xdr:col>6</xdr:col>
      <xdr:colOff>732064</xdr:colOff>
      <xdr:row>552</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557</xdr:row>
      <xdr:rowOff>69397</xdr:rowOff>
    </xdr:from>
    <xdr:to>
      <xdr:col>6</xdr:col>
      <xdr:colOff>721178</xdr:colOff>
      <xdr:row>561</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546</xdr:row>
      <xdr:rowOff>107495</xdr:rowOff>
    </xdr:from>
    <xdr:to>
      <xdr:col>2</xdr:col>
      <xdr:colOff>3322819</xdr:colOff>
      <xdr:row>554</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198</xdr:row>
      <xdr:rowOff>53068</xdr:rowOff>
    </xdr:from>
    <xdr:to>
      <xdr:col>8</xdr:col>
      <xdr:colOff>213633</xdr:colOff>
      <xdr:row>206</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200</xdr:row>
      <xdr:rowOff>56998</xdr:rowOff>
    </xdr:from>
    <xdr:to>
      <xdr:col>3</xdr:col>
      <xdr:colOff>2346959</xdr:colOff>
      <xdr:row>204</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210</xdr:row>
      <xdr:rowOff>93556</xdr:rowOff>
    </xdr:from>
    <xdr:to>
      <xdr:col>3</xdr:col>
      <xdr:colOff>2295525</xdr:colOff>
      <xdr:row>214</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198</xdr:row>
      <xdr:rowOff>82188</xdr:rowOff>
    </xdr:from>
    <xdr:to>
      <xdr:col>2</xdr:col>
      <xdr:colOff>2752725</xdr:colOff>
      <xdr:row>205</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208</xdr:row>
      <xdr:rowOff>60145</xdr:rowOff>
    </xdr:from>
    <xdr:to>
      <xdr:col>2</xdr:col>
      <xdr:colOff>2733674</xdr:colOff>
      <xdr:row>216</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33</xdr:row>
      <xdr:rowOff>134249</xdr:rowOff>
    </xdr:from>
    <xdr:to>
      <xdr:col>7</xdr:col>
      <xdr:colOff>468631</xdr:colOff>
      <xdr:row>37</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43</xdr:row>
      <xdr:rowOff>85726</xdr:rowOff>
    </xdr:from>
    <xdr:to>
      <xdr:col>7</xdr:col>
      <xdr:colOff>456037</xdr:colOff>
      <xdr:row>47</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31</xdr:row>
      <xdr:rowOff>104561</xdr:rowOff>
    </xdr:from>
    <xdr:to>
      <xdr:col>3</xdr:col>
      <xdr:colOff>325133</xdr:colOff>
      <xdr:row>39</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41</xdr:row>
      <xdr:rowOff>87759</xdr:rowOff>
    </xdr:from>
    <xdr:to>
      <xdr:col>3</xdr:col>
      <xdr:colOff>344183</xdr:colOff>
      <xdr:row>49</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50</xdr:row>
      <xdr:rowOff>136454</xdr:rowOff>
    </xdr:from>
    <xdr:to>
      <xdr:col>3</xdr:col>
      <xdr:colOff>334658</xdr:colOff>
      <xdr:row>58</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Stuart Rowan" id="{F8DFC865-8E75-4736-A0D7-BBA66A7BB577}" userId="Stuart.Rowan@efrag.org" providerId="PeoplePicker"/>
  <person displayName="Mathias Mingazzini" id="{F02389A8-1FB6-43B8-8117-2D47430485D9}" userId="Mathias.Mingazzini@efrag.org" providerId="PeoplePicker"/>
  <person displayName="João Gonçalves" id="{F7F3137B-EDB3-4298-BEEF-0651A8BA3EDF}" userId="S::Joao.Goncalves@efrag.org::42a7e121-db8c-44ed-9e34-03030218d8b8" providerId="AD"/>
  <person displayName="Sergio Carosio" id="{B1E47C79-69C0-45D4-AF1E-D9FCA729B88C}" userId="S::sergio.carosio@efrag.org::845cb9e5-9f93-4962-8fab-e139c5d6076c" providerId="AD"/>
  <person displayName="Mathias Mingazzini" id="{26221849-42D3-4A3F-A59A-3BF8A3963727}" userId="S::Mathias.Mingazzini@efrag.org::a07691dd-c4c2-41dc-aa30-086ca5e7eee8"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17" dT="2026-10-12T08:22:49.60" personId="{F7F3137B-EDB3-4298-BEEF-0651A8BA3EDF}" id="{0B5ABA9A-3809-40AE-89DB-5C98B4C86275}">
    <text>Maybe put ‘sustainable economy’ instead of ‘sustainable future’ to be more aligned with the module</text>
  </threadedComment>
</ThreadedComments>
</file>

<file path=xl/threadedComments/threadedComment2.xml><?xml version="1.0" encoding="utf-8"?>
<ThreadedComments xmlns="http://schemas.microsoft.com/office/spreadsheetml/2018/threadedcomments" xmlns:x="http://schemas.openxmlformats.org/spreadsheetml/2006/main">
  <threadedComment ref="F22" dT="2026-08-17T15:10:26.63" personId="{26221849-42D3-4A3F-A59A-3BF8A3963727}" id="{9B8E6CD1-30E5-4AB3-802F-30BC49F30DDD}">
    <text xml:space="preserve">@Stuart Rowan doesn’t it trigger also a change in the name in the taxonomy? </text>
    <mentions>
      <mention mentionpersonId="{F8DFC865-8E75-4736-A0D7-BBA66A7BB577}" mentionId="{0BAC4F97-58FE-4B51-8672-C1E508F599BA}" startIndex="0" length="13"/>
    </mentions>
  </threadedComment>
  <threadedComment ref="C119" dT="2026-08-11T15:25:40.96" personId="{B1E47C79-69C0-45D4-AF1E-D9FCA729B88C}" id="{20E01DFF-755D-48A7-B249-08EB863A2C76}">
    <text xml:space="preserve">@Mathias Mingazzini </text>
    <mentions>
      <mention mentionpersonId="{F02389A8-1FB6-43B8-8117-2D47430485D9}" mentionId="{E6F234ED-60A3-4FEA-B996-12387D7A0753}" startIndex="0" length="19"/>
    </mentions>
  </threadedComment>
</ThreadedComment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2026-10-16/vs-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knowledgehub.efrag.org/eng/interactive/vsme/vsme-standard-annex-i/2025-07-30-ec-rec/24/b" TargetMode="External"/><Relationship Id="rId18" Type="http://schemas.openxmlformats.org/officeDocument/2006/relationships/hyperlink" Target="https://knowledgehub.efrag.org/eng/interactive/voluntary-standard/standard-for-voluntary-use/voluntary-standard-official-journal-publication/27/e/iv" TargetMode="External"/><Relationship Id="rId26" Type="http://schemas.openxmlformats.org/officeDocument/2006/relationships/hyperlink" Target="https://knowledgehub.efrag.org/eng/interactive/voluntary-standard-non-mandatory-efrag-guidance/voluntary-standard-non-mandatory-efrag-guidance/2026-efrag-guidance/7" TargetMode="External"/><Relationship Id="rId39" Type="http://schemas.openxmlformats.org/officeDocument/2006/relationships/drawing" Target="../drawings/drawing2.xml"/><Relationship Id="rId21" Type="http://schemas.openxmlformats.org/officeDocument/2006/relationships/hyperlink" Target="https://www.efrag.org/en/vsme-supporting-guide-on-disclosure-c2-comprehensive-module-practices-policies-and-future" TargetMode="External"/><Relationship Id="rId34" Type="http://schemas.openxmlformats.org/officeDocument/2006/relationships/hyperlink" Target="https://knowledgehub.efrag.org/eng/interactive/voluntary-standard/standard-for-voluntary-use/voluntary-standard-official-journal-publication/12" TargetMode="External"/><Relationship Id="rId42" Type="http://schemas.microsoft.com/office/2017/10/relationships/threadedComment" Target="../threadedComments/threadedComment1.xml"/><Relationship Id="rId7" Type="http://schemas.openxmlformats.org/officeDocument/2006/relationships/hyperlink" Target="https://knowledgehub.efrag.org/eng/interactive/voluntary-standard/standard-for-voluntary-use/voluntary-standard-official-journal-publication/48" TargetMode="External"/><Relationship Id="rId2" Type="http://schemas.openxmlformats.org/officeDocument/2006/relationships/hyperlink" Target="https://knowledgehub.efrag.org/eng/interactive/voluntary-standard/standard-for-voluntary-use/voluntary-standard-official-journal-publication/27/d" TargetMode="External"/><Relationship Id="rId16" Type="http://schemas.openxmlformats.org/officeDocument/2006/relationships/hyperlink" Target="https://knowledgehub.efrag.org/eng/interactive/voluntary-standard/standard-for-voluntary-use/voluntary-standard-official-journal-publication/27/e/ii" TargetMode="External"/><Relationship Id="rId20" Type="http://schemas.openxmlformats.org/officeDocument/2006/relationships/hyperlink" Target="https://knowledgehub.efrag.org/eng/interactive/voluntary-standard/standard-for-voluntary-use/voluntary-standard-official-journal-publication/27/e/vi" TargetMode="External"/><Relationship Id="rId29" Type="http://schemas.openxmlformats.org/officeDocument/2006/relationships/hyperlink" Target="https://knowledgehub.efrag.org/eng/interactive/voluntary-standard-non-mandatory-efrag-guidance/voluntary-standard-non-mandatory-efrag-guidance/2026-efrag-guidance/146" TargetMode="External"/><Relationship Id="rId41" Type="http://schemas.openxmlformats.org/officeDocument/2006/relationships/comments" Target="../comments1.xml"/><Relationship Id="rId1" Type="http://schemas.openxmlformats.org/officeDocument/2006/relationships/hyperlink" Target="https://knowledgehub.efrag.org/eng/interactive/voluntary-standard/standard-for-voluntary-use/da/18" TargetMode="External"/><Relationship Id="rId6" Type="http://schemas.openxmlformats.org/officeDocument/2006/relationships/hyperlink" Target="https://knowledgehub.efrag.org/eng/interactive/voluntary-standard/standard-for-voluntary-use/da/47" TargetMode="External"/><Relationship Id="rId11" Type="http://schemas.openxmlformats.org/officeDocument/2006/relationships/hyperlink" Target="https://knowledgehub.efrag.org/eng/interactive/voluntary-standard/standard-for-voluntary-use/voluntary-standard-official-journal-publication/46/d" TargetMode="External"/><Relationship Id="rId24" Type="http://schemas.openxmlformats.org/officeDocument/2006/relationships/hyperlink" Target="https://knowledgehub.efrag.org/eng/interactive/voluntary-standard-non-mandatory-efrag-guidance/voluntary-standard-non-mandatory-efrag-guidance/2026-efrag-guidance/4" TargetMode="External"/><Relationship Id="rId32" Type="http://schemas.openxmlformats.org/officeDocument/2006/relationships/hyperlink" Target="https://knowledgehub.efrag.org/eng/interactive/voluntary-standard-non-mandatory-efrag-guidance/voluntary-standard-non-mandatory-efrag-guidance/2026-efrag-guidance/12" TargetMode="External"/><Relationship Id="rId37" Type="http://schemas.openxmlformats.org/officeDocument/2006/relationships/hyperlink" Target="https://knowledgehub.efrag.org/eng/interactive/voluntary-standard/standard-for-voluntary-use/voluntary-standard-official-journal-publication/47" TargetMode="External"/><Relationship Id="rId40" Type="http://schemas.openxmlformats.org/officeDocument/2006/relationships/vmlDrawing" Target="../drawings/vmlDrawing1.vml"/><Relationship Id="rId5" Type="http://schemas.openxmlformats.org/officeDocument/2006/relationships/hyperlink" Target="https://knowledgehub.efrag.org/eng/interactive/voluntary-standard/standard-for-voluntary-use/voluntary-standard-official-journal-publication/29" TargetMode="External"/><Relationship Id="rId15" Type="http://schemas.openxmlformats.org/officeDocument/2006/relationships/hyperlink" Target="https://knowledgehub.efrag.org/eng/interactive/voluntary-standard/standard-for-voluntary-use/voluntary-standard-official-journal-publication/27/e/i" TargetMode="External"/><Relationship Id="rId23" Type="http://schemas.openxmlformats.org/officeDocument/2006/relationships/hyperlink" Target="https://knowledgehub.efrag.org/eng/interactive/voluntary-standard/standard-for-voluntary-use/voluntary-standard-official-journal-publication/27/b" TargetMode="External"/><Relationship Id="rId28" Type="http://schemas.openxmlformats.org/officeDocument/2006/relationships/hyperlink" Target="https://knowledgehub.efrag.org/eng/interactive/voluntary-standard-non-mandatory-efrag-guidance/voluntary-standard-non-mandatory-efrag-guidance/2026-efrag-guidance/146" TargetMode="External"/><Relationship Id="rId36" Type="http://schemas.openxmlformats.org/officeDocument/2006/relationships/hyperlink" Target="https://knowledgehub.efrag.org/eng/interactive/voluntary-standard/standard-for-voluntary-use/voluntary-standard-official-journal-publication/27/e/v" TargetMode="External"/><Relationship Id="rId10" Type="http://schemas.openxmlformats.org/officeDocument/2006/relationships/hyperlink" Target="https://knowledgehub.efrag.org/eng/interactive/voluntary-standard/standard-for-voluntary-use/voluntary-standard-official-journal-publication/46/c" TargetMode="External"/><Relationship Id="rId19" Type="http://schemas.openxmlformats.org/officeDocument/2006/relationships/hyperlink" Target="https://knowledgehub.efrag.org/eng/interactive/voluntary-standard/standard-for-voluntary-use/da/27/e/v" TargetMode="External"/><Relationship Id="rId31" Type="http://schemas.openxmlformats.org/officeDocument/2006/relationships/hyperlink" Target="https://knowledgehub.efrag.org/eng/interactive/voluntary-standard-non-mandatory-efrag-guidance/voluntary-standard-non-mandatory-efrag-guidance/2026-efrag-guidance/13" TargetMode="External"/><Relationship Id="rId4" Type="http://schemas.openxmlformats.org/officeDocument/2006/relationships/hyperlink" Target="https://knowledgehub.efrag.org/eng/interactive/voluntary-standard/standard-for-voluntary-use/voluntary-standard-official-journal-publication/27/e/vii" TargetMode="External"/><Relationship Id="rId9" Type="http://schemas.openxmlformats.org/officeDocument/2006/relationships/hyperlink" Target="https://knowledgehub.efrag.org/eng/interactive/voluntary-standard/standard-for-voluntary-use/voluntary-standard-official-journal-publication/46/b" TargetMode="External"/><Relationship Id="rId14" Type="http://schemas.openxmlformats.org/officeDocument/2006/relationships/hyperlink" Target="https://knowledgehub.efrag.org/eng/interactive/voluntary-standard/standard-for-voluntary-use/voluntary-standard-official-journal-publication/27/c" TargetMode="External"/><Relationship Id="rId22" Type="http://schemas.openxmlformats.org/officeDocument/2006/relationships/hyperlink" Target="https://knowledgehub.efrag.org/eng/interactive/voluntary-standard/standard-for-voluntary-use/da/12" TargetMode="External"/><Relationship Id="rId27" Type="http://schemas.openxmlformats.org/officeDocument/2006/relationships/hyperlink" Target="https://knowledgehub.efrag.org/eng/interactive/voluntary-standard-non-mandatory-efrag-guidance/voluntary-standard-non-mandatory-efrag-guidance/2026-efrag-guidance/9" TargetMode="External"/><Relationship Id="rId30" Type="http://schemas.openxmlformats.org/officeDocument/2006/relationships/hyperlink" Target="https://knowledgehub.efrag.org/eng/interactive/voluntary-standard-non-mandatory-efrag-guidance/voluntary-standard-non-mandatory-efrag-guidance/2026-efrag-guidance/145" TargetMode="External"/><Relationship Id="rId35" Type="http://schemas.openxmlformats.org/officeDocument/2006/relationships/hyperlink" Target="https://knowledgehub.efrag.org/eng/interactive/voluntary-standard/standard-for-voluntary-use/voluntary-standard-official-journal-publication/27/a" TargetMode="External"/><Relationship Id="rId8" Type="http://schemas.openxmlformats.org/officeDocument/2006/relationships/hyperlink" Target="https://knowledgehub.efrag.org/eng/interactive/voluntary-standard/standard-for-voluntary-use/voluntary-standard-official-journal-publication/46/a" TargetMode="External"/><Relationship Id="rId3" Type="http://schemas.openxmlformats.org/officeDocument/2006/relationships/hyperlink" Target="https://knowledgehub.efrag.org/eng/interactive/voluntary-standard/standard-for-voluntary-use/voluntary-standard-official-journal-publication/28" TargetMode="External"/><Relationship Id="rId12" Type="http://schemas.openxmlformats.org/officeDocument/2006/relationships/hyperlink" Target="https://knowledgehub.efrag.org/eng/interactive/voluntary-standard/standard-for-voluntary-use/voluntary-standard-official-journal-publication/27/a" TargetMode="External"/><Relationship Id="rId17" Type="http://schemas.openxmlformats.org/officeDocument/2006/relationships/hyperlink" Target="https://knowledgehub.efrag.org/eng/interactive/voluntary-standard/standard-for-voluntary-use/voluntary-standard-official-journal-publication/27/e/iii" TargetMode="External"/><Relationship Id="rId25" Type="http://schemas.openxmlformats.org/officeDocument/2006/relationships/hyperlink" Target="https://knowledgehub.efrag.org/eng/interactive/voluntary-standard-non-mandatory-efrag-guidance/voluntary-standard-non-mandatory-efrag-guidance/2026-efrag-guidance/5" TargetMode="External"/><Relationship Id="rId33" Type="http://schemas.openxmlformats.org/officeDocument/2006/relationships/hyperlink" Target="https://knowledgehub.efrag.org/eng/interactive/voluntary-standard-non-mandatory-efrag-guidance/voluntary-standard-non-mandatory-efrag-guidance/2026-efrag-guidance/14" TargetMode="External"/><Relationship Id="rId38"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hyperlink" Target="https://knowledgehub.efrag.org/eng/interactive/voluntary-standard/standard-for-voluntary-use/voluntary-standard-official-journal-publication/36" TargetMode="External"/><Relationship Id="rId18" Type="http://schemas.openxmlformats.org/officeDocument/2006/relationships/hyperlink" Target="https://knowledgehub.efrag.org/eng/interactive/voluntary-standard/standard-for-voluntary-use/voluntary-standard-official-journal-publication/56/a" TargetMode="External"/><Relationship Id="rId26" Type="http://schemas.openxmlformats.org/officeDocument/2006/relationships/hyperlink" Target="https://knowledgehub.efrag.org/eng/interactive/voluntary-standard-non-mandatory-efrag-guidance/voluntary-standard-non-mandatory-efrag-guidance/2026-efrag-guidance/159" TargetMode="External"/><Relationship Id="rId39" Type="http://schemas.openxmlformats.org/officeDocument/2006/relationships/hyperlink" Target="https://knowledgehub.efrag.org/eng/interactive/voluntary-standard-non-mandatory-efrag-guidance/voluntary-standard-non-mandatory-efrag-guidance/2026-efrag-guidance/82" TargetMode="External"/><Relationship Id="rId21" Type="http://schemas.openxmlformats.org/officeDocument/2006/relationships/hyperlink" Target="https://knowledgehub.efrag.org/eng/interactive/voluntary-standard/standard-for-voluntary-use/voluntary-standard-official-journal-publication/56/d" TargetMode="External"/><Relationship Id="rId34" Type="http://schemas.openxmlformats.org/officeDocument/2006/relationships/hyperlink" Target="https://knowledgehub.efrag.org/eng/interactive/voluntary-standard-non-mandatory-efrag-guidance/voluntary-standard-non-mandatory-efrag-guidance/2026-efrag-guidance/149" TargetMode="External"/><Relationship Id="rId42" Type="http://schemas.openxmlformats.org/officeDocument/2006/relationships/hyperlink" Target="https://knowledgehub.efrag.org/eng/interactive/voluntary-standard-non-mandatory-efrag-guidance/voluntary-standard-non-mandatory-efrag-guidance/2026-efrag-guidance/105" TargetMode="External"/><Relationship Id="rId47" Type="http://schemas.openxmlformats.org/officeDocument/2006/relationships/printerSettings" Target="../printerSettings/printerSettings3.bin"/><Relationship Id="rId7" Type="http://schemas.openxmlformats.org/officeDocument/2006/relationships/hyperlink" Target="https://knowledgehub.efrag.org/eng/interactive/voluntary-standard/standard-for-voluntary-use/voluntary-standard-official-journal-publication/53/d" TargetMode="External"/><Relationship Id="rId2" Type="http://schemas.openxmlformats.org/officeDocument/2006/relationships/hyperlink" Target="https://knowledgehub.efrag.org/eng/interactive/voluntary-standard/standard-for-voluntary-use/voluntary-standard-official-journal-publication/33" TargetMode="External"/><Relationship Id="rId16" Type="http://schemas.openxmlformats.org/officeDocument/2006/relationships/hyperlink" Target="https://knowledgehub.efrag.org/eng/interactive/voluntary-standard/standard-for-voluntary-use/voluntary-standard-official-journal-publication/39/a" TargetMode="External"/><Relationship Id="rId29" Type="http://schemas.openxmlformats.org/officeDocument/2006/relationships/hyperlink" Target="https://knowledgehub.efrag.org/eng/interactive/voluntary-standard-non-mandatory-efrag-guidance/voluntary-standard-non-mandatory-efrag-guidance/2026-efrag-guidance/17" TargetMode="External"/><Relationship Id="rId1" Type="http://schemas.openxmlformats.org/officeDocument/2006/relationships/hyperlink" Target="https://knowledgehub.efrag.org/eng/interactive/voluntary-standard/standard-for-voluntary-use/voluntary-standard-official-journal-publication/32" TargetMode="External"/><Relationship Id="rId6" Type="http://schemas.openxmlformats.org/officeDocument/2006/relationships/hyperlink" Target="https://knowledgehub.efrag.org/eng/interactive/voluntary-standard/standard-for-voluntary-use/voluntary-standard-official-journal-publication/49" TargetMode="External"/><Relationship Id="rId11" Type="http://schemas.openxmlformats.org/officeDocument/2006/relationships/hyperlink" Target="https://knowledgehub.efrag.org/eng/interactive/voluntary-standard/standard-for-voluntary-use/voluntary-standard-official-journal-publication/34" TargetMode="External"/><Relationship Id="rId24" Type="http://schemas.openxmlformats.org/officeDocument/2006/relationships/hyperlink" Target="https://www.efrag.org/en/vsme-supporting-guide-on-disclosure-c3-comprehensive-module-ghg-reduction-targets-and-climate" TargetMode="External"/><Relationship Id="rId32" Type="http://schemas.openxmlformats.org/officeDocument/2006/relationships/hyperlink" Target="https://knowledgehub.efrag.org/eng/interactive/voluntary-standard-non-mandatory-efrag-guidance/voluntary-standard-non-mandatory-efrag-guidance/2026-efrag-guidance/154" TargetMode="External"/><Relationship Id="rId37" Type="http://schemas.openxmlformats.org/officeDocument/2006/relationships/hyperlink" Target="https://knowledgehub.efrag.org/eng/interactive/voluntary-standard-non-mandatory-efrag-guidance/voluntary-standard-non-mandatory-efrag-guidance/2026-efrag-guidance/70" TargetMode="External"/><Relationship Id="rId40" Type="http://schemas.openxmlformats.org/officeDocument/2006/relationships/hyperlink" Target="https://knowledgehub.efrag.org/eng/interactive/voluntary-standard-non-mandatory-efrag-guidance/voluntary-standard-non-mandatory-efrag-guidance/2026-efrag-guidance/92" TargetMode="External"/><Relationship Id="rId45" Type="http://schemas.openxmlformats.org/officeDocument/2006/relationships/hyperlink" Target="https://knowledgehub.efrag.org/eng/interactive/voluntary-standard-non-mandatory-efrag-guidance/voluntary-standard-non-mandatory-efrag-guidance/2026-efrag-guidance/147" TargetMode="External"/><Relationship Id="rId5" Type="http://schemas.openxmlformats.org/officeDocument/2006/relationships/hyperlink" Target="https://knowledgehub.efrag.org/eng/interactive/voluntary-standard/standard-for-voluntary-use/voluntary-standard-official-journal-publication/53/d" TargetMode="External"/><Relationship Id="rId15" Type="http://schemas.openxmlformats.org/officeDocument/2006/relationships/hyperlink" Target="https://knowledgehub.efrag.org/eng/interactive/voluntary-standard/standard-for-voluntary-use/voluntary-standard-official-journal-publication/38" TargetMode="External"/><Relationship Id="rId23" Type="http://schemas.openxmlformats.org/officeDocument/2006/relationships/hyperlink" Target="https://knowledgehub.efrag.org/eng/interactive/voluntary-standard/standard-for-voluntary-use/voluntary-standard-official-journal-publication/12" TargetMode="External"/><Relationship Id="rId28" Type="http://schemas.openxmlformats.org/officeDocument/2006/relationships/hyperlink" Target="https://knowledgehub.efrag.org/eng/interactive/voluntary-standard-non-mandatory-efrag-guidance/voluntary-standard-non-mandatory-efrag-guidance/2026-efrag-guidance/164" TargetMode="External"/><Relationship Id="rId36" Type="http://schemas.openxmlformats.org/officeDocument/2006/relationships/hyperlink" Target="https://knowledgehub.efrag.org/eng/interactive/voluntary-standard-non-mandatory-efrag-guidance/voluntary-standard-non-mandatory-efrag-guidance/2026-efrag-guidance/47" TargetMode="External"/><Relationship Id="rId10" Type="http://schemas.openxmlformats.org/officeDocument/2006/relationships/hyperlink" Target="https://knowledgehub.efrag.org/eng/interactive/voluntary-standard/standard-for-voluntary-use/voluntary-standard-official-journal-publication/55" TargetMode="External"/><Relationship Id="rId19" Type="http://schemas.openxmlformats.org/officeDocument/2006/relationships/hyperlink" Target="https://knowledgehub.efrag.org/eng/interactive/voluntary-standard/standard-for-voluntary-use/voluntary-standard-official-journal-publication/56/b" TargetMode="External"/><Relationship Id="rId31" Type="http://schemas.openxmlformats.org/officeDocument/2006/relationships/hyperlink" Target="https://knowledgehub.efrag.org/eng/interactive/voluntary-standard-non-mandatory-efrag-guidance/voluntary-standard-non-mandatory-efrag-guidance/2026-efrag-guidance/28" TargetMode="External"/><Relationship Id="rId44" Type="http://schemas.openxmlformats.org/officeDocument/2006/relationships/hyperlink" Target="https://knowledgehub.efrag.org/eng/interactive/voluntary-standard/standard-for-voluntary-use/voluntary-standard-official-journal-publication/32" TargetMode="External"/><Relationship Id="rId4" Type="http://schemas.openxmlformats.org/officeDocument/2006/relationships/hyperlink" Target="https://knowledgehub.efrag.org/eng/interactive/voluntary-standard/standard-for-voluntary-use/voluntary-standard-official-journal-publication/53/a" TargetMode="External"/><Relationship Id="rId9" Type="http://schemas.openxmlformats.org/officeDocument/2006/relationships/hyperlink" Target="https://knowledgehub.efrag.org/eng/interactive/voluntary-standard/standard-for-voluntary-use/da/54" TargetMode="External"/><Relationship Id="rId14" Type="http://schemas.openxmlformats.org/officeDocument/2006/relationships/hyperlink" Target="https://knowledgehub.efrag.org/eng/interactive/voluntary-standard/standard-for-voluntary-use/voluntary-standard-official-journal-publication/37" TargetMode="External"/><Relationship Id="rId22" Type="http://schemas.openxmlformats.org/officeDocument/2006/relationships/hyperlink" Target="https://knowledgehub.efrag.org/eng/interactive/voluntary-standard/standard-for-voluntary-use/voluntary-standard-official-journal-publication/57" TargetMode="External"/><Relationship Id="rId27" Type="http://schemas.openxmlformats.org/officeDocument/2006/relationships/hyperlink" Target="https://knowledgehub.efrag.org/eng/interactive/voluntary-standard-non-mandatory-efrag-guidance/voluntary-standard-non-mandatory-efrag-guidance/2026-efrag-guidance/164" TargetMode="External"/><Relationship Id="rId30" Type="http://schemas.openxmlformats.org/officeDocument/2006/relationships/hyperlink" Target="https://knowledgehub.efrag.org/eng/interactive/voluntary-standard-non-mandatory-efrag-guidance/voluntary-standard-non-mandatory-efrag-guidance/2026-efrag-guidance/17" TargetMode="External"/><Relationship Id="rId35" Type="http://schemas.openxmlformats.org/officeDocument/2006/relationships/hyperlink" Target="https://knowledgehub.efrag.org/eng/interactive/voluntary-standard-non-mandatory-efrag-guidance/voluntary-standard-non-mandatory-efrag-guidance/2026-efrag-guidance/157" TargetMode="External"/><Relationship Id="rId43" Type="http://schemas.openxmlformats.org/officeDocument/2006/relationships/hyperlink" Target="https://eur-lex.europa.eu/eli/reg/2024/1244/oj/eng" TargetMode="External"/><Relationship Id="rId48" Type="http://schemas.openxmlformats.org/officeDocument/2006/relationships/drawing" Target="../drawings/drawing3.xml"/><Relationship Id="rId8" Type="http://schemas.openxmlformats.org/officeDocument/2006/relationships/hyperlink" Target="https://knowledgehub.efrag.org/eng/interactive/voluntary-standard/standard-for-voluntary-use/voluntary-standard-official-journal-publication/53/e" TargetMode="External"/><Relationship Id="rId3" Type="http://schemas.openxmlformats.org/officeDocument/2006/relationships/hyperlink" Target="https://knowledgehub.efrag.org/eng/interactive/voluntary-standard/standard-for-voluntary-use/voluntary-standard-official-journal-publication/53/b" TargetMode="External"/><Relationship Id="rId12" Type="http://schemas.openxmlformats.org/officeDocument/2006/relationships/hyperlink" Target="https://knowledgehub.efrag.org/eng/interactive/voluntary-standard/standard-for-voluntary-use/voluntary-standard-official-journal-publication/35" TargetMode="External"/><Relationship Id="rId17" Type="http://schemas.openxmlformats.org/officeDocument/2006/relationships/hyperlink" Target="https://knowledgehub.efrag.org/eng/interactive/voluntary-standard/standard-for-voluntary-use/voluntary-standard-official-journal-publication/39/c" TargetMode="External"/><Relationship Id="rId25" Type="http://schemas.openxmlformats.org/officeDocument/2006/relationships/hyperlink" Target="https://knowledgehub.efrag.org/eng/interactive/voluntary-standard-non-mandatory-efrag-guidance/voluntary-standard-non-mandatory-efrag-guidance/2026-efrag-guidance/159" TargetMode="External"/><Relationship Id="rId33" Type="http://schemas.openxmlformats.org/officeDocument/2006/relationships/hyperlink" Target="https://knowledgehub.efrag.org/eng/interactive/voluntary-standard-non-mandatory-efrag-guidance/voluntary-standard-non-mandatory-efrag-guidance/2026-efrag-guidance/155" TargetMode="External"/><Relationship Id="rId38" Type="http://schemas.openxmlformats.org/officeDocument/2006/relationships/hyperlink" Target="https://knowledgehub.efrag.org/eng/interactive/voluntary-standard-non-mandatory-efrag-guidance/voluntary-standard-non-mandatory-efrag-guidance/2026-efrag-guidance/74" TargetMode="External"/><Relationship Id="rId46" Type="http://schemas.openxmlformats.org/officeDocument/2006/relationships/hyperlink" Target="https://knowledgehub.efrag.org/eng/interactive/voluntary-standard/standard-for-voluntary-use/voluntary-standard-official-journal-publication/54" TargetMode="External"/><Relationship Id="rId20" Type="http://schemas.openxmlformats.org/officeDocument/2006/relationships/hyperlink" Target="https://knowledgehub.efrag.org/eng/interactive/voluntary-standard/standard-for-voluntary-use/voluntary-standard-official-journal-publication/56/c" TargetMode="External"/><Relationship Id="rId41" Type="http://schemas.openxmlformats.org/officeDocument/2006/relationships/hyperlink" Target="https://knowledgehub.efrag.org/eng/interactive/voluntary-standard-non-mandatory-efrag-guidance/voluntary-standard-non-mandatory-efrag-guidance/2026-efrag-guidance/93"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knowledgehub.efrag.org/eng/interactive/voluntary-standard/standard-for-voluntary-use/da/61/b" TargetMode="External"/><Relationship Id="rId18" Type="http://schemas.openxmlformats.org/officeDocument/2006/relationships/hyperlink" Target="https://knowledgehub.efrag.org/eng/interactive/voluntary-standard/standard-for-voluntary-use/voluntary-standard-official-journal-publication/62/c" TargetMode="External"/><Relationship Id="rId26" Type="http://schemas.openxmlformats.org/officeDocument/2006/relationships/hyperlink" Target="https://knowledgehub.efrag.org/eng/interactive/voluntary-standard-non-mandatory-efrag-guidance/voluntary-standard-non-mandatory-efrag-guidance/2026-efrag-guidance/132" TargetMode="External"/><Relationship Id="rId39" Type="http://schemas.openxmlformats.org/officeDocument/2006/relationships/hyperlink" Target="https://knowledgehub.efrag.org/eng/interactive/voluntary-standard-non-mandatory-efrag-guidance/voluntary-standard-non-mandatory-efrag-guidance/2026-efrag-guidance/177" TargetMode="External"/><Relationship Id="rId21" Type="http://schemas.openxmlformats.org/officeDocument/2006/relationships/hyperlink" Target="https://knowledgehub.efrag.org/eng/interactive/voluntary-standard/standard-for-voluntary-use/da/58" TargetMode="External"/><Relationship Id="rId34" Type="http://schemas.openxmlformats.org/officeDocument/2006/relationships/hyperlink" Target="https://knowledgehub.efrag.org/eng/interactive/voluntary-standard-non-mandatory-efrag-guidance/voluntary-standard-non-mandatory-efrag-guidance/2026-efrag-guidance/123" TargetMode="External"/><Relationship Id="rId42" Type="http://schemas.openxmlformats.org/officeDocument/2006/relationships/hyperlink" Target="https://knowledgehub.efrag.org/eng/interactive/voluntary-standard/standard-for-voluntary-use/voluntary-standard-official-journal-publication/42/b" TargetMode="External"/><Relationship Id="rId47" Type="http://schemas.openxmlformats.org/officeDocument/2006/relationships/hyperlink" Target="https://knowledgehub.efrag.org/eng/interactive/voluntary-standard/standard-for-voluntary-use/voluntary-standard-official-journal-publication/62/a" TargetMode="External"/><Relationship Id="rId50" Type="http://schemas.openxmlformats.org/officeDocument/2006/relationships/drawing" Target="../drawings/drawing4.xml"/><Relationship Id="rId7" Type="http://schemas.openxmlformats.org/officeDocument/2006/relationships/hyperlink" Target="https://knowledgehub.efrag.org/eng/interactive/voluntary-standard/standard-for-voluntary-use/da/42/b" TargetMode="External"/><Relationship Id="rId2" Type="http://schemas.openxmlformats.org/officeDocument/2006/relationships/hyperlink" Target="https://knowledgehub.efrag.org/eng/interactive/voluntary-standard/standard-for-voluntary-use/voluntary-standard-official-journal-publication/40/b" TargetMode="External"/><Relationship Id="rId16" Type="http://schemas.openxmlformats.org/officeDocument/2006/relationships/hyperlink" Target="https://knowledgehub.efrag.org/eng/interactive/voluntary-standard/standard-for-voluntary-use/da/62/a" TargetMode="External"/><Relationship Id="rId29" Type="http://schemas.openxmlformats.org/officeDocument/2006/relationships/hyperlink" Target="https://knowledgehub.efrag.org/eng/interactive/voluntary-standard-non-mandatory-efrag-guidance/voluntary-standard-non-mandatory-efrag-guidance/2026-efrag-guidance/171" TargetMode="External"/><Relationship Id="rId11" Type="http://schemas.openxmlformats.org/officeDocument/2006/relationships/hyperlink" Target="https://knowledgehub.efrag.org/eng/interactive/voluntary-standard/standard-for-voluntary-use/da/60" TargetMode="External"/><Relationship Id="rId24" Type="http://schemas.openxmlformats.org/officeDocument/2006/relationships/hyperlink" Target="https://knowledgehub.efrag.org/eng/interactive/voluntary-standard-non-mandatory-efrag-guidance/voluntary-standard-non-mandatory-efrag-guidance/2026-efrag-guidance/110" TargetMode="External"/><Relationship Id="rId32" Type="http://schemas.openxmlformats.org/officeDocument/2006/relationships/hyperlink" Target="https://knowledgehub.efrag.org/eng/interactive/voluntary-standard-non-mandatory-efrag-guidance/voluntary-standard-non-mandatory-efrag-guidance/2026-efrag-guidance/177" TargetMode="External"/><Relationship Id="rId37" Type="http://schemas.openxmlformats.org/officeDocument/2006/relationships/hyperlink" Target="https://knowledgehub.efrag.org/eng/interactive/voluntary-standard-non-mandatory-efrag-guidance/voluntary-standard-non-mandatory-efrag-guidance/2026-efrag-guidance/177" TargetMode="External"/><Relationship Id="rId40" Type="http://schemas.openxmlformats.org/officeDocument/2006/relationships/hyperlink" Target="https://knowledgehub.efrag.org/eng/interactive/voluntary-standard-non-mandatory-efrag-guidance/voluntary-standard-non-mandatory-efrag-guidance/2026-efrag-guidance/112" TargetMode="External"/><Relationship Id="rId45" Type="http://schemas.openxmlformats.org/officeDocument/2006/relationships/hyperlink" Target="https://knowledgehub.efrag.org/eng/interactive/voluntary-standard/standard-for-voluntary-use/voluntary-standard-official-journal-publication/60" TargetMode="External"/><Relationship Id="rId5" Type="http://schemas.openxmlformats.org/officeDocument/2006/relationships/hyperlink" Target="https://knowledgehub.efrag.org/eng/interactive/voluntary-standard/standard-for-voluntary-use/voluntary-standard-official-journal-publication/41/b" TargetMode="External"/><Relationship Id="rId15" Type="http://schemas.openxmlformats.org/officeDocument/2006/relationships/hyperlink" Target="https://knowledgehub.efrag.org/eng/interactive/voluntary-standard/standard-for-voluntary-use/voluntary-standard-official-journal-publication/62" TargetMode="External"/><Relationship Id="rId23" Type="http://schemas.openxmlformats.org/officeDocument/2006/relationships/hyperlink" Target="https://knowledgehub.efrag.org/eng/interactive/voluntary-standard-non-mandatory-efrag-guidance/voluntary-standard-non-mandatory-efrag-guidance/2026-efrag-guidance/108" TargetMode="External"/><Relationship Id="rId28" Type="http://schemas.openxmlformats.org/officeDocument/2006/relationships/hyperlink" Target="https://knowledgehub.efrag.org/eng/interactive/voluntary-standard-non-mandatory-efrag-guidance/voluntary-standard-non-mandatory-efrag-guidance/2026-efrag-guidance/168" TargetMode="External"/><Relationship Id="rId36" Type="http://schemas.openxmlformats.org/officeDocument/2006/relationships/hyperlink" Target="https://knowledgehub.efrag.org/eng/interactive/voluntary-standard-non-mandatory-efrag-guidance/voluntary-standard-non-mandatory-efrag-guidance/2026-efrag-guidance/177" TargetMode="External"/><Relationship Id="rId49" Type="http://schemas.openxmlformats.org/officeDocument/2006/relationships/printerSettings" Target="../printerSettings/printerSettings4.bin"/><Relationship Id="rId10" Type="http://schemas.openxmlformats.org/officeDocument/2006/relationships/hyperlink" Target="https://knowledgehub.efrag.org/eng/interactive/voluntary-standard/standard-for-voluntary-use/da/59" TargetMode="External"/><Relationship Id="rId19" Type="http://schemas.openxmlformats.org/officeDocument/2006/relationships/hyperlink" Target="https://knowledgehub.efrag.org/eng/interactive/voluntary-standard/standard-for-voluntary-use/voluntary-standard-official-journal-publication/12" TargetMode="External"/><Relationship Id="rId31" Type="http://schemas.openxmlformats.org/officeDocument/2006/relationships/hyperlink" Target="https://knowledgehub.efrag.org/eng/interactive/voluntary-standard-non-mandatory-efrag-guidance/voluntary-standard-non-mandatory-efrag-guidance/2026-efrag-guidance/175" TargetMode="External"/><Relationship Id="rId44" Type="http://schemas.openxmlformats.org/officeDocument/2006/relationships/hyperlink" Target="https://knowledgehub.efrag.org/eng/interactive/voluntary-standard/standard-for-voluntary-use/voluntary-standard-official-journal-publication/59" TargetMode="External"/><Relationship Id="rId4" Type="http://schemas.openxmlformats.org/officeDocument/2006/relationships/hyperlink" Target="https://knowledgehub.efrag.org/eng/interactive/voluntary-standard/standard-for-voluntary-use/da/41/a" TargetMode="External"/><Relationship Id="rId9" Type="http://schemas.openxmlformats.org/officeDocument/2006/relationships/hyperlink" Target="https://knowledgehub.efrag.org/eng/interactive/voluntary-standard/standard-for-voluntary-use/voluntary-standard-official-journal-publication/42/d" TargetMode="External"/><Relationship Id="rId14" Type="http://schemas.openxmlformats.org/officeDocument/2006/relationships/hyperlink" Target="https://knowledgehub.efrag.org/eng/interactive/voluntary-standard/standard-for-voluntary-use/voluntary-standard-official-journal-publication/61/c" TargetMode="External"/><Relationship Id="rId22" Type="http://schemas.openxmlformats.org/officeDocument/2006/relationships/hyperlink" Target="https://knowledgehub.efrag.org/eng/interactive/voluntary-standard-non-mandatory-efrag-guidance/voluntary-standard-non-mandatory-efrag-guidance/2026-efrag-guidance/107" TargetMode="External"/><Relationship Id="rId27" Type="http://schemas.openxmlformats.org/officeDocument/2006/relationships/hyperlink" Target="https://knowledgehub.efrag.org/eng/interactive/voluntary-standard-non-mandatory-efrag-guidance/voluntary-standard-non-mandatory-efrag-guidance/2026-efrag-guidance/166" TargetMode="External"/><Relationship Id="rId30" Type="http://schemas.openxmlformats.org/officeDocument/2006/relationships/hyperlink" Target="https://knowledgehub.efrag.org/eng/interactive/voluntary-standard-non-mandatory-efrag-guidance/voluntary-standard-non-mandatory-efrag-guidance/2026-efrag-guidance/174" TargetMode="External"/><Relationship Id="rId35" Type="http://schemas.openxmlformats.org/officeDocument/2006/relationships/hyperlink" Target="https://knowledgehub.efrag.org/eng/interactive/voluntary-standard-non-mandatory-efrag-guidance/voluntary-standard-non-mandatory-efrag-guidance/2026-efrag-guidance/174" TargetMode="External"/><Relationship Id="rId43" Type="http://schemas.openxmlformats.org/officeDocument/2006/relationships/hyperlink" Target="https://knowledgehub.efrag.org/eng/interactive/voluntary-standard/standard-for-voluntary-use/voluntary-standard-official-journal-publication/58" TargetMode="External"/><Relationship Id="rId48" Type="http://schemas.openxmlformats.org/officeDocument/2006/relationships/hyperlink" Target="https://knowledgehub.efrag.org/eng/interactive/voluntary-standard/standard-for-voluntary-use/voluntary-standard-official-journal-publication/62/c" TargetMode="External"/><Relationship Id="rId8" Type="http://schemas.openxmlformats.org/officeDocument/2006/relationships/hyperlink" Target="https://knowledgehub.efrag.org/eng/interactive/voluntary-standard/standard-for-voluntary-use/voluntary-standard-official-journal-publication/42/c" TargetMode="External"/><Relationship Id="rId3" Type="http://schemas.openxmlformats.org/officeDocument/2006/relationships/hyperlink" Target="https://knowledgehub.efrag.org/eng/interactive/voluntary-standard/standard-for-voluntary-use/voluntary-standard-official-journal-publication/40/c" TargetMode="External"/><Relationship Id="rId12" Type="http://schemas.openxmlformats.org/officeDocument/2006/relationships/hyperlink" Target="https://knowledgehub.efrag.org/eng/interactive/voluntary-standard/standard-for-voluntary-use/voluntary-standard-official-journal-publication/61/a" TargetMode="External"/><Relationship Id="rId17" Type="http://schemas.openxmlformats.org/officeDocument/2006/relationships/hyperlink" Target="https://knowledgehub.efrag.org/eng/interactive/voluntary-standard/standard-for-voluntary-use/voluntary-standard-official-journal-publication/62/b" TargetMode="External"/><Relationship Id="rId25" Type="http://schemas.openxmlformats.org/officeDocument/2006/relationships/hyperlink" Target="https://knowledgehub.efrag.org/eng/interactive/voluntary-standard-non-mandatory-efrag-guidance/voluntary-standard-non-mandatory-efrag-guidance/2026-efrag-guidance/121" TargetMode="External"/><Relationship Id="rId33" Type="http://schemas.openxmlformats.org/officeDocument/2006/relationships/hyperlink" Target="https://knowledgehub.efrag.org/eng/interactive/voluntary-standard-non-mandatory-efrag-guidance/voluntary-standard-non-mandatory-efrag-guidance/2026-efrag-guidance/117" TargetMode="External"/><Relationship Id="rId38" Type="http://schemas.openxmlformats.org/officeDocument/2006/relationships/hyperlink" Target="https://knowledgehub.efrag.org/eng/interactive/voluntary-standard-non-mandatory-efrag-guidance/voluntary-standard-non-mandatory-efrag-guidance/2026-efrag-guidance/177" TargetMode="External"/><Relationship Id="rId46" Type="http://schemas.openxmlformats.org/officeDocument/2006/relationships/hyperlink" Target="https://knowledgehub.efrag.org/eng/interactive/voluntary-standard/standard-for-voluntary-use/voluntary-standard-official-journal-publication/61/b" TargetMode="External"/><Relationship Id="rId20" Type="http://schemas.openxmlformats.org/officeDocument/2006/relationships/hyperlink" Target="https://www.efrag.org/en/vsme-supporting-guide-to-disclosure-c7-comprehensive-module-severe-negative-human-rights-incidents" TargetMode="External"/><Relationship Id="rId41" Type="http://schemas.openxmlformats.org/officeDocument/2006/relationships/hyperlink" Target="https://knowledgehub.efrag.org/eng/interactive/voluntary-standard/standard-for-voluntary-use/voluntary-standard-official-journal-publication/41/a" TargetMode="External"/><Relationship Id="rId1" Type="http://schemas.openxmlformats.org/officeDocument/2006/relationships/hyperlink" Target="https://knowledgehub.efrag.org/eng/interactive/voluntary-standard/standard-for-voluntary-use/voluntary-standard-official-journal-publication/40/a" TargetMode="External"/><Relationship Id="rId6" Type="http://schemas.openxmlformats.org/officeDocument/2006/relationships/hyperlink" Target="https://knowledgehub.efrag.org/eng/interactive/voluntary-standard/standard-for-voluntary-use/voluntary-standard-official-journal-publication/42/a"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knowledgehub.efrag.org/eng/interactive/voluntary-standard-non-mandatory-efrag-guidance/voluntary-standard-non-mandatory-efrag-guidance/2026-efrag-guidance/138" TargetMode="External"/><Relationship Id="rId13" Type="http://schemas.openxmlformats.org/officeDocument/2006/relationships/drawing" Target="../drawings/drawing5.xml"/><Relationship Id="rId3" Type="http://schemas.openxmlformats.org/officeDocument/2006/relationships/hyperlink" Target="https://knowledgehub.efrag.org/eng/interactive/voluntary-standard/standard-for-voluntary-use/voluntary-standard-official-journal-publication/63/b" TargetMode="External"/><Relationship Id="rId7" Type="http://schemas.openxmlformats.org/officeDocument/2006/relationships/hyperlink" Target="https://knowledgehub.efrag.org/eng/interactive/voluntary-standard/standard-for-voluntary-use/voluntary-standard-official-journal-publication/12" TargetMode="External"/><Relationship Id="rId12" Type="http://schemas.openxmlformats.org/officeDocument/2006/relationships/hyperlink" Target="https://knowledgehub.efrag.org/eng/interactive/voluntary-standard/standard-for-voluntary-use/voluntary-standard-official-journal-publication/63/c" TargetMode="External"/><Relationship Id="rId2" Type="http://schemas.openxmlformats.org/officeDocument/2006/relationships/hyperlink" Target="https://knowledgehub.efrag.org/eng/interactive/voluntary-standard/standard-for-voluntary-use/voluntary-standard-official-journal-publication/63/a" TargetMode="External"/><Relationship Id="rId1" Type="http://schemas.openxmlformats.org/officeDocument/2006/relationships/hyperlink" Target="https://knowledgehub.efrag.org/eng/interactive/voluntary-standard/standard-for-voluntary-use/voluntary-standard-official-journal-publication/43" TargetMode="External"/><Relationship Id="rId6" Type="http://schemas.openxmlformats.org/officeDocument/2006/relationships/hyperlink" Target="https://knowledgehub.efrag.org/eng/interactive/voluntary-standard/standard-for-voluntary-use/voluntary-standard-official-journal-publication/64" TargetMode="External"/><Relationship Id="rId11" Type="http://schemas.openxmlformats.org/officeDocument/2006/relationships/hyperlink" Target="https://knowledgehub.efrag.org/eng/interactive/voluntary-standard-non-mandatory-efrag-guidance/voluntary-standard-non-mandatory-efrag-guidance/2026-efrag-guidance/182" TargetMode="External"/><Relationship Id="rId5" Type="http://schemas.openxmlformats.org/officeDocument/2006/relationships/hyperlink" Target="https://knowledgehub.efrag.org/eng/interactive/voluntary-standard/standard-for-voluntary-use/voluntary-standard-official-journal-publication/63/d" TargetMode="External"/><Relationship Id="rId10" Type="http://schemas.openxmlformats.org/officeDocument/2006/relationships/hyperlink" Target="https://knowledgehub.efrag.org/eng/interactive/voluntary-standard-non-mandatory-efrag-guidance/voluntary-standard-non-mandatory-efrag-guidance/2026-efrag-guidance/181" TargetMode="External"/><Relationship Id="rId4" Type="http://schemas.openxmlformats.org/officeDocument/2006/relationships/hyperlink" Target="https://knowledgehub.efrag.org/eng/interactive/voluntary-standard/standard-for-voluntary-use/da/63/c" TargetMode="External"/><Relationship Id="rId9" Type="http://schemas.openxmlformats.org/officeDocument/2006/relationships/hyperlink" Target="https://knowledgehub.efrag.org/eng/interactive/voluntary-standard-non-mandatory-efrag-guidance/voluntary-standard-non-mandatory-efrag-guidance/2026-efrag-guidance/179"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E7FCE-E16D-49E4-A7B0-FAAD59C0A990}">
  <dimension ref="A1:BH64"/>
  <sheetViews>
    <sheetView tabSelected="1" zoomScaleNormal="100" workbookViewId="0">
      <selection activeCell="G7" sqref="G7:P7"/>
    </sheetView>
  </sheetViews>
  <sheetFormatPr defaultColWidth="9.4609375" defaultRowHeight="14.6"/>
  <cols>
    <col min="1" max="16384" width="9.4609375" style="469"/>
  </cols>
  <sheetData>
    <row r="1" spans="1:60" ht="93.9">
      <c r="B1" s="470"/>
      <c r="C1" s="470"/>
      <c r="D1" s="470"/>
      <c r="E1" s="470"/>
      <c r="F1" s="470"/>
      <c r="G1" s="470"/>
      <c r="H1" s="470"/>
      <c r="I1" s="470"/>
      <c r="J1" s="470"/>
      <c r="K1" s="470"/>
      <c r="L1" s="470"/>
      <c r="M1" s="470"/>
      <c r="N1" s="470"/>
      <c r="O1" s="470"/>
      <c r="P1" s="470"/>
      <c r="Q1" s="470"/>
      <c r="R1" s="470"/>
      <c r="S1" s="470"/>
      <c r="T1" s="470"/>
      <c r="U1" s="470"/>
      <c r="V1" s="470"/>
      <c r="W1" s="470"/>
      <c r="X1" s="470"/>
      <c r="Y1" s="470"/>
      <c r="Z1" s="470"/>
      <c r="AA1" s="470"/>
      <c r="AB1" s="470"/>
      <c r="AC1" s="470"/>
      <c r="AD1" s="470"/>
      <c r="AE1" s="470"/>
      <c r="AF1" s="470"/>
      <c r="AG1" s="470"/>
      <c r="AH1" s="470"/>
      <c r="AI1" s="470"/>
      <c r="AJ1" s="470"/>
      <c r="AK1" s="470"/>
      <c r="AL1" s="470"/>
      <c r="AM1" s="470"/>
      <c r="AN1" s="470"/>
      <c r="AO1" s="470"/>
      <c r="AP1" s="470"/>
      <c r="AQ1" s="470"/>
      <c r="AR1" s="470"/>
      <c r="AS1" s="470"/>
      <c r="AT1" s="470"/>
      <c r="AU1" s="470"/>
      <c r="AV1" s="470"/>
      <c r="AW1" s="470"/>
      <c r="AX1" s="470"/>
      <c r="AY1" s="470"/>
      <c r="AZ1" s="470"/>
      <c r="BA1" s="470"/>
      <c r="BB1" s="470"/>
      <c r="BC1" s="470"/>
      <c r="BD1" s="470"/>
      <c r="BE1" s="470"/>
      <c r="BF1" s="470"/>
      <c r="BG1" s="470"/>
      <c r="BH1" s="470"/>
    </row>
    <row r="2" spans="1:60" ht="14.4" customHeight="1">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4"/>
      <c r="AE2" s="470"/>
      <c r="AF2" s="470"/>
      <c r="AG2" s="470"/>
      <c r="AH2" s="470"/>
      <c r="AI2" s="470"/>
      <c r="AJ2" s="470"/>
      <c r="AK2" s="470"/>
      <c r="AL2" s="470"/>
      <c r="AM2" s="470"/>
      <c r="AN2" s="470"/>
      <c r="AO2" s="470"/>
      <c r="AP2" s="470"/>
      <c r="AQ2" s="470"/>
      <c r="AR2" s="470"/>
      <c r="AS2" s="470"/>
      <c r="AT2" s="470"/>
      <c r="AU2" s="470"/>
      <c r="AV2" s="470"/>
      <c r="AW2" s="470"/>
      <c r="AX2" s="470"/>
      <c r="AY2" s="470"/>
      <c r="AZ2" s="470"/>
      <c r="BA2" s="470"/>
      <c r="BB2" s="470"/>
      <c r="BC2" s="470"/>
      <c r="BD2" s="470"/>
      <c r="BE2" s="470"/>
      <c r="BF2" s="470"/>
      <c r="BG2" s="470"/>
      <c r="BH2" s="470"/>
    </row>
    <row r="3" spans="1:60" ht="14.4" customHeight="1">
      <c r="A3" s="470"/>
      <c r="B3" s="470"/>
      <c r="C3" s="470"/>
      <c r="D3" s="470"/>
      <c r="E3" s="470"/>
      <c r="F3" s="470"/>
      <c r="G3" s="470"/>
      <c r="H3" s="470"/>
      <c r="I3" s="470"/>
      <c r="J3" s="470"/>
      <c r="K3" s="470"/>
      <c r="L3" s="470"/>
      <c r="M3" s="470"/>
      <c r="N3" s="470"/>
      <c r="O3" s="470"/>
      <c r="P3" s="470"/>
      <c r="Q3" s="470"/>
      <c r="R3" s="470"/>
      <c r="S3" s="470"/>
      <c r="T3" s="470"/>
      <c r="U3" s="470"/>
      <c r="V3" s="470"/>
      <c r="W3" s="470"/>
      <c r="X3" s="470"/>
      <c r="Y3" s="470"/>
      <c r="Z3" s="470"/>
      <c r="AA3" s="470"/>
      <c r="AB3" s="470"/>
      <c r="AC3" s="470"/>
      <c r="AD3" s="474"/>
      <c r="AE3" s="470"/>
      <c r="AF3" s="470"/>
      <c r="AG3" s="470"/>
      <c r="AH3" s="470"/>
      <c r="AI3" s="470"/>
      <c r="AJ3" s="470"/>
      <c r="AK3" s="470"/>
      <c r="AL3" s="470"/>
      <c r="AM3" s="470"/>
      <c r="AN3" s="470"/>
      <c r="AO3" s="470"/>
      <c r="AP3" s="470"/>
      <c r="AQ3" s="470"/>
      <c r="AR3" s="470"/>
      <c r="AS3" s="470"/>
      <c r="AT3" s="470"/>
      <c r="AU3" s="470"/>
      <c r="AV3" s="470"/>
      <c r="AW3" s="470"/>
      <c r="AX3" s="470"/>
      <c r="AY3" s="470"/>
      <c r="AZ3" s="470"/>
      <c r="BA3" s="470"/>
      <c r="BB3" s="470"/>
      <c r="BC3" s="470"/>
      <c r="BD3" s="470"/>
      <c r="BE3" s="470"/>
      <c r="BF3" s="470"/>
      <c r="BG3" s="470"/>
      <c r="BH3" s="470"/>
    </row>
    <row r="4" spans="1:60" ht="14.4" customHeight="1" thickBot="1">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c r="AB4" s="470"/>
      <c r="AC4" s="470"/>
      <c r="AD4" s="474"/>
      <c r="AE4" s="470"/>
      <c r="AF4" s="470"/>
      <c r="AG4" s="470"/>
      <c r="AH4" s="470"/>
      <c r="AI4" s="470"/>
      <c r="AJ4" s="470"/>
      <c r="AK4" s="470"/>
      <c r="AL4" s="470"/>
      <c r="AM4" s="470"/>
      <c r="AN4" s="470"/>
      <c r="AO4" s="470"/>
      <c r="AP4" s="470"/>
      <c r="AQ4" s="470"/>
      <c r="AR4" s="470"/>
      <c r="AS4" s="470"/>
      <c r="AT4" s="470"/>
      <c r="AU4" s="470"/>
      <c r="AV4" s="470"/>
      <c r="AW4" s="470"/>
      <c r="AX4" s="470"/>
      <c r="AY4" s="470"/>
      <c r="AZ4" s="470"/>
      <c r="BA4" s="470"/>
      <c r="BB4" s="470"/>
      <c r="BC4" s="470"/>
      <c r="BD4" s="470"/>
      <c r="BE4" s="470"/>
      <c r="BF4" s="470"/>
      <c r="BG4" s="470"/>
      <c r="BH4" s="470"/>
    </row>
    <row r="5" spans="1:60" ht="54.65" customHeight="1">
      <c r="A5" s="470"/>
      <c r="B5" s="470"/>
      <c r="C5" s="470"/>
      <c r="D5" s="470"/>
      <c r="E5" s="470"/>
      <c r="F5" s="470"/>
      <c r="G5" s="627" t="str">
        <f>template_language_selection</f>
        <v>Language selection</v>
      </c>
      <c r="H5" s="628"/>
      <c r="I5" s="628"/>
      <c r="J5" s="628"/>
      <c r="K5" s="628"/>
      <c r="L5" s="628"/>
      <c r="M5" s="628"/>
      <c r="N5" s="628"/>
      <c r="O5" s="628"/>
      <c r="P5" s="629"/>
      <c r="Q5" s="470"/>
      <c r="R5" s="470"/>
      <c r="S5" s="470"/>
      <c r="T5" s="470"/>
      <c r="U5" s="470"/>
      <c r="V5" s="470"/>
      <c r="W5" s="470"/>
      <c r="X5" s="470"/>
      <c r="Y5" s="470"/>
      <c r="Z5" s="470"/>
      <c r="AA5" s="470"/>
      <c r="AB5" s="470"/>
      <c r="AC5" s="470"/>
      <c r="AD5" s="474"/>
      <c r="AE5" s="470"/>
      <c r="AF5" s="470"/>
      <c r="AG5" s="470"/>
      <c r="AH5" s="470"/>
      <c r="AI5" s="470"/>
      <c r="AJ5" s="470"/>
      <c r="AK5" s="470"/>
      <c r="AL5" s="470"/>
      <c r="AM5" s="470"/>
      <c r="AN5" s="470"/>
      <c r="AO5" s="470"/>
      <c r="AP5" s="470"/>
      <c r="AQ5" s="470"/>
      <c r="AR5" s="470"/>
      <c r="AS5" s="470"/>
      <c r="AT5" s="470"/>
      <c r="AU5" s="470"/>
      <c r="AV5" s="470"/>
      <c r="AW5" s="470"/>
      <c r="AX5" s="470"/>
      <c r="AY5" s="470"/>
      <c r="AZ5" s="470"/>
      <c r="BA5" s="470"/>
      <c r="BB5" s="470"/>
      <c r="BC5" s="470"/>
      <c r="BD5" s="470"/>
      <c r="BE5" s="470"/>
      <c r="BF5" s="470"/>
      <c r="BG5" s="470"/>
      <c r="BH5" s="470"/>
    </row>
    <row r="6" spans="1:60" ht="37.4" customHeight="1" thickBot="1">
      <c r="A6" s="470"/>
      <c r="B6" s="470"/>
      <c r="C6" s="470"/>
      <c r="D6" s="470"/>
      <c r="E6" s="470"/>
      <c r="F6" s="470"/>
      <c r="G6" s="630" t="str">
        <f>template_label_select_template_display_language</f>
        <v>VS Digital Template enables translations into different EU languages.
Please select the language from the dropdown below.</v>
      </c>
      <c r="H6" s="631"/>
      <c r="I6" s="631"/>
      <c r="J6" s="631"/>
      <c r="K6" s="631"/>
      <c r="L6" s="631"/>
      <c r="M6" s="631"/>
      <c r="N6" s="631"/>
      <c r="O6" s="631"/>
      <c r="P6" s="632"/>
      <c r="Q6" s="470"/>
      <c r="R6" s="470"/>
      <c r="S6" s="470"/>
      <c r="T6" s="470"/>
      <c r="U6" s="470"/>
      <c r="V6" s="470"/>
      <c r="W6" s="470"/>
      <c r="X6" s="470"/>
      <c r="Y6" s="470"/>
      <c r="Z6" s="470"/>
      <c r="AA6" s="470"/>
      <c r="AB6" s="470"/>
      <c r="AC6" s="470"/>
      <c r="AD6" s="474"/>
      <c r="AE6" s="470"/>
      <c r="AF6" s="470"/>
      <c r="AG6" s="470"/>
      <c r="AH6" s="470"/>
      <c r="AI6" s="470"/>
      <c r="AJ6" s="470"/>
      <c r="AK6" s="470"/>
      <c r="AL6" s="470"/>
      <c r="AM6" s="470"/>
      <c r="AN6" s="470"/>
      <c r="AO6" s="470"/>
      <c r="AP6" s="470"/>
      <c r="AQ6" s="470"/>
      <c r="AR6" s="470"/>
      <c r="AS6" s="470"/>
      <c r="AT6" s="470"/>
      <c r="AU6" s="470"/>
      <c r="AV6" s="470"/>
      <c r="AW6" s="470"/>
      <c r="AX6" s="470"/>
      <c r="AY6" s="470"/>
      <c r="AZ6" s="470"/>
      <c r="BA6" s="470"/>
      <c r="BB6" s="470"/>
      <c r="BC6" s="470"/>
      <c r="BD6" s="470"/>
      <c r="BE6" s="470"/>
      <c r="BF6" s="470"/>
      <c r="BG6" s="470"/>
      <c r="BH6" s="470"/>
    </row>
    <row r="7" spans="1:60" ht="28.4" customHeight="1" thickBot="1">
      <c r="A7" s="470"/>
      <c r="B7" s="470"/>
      <c r="C7" s="470"/>
      <c r="D7" s="470"/>
      <c r="E7" s="470"/>
      <c r="F7" s="470"/>
      <c r="G7" s="633" t="s">
        <v>0</v>
      </c>
      <c r="H7" s="634"/>
      <c r="I7" s="634"/>
      <c r="J7" s="634"/>
      <c r="K7" s="634"/>
      <c r="L7" s="634"/>
      <c r="M7" s="634"/>
      <c r="N7" s="634"/>
      <c r="O7" s="634"/>
      <c r="P7" s="634"/>
      <c r="Q7" s="473" t="s">
        <v>1</v>
      </c>
      <c r="R7" s="472"/>
      <c r="S7" s="470"/>
      <c r="T7" s="470"/>
      <c r="U7" s="470"/>
      <c r="V7" s="470"/>
      <c r="W7" s="470"/>
      <c r="X7" s="470"/>
      <c r="Y7" s="470"/>
      <c r="Z7" s="470"/>
      <c r="AA7" s="470"/>
      <c r="AB7" s="470"/>
      <c r="AC7" s="470"/>
      <c r="AD7" s="474"/>
      <c r="AE7" s="470"/>
      <c r="AF7" s="470"/>
      <c r="AG7" s="470"/>
      <c r="AH7" s="470"/>
      <c r="AI7" s="470"/>
      <c r="AJ7" s="470"/>
      <c r="AK7" s="470"/>
      <c r="AL7" s="470"/>
      <c r="AM7" s="470"/>
      <c r="AN7" s="470"/>
      <c r="AO7" s="470"/>
      <c r="AP7" s="470"/>
      <c r="AQ7" s="470"/>
      <c r="AR7" s="470"/>
      <c r="AS7" s="470"/>
      <c r="AT7" s="470"/>
      <c r="AU7" s="470"/>
      <c r="AV7" s="470"/>
      <c r="AW7" s="470"/>
      <c r="AX7" s="470"/>
      <c r="AY7" s="470"/>
      <c r="AZ7" s="470"/>
      <c r="BA7" s="470"/>
      <c r="BB7" s="470"/>
      <c r="BC7" s="470"/>
      <c r="BD7" s="470"/>
      <c r="BE7" s="470"/>
      <c r="BF7" s="470"/>
      <c r="BG7" s="470"/>
      <c r="BH7" s="470"/>
    </row>
    <row r="8" spans="1:60" ht="14.4" customHeight="1">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c r="AB8" s="470"/>
      <c r="AC8" s="470"/>
      <c r="AD8" s="474"/>
      <c r="AE8" s="470"/>
      <c r="AF8" s="470"/>
      <c r="AG8" s="470"/>
      <c r="AH8" s="470"/>
      <c r="AI8" s="470"/>
      <c r="AJ8" s="470"/>
      <c r="AK8" s="470"/>
      <c r="AL8" s="470"/>
      <c r="AM8" s="470"/>
      <c r="AN8" s="470"/>
      <c r="AO8" s="470"/>
      <c r="AP8" s="470"/>
      <c r="AQ8" s="470"/>
      <c r="AR8" s="470"/>
      <c r="AS8" s="470"/>
      <c r="AT8" s="470"/>
      <c r="AU8" s="470"/>
      <c r="AV8" s="470"/>
      <c r="AW8" s="470"/>
      <c r="AX8" s="470"/>
      <c r="AY8" s="470"/>
      <c r="AZ8" s="470"/>
      <c r="BA8" s="470"/>
      <c r="BB8" s="470"/>
      <c r="BC8" s="470"/>
      <c r="BD8" s="470"/>
      <c r="BE8" s="470"/>
      <c r="BF8" s="470"/>
      <c r="BG8" s="470"/>
      <c r="BH8" s="470"/>
    </row>
    <row r="9" spans="1:60" ht="14.4" customHeight="1">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c r="AB9" s="470"/>
      <c r="AC9" s="470"/>
      <c r="AD9" s="474"/>
      <c r="AE9" s="470"/>
      <c r="AF9" s="470"/>
      <c r="AG9" s="470"/>
      <c r="AH9" s="470"/>
      <c r="AI9" s="470"/>
      <c r="AJ9" s="470"/>
      <c r="AK9" s="470"/>
      <c r="AL9" s="470"/>
      <c r="AM9" s="470"/>
      <c r="AN9" s="470"/>
      <c r="AO9" s="470"/>
      <c r="AP9" s="470"/>
      <c r="AQ9" s="470"/>
      <c r="AR9" s="470"/>
      <c r="AS9" s="470"/>
      <c r="AT9" s="470"/>
      <c r="AU9" s="470"/>
      <c r="AV9" s="470"/>
      <c r="AW9" s="470"/>
      <c r="AX9" s="470"/>
      <c r="AY9" s="470"/>
      <c r="AZ9" s="470"/>
      <c r="BA9" s="470"/>
      <c r="BB9" s="470"/>
      <c r="BC9" s="470"/>
      <c r="BD9" s="470"/>
      <c r="BE9" s="470"/>
      <c r="BF9" s="470"/>
      <c r="BG9" s="470"/>
      <c r="BH9" s="470"/>
    </row>
    <row r="10" spans="1:60" ht="14.4" customHeight="1">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c r="AC10" s="470"/>
      <c r="AD10" s="474"/>
      <c r="AE10" s="470"/>
      <c r="AF10" s="470"/>
      <c r="AG10" s="470"/>
      <c r="AH10" s="470"/>
      <c r="AI10" s="470"/>
      <c r="AJ10" s="470"/>
      <c r="AK10" s="470"/>
      <c r="AL10" s="470"/>
      <c r="AM10" s="470"/>
      <c r="AN10" s="470"/>
      <c r="AO10" s="470"/>
      <c r="AP10" s="470"/>
      <c r="AQ10" s="470"/>
      <c r="AR10" s="470"/>
      <c r="AS10" s="470"/>
      <c r="AT10" s="470"/>
      <c r="AU10" s="470"/>
      <c r="AV10" s="470"/>
      <c r="AW10" s="470"/>
      <c r="AX10" s="470"/>
      <c r="AY10" s="470"/>
      <c r="AZ10" s="470"/>
      <c r="BA10" s="470"/>
      <c r="BB10" s="470"/>
      <c r="BC10" s="470"/>
      <c r="BD10" s="470"/>
      <c r="BE10" s="470"/>
      <c r="BF10" s="470"/>
      <c r="BG10" s="470"/>
      <c r="BH10" s="470"/>
    </row>
    <row r="11" spans="1:60" ht="14.4" customHeight="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c r="AC11" s="470"/>
      <c r="AD11" s="474"/>
      <c r="AE11" s="470"/>
      <c r="AF11" s="470"/>
      <c r="AG11" s="470"/>
      <c r="AH11" s="470"/>
      <c r="AI11" s="470"/>
      <c r="AJ11" s="470"/>
      <c r="AK11" s="470"/>
      <c r="AL11" s="470"/>
      <c r="AM11" s="470"/>
      <c r="AN11" s="470"/>
      <c r="AO11" s="470"/>
      <c r="AP11" s="470"/>
      <c r="AQ11" s="470"/>
      <c r="AR11" s="470"/>
      <c r="AS11" s="470"/>
      <c r="AT11" s="470"/>
      <c r="AU11" s="470"/>
      <c r="AV11" s="470"/>
      <c r="AW11" s="470"/>
      <c r="AX11" s="470"/>
      <c r="AY11" s="470"/>
      <c r="AZ11" s="470"/>
      <c r="BA11" s="470"/>
      <c r="BB11" s="470"/>
      <c r="BC11" s="470"/>
      <c r="BD11" s="470"/>
      <c r="BE11" s="470"/>
      <c r="BF11" s="470"/>
      <c r="BG11" s="470"/>
      <c r="BH11" s="470"/>
    </row>
    <row r="12" spans="1:60" ht="14.4" customHeight="1">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c r="AB12" s="470"/>
      <c r="AC12" s="470"/>
      <c r="AD12" s="474"/>
      <c r="AE12" s="470"/>
      <c r="AF12" s="470"/>
      <c r="AG12" s="470"/>
      <c r="AH12" s="470"/>
      <c r="AI12" s="470"/>
      <c r="AJ12" s="470"/>
      <c r="AK12" s="470"/>
      <c r="AL12" s="470"/>
      <c r="AM12" s="470"/>
      <c r="AN12" s="470"/>
      <c r="AO12" s="470"/>
      <c r="AP12" s="470"/>
      <c r="AQ12" s="470"/>
      <c r="AR12" s="470"/>
      <c r="AS12" s="470"/>
      <c r="AT12" s="470"/>
      <c r="AU12" s="470"/>
      <c r="AV12" s="470"/>
      <c r="AW12" s="470"/>
      <c r="AX12" s="470"/>
      <c r="AY12" s="470"/>
      <c r="AZ12" s="470"/>
      <c r="BA12" s="470"/>
      <c r="BB12" s="470"/>
      <c r="BC12" s="470"/>
      <c r="BD12" s="470"/>
      <c r="BE12" s="470"/>
      <c r="BF12" s="470"/>
      <c r="BG12" s="470"/>
      <c r="BH12" s="470"/>
    </row>
    <row r="13" spans="1:60" ht="14.4" customHeight="1">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c r="AB13" s="470"/>
      <c r="AC13" s="470"/>
      <c r="AD13" s="474"/>
      <c r="AE13" s="470"/>
      <c r="AF13" s="470"/>
      <c r="AG13" s="470"/>
      <c r="AH13" s="470"/>
      <c r="AI13" s="470"/>
      <c r="AJ13" s="470"/>
      <c r="AK13" s="470"/>
      <c r="AL13" s="470"/>
      <c r="AM13" s="470"/>
      <c r="AN13" s="470"/>
      <c r="AO13" s="470"/>
      <c r="AP13" s="470"/>
      <c r="AQ13" s="470"/>
      <c r="AR13" s="470"/>
      <c r="AS13" s="470"/>
      <c r="AT13" s="470"/>
      <c r="AU13" s="470"/>
      <c r="AV13" s="470"/>
      <c r="AW13" s="470"/>
      <c r="AX13" s="470"/>
      <c r="AY13" s="470"/>
      <c r="AZ13" s="470"/>
      <c r="BA13" s="470"/>
      <c r="BB13" s="470"/>
      <c r="BC13" s="470"/>
      <c r="BD13" s="470"/>
      <c r="BE13" s="470"/>
      <c r="BF13" s="470"/>
      <c r="BG13" s="470"/>
      <c r="BH13" s="470"/>
    </row>
    <row r="14" spans="1:60" ht="14.4" customHeight="1">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c r="AC14" s="470"/>
      <c r="AD14" s="474"/>
      <c r="AE14" s="470"/>
      <c r="AF14" s="470"/>
      <c r="AG14" s="470"/>
      <c r="AH14" s="470"/>
      <c r="AI14" s="470"/>
      <c r="AJ14" s="470"/>
      <c r="AK14" s="470"/>
      <c r="AL14" s="470"/>
      <c r="AM14" s="470"/>
      <c r="AN14" s="470"/>
      <c r="AO14" s="470"/>
      <c r="AP14" s="470"/>
      <c r="AQ14" s="470"/>
      <c r="AR14" s="470"/>
      <c r="AS14" s="470"/>
      <c r="AT14" s="470"/>
      <c r="AU14" s="470"/>
      <c r="AV14" s="470"/>
      <c r="AW14" s="470"/>
      <c r="AX14" s="470"/>
      <c r="AY14" s="470"/>
      <c r="AZ14" s="470"/>
      <c r="BA14" s="470"/>
      <c r="BB14" s="470"/>
      <c r="BC14" s="470"/>
      <c r="BD14" s="470"/>
      <c r="BE14" s="470"/>
      <c r="BF14" s="470"/>
      <c r="BG14" s="470"/>
      <c r="BH14" s="470"/>
    </row>
    <row r="15" spans="1:60" ht="14.4" customHeight="1">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c r="AC15" s="470"/>
      <c r="AD15" s="474"/>
      <c r="AE15" s="470"/>
      <c r="AF15" s="470"/>
      <c r="AG15" s="470"/>
      <c r="AH15" s="470"/>
      <c r="AI15" s="470"/>
      <c r="AJ15" s="470"/>
      <c r="AK15" s="470"/>
      <c r="AL15" s="470"/>
      <c r="AM15" s="470"/>
      <c r="AN15" s="470"/>
      <c r="AO15" s="470"/>
      <c r="AP15" s="470"/>
      <c r="AQ15" s="470"/>
      <c r="AR15" s="470"/>
      <c r="AS15" s="470"/>
      <c r="AT15" s="470"/>
      <c r="AU15" s="470"/>
      <c r="AV15" s="470"/>
      <c r="AW15" s="470"/>
      <c r="AX15" s="470"/>
      <c r="AY15" s="470"/>
      <c r="AZ15" s="470"/>
      <c r="BA15" s="470"/>
      <c r="BB15" s="470"/>
      <c r="BC15" s="470"/>
      <c r="BD15" s="470"/>
      <c r="BE15" s="470"/>
      <c r="BF15" s="470"/>
      <c r="BG15" s="470"/>
      <c r="BH15" s="470"/>
    </row>
    <row r="16" spans="1:60" ht="14.4" customHeight="1">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c r="AC16" s="470"/>
      <c r="AD16" s="470"/>
      <c r="AE16" s="470"/>
      <c r="AF16" s="470"/>
      <c r="AG16" s="470"/>
      <c r="AH16" s="470"/>
      <c r="AI16" s="470"/>
      <c r="AJ16" s="470"/>
      <c r="AK16" s="470"/>
      <c r="AL16" s="470"/>
      <c r="AM16" s="470"/>
      <c r="AN16" s="470"/>
      <c r="AO16" s="470"/>
      <c r="AP16" s="470"/>
      <c r="AQ16" s="470"/>
      <c r="AR16" s="470"/>
      <c r="AS16" s="470"/>
      <c r="AT16" s="470"/>
      <c r="AU16" s="470"/>
      <c r="AV16" s="470"/>
      <c r="AW16" s="470"/>
      <c r="AX16" s="470"/>
      <c r="AY16" s="470"/>
      <c r="AZ16" s="470"/>
      <c r="BA16" s="470"/>
      <c r="BB16" s="470"/>
      <c r="BC16" s="470"/>
      <c r="BD16" s="470"/>
      <c r="BE16" s="470"/>
      <c r="BF16" s="470"/>
      <c r="BG16" s="470"/>
      <c r="BH16" s="470"/>
    </row>
    <row r="17" spans="1:60" ht="14.4" customHeight="1">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470"/>
      <c r="AQ17" s="470"/>
      <c r="AR17" s="470"/>
      <c r="AS17" s="470"/>
      <c r="AT17" s="470"/>
      <c r="AU17" s="470"/>
      <c r="AV17" s="470"/>
      <c r="AW17" s="470"/>
      <c r="AX17" s="470"/>
      <c r="AY17" s="470"/>
      <c r="AZ17" s="470"/>
      <c r="BA17" s="470"/>
      <c r="BB17" s="470"/>
      <c r="BC17" s="470"/>
      <c r="BD17" s="470"/>
      <c r="BE17" s="470"/>
      <c r="BF17" s="470"/>
      <c r="BG17" s="470"/>
      <c r="BH17" s="470"/>
    </row>
    <row r="18" spans="1:60" ht="14.4" customHeight="1">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70"/>
      <c r="AS18" s="470"/>
      <c r="AT18" s="470"/>
      <c r="AU18" s="470"/>
      <c r="AV18" s="470"/>
      <c r="AW18" s="470"/>
      <c r="AX18" s="470"/>
      <c r="AY18" s="470"/>
      <c r="AZ18" s="470"/>
      <c r="BA18" s="470"/>
      <c r="BB18" s="470"/>
      <c r="BC18" s="470"/>
      <c r="BD18" s="470"/>
      <c r="BE18" s="470"/>
      <c r="BF18" s="470"/>
      <c r="BG18" s="470"/>
      <c r="BH18" s="470"/>
    </row>
    <row r="19" spans="1:60" ht="14.4" customHeight="1">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470"/>
      <c r="AQ19" s="470"/>
      <c r="AR19" s="470"/>
      <c r="AS19" s="470"/>
      <c r="AT19" s="470"/>
      <c r="AU19" s="470"/>
      <c r="AV19" s="470"/>
      <c r="AW19" s="470"/>
      <c r="AX19" s="470"/>
      <c r="AY19" s="470"/>
      <c r="AZ19" s="470"/>
      <c r="BA19" s="470"/>
      <c r="BB19" s="470"/>
      <c r="BC19" s="470"/>
      <c r="BD19" s="470"/>
      <c r="BE19" s="470"/>
      <c r="BF19" s="470"/>
      <c r="BG19" s="470"/>
      <c r="BH19" s="470"/>
    </row>
    <row r="20" spans="1:60" ht="14.4" customHeight="1">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c r="AB20" s="470"/>
      <c r="AC20" s="470"/>
      <c r="AD20" s="470"/>
      <c r="AE20" s="470"/>
      <c r="AF20" s="470"/>
      <c r="AG20" s="470"/>
      <c r="AH20" s="470"/>
      <c r="AI20" s="470"/>
      <c r="AJ20" s="470"/>
      <c r="AK20" s="470"/>
      <c r="AL20" s="470"/>
      <c r="AM20" s="470"/>
      <c r="AN20" s="470"/>
      <c r="AO20" s="470"/>
      <c r="AP20" s="470"/>
      <c r="AQ20" s="470"/>
      <c r="AR20" s="470"/>
      <c r="AS20" s="470"/>
      <c r="AT20" s="470"/>
      <c r="AU20" s="470"/>
      <c r="AV20" s="470"/>
      <c r="AW20" s="470"/>
      <c r="AX20" s="470"/>
      <c r="AY20" s="470"/>
      <c r="AZ20" s="470"/>
      <c r="BA20" s="470"/>
      <c r="BB20" s="470"/>
      <c r="BC20" s="470"/>
      <c r="BD20" s="470"/>
      <c r="BE20" s="470"/>
      <c r="BF20" s="470"/>
      <c r="BG20" s="470"/>
      <c r="BH20" s="470"/>
    </row>
    <row r="21" spans="1:60" ht="14.4" customHeight="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c r="AC21" s="470"/>
      <c r="AD21" s="470"/>
      <c r="AE21" s="470"/>
      <c r="AF21" s="470"/>
      <c r="AG21" s="470"/>
      <c r="AH21" s="470"/>
      <c r="AI21" s="470"/>
      <c r="AJ21" s="470"/>
      <c r="AK21" s="470"/>
      <c r="AL21" s="470"/>
      <c r="AM21" s="470"/>
      <c r="AN21" s="470"/>
      <c r="AO21" s="470"/>
      <c r="AP21" s="470"/>
      <c r="AQ21" s="470"/>
      <c r="AR21" s="470"/>
      <c r="AS21" s="470"/>
      <c r="AT21" s="470"/>
      <c r="AU21" s="470"/>
      <c r="AV21" s="470"/>
      <c r="AW21" s="470"/>
      <c r="AX21" s="470"/>
      <c r="AY21" s="470"/>
      <c r="AZ21" s="470"/>
      <c r="BA21" s="470"/>
      <c r="BB21" s="470"/>
      <c r="BC21" s="470"/>
      <c r="BD21" s="470"/>
      <c r="BE21" s="470"/>
      <c r="BF21" s="470"/>
      <c r="BG21" s="470"/>
      <c r="BH21" s="470"/>
    </row>
    <row r="22" spans="1:60" ht="14.4" customHeight="1">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c r="AC22" s="470"/>
      <c r="AD22" s="470"/>
      <c r="AE22" s="470"/>
      <c r="AF22" s="470"/>
      <c r="AG22" s="470"/>
      <c r="AH22" s="470"/>
      <c r="AI22" s="470"/>
      <c r="AJ22" s="470"/>
      <c r="AK22" s="470"/>
      <c r="AL22" s="470"/>
      <c r="AM22" s="470"/>
      <c r="AN22" s="470"/>
      <c r="AO22" s="470"/>
      <c r="AP22" s="470"/>
      <c r="AQ22" s="470"/>
      <c r="AR22" s="470"/>
      <c r="AS22" s="470"/>
      <c r="AT22" s="470"/>
      <c r="AU22" s="470"/>
      <c r="AV22" s="470"/>
      <c r="AW22" s="470"/>
      <c r="AX22" s="470"/>
      <c r="AY22" s="470"/>
      <c r="AZ22" s="470"/>
      <c r="BA22" s="470"/>
      <c r="BB22" s="470"/>
      <c r="BC22" s="470"/>
      <c r="BD22" s="470"/>
      <c r="BE22" s="470"/>
      <c r="BF22" s="470"/>
      <c r="BG22" s="470"/>
      <c r="BH22" s="470"/>
    </row>
    <row r="23" spans="1:60" ht="14.4" customHeight="1">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70"/>
      <c r="AS23" s="470"/>
      <c r="AT23" s="470"/>
      <c r="AU23" s="470"/>
      <c r="AV23" s="470"/>
      <c r="AW23" s="470"/>
      <c r="AX23" s="470"/>
      <c r="AY23" s="470"/>
      <c r="AZ23" s="470"/>
      <c r="BA23" s="470"/>
      <c r="BB23" s="470"/>
      <c r="BC23" s="470"/>
      <c r="BD23" s="470"/>
      <c r="BE23" s="470"/>
      <c r="BF23" s="470"/>
      <c r="BG23" s="470"/>
      <c r="BH23" s="470"/>
    </row>
    <row r="24" spans="1:60" ht="14.4" customHeight="1">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70"/>
      <c r="AS24" s="470"/>
      <c r="AT24" s="470"/>
      <c r="AU24" s="470"/>
      <c r="AV24" s="470"/>
      <c r="AW24" s="470"/>
      <c r="AX24" s="470"/>
      <c r="AY24" s="470"/>
      <c r="AZ24" s="470"/>
      <c r="BA24" s="470"/>
      <c r="BB24" s="470"/>
      <c r="BC24" s="470"/>
      <c r="BD24" s="470"/>
      <c r="BE24" s="470"/>
      <c r="BF24" s="470"/>
      <c r="BG24" s="470"/>
      <c r="BH24" s="470"/>
    </row>
    <row r="25" spans="1:60" ht="14.4" customHeight="1">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70"/>
      <c r="AS25" s="470"/>
      <c r="AT25" s="470"/>
      <c r="AU25" s="470"/>
      <c r="AV25" s="470"/>
      <c r="AW25" s="470"/>
      <c r="AX25" s="470"/>
      <c r="AY25" s="470"/>
      <c r="AZ25" s="470"/>
      <c r="BA25" s="470"/>
      <c r="BB25" s="470"/>
      <c r="BC25" s="470"/>
      <c r="BD25" s="470"/>
      <c r="BE25" s="470"/>
      <c r="BF25" s="470"/>
      <c r="BG25" s="470"/>
      <c r="BH25" s="470"/>
    </row>
    <row r="26" spans="1:60" ht="14.4" customHeight="1">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70"/>
      <c r="AS26" s="470"/>
      <c r="AT26" s="470"/>
      <c r="AU26" s="470"/>
      <c r="AV26" s="470"/>
      <c r="AW26" s="470"/>
      <c r="AX26" s="470"/>
      <c r="AY26" s="470"/>
      <c r="AZ26" s="470"/>
      <c r="BA26" s="470"/>
      <c r="BB26" s="470"/>
      <c r="BC26" s="470"/>
      <c r="BD26" s="470"/>
      <c r="BE26" s="470"/>
      <c r="BF26" s="470"/>
      <c r="BG26" s="470"/>
      <c r="BH26" s="470"/>
    </row>
    <row r="27" spans="1:60" ht="14.4" customHeight="1">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c r="AC27" s="470"/>
      <c r="AD27" s="470"/>
      <c r="AE27" s="470"/>
      <c r="AF27" s="470"/>
      <c r="AG27" s="470"/>
      <c r="AH27" s="470"/>
      <c r="AI27" s="470"/>
      <c r="AJ27" s="470"/>
      <c r="AK27" s="470"/>
      <c r="AL27" s="470"/>
      <c r="AM27" s="470"/>
      <c r="AN27" s="470"/>
      <c r="AO27" s="470"/>
      <c r="AP27" s="470"/>
      <c r="AQ27" s="470"/>
      <c r="AR27" s="470"/>
      <c r="AS27" s="470"/>
      <c r="AT27" s="470"/>
      <c r="AU27" s="470"/>
      <c r="AV27" s="470"/>
      <c r="AW27" s="470"/>
      <c r="AX27" s="470"/>
      <c r="AY27" s="470"/>
      <c r="AZ27" s="470"/>
      <c r="BA27" s="470"/>
      <c r="BB27" s="470"/>
      <c r="BC27" s="470"/>
      <c r="BD27" s="470"/>
      <c r="BE27" s="470"/>
      <c r="BF27" s="470"/>
      <c r="BG27" s="470"/>
      <c r="BH27" s="470"/>
    </row>
    <row r="28" spans="1:60" ht="14.4" customHeight="1">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c r="AC28" s="470"/>
      <c r="AD28" s="470"/>
      <c r="AE28" s="470"/>
      <c r="AF28" s="470"/>
      <c r="AG28" s="470"/>
      <c r="AH28" s="470"/>
      <c r="AI28" s="470"/>
      <c r="AJ28" s="470"/>
      <c r="AK28" s="470"/>
      <c r="AL28" s="470"/>
      <c r="AM28" s="470"/>
      <c r="AN28" s="470"/>
      <c r="AO28" s="470"/>
      <c r="AP28" s="470"/>
      <c r="AQ28" s="470"/>
      <c r="AR28" s="470"/>
      <c r="AS28" s="470"/>
      <c r="AT28" s="470"/>
      <c r="AU28" s="470"/>
      <c r="AV28" s="470"/>
      <c r="AW28" s="470"/>
      <c r="AX28" s="470"/>
      <c r="AY28" s="470"/>
      <c r="AZ28" s="470"/>
      <c r="BA28" s="470"/>
      <c r="BB28" s="470"/>
      <c r="BC28" s="470"/>
      <c r="BD28" s="470"/>
      <c r="BE28" s="470"/>
      <c r="BF28" s="470"/>
      <c r="BG28" s="470"/>
      <c r="BH28" s="470"/>
    </row>
    <row r="29" spans="1:60" ht="14.4" customHeight="1">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c r="AC29" s="470"/>
      <c r="AD29" s="470"/>
      <c r="AE29" s="470"/>
      <c r="AF29" s="470"/>
      <c r="AG29" s="470"/>
      <c r="AH29" s="470"/>
      <c r="AI29" s="470"/>
      <c r="AJ29" s="470"/>
      <c r="AK29" s="470"/>
      <c r="AL29" s="470"/>
      <c r="AM29" s="470"/>
      <c r="AN29" s="470"/>
      <c r="AO29" s="470"/>
      <c r="AP29" s="470"/>
      <c r="AQ29" s="470"/>
      <c r="AR29" s="470"/>
      <c r="AS29" s="470"/>
      <c r="AT29" s="470"/>
      <c r="AU29" s="470"/>
      <c r="AV29" s="470"/>
      <c r="AW29" s="470"/>
      <c r="AX29" s="470"/>
      <c r="AY29" s="470"/>
      <c r="AZ29" s="470"/>
      <c r="BA29" s="470"/>
      <c r="BB29" s="470"/>
      <c r="BC29" s="470"/>
      <c r="BD29" s="470"/>
      <c r="BE29" s="470"/>
      <c r="BF29" s="470"/>
      <c r="BG29" s="470"/>
      <c r="BH29" s="470"/>
    </row>
    <row r="30" spans="1:60" ht="14.4" customHeight="1">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c r="AC30" s="470"/>
      <c r="AD30" s="470"/>
      <c r="AE30" s="470"/>
      <c r="AF30" s="470"/>
      <c r="AG30" s="470"/>
      <c r="AH30" s="470"/>
      <c r="AI30" s="470"/>
      <c r="AJ30" s="470"/>
      <c r="AK30" s="470"/>
      <c r="AL30" s="470"/>
      <c r="AM30" s="470"/>
      <c r="AN30" s="470"/>
      <c r="AO30" s="470"/>
      <c r="AP30" s="470"/>
      <c r="AQ30" s="470"/>
      <c r="AR30" s="470"/>
      <c r="AS30" s="470"/>
      <c r="AT30" s="470"/>
      <c r="AU30" s="470"/>
      <c r="AV30" s="470"/>
      <c r="AW30" s="470"/>
      <c r="AX30" s="470"/>
      <c r="AY30" s="470"/>
      <c r="AZ30" s="470"/>
      <c r="BA30" s="470"/>
      <c r="BB30" s="470"/>
      <c r="BC30" s="470"/>
      <c r="BD30" s="470"/>
      <c r="BE30" s="470"/>
      <c r="BF30" s="470"/>
      <c r="BG30" s="470"/>
      <c r="BH30" s="470"/>
    </row>
    <row r="31" spans="1:60" ht="14.4" customHeight="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c r="AC31" s="470"/>
      <c r="AD31" s="470"/>
      <c r="AE31" s="470"/>
      <c r="AF31" s="470"/>
      <c r="AG31" s="470"/>
      <c r="AH31" s="470"/>
      <c r="AI31" s="470"/>
      <c r="AJ31" s="470"/>
      <c r="AK31" s="470"/>
      <c r="AL31" s="470"/>
      <c r="AM31" s="470"/>
      <c r="AN31" s="470"/>
      <c r="AO31" s="470"/>
      <c r="AP31" s="470"/>
      <c r="AQ31" s="470"/>
      <c r="AR31" s="470"/>
      <c r="AS31" s="470"/>
      <c r="AT31" s="470"/>
      <c r="AU31" s="470"/>
      <c r="AV31" s="470"/>
      <c r="AW31" s="470"/>
      <c r="AX31" s="470"/>
      <c r="AY31" s="470"/>
      <c r="AZ31" s="470"/>
      <c r="BA31" s="470"/>
      <c r="BB31" s="470"/>
      <c r="BC31" s="470"/>
      <c r="BD31" s="470"/>
      <c r="BE31" s="470"/>
      <c r="BF31" s="470"/>
      <c r="BG31" s="470"/>
      <c r="BH31" s="470"/>
    </row>
    <row r="32" spans="1:60" ht="14.4" customHeight="1">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c r="AB32" s="470"/>
      <c r="AC32" s="470"/>
      <c r="AD32" s="470"/>
      <c r="AE32" s="470"/>
      <c r="AF32" s="470"/>
      <c r="AG32" s="470"/>
      <c r="AH32" s="470"/>
      <c r="AI32" s="470"/>
      <c r="AJ32" s="470"/>
      <c r="AK32" s="470"/>
      <c r="AL32" s="470"/>
      <c r="AM32" s="470"/>
      <c r="AN32" s="470"/>
      <c r="AO32" s="470"/>
      <c r="AP32" s="470"/>
      <c r="AQ32" s="470"/>
      <c r="AR32" s="470"/>
      <c r="AS32" s="470"/>
      <c r="AT32" s="470"/>
      <c r="AU32" s="470"/>
      <c r="AV32" s="470"/>
      <c r="AW32" s="470"/>
      <c r="AX32" s="470"/>
      <c r="AY32" s="470"/>
      <c r="AZ32" s="470"/>
      <c r="BA32" s="470"/>
      <c r="BB32" s="470"/>
      <c r="BC32" s="470"/>
      <c r="BD32" s="470"/>
      <c r="BE32" s="470"/>
      <c r="BF32" s="470"/>
      <c r="BG32" s="470"/>
      <c r="BH32" s="470"/>
    </row>
    <row r="33" spans="1:60" ht="14.4" customHeight="1">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470"/>
      <c r="AP33" s="470"/>
      <c r="AQ33" s="470"/>
      <c r="AR33" s="470"/>
      <c r="AS33" s="470"/>
      <c r="AT33" s="470"/>
      <c r="AU33" s="470"/>
      <c r="AV33" s="470"/>
      <c r="AW33" s="470"/>
      <c r="AX33" s="470"/>
      <c r="AY33" s="470"/>
      <c r="AZ33" s="470"/>
      <c r="BA33" s="470"/>
      <c r="BB33" s="470"/>
      <c r="BC33" s="470"/>
      <c r="BD33" s="470"/>
      <c r="BE33" s="470"/>
      <c r="BF33" s="470"/>
      <c r="BG33" s="470"/>
      <c r="BH33" s="470"/>
    </row>
    <row r="34" spans="1:60" ht="14.4" customHeight="1">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470"/>
      <c r="AP34" s="470"/>
      <c r="AQ34" s="470"/>
      <c r="AR34" s="470"/>
      <c r="AS34" s="470"/>
      <c r="AT34" s="470"/>
      <c r="AU34" s="470"/>
      <c r="AV34" s="470"/>
      <c r="AW34" s="470"/>
      <c r="AX34" s="470"/>
      <c r="AY34" s="470"/>
      <c r="AZ34" s="470"/>
      <c r="BA34" s="470"/>
      <c r="BB34" s="470"/>
      <c r="BC34" s="470"/>
      <c r="BD34" s="470"/>
      <c r="BE34" s="470"/>
      <c r="BF34" s="470"/>
      <c r="BG34" s="470"/>
      <c r="BH34" s="470"/>
    </row>
    <row r="35" spans="1:60" ht="14.4" customHeight="1">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c r="AC35" s="470"/>
      <c r="AD35" s="470"/>
      <c r="AE35" s="470"/>
      <c r="AF35" s="470"/>
      <c r="AG35" s="470"/>
      <c r="AH35" s="470"/>
      <c r="AI35" s="470"/>
      <c r="AJ35" s="470"/>
      <c r="AK35" s="470"/>
      <c r="AL35" s="470"/>
      <c r="AM35" s="470"/>
      <c r="AN35" s="470"/>
      <c r="AO35" s="470"/>
      <c r="AP35" s="470"/>
      <c r="AQ35" s="470"/>
      <c r="AR35" s="470"/>
      <c r="AS35" s="470"/>
      <c r="AT35" s="470"/>
      <c r="AU35" s="470"/>
      <c r="AV35" s="470"/>
      <c r="AW35" s="470"/>
      <c r="AX35" s="470"/>
      <c r="AY35" s="470"/>
      <c r="AZ35" s="470"/>
      <c r="BA35" s="470"/>
      <c r="BB35" s="470"/>
      <c r="BC35" s="470"/>
      <c r="BD35" s="470"/>
      <c r="BE35" s="470"/>
      <c r="BF35" s="470"/>
      <c r="BG35" s="470"/>
      <c r="BH35" s="470"/>
    </row>
    <row r="36" spans="1:60" ht="14.4" customHeight="1">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c r="AC36" s="470"/>
      <c r="AD36" s="470"/>
      <c r="AE36" s="470"/>
      <c r="AF36" s="470"/>
      <c r="AG36" s="470"/>
      <c r="AH36" s="470"/>
      <c r="AI36" s="470"/>
      <c r="AJ36" s="470"/>
      <c r="AK36" s="470"/>
      <c r="AL36" s="470"/>
      <c r="AM36" s="470"/>
      <c r="AN36" s="470"/>
      <c r="AO36" s="470"/>
      <c r="AP36" s="470"/>
      <c r="AQ36" s="470"/>
      <c r="AR36" s="470"/>
      <c r="AS36" s="470"/>
      <c r="AT36" s="470"/>
      <c r="AU36" s="470"/>
      <c r="AV36" s="470"/>
      <c r="AW36" s="470"/>
      <c r="AX36" s="470"/>
      <c r="AY36" s="470"/>
      <c r="AZ36" s="470"/>
      <c r="BA36" s="470"/>
      <c r="BB36" s="470"/>
      <c r="BC36" s="470"/>
      <c r="BD36" s="470"/>
      <c r="BE36" s="470"/>
      <c r="BF36" s="470"/>
      <c r="BG36" s="470"/>
      <c r="BH36" s="470"/>
    </row>
    <row r="37" spans="1:60" ht="14.4" customHeight="1">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c r="AC37" s="470"/>
      <c r="AD37" s="470"/>
      <c r="AE37" s="470"/>
      <c r="AF37" s="470"/>
      <c r="AG37" s="470"/>
      <c r="AH37" s="470"/>
      <c r="AI37" s="470"/>
      <c r="AJ37" s="470"/>
      <c r="AK37" s="470"/>
      <c r="AL37" s="470"/>
      <c r="AM37" s="470"/>
      <c r="AN37" s="470"/>
      <c r="AO37" s="470"/>
      <c r="AP37" s="470"/>
      <c r="AQ37" s="470"/>
      <c r="AR37" s="470"/>
      <c r="AS37" s="470"/>
      <c r="AT37" s="470"/>
      <c r="AU37" s="470"/>
      <c r="AV37" s="470"/>
      <c r="AW37" s="470"/>
      <c r="AX37" s="470"/>
      <c r="AY37" s="470"/>
      <c r="AZ37" s="470"/>
      <c r="BA37" s="470"/>
      <c r="BB37" s="470"/>
      <c r="BC37" s="470"/>
      <c r="BD37" s="470"/>
      <c r="BE37" s="470"/>
      <c r="BF37" s="470"/>
      <c r="BG37" s="470"/>
      <c r="BH37" s="470"/>
    </row>
    <row r="38" spans="1:60" ht="14.4" customHeight="1">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c r="AC38" s="470"/>
      <c r="AD38" s="470"/>
      <c r="AE38" s="470"/>
      <c r="AF38" s="470"/>
      <c r="AG38" s="470"/>
      <c r="AH38" s="470"/>
      <c r="AI38" s="470"/>
      <c r="AJ38" s="470"/>
      <c r="AK38" s="470"/>
      <c r="AL38" s="470"/>
      <c r="AM38" s="470"/>
      <c r="AN38" s="470"/>
      <c r="AO38" s="470"/>
      <c r="AP38" s="470"/>
      <c r="AQ38" s="470"/>
      <c r="AR38" s="470"/>
      <c r="AS38" s="470"/>
      <c r="AT38" s="470"/>
      <c r="AU38" s="470"/>
      <c r="AV38" s="470"/>
      <c r="AW38" s="470"/>
      <c r="AX38" s="470"/>
      <c r="AY38" s="470"/>
      <c r="AZ38" s="470"/>
      <c r="BA38" s="470"/>
      <c r="BB38" s="470"/>
      <c r="BC38" s="470"/>
      <c r="BD38" s="470"/>
      <c r="BE38" s="470"/>
      <c r="BF38" s="470"/>
      <c r="BG38" s="470"/>
      <c r="BH38" s="470"/>
    </row>
    <row r="39" spans="1:60" ht="14.4" customHeight="1">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c r="AC39" s="470"/>
      <c r="AD39" s="470"/>
      <c r="AE39" s="470"/>
      <c r="AF39" s="470"/>
      <c r="AG39" s="470"/>
      <c r="AH39" s="470"/>
      <c r="AI39" s="470"/>
      <c r="AJ39" s="470"/>
      <c r="AK39" s="470"/>
      <c r="AL39" s="470"/>
      <c r="AM39" s="470"/>
      <c r="AN39" s="470"/>
      <c r="AO39" s="470"/>
      <c r="AP39" s="470"/>
      <c r="AQ39" s="470"/>
      <c r="AR39" s="470"/>
      <c r="AS39" s="470"/>
      <c r="AT39" s="470"/>
      <c r="AU39" s="470"/>
      <c r="AV39" s="470"/>
      <c r="AW39" s="470"/>
      <c r="AX39" s="470"/>
      <c r="AY39" s="470"/>
      <c r="AZ39" s="470"/>
      <c r="BA39" s="470"/>
      <c r="BB39" s="470"/>
      <c r="BC39" s="470"/>
      <c r="BD39" s="470"/>
      <c r="BE39" s="470"/>
      <c r="BF39" s="470"/>
      <c r="BG39" s="470"/>
      <c r="BH39" s="470"/>
    </row>
    <row r="40" spans="1:60" ht="14.4" customHeight="1">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70"/>
      <c r="AQ40" s="470"/>
      <c r="AR40" s="470"/>
      <c r="AS40" s="470"/>
      <c r="AT40" s="470"/>
      <c r="AU40" s="470"/>
      <c r="AV40" s="470"/>
      <c r="AW40" s="470"/>
      <c r="AX40" s="470"/>
      <c r="AY40" s="470"/>
      <c r="AZ40" s="470"/>
      <c r="BA40" s="470"/>
      <c r="BB40" s="470"/>
      <c r="BC40" s="470"/>
      <c r="BD40" s="470"/>
      <c r="BE40" s="470"/>
      <c r="BF40" s="470"/>
      <c r="BG40" s="470"/>
      <c r="BH40" s="470"/>
    </row>
    <row r="41" spans="1:60" ht="14.4" customHeight="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c r="AC41" s="470"/>
      <c r="AD41" s="470"/>
      <c r="AE41" s="470"/>
      <c r="AF41" s="470"/>
      <c r="AG41" s="470"/>
      <c r="AH41" s="470"/>
      <c r="AI41" s="470"/>
      <c r="AJ41" s="470"/>
      <c r="AK41" s="470"/>
      <c r="AL41" s="470"/>
      <c r="AM41" s="470"/>
      <c r="AN41" s="470"/>
      <c r="AO41" s="470"/>
      <c r="AP41" s="470"/>
      <c r="AQ41" s="470"/>
      <c r="AR41" s="470"/>
      <c r="AS41" s="470"/>
      <c r="AT41" s="470"/>
      <c r="AU41" s="470"/>
      <c r="AV41" s="470"/>
      <c r="AW41" s="470"/>
      <c r="AX41" s="470"/>
      <c r="AY41" s="470"/>
      <c r="AZ41" s="470"/>
      <c r="BA41" s="470"/>
      <c r="BB41" s="470"/>
      <c r="BC41" s="470"/>
      <c r="BD41" s="470"/>
      <c r="BE41" s="470"/>
      <c r="BF41" s="470"/>
      <c r="BG41" s="470"/>
      <c r="BH41" s="470"/>
    </row>
    <row r="42" spans="1:60" ht="14.4" customHeight="1">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c r="AC42" s="470"/>
      <c r="AD42" s="470"/>
      <c r="AE42" s="470"/>
      <c r="AF42" s="470"/>
      <c r="AG42" s="470"/>
      <c r="AH42" s="470"/>
      <c r="AI42" s="470"/>
      <c r="AJ42" s="470"/>
      <c r="AK42" s="470"/>
      <c r="AL42" s="470"/>
      <c r="AM42" s="470"/>
      <c r="AN42" s="470"/>
      <c r="AO42" s="470"/>
      <c r="AP42" s="470"/>
      <c r="AQ42" s="470"/>
      <c r="AR42" s="470"/>
      <c r="AS42" s="470"/>
      <c r="AT42" s="470"/>
      <c r="AU42" s="470"/>
      <c r="AV42" s="470"/>
      <c r="AW42" s="470"/>
      <c r="AX42" s="470"/>
      <c r="AY42" s="470"/>
      <c r="AZ42" s="470"/>
      <c r="BA42" s="470"/>
      <c r="BB42" s="470"/>
      <c r="BC42" s="470"/>
      <c r="BD42" s="470"/>
      <c r="BE42" s="470"/>
      <c r="BF42" s="470"/>
      <c r="BG42" s="470"/>
      <c r="BH42" s="470"/>
    </row>
    <row r="43" spans="1:60" ht="14.4" customHeight="1">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c r="AC43" s="470"/>
      <c r="AD43" s="470"/>
      <c r="AE43" s="470"/>
      <c r="AF43" s="470"/>
      <c r="AG43" s="470"/>
      <c r="AH43" s="470"/>
      <c r="AI43" s="470"/>
      <c r="AJ43" s="470"/>
      <c r="AK43" s="470"/>
      <c r="AL43" s="470"/>
      <c r="AM43" s="470"/>
      <c r="AN43" s="470"/>
      <c r="AO43" s="470"/>
      <c r="AP43" s="470"/>
      <c r="AQ43" s="470"/>
      <c r="AR43" s="470"/>
      <c r="AS43" s="470"/>
      <c r="AT43" s="470"/>
      <c r="AU43" s="470"/>
      <c r="AV43" s="470"/>
      <c r="AW43" s="470"/>
      <c r="AX43" s="470"/>
      <c r="AY43" s="470"/>
      <c r="AZ43" s="470"/>
      <c r="BA43" s="470"/>
      <c r="BB43" s="470"/>
      <c r="BC43" s="470"/>
      <c r="BD43" s="470"/>
      <c r="BE43" s="470"/>
      <c r="BF43" s="470"/>
      <c r="BG43" s="470"/>
      <c r="BH43" s="470"/>
    </row>
    <row r="44" spans="1:60" ht="14.4" customHeight="1">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c r="AC44" s="470"/>
      <c r="AD44" s="470"/>
      <c r="AE44" s="470"/>
      <c r="AF44" s="470"/>
      <c r="AG44" s="470"/>
      <c r="AH44" s="470"/>
      <c r="AI44" s="470"/>
      <c r="AJ44" s="470"/>
      <c r="AK44" s="470"/>
      <c r="AL44" s="470"/>
      <c r="AM44" s="470"/>
      <c r="AN44" s="470"/>
      <c r="AO44" s="470"/>
      <c r="AP44" s="470"/>
      <c r="AQ44" s="470"/>
      <c r="AR44" s="470"/>
      <c r="AS44" s="470"/>
      <c r="AT44" s="470"/>
      <c r="AU44" s="470"/>
      <c r="AV44" s="470"/>
      <c r="AW44" s="470"/>
      <c r="AX44" s="470"/>
      <c r="AY44" s="470"/>
      <c r="AZ44" s="470"/>
      <c r="BA44" s="470"/>
      <c r="BB44" s="470"/>
      <c r="BC44" s="470"/>
      <c r="BD44" s="470"/>
      <c r="BE44" s="470"/>
      <c r="BF44" s="470"/>
      <c r="BG44" s="470"/>
      <c r="BH44" s="470"/>
    </row>
    <row r="45" spans="1:60" ht="14.4" customHeight="1">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c r="AC45" s="470"/>
      <c r="AD45" s="470"/>
      <c r="AE45" s="470"/>
      <c r="AF45" s="470"/>
      <c r="AG45" s="470"/>
      <c r="AH45" s="470"/>
      <c r="AI45" s="470"/>
      <c r="AJ45" s="470"/>
      <c r="AK45" s="470"/>
      <c r="AL45" s="470"/>
      <c r="AM45" s="470"/>
      <c r="AN45" s="470"/>
      <c r="AO45" s="470"/>
      <c r="AP45" s="470"/>
      <c r="AQ45" s="470"/>
      <c r="AR45" s="470"/>
      <c r="AS45" s="470"/>
      <c r="AT45" s="470"/>
      <c r="AU45" s="470"/>
      <c r="AV45" s="470"/>
      <c r="AW45" s="470"/>
      <c r="AX45" s="470"/>
      <c r="AY45" s="470"/>
      <c r="AZ45" s="470"/>
      <c r="BA45" s="470"/>
      <c r="BB45" s="470"/>
      <c r="BC45" s="470"/>
      <c r="BD45" s="470"/>
      <c r="BE45" s="470"/>
      <c r="BF45" s="470"/>
      <c r="BG45" s="470"/>
      <c r="BH45" s="470"/>
    </row>
    <row r="46" spans="1:60" ht="14.4" customHeight="1">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c r="AC46" s="470"/>
      <c r="AD46" s="470"/>
      <c r="AE46" s="470"/>
      <c r="AF46" s="470"/>
      <c r="AG46" s="470"/>
      <c r="AH46" s="470"/>
      <c r="AI46" s="470"/>
      <c r="AJ46" s="470"/>
      <c r="AK46" s="470"/>
      <c r="AL46" s="470"/>
      <c r="AM46" s="470"/>
      <c r="AN46" s="470"/>
      <c r="AO46" s="470"/>
      <c r="AP46" s="470"/>
      <c r="AQ46" s="470"/>
      <c r="AR46" s="470"/>
      <c r="AS46" s="470"/>
      <c r="AT46" s="470"/>
      <c r="AU46" s="470"/>
      <c r="AV46" s="470"/>
      <c r="AW46" s="470"/>
      <c r="AX46" s="470"/>
      <c r="AY46" s="470"/>
      <c r="AZ46" s="470"/>
      <c r="BA46" s="470"/>
      <c r="BB46" s="470"/>
      <c r="BC46" s="470"/>
      <c r="BD46" s="470"/>
      <c r="BE46" s="470"/>
      <c r="BF46" s="470"/>
      <c r="BG46" s="470"/>
      <c r="BH46" s="470"/>
    </row>
    <row r="47" spans="1:60" ht="14.4" customHeight="1">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70"/>
      <c r="AS47" s="470"/>
      <c r="AT47" s="470"/>
      <c r="AU47" s="470"/>
      <c r="AV47" s="470"/>
      <c r="AW47" s="470"/>
      <c r="AX47" s="470"/>
      <c r="AY47" s="470"/>
      <c r="AZ47" s="470"/>
      <c r="BA47" s="470"/>
      <c r="BB47" s="470"/>
      <c r="BC47" s="470"/>
      <c r="BD47" s="470"/>
      <c r="BE47" s="470"/>
      <c r="BF47" s="470"/>
      <c r="BG47" s="470"/>
      <c r="BH47" s="470"/>
    </row>
    <row r="48" spans="1:60" ht="14.4" customHeight="1">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row>
    <row r="49" spans="1:60" ht="14.4" customHeight="1">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470"/>
      <c r="AT49" s="470"/>
      <c r="AU49" s="470"/>
      <c r="AV49" s="470"/>
      <c r="AW49" s="470"/>
      <c r="AX49" s="470"/>
      <c r="AY49" s="470"/>
      <c r="AZ49" s="470"/>
      <c r="BA49" s="470"/>
      <c r="BB49" s="470"/>
      <c r="BC49" s="470"/>
      <c r="BD49" s="470"/>
      <c r="BE49" s="470"/>
      <c r="BF49" s="470"/>
      <c r="BG49" s="470"/>
      <c r="BH49" s="470"/>
    </row>
    <row r="50" spans="1:60" ht="14.4" customHeight="1">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row>
    <row r="51" spans="1:60" ht="14.4" customHeight="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row>
    <row r="52" spans="1:60" ht="14.4" customHeight="1">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row>
    <row r="53" spans="1:60" ht="14.4" customHeight="1">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row>
    <row r="54" spans="1:60" ht="14.4" customHeight="1">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row>
    <row r="55" spans="1:60" ht="14.4" customHeight="1">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row>
    <row r="56" spans="1:60" ht="14.4" customHeight="1">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row>
    <row r="57" spans="1:60" ht="14.4" customHeight="1">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row>
    <row r="58" spans="1:60" ht="14.4" customHeight="1">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row>
    <row r="59" spans="1:60" ht="14.4" customHeight="1">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row>
    <row r="60" spans="1:60" ht="14.4" customHeight="1">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row>
    <row r="61" spans="1:60" ht="14.4" customHeight="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row>
    <row r="62" spans="1:60" ht="14.4" customHeight="1">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row>
    <row r="63" spans="1:60" ht="14.4" customHeight="1">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row>
    <row r="64" spans="1:60" ht="14.4" customHeight="1">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row>
  </sheetData>
  <mergeCells count="3">
    <mergeCell ref="G5:P5"/>
    <mergeCell ref="G6:P6"/>
    <mergeCell ref="G7:P7"/>
  </mergeCells>
  <dataValidations count="1">
    <dataValidation type="list" allowBlank="1" showInputMessage="1" showErrorMessage="1" sqref="G7:P7" xr:uid="{40764B94-7D87-40FD-944D-88A94C341667}">
      <formula1>template_translations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1" zoomScaleNormal="100" workbookViewId="0">
      <selection activeCell="C1" sqref="C1"/>
    </sheetView>
  </sheetViews>
  <sheetFormatPr defaultColWidth="8.84375" defaultRowHeight="14.6"/>
  <cols>
    <col min="1" max="1" width="6" customWidth="1"/>
    <col min="2" max="2" width="84.4609375" bestFit="1" customWidth="1"/>
    <col min="3" max="3" width="56.07421875" customWidth="1"/>
    <col min="4" max="4" width="69.4609375" customWidth="1"/>
    <col min="5" max="5" width="33.53515625" customWidth="1"/>
    <col min="6" max="6" width="42.4609375" bestFit="1" customWidth="1"/>
    <col min="7" max="7" width="43.4609375" bestFit="1" customWidth="1"/>
    <col min="8" max="8" width="48.84375" bestFit="1" customWidth="1"/>
    <col min="9" max="9" width="38.53515625" customWidth="1"/>
    <col min="10" max="10" width="45.53515625" customWidth="1"/>
    <col min="11" max="11" width="29" customWidth="1"/>
    <col min="12" max="12" width="32.4609375" customWidth="1"/>
    <col min="13" max="13" width="29.53515625" customWidth="1"/>
    <col min="14" max="14" width="21.4609375" bestFit="1" customWidth="1"/>
    <col min="15" max="15" width="11.4609375" customWidth="1"/>
    <col min="16" max="16" width="20.53515625" bestFit="1" customWidth="1"/>
    <col min="17" max="17" width="14.4609375" customWidth="1"/>
    <col min="18" max="18" width="14" bestFit="1" customWidth="1"/>
    <col min="21" max="23" width="20.53515625" bestFit="1" customWidth="1"/>
  </cols>
  <sheetData>
    <row r="1" spans="2:18">
      <c r="B1" s="246" t="str">
        <f>template_label_version</f>
        <v>Version:</v>
      </c>
      <c r="C1" s="607" t="s">
        <v>2</v>
      </c>
      <c r="D1" s="246"/>
    </row>
    <row r="2" spans="2:18">
      <c r="B2" s="246" t="str">
        <f>template_label_publication_date</f>
        <v>Publication date:</v>
      </c>
      <c r="C2" s="608"/>
      <c r="D2" s="246"/>
    </row>
    <row r="3" spans="2:18" ht="35.9" customHeight="1">
      <c r="B3" s="635" t="str" cm="1">
        <f t="array" aca="1" ref="B3" ca="1">IF(ISERROR(CELL("filename",A1)),template_label_warning_microsoft_excel,"")</f>
        <v/>
      </c>
      <c r="C3" s="635"/>
      <c r="D3" s="246"/>
    </row>
    <row r="5" spans="2:18">
      <c r="B5" s="247"/>
    </row>
    <row r="6" spans="2:18">
      <c r="B6" s="247"/>
    </row>
    <row r="7" spans="2:18">
      <c r="B7" s="247"/>
    </row>
    <row r="8" spans="2:18">
      <c r="B8" s="247"/>
    </row>
    <row r="9" spans="2:18">
      <c r="B9" s="247"/>
    </row>
    <row r="10" spans="2:18">
      <c r="B10" s="71" t="str">
        <f>template_label_taxonomy_entry_point</f>
        <v>Taxonomy entry point:</v>
      </c>
      <c r="C10" s="499" t="s">
        <v>3</v>
      </c>
    </row>
    <row r="11" spans="2:18">
      <c r="B11" s="71" t="str">
        <f>template_label_title_of_report</f>
        <v>Main title of the report</v>
      </c>
      <c r="C11" t="str">
        <f>template_label_main_title_of_report_text</f>
        <v xml:space="preserve">Sustainability Report </v>
      </c>
    </row>
    <row r="12" spans="2:18">
      <c r="B12" s="71" t="str">
        <f>template_label_subtitle_of_report</f>
        <v>Subtitle of the report</v>
      </c>
      <c r="C12" t="str">
        <f>template_label_subtitle_of_report_text</f>
        <v xml:space="preserve">Prepared in accordance with the  Voluntary Standard (Annex I of  Commission Delegated Regulation (EU) 2026/1560) published in the Official Journal on 21 September 2026. </v>
      </c>
    </row>
    <row r="13" spans="2:18" s="249" customFormat="1" ht="62.6">
      <c r="B13" s="248" t="str">
        <f>template_label_vs_digital_template</f>
        <v>VS Digital Template</v>
      </c>
    </row>
    <row r="14" spans="2:18" ht="381.65" customHeight="1">
      <c r="B14" s="636" t="str">
        <f>template_label_the_purpose_of_this_digital_template_is_to_illustrate_how_vs_reporting_can_be_implemented_in_a_digital_template</f>
        <v>The purpose of this digital template is to illustrate how VS reporting can be implemented in a digital template. The template reflects the Voluntary Standard (Annex I of  Commission Delegated Regulation (EU) 2026/1560) as published by the European Commission in the Official Journal on 21 September 2026. The template is accompanied by a digital VS XBRL taxonomy, which represents the digital data model of the disclosures and is available on EFRAG's website.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Voluntary Standard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 Digital Template or the Digital Template to XBRL Converter, please do so by creating an issue in the GitHub project.</v>
      </c>
      <c r="C14" s="637"/>
      <c r="D14" s="637"/>
      <c r="E14" s="638"/>
      <c r="F14" s="250"/>
      <c r="G14" s="250"/>
      <c r="H14" s="250"/>
      <c r="I14" s="250"/>
      <c r="J14" s="250"/>
      <c r="K14" s="250"/>
      <c r="L14" s="250"/>
      <c r="M14" s="250"/>
      <c r="N14" s="250"/>
      <c r="O14" s="250"/>
      <c r="P14" s="250"/>
      <c r="Q14" s="250"/>
      <c r="R14" s="250"/>
    </row>
    <row r="15" spans="2:18" ht="20.149999999999999" customHeight="1">
      <c r="B15" s="251"/>
      <c r="C15" s="251"/>
      <c r="D15" s="251"/>
      <c r="E15" s="251"/>
      <c r="F15" s="250"/>
      <c r="G15" s="250"/>
      <c r="H15" s="250"/>
      <c r="I15" s="250"/>
      <c r="J15" s="250"/>
      <c r="K15" s="250"/>
      <c r="L15" s="250"/>
      <c r="M15" s="250"/>
      <c r="N15" s="250"/>
      <c r="O15" s="250"/>
      <c r="P15" s="250"/>
      <c r="Q15" s="250"/>
      <c r="R15" s="250"/>
    </row>
    <row r="16" spans="2:18">
      <c r="B16" s="247"/>
    </row>
    <row r="17" spans="1:18" ht="26.9" customHeight="1">
      <c r="B17" s="252" t="str">
        <f>template_label_how_to_use_it</f>
        <v>How to use it:</v>
      </c>
      <c r="C17" s="253"/>
      <c r="D17" s="253"/>
      <c r="E17" s="254"/>
      <c r="F17" s="255"/>
      <c r="G17" s="255"/>
      <c r="H17" s="255"/>
      <c r="I17" s="255"/>
      <c r="J17" s="255"/>
      <c r="K17" s="255"/>
      <c r="L17" s="255"/>
      <c r="M17" s="255"/>
      <c r="N17" s="255"/>
      <c r="O17" s="255"/>
      <c r="P17" s="255"/>
      <c r="Q17" s="255"/>
      <c r="R17" s="255"/>
    </row>
    <row r="18" spans="1:18" ht="18.45">
      <c r="B18" s="639" t="str">
        <f>template_label_0_provide_information_that_is_mandatory_in_order_to_generate_the_vs_and_xbrl_report</f>
        <v>0. Provide information that is mandatory in order to generate the VS and XBRL Report.</v>
      </c>
      <c r="C18" s="640"/>
      <c r="D18" s="640"/>
      <c r="E18" s="641"/>
      <c r="F18" s="256"/>
      <c r="G18" s="256"/>
      <c r="H18" s="256"/>
      <c r="I18" s="256"/>
      <c r="J18" s="256"/>
      <c r="K18" s="256"/>
      <c r="L18" s="256"/>
      <c r="M18" s="256"/>
      <c r="N18" s="256"/>
      <c r="O18" s="256"/>
      <c r="P18" s="256"/>
      <c r="Q18" s="256"/>
      <c r="R18" s="256"/>
    </row>
    <row r="19" spans="1:18" ht="59.4" customHeight="1">
      <c r="B19" s="639"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19" s="640"/>
      <c r="D19" s="640"/>
      <c r="E19" s="641"/>
      <c r="F19" s="256"/>
      <c r="G19" s="256"/>
      <c r="H19" s="256"/>
      <c r="I19" s="256"/>
      <c r="J19" s="256"/>
      <c r="K19" s="256"/>
      <c r="L19" s="256"/>
      <c r="M19" s="256"/>
      <c r="N19" s="256"/>
      <c r="O19" s="256"/>
      <c r="P19" s="256"/>
      <c r="Q19" s="256"/>
      <c r="R19" s="256"/>
    </row>
    <row r="20" spans="1:18" ht="39.65" customHeight="1">
      <c r="B20" s="660" t="str">
        <f>template_label_2_find_more_information_on_the_actual_disclosure_requirements_in_the_voluntary_standard</f>
        <v>2. Find more information on the actual disclosure requirements in the Voluntary Standard and the related guidance linked to each cell. Additional or entity-specific disclosures can be provided in each text box at the end of each worksheet.</v>
      </c>
      <c r="C20" s="661"/>
      <c r="D20" s="661"/>
      <c r="E20" s="662"/>
      <c r="F20" s="257"/>
      <c r="G20" s="257"/>
      <c r="H20" s="257"/>
      <c r="I20" s="257"/>
      <c r="J20" s="257"/>
      <c r="K20" s="257"/>
      <c r="L20" s="257"/>
      <c r="M20" s="257"/>
      <c r="N20" s="257"/>
      <c r="O20" s="257"/>
      <c r="P20" s="257"/>
      <c r="Q20" s="257"/>
      <c r="R20" s="257"/>
    </row>
    <row r="21" spans="1:18" ht="36" customHeight="1">
      <c r="B21" s="639"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1" s="640"/>
      <c r="D21" s="640"/>
      <c r="E21" s="641"/>
      <c r="F21" s="257"/>
      <c r="G21" s="257"/>
      <c r="H21" s="257"/>
      <c r="I21" s="257"/>
      <c r="J21" s="257"/>
      <c r="K21" s="257"/>
      <c r="L21" s="257"/>
      <c r="M21" s="257"/>
      <c r="N21" s="257"/>
      <c r="O21" s="257"/>
      <c r="P21" s="257"/>
      <c r="Q21" s="257"/>
      <c r="R21" s="257"/>
    </row>
    <row r="22" spans="1:18" s="258" customFormat="1" ht="18.45">
      <c r="B22" s="660" t="str">
        <f>template_label_4_validate_the_data_entered_by_checking_the_validation_status</f>
        <v>4. Validate the data entered by checking the validation status. The report is considered incomplete or erroneous if the validation fails, which might result in an invalid XBRL report.</v>
      </c>
      <c r="C22" s="661"/>
      <c r="D22" s="661"/>
      <c r="E22" s="662"/>
      <c r="F22" s="257"/>
      <c r="G22" s="257"/>
      <c r="H22" s="257"/>
      <c r="I22" s="257"/>
      <c r="J22" s="257"/>
      <c r="K22" s="257"/>
      <c r="L22" s="257"/>
      <c r="M22" s="257"/>
      <c r="N22" s="257"/>
      <c r="O22" s="257"/>
      <c r="P22" s="257"/>
      <c r="Q22" s="257"/>
      <c r="R22" s="257"/>
    </row>
    <row r="23" spans="1:18" ht="18.45">
      <c r="B23" s="660" t="str">
        <f>template_label_5_convert_this_template_to_an_inline_xbrl_report</f>
        <v>5. Convert this template to an Inline XBRL report (or XBRL-JSON, XBRL-CSV), using the online converter: https://xbrl.efrag.org/convert/. Pay attention to the XBRL validation performed by the validator.</v>
      </c>
      <c r="C23" s="661"/>
      <c r="D23" s="661"/>
      <c r="E23" s="662"/>
      <c r="F23" s="257"/>
      <c r="G23" s="257"/>
      <c r="H23" s="257"/>
      <c r="I23" s="257"/>
      <c r="J23" s="257"/>
      <c r="K23" s="257"/>
      <c r="L23" s="257"/>
      <c r="M23" s="257"/>
      <c r="N23" s="257"/>
      <c r="O23" s="257"/>
      <c r="P23" s="257"/>
      <c r="Q23" s="257"/>
      <c r="R23" s="257"/>
    </row>
    <row r="24" spans="1:18" ht="24.65" customHeight="1">
      <c r="B24" s="648" t="str">
        <f>template_label_6_the_undertaking_may_also_upload_the_report_to_public_repositories_or_a_webpage</f>
        <v>6. The undertaking may also upload the report to public repositories or a webpage.</v>
      </c>
      <c r="C24" s="649"/>
      <c r="D24" s="649"/>
      <c r="E24" s="650"/>
      <c r="F24" s="257"/>
      <c r="G24" s="257"/>
      <c r="H24" s="257"/>
      <c r="I24" s="257"/>
      <c r="J24" s="257"/>
      <c r="K24" s="257"/>
      <c r="L24" s="257"/>
      <c r="M24" s="257"/>
      <c r="N24" s="257"/>
      <c r="O24" s="257"/>
      <c r="P24" s="257"/>
      <c r="Q24" s="257"/>
      <c r="R24" s="257"/>
    </row>
    <row r="25" spans="1:18" ht="18.45">
      <c r="B25" s="255"/>
      <c r="C25" s="255"/>
      <c r="D25" s="255"/>
      <c r="E25" s="255"/>
      <c r="F25" s="255"/>
      <c r="G25" s="255"/>
      <c r="H25" s="255"/>
      <c r="I25" s="255"/>
      <c r="J25" s="255"/>
      <c r="K25" s="255"/>
      <c r="L25" s="255"/>
      <c r="M25" s="255"/>
      <c r="N25" s="255"/>
      <c r="O25" s="255"/>
      <c r="P25" s="255"/>
      <c r="Q25" s="255"/>
      <c r="R25" s="255"/>
    </row>
    <row r="26" spans="1:18" ht="36" customHeight="1">
      <c r="B26" s="663" t="str">
        <f>template_label_cell_background_color_index</f>
        <v>Cell background color index:</v>
      </c>
      <c r="C26" s="664"/>
      <c r="D26" s="664"/>
      <c r="E26" s="665"/>
      <c r="F26" s="255"/>
      <c r="G26" s="255"/>
      <c r="H26" s="255"/>
      <c r="I26" s="255"/>
      <c r="J26" s="255"/>
      <c r="K26" s="255"/>
      <c r="L26" s="255"/>
      <c r="M26" s="255"/>
      <c r="N26" s="255"/>
      <c r="O26" s="255"/>
      <c r="P26" s="255"/>
      <c r="Q26" s="255"/>
      <c r="R26" s="255"/>
    </row>
    <row r="27" spans="1:18" ht="32.15" customHeight="1">
      <c r="B27" s="259" t="str">
        <f>template_label_general_principles</f>
        <v>General Principles</v>
      </c>
      <c r="C27" s="645" t="str">
        <f>template_label_indicates_that_the_disclosure_is_from_the_general_principles_of_the_vs</f>
        <v>Indicates that the disclosure is from the general principles of the Voluntary Standard.</v>
      </c>
      <c r="D27" s="646"/>
      <c r="E27" s="647"/>
      <c r="F27" s="255"/>
      <c r="G27" s="255"/>
      <c r="H27" s="255"/>
      <c r="I27" s="255"/>
      <c r="J27" s="255"/>
      <c r="K27" s="255"/>
      <c r="L27" s="255"/>
      <c r="M27" s="255"/>
      <c r="N27" s="255"/>
      <c r="O27" s="255"/>
      <c r="P27" s="255"/>
      <c r="Q27" s="255"/>
      <c r="R27" s="255"/>
    </row>
    <row r="28" spans="1:18" ht="34.5" customHeight="1">
      <c r="A28" s="260"/>
      <c r="B28" s="261" t="str">
        <f>template_label_basic_module</f>
        <v>Basic Module</v>
      </c>
      <c r="C28" s="645" t="str">
        <f>template_label_indicates_that_the_disclosure_is_from_the_vs_basic_module</f>
        <v>Indicates that the disclosure is from the Voluntary Standard Basic Module.</v>
      </c>
      <c r="D28" s="646"/>
      <c r="E28" s="647"/>
      <c r="F28" s="255"/>
      <c r="G28" s="262"/>
      <c r="H28" s="262"/>
      <c r="I28" s="262"/>
      <c r="J28" s="262"/>
      <c r="K28" s="262"/>
      <c r="L28" s="262"/>
      <c r="M28" s="262"/>
      <c r="N28" s="262"/>
      <c r="O28" s="262"/>
      <c r="P28" s="262"/>
      <c r="Q28" s="262"/>
      <c r="R28" s="262"/>
    </row>
    <row r="29" spans="1:18" ht="35.9" customHeight="1">
      <c r="A29" s="260"/>
      <c r="B29" s="263" t="str">
        <f>template_label_comprehensive_module</f>
        <v>Comprehensive Module</v>
      </c>
      <c r="C29" s="645" t="str">
        <f>template_label_indicates_that_the_disclosure_is_from_the_vs_comprehensive_module</f>
        <v>Indicates that the disclosure is from the Voluntary Standard Comprehensive Module.</v>
      </c>
      <c r="D29" s="646"/>
      <c r="E29" s="647"/>
      <c r="F29" s="383"/>
      <c r="G29" s="262"/>
      <c r="H29" s="262"/>
      <c r="I29" s="262"/>
      <c r="J29" s="262"/>
      <c r="K29" s="262"/>
      <c r="L29" s="262"/>
      <c r="M29" s="262"/>
      <c r="N29" s="262"/>
      <c r="O29" s="262"/>
      <c r="P29" s="262"/>
      <c r="Q29" s="262"/>
      <c r="R29" s="262"/>
    </row>
    <row r="30" spans="1:18" ht="35.9" customHeight="1">
      <c r="A30" s="260"/>
      <c r="B30" s="264"/>
      <c r="C30" s="642" t="str">
        <f>template_label_indicates_that_the_cell_is_automatically_calculated_and_that_no_data_entry_is_required</f>
        <v>Indicates that the cell is automatically calculated and that no data entry is required.</v>
      </c>
      <c r="D30" s="643"/>
      <c r="E30" s="644"/>
      <c r="F30" s="255"/>
      <c r="G30" s="265"/>
      <c r="H30" s="265"/>
      <c r="I30" s="265"/>
      <c r="J30" s="265"/>
      <c r="K30" s="265"/>
      <c r="L30" s="265"/>
      <c r="M30" s="265"/>
      <c r="N30" s="265"/>
      <c r="O30" s="265"/>
      <c r="P30" s="265"/>
      <c r="Q30" s="265"/>
      <c r="R30" s="265"/>
    </row>
    <row r="31" spans="1:18" ht="63" customHeight="1">
      <c r="A31" s="260"/>
      <c r="B31" s="266"/>
      <c r="C31" s="642" t="str">
        <f>template_label_indicates_that_the_datapoint_often_a_condition_will_not_be_included_in_the_vs_and_digital_xbrl_report</f>
        <v>Indicates that the datapoint (often a condition) will not be included in the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by overwriting the formula.</v>
      </c>
      <c r="D31" s="643"/>
      <c r="E31" s="644"/>
      <c r="F31" s="255"/>
      <c r="G31" s="265"/>
      <c r="H31" s="265"/>
      <c r="I31" s="265"/>
      <c r="J31" s="265"/>
      <c r="K31" s="265"/>
      <c r="L31" s="265"/>
      <c r="M31" s="265"/>
      <c r="N31" s="265"/>
      <c r="O31" s="265"/>
      <c r="P31" s="265"/>
      <c r="Q31" s="265"/>
      <c r="R31" s="265"/>
    </row>
    <row r="32" spans="1:18" ht="35.9" customHeight="1">
      <c r="A32" s="260"/>
      <c r="B32" s="267"/>
      <c r="C32" s="642" t="str">
        <f>template_label_indicates_that_no_data_entry_is_required_unless_certain_logics_are_selected_in_the_disclosure_itself</f>
        <v>Indicates that no data entry is required unless certain logics are selected in the disclosure itself. When one of these logics is selected, this cell will turn white.</v>
      </c>
      <c r="D32" s="643"/>
      <c r="E32" s="644"/>
      <c r="F32" s="255"/>
      <c r="G32" s="265"/>
      <c r="H32" s="265"/>
      <c r="I32" s="265"/>
      <c r="J32" s="265"/>
      <c r="K32" s="265"/>
      <c r="L32" s="265"/>
      <c r="M32" s="265"/>
      <c r="N32" s="265"/>
      <c r="O32" s="265"/>
      <c r="P32" s="265"/>
      <c r="Q32" s="265"/>
      <c r="R32" s="265"/>
    </row>
    <row r="33" spans="1:18" ht="41.15">
      <c r="B33" s="268" t="str">
        <f>template_label_validation_missing_value_error_velue_inconsistency_invalid_url</f>
        <v>Validation MISSING VALUE/ERROR/VALUE INCONSISTENCY/INVALID URL</v>
      </c>
      <c r="C33" s="645" t="str">
        <f>template_label_indicates_that_either_data_entry_is_incorrect_in_terms_of_format_or_that_certain_information</f>
        <v>Indicates that either data entry is incorrect in terms of format or that certain information is missing in order to correctly report on the disclosure.</v>
      </c>
      <c r="D33" s="646"/>
      <c r="E33" s="647"/>
      <c r="F33" s="255"/>
      <c r="G33" s="262"/>
      <c r="H33" s="262"/>
      <c r="I33" s="262"/>
      <c r="J33" s="262"/>
      <c r="K33" s="262"/>
      <c r="L33" s="262"/>
      <c r="M33" s="262"/>
      <c r="N33" s="262"/>
      <c r="O33" s="262"/>
      <c r="P33" s="262"/>
      <c r="Q33" s="262"/>
      <c r="R33" s="262"/>
    </row>
    <row r="34" spans="1:18" ht="22.4" customHeight="1">
      <c r="B34" s="269" t="s">
        <v>4</v>
      </c>
      <c r="C34" s="645" t="str">
        <f>template_label_indicates_that_data_entry_is_ok_and_the_undertaking_can_proceed_to_the_next_disclosure</f>
        <v>Indicates that data entry is OK and the undertaking can proceed to the next disclosure.</v>
      </c>
      <c r="D34" s="646"/>
      <c r="E34" s="647"/>
      <c r="F34" s="255"/>
      <c r="G34" s="262"/>
      <c r="H34" s="262"/>
      <c r="I34" s="262"/>
      <c r="J34" s="262"/>
      <c r="K34" s="262"/>
      <c r="L34" s="262"/>
      <c r="M34" s="262"/>
      <c r="N34" s="262"/>
      <c r="O34" s="262"/>
      <c r="P34" s="262"/>
      <c r="Q34" s="262"/>
      <c r="R34" s="262"/>
    </row>
    <row r="35" spans="1:18" ht="22.4" customHeight="1">
      <c r="B35" s="382" t="str">
        <f>template_label_validation_classified_or_sensitive_information</f>
        <v>Validation CLASSIFIED OR SENSITIVE INFORMATION</v>
      </c>
      <c r="C35" s="645" t="str">
        <f>template_label_indicates_that_the_undertaking_has_omitted_the_data_entry_as_it_is_deemed_to_be_classified_or_sensitive_information</f>
        <v>Indicates that the undertaking has omitted the data entry as it is deemed to be classified or sensitive information.</v>
      </c>
      <c r="D35" s="646"/>
      <c r="E35" s="647"/>
      <c r="F35" s="255"/>
      <c r="G35" s="262"/>
      <c r="H35" s="262"/>
      <c r="I35" s="262"/>
      <c r="J35" s="262"/>
      <c r="K35" s="262"/>
      <c r="L35" s="262"/>
      <c r="M35" s="262"/>
      <c r="N35" s="262"/>
      <c r="O35" s="262"/>
      <c r="P35" s="262"/>
      <c r="Q35" s="262"/>
      <c r="R35" s="262"/>
    </row>
    <row r="36" spans="1:18" ht="22.4" customHeight="1">
      <c r="B36" s="270"/>
      <c r="C36" s="645" t="str">
        <f>template_label_no_value_can_be_entered_in_the_cell</f>
        <v>No value can be entered in the cell.</v>
      </c>
      <c r="D36" s="646"/>
      <c r="E36" s="647"/>
      <c r="F36" s="255"/>
      <c r="G36" s="262"/>
      <c r="H36" s="262"/>
      <c r="I36" s="262"/>
      <c r="J36" s="262"/>
      <c r="K36" s="262"/>
      <c r="L36" s="262"/>
      <c r="M36" s="262"/>
      <c r="N36" s="262"/>
      <c r="O36" s="262"/>
      <c r="P36" s="262"/>
      <c r="Q36" s="262"/>
      <c r="R36" s="262"/>
    </row>
    <row r="37" spans="1:18" ht="45.75" customHeight="1">
      <c r="A37" s="260"/>
      <c r="B37" s="271" t="s">
        <v>5</v>
      </c>
      <c r="C37" s="642" t="str">
        <f>template_label_lists_can_be_expanded_using_the_plus_button_on_the_left</f>
        <v>Lists can be expanded using the plus [+] button on the left. If the number of rows is not sufficient, additional rows can be added by right clicking the second row and selecting "Insert row".</v>
      </c>
      <c r="D37" s="643"/>
      <c r="E37" s="644"/>
      <c r="F37" s="255"/>
      <c r="G37" s="272"/>
      <c r="H37" s="272"/>
      <c r="I37" s="272"/>
      <c r="J37" s="272"/>
      <c r="K37" s="272"/>
      <c r="L37" s="272"/>
      <c r="M37" s="272"/>
      <c r="N37" s="272"/>
      <c r="O37" s="272"/>
      <c r="P37" s="272"/>
      <c r="Q37" s="272"/>
      <c r="R37" s="272"/>
    </row>
    <row r="42" spans="1:18">
      <c r="B42" s="657"/>
      <c r="C42" s="658"/>
      <c r="D42" s="658"/>
      <c r="E42" s="659"/>
    </row>
    <row r="43" spans="1:18" ht="97.4" customHeight="1">
      <c r="B43" s="65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652"/>
      <c r="D43" s="652"/>
      <c r="E43" s="653"/>
    </row>
    <row r="44" spans="1:18" ht="20.6">
      <c r="B44" s="654" t="str">
        <f>template_label_for_further_information_contact_email</f>
        <v>For further details please contact efragsecretariat@efrag.org</v>
      </c>
      <c r="C44" s="655"/>
      <c r="D44" s="655"/>
      <c r="E44" s="656"/>
    </row>
  </sheetData>
  <sheetProtection formatColumns="0" formatRows="0"/>
  <mergeCells count="24">
    <mergeCell ref="B43:E43"/>
    <mergeCell ref="B44:E44"/>
    <mergeCell ref="B42:E42"/>
    <mergeCell ref="B19:E19"/>
    <mergeCell ref="B20:E20"/>
    <mergeCell ref="B21:E21"/>
    <mergeCell ref="B22:E22"/>
    <mergeCell ref="B23:E23"/>
    <mergeCell ref="C31:E31"/>
    <mergeCell ref="C30:E30"/>
    <mergeCell ref="C27:E27"/>
    <mergeCell ref="C28:E28"/>
    <mergeCell ref="C29:E29"/>
    <mergeCell ref="C35:E35"/>
    <mergeCell ref="B26:E26"/>
    <mergeCell ref="B3:C3"/>
    <mergeCell ref="B14:E14"/>
    <mergeCell ref="B18:E18"/>
    <mergeCell ref="C32:E32"/>
    <mergeCell ref="C37:E37"/>
    <mergeCell ref="C36:E36"/>
    <mergeCell ref="C34:E34"/>
    <mergeCell ref="C33:E33"/>
    <mergeCell ref="B24:E24"/>
  </mergeCells>
  <phoneticPr fontId="3" type="noConversion"/>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sheetPr codeName="Sheet4"/>
  <dimension ref="B1:F65"/>
  <sheetViews>
    <sheetView topLeftCell="B1" zoomScale="82" zoomScaleNormal="100" workbookViewId="0">
      <selection activeCell="B13" sqref="B13"/>
    </sheetView>
  </sheetViews>
  <sheetFormatPr defaultColWidth="8.84375" defaultRowHeight="14.6"/>
  <cols>
    <col min="1" max="1" width="3.53515625" style="10" customWidth="1"/>
    <col min="2" max="2" width="98.07421875" style="10" customWidth="1"/>
    <col min="3" max="3" width="55.53515625" style="10" bestFit="1" customWidth="1"/>
    <col min="4" max="4" width="51.4609375" style="10" customWidth="1"/>
    <col min="5" max="5" width="35.53515625" style="10" customWidth="1"/>
    <col min="6" max="6" width="64.4609375" style="10" customWidth="1"/>
    <col min="7" max="7" width="35.53515625" style="10" bestFit="1" customWidth="1"/>
    <col min="8" max="16384" width="8.84375" style="10"/>
  </cols>
  <sheetData>
    <row r="1" spans="2:6" ht="15" thickBot="1">
      <c r="E1"/>
    </row>
    <row r="2" spans="2:6" ht="78" customHeight="1">
      <c r="B2" s="431" t="str">
        <f>template_label_table_of_contents_validation</f>
        <v>Table of Contents</v>
      </c>
      <c r="C2" s="617" t="str">
        <f>template_label_overall_validation_status_validation</f>
        <v>Overall Validation Status</v>
      </c>
      <c r="D2" s="619" t="str">
        <f>template_classified_or_sensitive_information</f>
        <v>Classified or sensitive information</v>
      </c>
      <c r="E2" s="520" t="str">
        <f>template_narrative_content_provided_as_external_docx_file</f>
        <v>Narrative content provided as external DOCX file</v>
      </c>
    </row>
    <row r="3" spans="2:6" ht="43.4" customHeight="1">
      <c r="B3" s="625" t="str">
        <f>template_label_contents_grouping_follows_templates_framework</f>
        <v>Contents grouping follows template's framework</v>
      </c>
      <c r="C3" s="393" t="str" cm="1">
        <f t="array" ref="C3">IF(SUMPRODUCT(--((C5:C65&lt;&gt;template_label_ok)*(C5:C65&lt;&gt;"-")*(C5:C65&lt;&gt;"")*(C5:C65&lt;&gt;template_label_classified_or_sensitive_information))) &gt; 0, template_label_incomplete, template_label_complete)</f>
        <v>INCOMPLETE</v>
      </c>
      <c r="D3" s="623" t="str">
        <f>template_filling_sensitive_checkboxes</f>
        <v>Filling the checkboxes below will fill automatically the list of omitted disclosures in B1 (from row 123 to 172 within General Information sheet)</v>
      </c>
      <c r="E3" s="620" t="str">
        <f>template_box_for_customizable_docx_files_for_narrative_disclosures</f>
        <v>Checking this box will allow users to customizable DOCX files for narrative disclosures</v>
      </c>
    </row>
    <row r="4" spans="2:6" ht="23.6">
      <c r="B4" s="626"/>
      <c r="C4" s="618" t="str">
        <f>template_label_specific_content_validation_status_validation</f>
        <v>Specific Content Validation Status</v>
      </c>
      <c r="D4" s="624"/>
      <c r="E4" s="621" t="b">
        <v>0</v>
      </c>
    </row>
    <row r="5" spans="2:6" ht="14.4" customHeight="1">
      <c r="B5" s="385" t="str">
        <f>template_label_general_information_validation</f>
        <v>General Information</v>
      </c>
      <c r="C5" s="378"/>
      <c r="D5" s="524"/>
      <c r="E5" s="531"/>
    </row>
    <row r="6" spans="2:6" ht="14.4" customHeight="1">
      <c r="B6" s="304" t="str">
        <f>template_label_information_on_the_report_necessary_for_xbrl_validation</f>
        <v>Information on the report necessary for  XBRL</v>
      </c>
      <c r="C6" s="390"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c r="D6" s="525"/>
      <c r="E6" s="531"/>
    </row>
    <row r="7" spans="2:6">
      <c r="B7" s="304" t="str">
        <f>template_label_introduction &amp; ": " &amp; template_label_disclosure_of_any_other_general_and_or_entity_specific_information_on_the_reporting_period</f>
        <v>Introduction: Introduction and/or other entity specific information</v>
      </c>
      <c r="C7" s="390" t="str">
        <f>IF(D7=TRUE, template_label_classified_or_sensitive_information,
IF('General Information'!F17 = template_label_ok, template_label_ok, "-")
)</f>
        <v>-</v>
      </c>
      <c r="D7" s="512" t="b">
        <v>0</v>
      </c>
      <c r="E7" s="622" t="b">
        <v>0</v>
      </c>
      <c r="F7" s="309" t="str">
        <f>IF(AND(C7=template_label_classified_or_sensitive_information,COUNTIF(DisclosureOfAnyOtherGeneralAndOrEntitySpecificInformation,"&lt;&gt;")&gt;0),template_label_information_on_sensitive_information_before_converting,"")</f>
        <v/>
      </c>
    </row>
    <row r="8" spans="2:6" ht="14.4" customHeight="1" thickBot="1">
      <c r="B8" s="304" t="str">
        <f>template_label_information_on_previous_reporting_period_validation</f>
        <v>Information on previous reporting period</v>
      </c>
      <c r="C8" s="390" t="str">
        <f>IF(COUNTIF('General Information'!F21:F122, template_label_missing_value) &gt; 0, template_label_missing_value,
IF(COUNTIF('General Information'!F21:F122, template_label_invalid_url
 ) &gt; 0, template_label_invalid_url,
IF(COUNTIF('General Information'!F21:F122, template_label_value_inconsistency
 ) &gt; 0, template_label_value_inconsistency,
IF(COUNTIF('General Information'!F21:F122, template_label_ok) &gt; 0, template_label_ok, "-"))))</f>
        <v>-</v>
      </c>
      <c r="D8" s="525"/>
      <c r="E8" s="532"/>
    </row>
    <row r="9" spans="2:6" ht="18.45">
      <c r="B9" s="342" t="str">
        <f>template_label_basic_module_validation</f>
        <v>Basic Module</v>
      </c>
      <c r="C9" s="391"/>
      <c r="D9" s="526"/>
      <c r="E9" s="531"/>
    </row>
    <row r="10" spans="2:6" ht="14.9" customHeight="1">
      <c r="B10" s="385" t="str">
        <f>template_label_general_information_validation</f>
        <v>General Information</v>
      </c>
      <c r="C10" s="378"/>
      <c r="D10" s="527"/>
      <c r="E10" s="531"/>
      <c r="F10" s="521"/>
    </row>
    <row r="11" spans="2:6" s="438" customFormat="1">
      <c r="B11" s="437" t="str">
        <f>template_label_b1_basis_for_preparation_validation</f>
        <v>B1 - Basis for Preparation</v>
      </c>
      <c r="C11" s="392" t="str">
        <f>IF(D11=TRUE,template_label_classified_or_sensitive_information,
IF(COUNTIF(C12:C16,template_label_error_plus_missing_value_plus_value_inconsistency)&gt;0,template_label_error_plus_missing_value_plus_value_inconsistency,
IF(COUNTIF(C12:C16,template_label_error_plus_value_inconsistency)&gt;0,template_label_error_plus_value_inconsistency,
IF(COUNTIF(C12:C16,template_label_error_plus_missing_value)&gt;0,template_label_error_plus_missing_value,
IF(COUNTIF(C12:C16,template_label_error)&gt;0,template_label_error,
IF(COUNTIF(C12:C16,template_label_missing_value_plus_value_inconsistency)&gt;0,template_label_missing_value_plus_value_inconsistency,
IF(COUNTIF(C12:C16,template_label_value_inconsistency)&gt;0,template_label_value_inconsistency,
IF(COUNTIF(C12:C16,template_label_missing_value)&gt;0,template_label_missing_value,
IF(COUNTIF(C12:C16,template_label_ok)=ROWS(C12:C16),template_label_ok,
IF(COUNTIF(C12:C16,"-")=ROWS(C12:C16),"-",
IF(AND(COUNTIF(C12:C16,template_label_ok)&gt;0, COUNTIF(C12:C16,template_label_error_plus_missing_value_plus_value_inconsistency)=0, COUNTIF(C12:C16,template_label_error_plus_value_inconsistency)=0, COUNTIF(C12:C16,template_label_error_plus_missing_value)=0, COUNTIF(C12:C16,template_label_error)=0, COUNTIF(C12:C16,template_label_missing_value_plus_value_inconsistency)=0, COUNTIF(C12:C16,template_label_value_inconsistency)=0, COUNTIF(C12:C16,template_label_missing_value)=0, OR(COUNTIF(C12:C16,template_label_missing_value)=0, COUNTIF(C12:C16,template_label_missing_value)&gt;0)), template_label_ok,
"-")))))))))
))</f>
        <v>MISSING VALUE</v>
      </c>
      <c r="D11" s="513" t="b">
        <f>IF(COUNTIF(D13:D16,TRUE)=ROWS(D13:D16),TRUE,FALSE)</f>
        <v>0</v>
      </c>
      <c r="E11" s="531"/>
      <c r="F11" s="521"/>
    </row>
    <row r="12" spans="2:6">
      <c r="B12" s="434" t="str">
        <f>template_label_b1_basis_for_preparation</f>
        <v>B1 - Basis for Preparation &amp; Module</v>
      </c>
      <c r="C12" s="390" t="str">
        <f>IF(COUNTIF('General Information'!F125,template_label_missing_value)&gt;0,template_label_missing_value,
IF(COUNTIF('General Information'!F125,template_label_ok)&gt;0,template_label_ok,"-"))</f>
        <v>MISSING VALUE</v>
      </c>
      <c r="D12" s="514"/>
      <c r="E12" s="531"/>
      <c r="F12" s="521"/>
    </row>
    <row r="13" spans="2:6">
      <c r="B13" s="435" t="str">
        <f>template_label_b1_other_undertakings_general_information</f>
        <v>B1 - Other undertaking's general information</v>
      </c>
      <c r="C13" s="390" t="str">
        <f>IF(D13=TRUE, template_label_classified_or_sensitive_information,IF(
AND(
COUNTIF('General Information'!F175:F283,template_label_missing_value)&gt;0,
COUNTIF('General Information'!F175:F283,template_label_value_inconsistency)=0,
COUNTIF('General Information'!F175:F283,template_label_error)=0
),
template_label_missing_value,
IF(
AND(
COUNTIF('General Information'!F175:F283,template_label_value_inconsistency)&gt;0,
COUNTIF('General Information'!F175:F283,template_label_missing_value)=0,
COUNTIF('General Information'!F175:F283,template_label_error)=0
),
template_label_value_inconsistency,
IF(
AND(
COUNTIF('General Information'!F175:F283,template_label_value_inconsistency)=0,
COUNTIF('General Information'!F175:F283,template_label_missing_value)=0,
COUNTIF('General Information'!F175:F283,template_label_error)&gt;0
),
template_label_error,
IF(
AND(
COUNTIF('General Information'!F175:F283,template_label_value_inconsistency)&gt;0,
COUNTIF('General Information'!F175:F283,template_label_missing_value)&gt;0,
COUNTIF('General Information'!F175:F283,template_label_error)=0
),
template_label_missing_value_plus_value_inconsistency,
IF(
AND(
COUNTIF('General Information'!F175:F283,template_label_value_inconsistency)=0,
COUNTIF('General Information'!F175:F283,template_label_missing_value)&gt;0,
COUNTIF('General Information'!F175:F283,template_label_error)&gt;0
),
template_label_error_plus_missing_value,
IF(
AND(
COUNTIF('General Information'!F175:F283,template_label_value_inconsistency)&gt;0,
COUNTIF('General Information'!F175:F283,template_label_missing_value)=0,
COUNTIF('General Information'!F175:F283,template_label_error)&gt;0
),
template_label_error_plus_value_inconsistency,
IF(
AND(
COUNTIF('General Information'!F175:F283,template_label_value_inconsistency)&gt;0,
COUNTIF('General Information'!F175:F283,template_label_missing_value)&gt;0,
COUNTIF('General Information'!F175:F283,template_label_error)&gt;0
),
template_label_error_plus_missing_value_plus_value_inconsistency,
IF(
AND(
COUNTIF('General Information'!F175:F283,template_label_value_inconsistency)=0,
COUNTIF('General Information'!F175:F283,template_label_missing_value)=0,
COUNTIF('General Information'!F175:F283,template_label_error)=0,
COUNTIF('General Information'!F175:F283,template_label_ok)&gt;0
),
template_label_ok,
"-"
)))))))))</f>
        <v>-</v>
      </c>
      <c r="D13" s="515" t="b">
        <v>0</v>
      </c>
      <c r="E13" s="531"/>
      <c r="F13" s="522" t="str">
        <f>IF(AND(C13=template_label_classified_or_sensitive_information,COUNTIF('General Information'!E175:E283,"&lt;&gt;")&gt;0),template_label_information_on_sensitive_information_before_converting,"")</f>
        <v/>
      </c>
    </row>
    <row r="14" spans="2:6">
      <c r="B14" s="436" t="str">
        <f>template_label_b1_list_of_subsidiaries</f>
        <v>B1 - List of subsidiaries</v>
      </c>
      <c r="C14" s="392" t="str">
        <f>IF(D14=TRUE, template_label_classified_or_sensitive_information,
IF(
    COUNTIF('General Information'!F288:F387, template_label_missing_value) &gt; 0,
    template_label_missing_value,
    IF(
        COUNTIF('General Information'!F288:F387, template_label_ok) &gt; 0,
        template_label_ok,
        "-"
    )
)
)</f>
        <v>-</v>
      </c>
      <c r="D14" s="516" t="b">
        <v>0</v>
      </c>
      <c r="E14" s="531"/>
      <c r="F14" s="309" t="str">
        <f>IF(AND(C14=template_label_classified_or_sensitive_information,COUNTIF('General Information'!D402:G501,"&lt;&gt;")&gt;0),template_label_information_on_sensitive_information_before_converting,"")</f>
        <v/>
      </c>
    </row>
    <row r="15" spans="2:6">
      <c r="B15" s="436" t="str">
        <f>template_label_b1_disclosure_of_sustainability_related_certification_or_label</f>
        <v>B1 - Disclosure of sustainability-related certification(s) or label(s)</v>
      </c>
      <c r="C15" s="390" t="str">
        <f>IF(D15=TRUE, template_label_classified_or_sensitive_information,
IF(
    COUNTIF('General Information'!I393, template_label_missing_value) &gt; 0,
    template_label_missing_value,
    IF(
        COUNTIF('General Information'!I393, template_label_ok) &gt; 0,
        template_label_ok,
        "-"
    )
)
)</f>
        <v>-</v>
      </c>
      <c r="D15" s="516" t="b">
        <v>0</v>
      </c>
      <c r="E15" s="622" t="b">
        <v>0</v>
      </c>
      <c r="F15" s="309" t="str">
        <f>IF(AND(C15=template_label_classified_or_sensitive_information,'General Information'!E392=TRUE),template_label_information_on_sensitive_information_before_converting,"")</f>
        <v/>
      </c>
    </row>
    <row r="16" spans="2:6">
      <c r="B16" s="436" t="str">
        <f>template_label_b1_list_of_site</f>
        <v>B1 - List of site(s)</v>
      </c>
      <c r="C16" s="390" t="str">
        <f>IF(D16=TRUE, template_label_classified_or_sensitive_information,
IF(
    COUNTIF('General Information'!I402:I501, template_label_missing_value) &gt; 0,
    template_label_missing_value,
    IF(
        COUNTIF('General Information'!I402:I501, template_label_ok) &gt; 0,
        template_label_ok,
        "-"
    )
)
)</f>
        <v>-</v>
      </c>
      <c r="D16" s="516" t="b">
        <v>0</v>
      </c>
      <c r="E16" s="531"/>
      <c r="F16" s="309" t="str">
        <f>IF(AND(C16=template_label_classified_or_sensitive_information,COUNTIF('General Information'!D402:G501,"&lt;&gt;")&gt;0),template_label_information_on_sensitive_information_before_converting,"")</f>
        <v/>
      </c>
    </row>
    <row r="17" spans="2:6">
      <c r="B17" s="439" t="str">
        <f>template_label_b2_practices_policies_and_future_initiatives_for_transitioning_towards_a_more_sustainable_economy</f>
        <v>B2 - Practices, policies and future initiatives for transitioning towards a more sustainable economy</v>
      </c>
      <c r="C17" s="390" t="str">
        <f>IF(D17=TRUE, template_label_classified_or_sensitive_information,
IF(
    COUNTIF('General Information'!P508, template_label_missing_value) &gt; 0,
    template_label_missing_value,
    IF(
        COUNTIF('General Information'!P508, template_label_ok) &gt; 0,
        template_label_ok,
        "-"
    )
)
)</f>
        <v>-</v>
      </c>
      <c r="D17" s="516" t="b">
        <v>0</v>
      </c>
      <c r="E17" s="531"/>
      <c r="F17" s="309" t="str">
        <f>IF(AND(C17=template_label_classified_or_sensitive_information,'General Information'!C508=TRUE),template_label_information_on_sensitive_information_before_converting,"")</f>
        <v/>
      </c>
    </row>
    <row r="18" spans="2:6">
      <c r="B18" s="433" t="str">
        <f>template_label_b2_cooperative_specific_disclosures</f>
        <v>B2 - Cooperative specific disclosures</v>
      </c>
      <c r="C18" s="390" t="str" cm="1">
        <f t="array" ref="C18">IF(D18=TRUE, template_label_classified_or_sensitive_information,
IF(OR('General Information'!E512:E514=template_label_ok),template_label_ok,"-")
)</f>
        <v>-</v>
      </c>
      <c r="D18" s="516" t="b">
        <v>0</v>
      </c>
      <c r="E18" s="535"/>
      <c r="F18" s="309" t="str">
        <f>IF(AND(C18=template_label_classified_or_sensitive_information,COUNTIF('General Information'!D512:D514,"&lt;&gt;")&gt;0),template_label_information_on_sensitive_information_before_converting,"")</f>
        <v/>
      </c>
    </row>
    <row r="19" spans="2:6">
      <c r="B19" s="386" t="str">
        <f>template_label_environmental_disclosures_validation</f>
        <v>Environmental Disclosures</v>
      </c>
      <c r="C19" s="378"/>
      <c r="D19" s="527"/>
      <c r="E19" s="531"/>
      <c r="F19" s="309"/>
    </row>
    <row r="20" spans="2:6" s="438" customFormat="1">
      <c r="B20" s="437" t="str">
        <f>template_label_b3_energy_and_greenhouse_gas_emissions_validation</f>
        <v>B3 - Energy and greenhouse gas emissions</v>
      </c>
      <c r="C20" s="390" t="str">
        <f>IF(D20=TRUE,template_label_classified_or_sensitive_information,
IF(COUNTIF(C21:C23,template_label_error_plus_missing_value_plus_value_inconsistency)&gt;0,template_label_error_plus_missing_value_plus_value_inconsistency,
IF(COUNTIF(C21:C23,template_label_error_plus_value_inconsistency)&gt;0,template_label_error_plus_value_inconsistency,
IF(COUNTIF(C21:C23,template_label_error_plus_missing_value)&gt;0,template_label_error_plus_missing_value,
IF(COUNTIF(C21:C23,template_label_error)&gt;0,template_label_error,
IF(COUNTIF(C21:C23,template_label_missing_value_plus_value_inconsistency)&gt;0,template_label_missing_value_plus_value_inconsistency,
IF(COUNTIF(C21:C23,template_label_value_inconsistency)&gt;0,template_label_value_inconsistency,
IF(COUNTIF(C21:C23,template_label_missing_value)&gt;0,template_label_missing_value,
IF(COUNTIF(C21:C23,template_label_ok)=ROWS(C21:C23),template_label_ok,
IF(COUNTIF(C21:C23,"-")=ROWS(C21:C23),"-",
IF(AND(COUNTIF(C21:C23,template_label_ok)&gt;0, COUNTIF(C21:C23,template_label_error_plus_missing_value_plus_value_inconsistency)=0, COUNTIF(C21:C23,template_label_error_plus_value_inconsistency)=0, COUNTIF(C21:C23,template_label_error_plus_missing_value)=0, COUNTIF(C21:C23,template_label_error)=0, COUNTIF(C21:C23,template_label_missing_value_plus_value_inconsistency)=0, COUNTIF(C21:C23,template_label_value_inconsistency)=0, COUNTIF(C21:C23,template_label_missing_value)=0,OR(COUNTIF(C21:C23,template_label_missing_value)=0, COUNTIF(C21:C23,template_label_missing_value)&gt;0)), template_label_ok,
"-")))))))))
))</f>
        <v>MISSING VALUE</v>
      </c>
      <c r="D20" s="517" t="b">
        <f>IF(COUNTIF(D21:D23,TRUE)=ROWS(D21:D23),TRUE,FALSE)</f>
        <v>0</v>
      </c>
      <c r="E20" s="531"/>
      <c r="F20" s="309"/>
    </row>
    <row r="21" spans="2:6">
      <c r="B21" s="433" t="str">
        <f>template_label_b3_total_energy_consumption</f>
        <v>B3 - Total Energy Consumption (in MWh)</v>
      </c>
      <c r="C21" s="390" t="str">
        <f>IF(D21=TRUE, template_label_classified_or_sensitive_information,
IF(COUNTIF('Environmental Disclosures'!L5,template_label_missing_value)&gt;0,template_label_missing_value,
IF(COUNTIF('Environmental Disclosures'!L5,template_label_ok)&gt;0,template_label_ok,"-"))
)</f>
        <v>-</v>
      </c>
      <c r="D21" s="516" t="b">
        <v>0</v>
      </c>
      <c r="E21" s="531"/>
      <c r="F21" s="309" t="str">
        <f>IF(AND(C21=template_label_classified_or_sensitive_information,COUNTIF(TotalEnergyConsumption,"&lt;&gt;")&gt;0),template_label_information_on_sensitive_information_before_converting,"")</f>
        <v/>
      </c>
    </row>
    <row r="22" spans="2:6">
      <c r="B22" s="384" t="str">
        <f>template_label_b3_breakdown_of_energy_consumption</f>
        <v>B3 - Breakdown of energy consumption (in MWh)</v>
      </c>
      <c r="C22" s="392" t="str">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v>
      </c>
      <c r="D22" s="516" t="b">
        <v>0</v>
      </c>
      <c r="E22" s="531"/>
      <c r="F22" s="309" t="str">
        <f>IF(AND(C22=template_label_classified_or_sensitive_information,'Environmental Disclosures'!G10=TRUE),template_label_information_on_sensitive_information_before_converting,"")</f>
        <v/>
      </c>
    </row>
    <row r="23" spans="2:6" ht="29.15">
      <c r="B23" s="384" t="str">
        <f>template_label_b3_estimated_absolute_greenhouse_gas_emissions</f>
        <v>B3 - Estimated Absolute Greenhouse Gas Emissions considering the GHG Protocol Corporate Accounting and Reporting  Standard 2004 (in tCO2eq)</v>
      </c>
      <c r="C23" s="390" t="str">
        <f>IF(D23=TRUE, template_label_classified_or_sensitive_information,
IF(COUNTIF('Environmental Disclosures'!L21:L44,template_label_missing_value)&gt;0,template_label_missing_value,
IF(COUNTIF('Environmental Disclosures'!L21:L44,template_label_ok)&gt;0,template_label_ok,"-"))
)</f>
        <v>MISSING VALUE</v>
      </c>
      <c r="D23" s="516" t="b">
        <v>0</v>
      </c>
      <c r="E23" s="531"/>
      <c r="F23" s="309" t="str">
        <f>IF(AND(C23=template_label_classified_or_sensitive_information,COUNTIF('Environmental Disclosures'!D22:F24,"&lt;&gt;")&gt;0),template_label_information_on_sensitive_information_before_converting,"")</f>
        <v/>
      </c>
    </row>
    <row r="24" spans="2:6">
      <c r="B24" s="304" t="str">
        <f>template_label_b4_pollution_of_air_water_and_soil_validation</f>
        <v>B4 - Pollution of air, water and soil</v>
      </c>
      <c r="C24" s="390" t="str">
        <f>IF(D24=TRUE, template_label_classified_or_sensitive_information,
IF(COUNTIF('Environmental Disclosures'!L69:L184,template_label_invalid_url)&gt;0,
   template_label_invalid_url,
IF(AND(COUNTIF('Environmental Disclosures'!L69:L184,template_label_missing_value)&gt;0,
       COUNTIF('Environmental Disclosures'!L69:L184,template_label_value_inconsistency)&gt;0),
   template_label_missing_value_plus_value_inconsistency,
IF(COUNTIF('Environmental Disclosures'!L69:L184,template_label_missing_value)&gt;0,
   template_label_missing_value,
IF(COUNTIF('Environmental Disclosures'!L69:L184,template_label_value_inconsistency)&gt;0,
   template_label_value_inconsistency,
IF(COUNTIF('Environmental Disclosures'!L69:L184,template_label_ok)&gt;0,
   template_label_ok,
"-")))))
)</f>
        <v>-</v>
      </c>
      <c r="D24" s="516" t="b">
        <v>0</v>
      </c>
      <c r="E24" s="531"/>
      <c r="F24" s="309" t="str">
        <f>IF(AND(C24=template_label_classified_or_sensitive_information,'Environmental Disclosures'!G68=TRUE),template_label_information_on_sensitive_information_before_converting,"")</f>
        <v/>
      </c>
    </row>
    <row r="25" spans="2:6">
      <c r="B25" s="304" t="str">
        <f>template_label_b5_biodiversity_validation</f>
        <v>B5 - Biodiversity</v>
      </c>
      <c r="C25" s="390" t="str">
        <f>IF(D25=TRUE, template_label_classified_or_sensitive_information,
IF(COUNTIF(C26:C26,template_label_error_plus_missing_value_plus_value_inconsistency)&gt;0,template_label_error_plus_missing_value_plus_value_inconsistency,
IF(COUNTIF(C26:C26,template_label_error_plus_value_inconsistency)&gt;0,template_label_error_plus_value_inconsistency,
IF(COUNTIF(C26:C26,template_label_error_plus_missing_value)&gt;0,template_label_error_plus_missing_value,
IF(COUNTIF(C26:C26,template_label_error)&gt;0,template_label_error,
IF(COUNTIF(C26:C26,template_label_missing_value_plus_value_inconsistency)&gt;0,template_label_missing_value_plus_value_inconsistency,
IF(COUNTIF(C26:C26,template_label_value_inconsistency)&gt;0,template_label_value_inconsistency,
IF(COUNTIF(C26:C26,template_label_missing_value)&gt;0,template_label_missing_value,
IF(COUNTIF(C26:C26,template_label_ok)=ROWS(C26:C26),template_label_ok,
IF(COUNTIF(C26:C26,"-")=ROWS(C26:C26),"-",
IF(AND(COUNTIF(C26:C26,template_label_ok)&gt;0, COUNTIF(C26:C26,template_label_error_plus_missing_value_plus_value_inconsistency)=0, COUNTIF(C26:C26,template_label_error_plus_value_inconsistency)=0, COUNTIF(C26:C26,template_label_error_plus_missing_value)=0, COUNTIF(C26:C26,template_label_error)=0, COUNTIF(C26:C26,template_label_missing_value_plus_value_inconsistency)=0, COUNTIF(C26:C26,template_label_value_inconsistency)=0, COUNTIF(C26:C26,template_label_missing_value)=0,OR(COUNTIF(C26:C26,template_label_missing_value)=0, COUNTIF(C26:C26,template_label_missing_value)&gt;0)), template_label_ok,
"-")))))))))
))</f>
        <v>-</v>
      </c>
      <c r="D25" s="518" t="b">
        <f>IF(COUNTIF(D26:D26,TRUE)=ROWS(D26:D26),TRUE,FALSE)</f>
        <v>0</v>
      </c>
      <c r="E25" s="531"/>
      <c r="F25" s="309"/>
    </row>
    <row r="26" spans="2:6">
      <c r="B26" s="384" t="str">
        <f>template_label_b5_sites_in_biodiversity_sensitive_areas</f>
        <v>B5 - Sites in biodiversity sensitive areas</v>
      </c>
      <c r="C26" s="390" t="str">
        <f>IF(D26=TRUE, template_label_classified_or_sensitive_information,
IF(AND(
        COUNTIF('Environmental Disclosures'!D191:D290,template_label_ok) + COUNTIF('Environmental Disclosures'!L190:L290,template_label_ok) &gt; 0,
        COUNTIF('Environmental Disclosures'!D191:D290,template_label_missing_value) + COUNTIF('Environmental Disclosures'!L190:L290,template_label_missing_value) = 0,
        COUNTIF('Environmental Disclosures'!D191:D290,template_label_value_inconsistency) + COUNTIF('Environmental Disclosures'!L190:L290,template_label_value_inconsistency) = 0),
    template_label_ok,
    IF(AND(
           COUNTIF('Environmental Disclosures'!D191:D290,template_label_missing_value) + COUNTIF('Environmental Disclosures'!L190:L290,template_label_missing_value) &gt; 0,
           COUNTIF('Environmental Disclosures'!D191:D290,template_label_value_inconsistency) + COUNTIF('Environmental Disclosures'!L190:L290,template_label_value_inconsistency) = 0),
        template_label_missing_value,
        IF(AND(
               COUNTIF('Environmental Disclosures'!D191:D290,template_label_value_inconsistency) + COUNTIF('Environmental Disclosures'!L190:L290,template_label_value_inconsistency) &gt; 0,
               COUNTIF('Environmental Disclosures'!D191:D290,template_label_missing_value) + COUNTIF('Environmental Disclosures'!L190:L290,template_label_missing_value) = 0),
            template_label_value_inconsistency,
            IF(AND(
                   COUNTIF('Environmental Disclosures'!D191:D290,template_label_value_inconsistency) + COUNTIF('Environmental Disclosures'!L190:L290,template_label_value_inconsistency) &gt; 0,
                   COUNTIF('Environmental Disclosures'!D191:D290,template_label_missing_value) + COUNTIF('Environmental Disclosures'!L190:L290,template_label_missing_value) &gt; 0),
                template_label_missing_value_plus_value_inconsistency,
                "-"
            )
        )
    )
)
)</f>
        <v>-</v>
      </c>
      <c r="D26" s="512" t="b">
        <v>0</v>
      </c>
      <c r="E26" s="531"/>
      <c r="F26" s="309" t="str">
        <f>IF(AND(C26=template_label_classified_or_sensitive_information,'Environmental Disclosures'!G189=TRUE),template_label_information_on_sensitive_information_before_converting,"")</f>
        <v/>
      </c>
    </row>
    <row r="27" spans="2:6">
      <c r="B27" s="304" t="str">
        <f>template_label_b6_water_validation</f>
        <v>B6 - Water</v>
      </c>
      <c r="C27" s="390" t="str">
        <f>IF(D27=TRUE, template_label_classified_or_sensitive_information,
IF(COUNTIF(C28:C29,template_label_error_plus_missing_value_plus_value_inconsistency)&gt;0,template_label_error_plus_missing_value_plus_value_inconsistency,
IF(COUNTIF(C28:C29,template_label_error_plus_value_inconsistency)&gt;0,template_label_error_plus_value_inconsistency,
IF(COUNTIF(C28:C29,template_label_error_plus_missing_value)&gt;0,template_label_error_plus_missing_value,
IF(COUNTIF(C28:C29,template_label_error)&gt;0,template_label_error,
IF(COUNTIF(C28:C29,template_label_missing_value_plus_value_inconsistency)&gt;0,template_label_missing_value_plus_value_inconsistency,
IF(COUNTIF(C28:C29,template_label_value_inconsistency)&gt;0,template_label_value_inconsistency,
IF(COUNTIF(C28:C29,template_label_missing_value)&gt;0,template_label_missing_value,
IF(COUNTIF(C28:C29,template_label_ok)=ROWS(C28:C29),template_label_ok,
IF(COUNTIF(C28:C29,"-")=ROWS(C28:C29),"-",
IF(AND(COUNTIF(C28:C29,template_label_ok)&gt;0, COUNTIF(C26:C26,template_label_error_plus_missing_value_plus_value_inconsistency)=0, COUNTIF(C28:C29,template_label_error_plus_value_inconsistency)=0, COUNTIF(C28:C29,template_label_error_plus_missing_value)=0, COUNTIF(C28:C29,template_label_error)=0, COUNTIF(C28:C29,template_label_missing_value_plus_value_inconsistency)=0, COUNTIF(C28:C29,template_label_value_inconsistency)=0, COUNTIF(C28:C29,template_label_missing_value)=0,OR(COUNTIF(C28:C29,template_label_missing_value)=0, COUNTIF(C28:C29,template_label_missing_value)&gt;0)), template_label_ok,
"-")))))))))
))</f>
        <v>-</v>
      </c>
      <c r="D27" s="518" t="b">
        <f>IF(COUNTIF(D28:D29,TRUE)=ROWS(D28:D29),TRUE,FALSE)</f>
        <v>0</v>
      </c>
      <c r="E27" s="531"/>
      <c r="F27" s="309"/>
    </row>
    <row r="28" spans="2:6">
      <c r="B28" s="384" t="str">
        <f>template_label_b6_water_withdrawal</f>
        <v>B6 - Water Withdrawal</v>
      </c>
      <c r="C28" s="390" t="str">
        <f>IF(D28=TRUE, template_label_classified_or_sensitive_information,
IF(COUNTIF('Environmental Disclosures'!E296, template_label_missing_value) &gt; 0,
    template_label_missing_value,
    IF(COUNTIF('Environmental Disclosures'!E296, template_label_ok) &gt; 0,
        template_label_ok,
        "-"))
)</f>
        <v>-</v>
      </c>
      <c r="D28" s="512" t="b">
        <v>0</v>
      </c>
      <c r="E28" s="531"/>
      <c r="F28" s="309" t="str">
        <f>IF(AND(C28=template_label_classified_or_sensitive_information,COUNTIF('Environmental Disclosures'!D296:D304,"&lt;&gt;")&gt;0),template_label_information_on_sensitive_information_before_converting,"")</f>
        <v/>
      </c>
    </row>
    <row r="29" spans="2:6">
      <c r="B29" s="384" t="str">
        <f>template_label_b6_water_consumption</f>
        <v>B6 - Water Consumption</v>
      </c>
      <c r="C29" s="390" t="str">
        <f>IF(D29=TRUE, template_label_classified_or_sensitive_information,
IF(COUNTIF('Environmental Disclosures'!E302:E304, template_label_missing_value) &gt; 0,
    template_label_missing_value,
    IF(COUNTIF('Environmental Disclosures'!E302:E304, template_label_ok) &gt; 0,
        template_label_ok,
        "-"))
)</f>
        <v>-</v>
      </c>
      <c r="D29" s="512" t="b">
        <v>0</v>
      </c>
      <c r="E29" s="531"/>
      <c r="F29" s="309" t="str">
        <f>IF(AND(C29=template_label_classified_or_sensitive_information,'Environmental Disclosures'!D301=TRUE),template_label_information_on_sensitive_information_before_converting,"")</f>
        <v/>
      </c>
    </row>
    <row r="30" spans="2:6">
      <c r="B30" s="304" t="str">
        <f>template_label_b7_resource_use_circular_economy_and_waste_management_validation</f>
        <v>B7 - Resource use, circular economy and waste management</v>
      </c>
      <c r="C30" s="390" t="str">
        <f>IF(D30=TRUE, template_label_classified_or_sensitive_information,
IF(COUNTIF(C31:C33, template_label_error_plus_missing_value_plus_value_inconsistency) &gt; 0, template_label_error_plus_missing_value_plus_value_inconsistency,
IF(COUNTIF(C31:C33, template_label_error_plus_value_inconsistency) &gt; 0, template_label_error_plus_value_inconsistency,
IF(COUNTIF(C31:C33, template_label_error_plus_missing_value) &gt; 0, template_label_error_plus_missing_value,
IF(COUNTIF(C31:C33, template_label_error) &gt; 0, template_label_error,
IF(COUNTIF(C31:C33, template_label_missing_value_plus_value_inconsistency) &gt; 0, template_label_missing_value_plus_value_inconsistency,
IF(COUNTIF(C31:C33, template_label_value_inconsistency) &gt; 0, template_label_value_inconsistency,
IF(COUNTIF(C31:C33, template_label_missing_value) &gt; 0, template_label_missing_value,
IF(COUNTIF(C31:C33, template_label_ok) = ROWS(C31:C33), template_label_ok,
IF(COUNTIF(C31:C33, "-") = ROWS(C31:C33), "-",
IF(AND(COUNTIF(C31:C33,template_label_ok)&gt;0, COUNTIF(C31:C33,template_label_error_plus_missing_value_plus_value_inconsistency)=0, COUNTIF(C31:C33,template_label_error_plus_value_inconsistency)=0, COUNTIF(C31:C33,template_label_error_plus_missing_value)=0, COUNTIF(C31:C33,template_label_error)=0, COUNTIF(C31:C33,template_label_missing_value_plus_value_inconsistency)=0, COUNTIF(C31:C33,template_label_value_inconsistency)=0, COUNTIF(C31:C33,template_label_missing_value)=0,OR(COUNTIF(C31:C33,template_label_missing_value)=0, COUNTIF(C31:C33,template_label_missing_value)&gt;0)), template_label_ok,
"-")))))))))
))</f>
        <v>-</v>
      </c>
      <c r="D30" s="518" t="b">
        <f>IF(COUNTIF(D32:D33,TRUE)=ROWS(D32:D33),TRUE,FALSE)</f>
        <v>0</v>
      </c>
      <c r="E30" s="531"/>
      <c r="F30" s="309"/>
    </row>
    <row r="31" spans="2:6">
      <c r="B31" s="384" t="str">
        <f>template_label_b7_description_of_circular_economy_principles</f>
        <v>B7 - Description of circular economy principles</v>
      </c>
      <c r="C31" s="390" t="str">
        <f>IF(D31=TRUE, template_label_classified_or_sensitive_information,
IF(
AND(
COUNTIF('Environmental Disclosures'!H309:I310, template_label_missing_value) &gt; 0,
COUNTIF('Environmental Disclosures'!H309:I310, template_label_value_inconsistency) = 0,
COUNTIF('Environmental Disclosures'!H309:I310, template_label_ok) &gt;= 0
),
template_label_missing_value,
IF(
AND(
COUNTIF('Environmental Disclosures'!H309:I310, template_label_value_inconsistency) &gt; 0,
COUNTIF('Environmental Disclosures'!H309:I310, template_label_missing_value) = 0,
COUNTIF('Environmental Disclosures'!H309:I310, template_label_ok) &gt;= 0
),
template_label_value_inconsistency,
IF(
AND(
COUNTIF('Environmental Disclosures'!H309:I310, template_label_value_inconsistency) &gt; 0,
COUNTIF('Environmental Disclosures'!H309:I310, template_label_missing_value) &gt; 0,
COUNTIF('Environmental Disclosures'!H309:I310, template_label_ok) &gt;= 0
),
template_label_missing_value_plus_value_inconsistency,
IF(
AND(
COUNTIF('Environmental Disclosures'!H309:I310, template_label_value_inconsistency) = 0,
COUNTIF('Environmental Disclosures'!H309:I310, template_label_missing_value) = 0,
COUNTIF('Environmental Disclosures'!H309:I310, template_label_ok) &gt; 0
),
template_label_ok,
"-"
)
)
))
)</f>
        <v>-</v>
      </c>
      <c r="D31" s="519" t="b">
        <v>0</v>
      </c>
      <c r="E31" s="533" t="b">
        <v>0</v>
      </c>
      <c r="F31" s="309" t="str">
        <f>IF(AND(C31=template_label_classified_or_sensitive_information,COUNTIF('Environmental Disclosures'!D309:G310,"&lt;&gt;")&gt;0),template_label_information_on_sensitive_information_before_converting,"")</f>
        <v/>
      </c>
    </row>
    <row r="32" spans="2:6">
      <c r="B32" s="384" t="str">
        <f>template_label_b7_waste_generated</f>
        <v>B7 - Waste generated</v>
      </c>
      <c r="C32" s="390" t="str">
        <f>IF(D32=TRUE, template_label_classified_or_sensitive_information,
IF(
    AND(
        COUNTIF('Environmental Disclosures'!M316:M416, template_label_error) &gt; 0,
        COUNTIF('Environmental Disclosures'!M316:M416, template_label_missing_value) &gt; 0,
        COUNTIF('Environmental Disclosures'!M316:M416, template_label_value_inconsistency) &gt; 0
    ),
    template_label_error_plus_missing_value_plus_value_inconsistency,
IF(
    AND(
        COUNTIF('Environmental Disclosures'!M316:M416, template_label_error) &gt; 0,
        COUNTIF('Environmental Disclosures'!M316:M416, template_label_value_inconsistency) &gt; 0,
        COUNTIF('Environmental Disclosures'!M316:M416, template_label_missing_value) = 0
    ),
    template_label_error_plus_value_inconsistency,
IF(
    AND(
        COUNTIF('Environmental Disclosures'!M316:M416, template_label_error) &gt; 0,
        COUNTIF('Environmental Disclosures'!M316:M416, template_label_missing_value) &gt; 0,
        COUNTIF('Environmental Disclosures'!M316:M416, template_label_value_inconsistency) = 0
    ),
    template_label_error_plus_missing_value,
IF(
    AND(
        COUNTIF('Environmental Disclosures'!M316:M416, template_label_missing_value) &gt; 0,
        COUNTIF('Environmental Disclosures'!M316:M416, template_label_value_inconsistency) &gt; 0,
        COUNTIF('Environmental Disclosures'!M316:M416, template_label_error) = 0
    ),
    template_label_missing_value_plus_value_inconsistency,
IF(
    AND(
        COUNTIF('Environmental Disclosures'!M316:M416, template_label_error) &gt; 0,
        COUNTIF('Environmental Disclosures'!M316:M416, template_label_missing_value) = 0,
        COUNTIF('Environmental Disclosures'!M316:M416, template_label_value_inconsistency) = 0
    ),
    template_label_error,
IF(
    AND(
        COUNTIF('Environmental Disclosures'!M316:M416, template_label_missing_value) &gt; 0,
        COUNTIF('Environmental Disclosures'!M316:M416, template_label_error) = 0,
        COUNTIF('Environmental Disclosures'!M316:M416, template_label_value_inconsistency) = 0
    ),
    template_label_missing_value,
IF(
    AND(
        COUNTIF('Environmental Disclosures'!M316:M416, template_label_value_inconsistency) &gt; 0,
        COUNTIF('Environmental Disclosures'!M316:M416, template_label_error) = 0,
        COUNTIF('Environmental Disclosures'!M316:M416, template_label_missing_value) = 0
    ),
    template_label_value_inconsistency,
IF(
    AND(
        COUNTIF('Environmental Disclosures'!M316:M416, template_label_error) = 0,
        COUNTIF('Environmental Disclosures'!M316:M416, template_label_missing_value) = 0,
        COUNTIF('Environmental Disclosures'!M316:M416, template_label_value_inconsistency) = 0,
        COUNTIF('Environmental Disclosures'!M316:M416, template_label_ok) &gt; 0
    ),
    template_label_ok,
"-"
))))))))
)</f>
        <v>-</v>
      </c>
      <c r="D32" s="516" t="b">
        <v>0</v>
      </c>
      <c r="E32" s="531"/>
      <c r="F32" s="309" t="str">
        <f>IF(AND(C32=template_label_classified_or_sensitive_information,COUNTIF('Environmental Disclosures'!D316:L415,"&lt;&gt;")&gt;0),template_label_information_on_sensitive_information_before_converting,"")</f>
        <v/>
      </c>
    </row>
    <row r="33" spans="2:6">
      <c r="B33" s="384" t="str">
        <f>template_label_b7_annual_mass_flow_of_relevant_materials_used</f>
        <v>B7 - Annual mass-flow of relevant materials used</v>
      </c>
      <c r="C33" s="390" t="str">
        <f>IF(D33=TRUE, template_label_classified_or_sensitive_information,
IF(COUNTIF('Environmental Disclosures'!K432:K531, template_label_missing_value) &gt; 0,
    template_label_missing_value,
    IF(COUNTIF('Environmental Disclosures'!K432:K531, template_label_ok) &gt; 0,
        template_label_ok,
        "-"))
)</f>
        <v>-</v>
      </c>
      <c r="D33" s="512" t="b">
        <v>0</v>
      </c>
      <c r="E33" s="535"/>
      <c r="F33" s="309" t="str">
        <f>IF(AND(C33=template_label_classified_or_sensitive_information,'Environmental Disclosures'!G430=TRUE),template_label_information_on_sensitive_information_before_converting,"")</f>
        <v/>
      </c>
    </row>
    <row r="34" spans="2:6">
      <c r="B34" s="386" t="str">
        <f>template_label_social_disclosures_validation</f>
        <v>Social Disclosures</v>
      </c>
      <c r="C34" s="378"/>
      <c r="D34" s="528"/>
      <c r="E34" s="531"/>
      <c r="F34" s="309"/>
    </row>
    <row r="35" spans="2:6" ht="14.4" customHeight="1">
      <c r="B35" s="273" t="str">
        <f>template_label_b8_workforce_general_characteristics_validation</f>
        <v>B8 - Workforce - General characteristics</v>
      </c>
      <c r="C35" s="390" t="str">
        <f>IF(D35=TRUE, template_label_classified_or_sensitive_information,
IF(COUNTIF(C36:C38, template_label_error_plus_missing_value_plus_value_inconsistency) &gt; 0, template_label_error_plus_missing_value_plus_value_inconsistency,
IF(COUNTIF(C36:C38, template_label_error_plus_value_inconsistency) &gt; 0, template_label_error_plus_value_inconsistency,
IF(COUNTIF(C36:C38, template_label_error_plus_missing_value) &gt; 0, template_label_error_plus_missing_value,
IF(COUNTIF(C36:C38, template_label_error) &gt; 0, template_label_error,
IF(COUNTIF(C36:C38, template_label_missing_value_plus_value_inconsistency) &gt; 0, template_label_missing_value_plus_value_inconsistency,
IF(COUNTIF(C36:C38, template_label_value_inconsistency) &gt; 0, template_label_value_inconsistency,
IF(COUNTIF(C36:C38, template_label_missing_value) &gt; 0, template_label_missing_value,
IF(COUNTIF(C36:C38, template_label_ok) = ROWS(C36:C38), template_label_ok,
IF(COUNTIF(C36:C38, "-") = ROWS(C36:C38), "-",
IF(AND(COUNTIF(C36:C38,template_label_ok)&gt;0, COUNTIF(C36:C38,template_label_error_plus_missing_value_plus_value_inconsistency)=0, COUNTIF(C36:C38,template_label_error_plus_value_inconsistency)=0, COUNTIF(C36:C38,template_label_error_plus_missing_value)=0, COUNTIF(C36:C38,template_label_error)=0, COUNTIF(C36:C38,template_label_missing_value_plus_value_inconsistency)=0, COUNTIF(C36:C38,template_label_value_inconsistency)=0, COUNTIF(C36:C38,template_label_missing_value)=0,OR(COUNTIF(C36:C38,template_label_missing_value)=0, COUNTIF(C36:C38,template_label_missing_value)&gt;0)), template_label_ok,
"-")))))))))
))</f>
        <v>-</v>
      </c>
      <c r="D35" s="518" t="b">
        <f>IF(COUNTIF(D36:D38,TRUE)=ROWS(D36:D38),TRUE,FALSE)</f>
        <v>0</v>
      </c>
      <c r="E35" s="531"/>
      <c r="F35" s="309"/>
    </row>
    <row r="36" spans="2:6" ht="14.4" customHeight="1">
      <c r="B36" s="384" t="str">
        <f>template_label_b8_workforce_general_characteristics_type_of_contract</f>
        <v>B8 - Workforce - General characteristics - Type of contract</v>
      </c>
      <c r="C36" s="390" t="str">
        <f>IF(D36=TRUE, template_label_classified_or_sensitive_information,
IF(COUNTIF('Social Disclosures'!H10, template_label_missing_value) &gt; 0,
    template_label_missing_value,
    IF(COUNTIF('Social Disclosures'!H10, template_label_ok) &gt; 0,
        template_label_ok,
        "-"))
)</f>
        <v>-</v>
      </c>
      <c r="D36" s="512" t="b">
        <v>0</v>
      </c>
      <c r="E36" s="531"/>
      <c r="F36" s="309" t="str">
        <f>IF(AND(C36=template_label_classified_or_sensitive_information,COUNTIF([0]!NumberOfPermanentContractEmployees,"&lt;&gt;")&gt;0),template_label_information_on_sensitive_information_before_converting,"")</f>
        <v/>
      </c>
    </row>
    <row r="37" spans="2:6" ht="14.4" customHeight="1">
      <c r="B37" s="384" t="str">
        <f>template_label_b8_workforce_general_characteristics_gender</f>
        <v>B8 - Workforce - General characteristics - Gender</v>
      </c>
      <c r="C37" s="390" t="str">
        <f>IF(D37=TRUE,template_label_classified_or_sensitive_information,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v>
      </c>
      <c r="D37" s="512" t="b">
        <v>0</v>
      </c>
      <c r="E37" s="531"/>
      <c r="F37" s="309" t="str">
        <f>IF(AND(C37=template_label_classified_or_sensitive_information,COUNTIF('Social Disclosures'!D18:G21,"&lt;&gt;")&gt;0),template_label_information_on_sensitive_information_before_converting,"")</f>
        <v/>
      </c>
    </row>
    <row r="38" spans="2:6" ht="14.4" customHeight="1">
      <c r="B38" s="384" t="str">
        <f>template_label_b8_workforce_general_characteristics_country_of_employment</f>
        <v>B8 - Workforce - General characteristics - Country of employment</v>
      </c>
      <c r="C38" s="390" t="str">
        <f>IF(D38=TRUE,template_label_classified_or_sensitive_information,
IF(COUNTIF('Social Disclosures'!I29:I128,template_label_missing_value)&gt;0,
template_label_missing_value,IF(COUNTIF('Social Disclosures'!I29:I128,template_label_value_inconsistency)&gt;0,
template_label_value_inconsistency,
IF(COUNTIF('Social Disclosures'!I29:I128,template_label_ok)&gt;0,
template_label_ok,
"-"))
))</f>
        <v>-</v>
      </c>
      <c r="D38" s="512" t="b">
        <v>0</v>
      </c>
      <c r="E38" s="531"/>
      <c r="F38" s="309" t="str">
        <f>IF(AND(C38=template_label_classified_or_sensitive_information,'Social Disclosures'!D143=TRUE),template_label_information_on_sensitive_information_before_converting,"")</f>
        <v/>
      </c>
    </row>
    <row r="39" spans="2:6" ht="14.4" customHeight="1">
      <c r="B39" s="304" t="str">
        <f>template_label_b9_workforce_health_and_safety_validation</f>
        <v>B9 - Workforce - Health and safety</v>
      </c>
      <c r="C39" s="390" t="str">
        <f>IF(D39=TRUE, template_label_classified_or_sensitive_information,
IF(COUNTIF('Social Disclosures'!I133:I139, template_label_missing_value) &gt; 0,
    template_label_missing_value,
    IF(COUNTIF('Social Disclosures'!I133:I139, template_label_ok) &gt; 0,
        template_label_ok,
        "-"))
)</f>
        <v>-</v>
      </c>
      <c r="D39" s="512" t="b">
        <v>0</v>
      </c>
      <c r="E39" s="531"/>
      <c r="F39" s="309" t="str">
        <f>IF(AND(C39=template_label_classified_or_sensitive_information,COUNTIF('Social Disclosures'!D133:H135,"&lt;&gt;")&gt;0),template_label_information_on_sensitive_information_before_converting,"")</f>
        <v/>
      </c>
    </row>
    <row r="40" spans="2:6">
      <c r="B40" s="304" t="str">
        <f>template_label_b10_workforce_remuneration_collective_bargaining_and_training_validation</f>
        <v>B10 - Workforce - Remuneration, collective bargaining and training</v>
      </c>
      <c r="C40" s="390" t="str">
        <f>IF(D40=TRUE,template_label_classified_or_sensitive_information,
IF(COUNTIF(C41:C42,template_label_error_plus_missing_value_plus_value_inconsistency)&gt;0,template_label_error_plus_missing_value_plus_value_inconsistency,
IF(COUNTIF(C41:C42,template_label_error_plus_value_inconsistency)&gt;0,template_label_error_plus_value_inconsistency,
IF(COUNTIF(C41:C42,template_label_error_plus_missing_value)&gt;0,template_label_error_plus_missing_value,
IF(COUNTIF(C41:C42,template_label_error)&gt;0,template_label_error,
IF(COUNTIF(C41:C42,template_label_missing_value_plus_value_inconsistency)&gt;0,template_label_missing_value_plus_value_inconsistency,
IF(COUNTIF(C41:C42,template_label_value_inconsistency)&gt;0,template_label_value_inconsistency,
IF(COUNTIF(C41:C42,template_label_missing_value)&gt;0,template_label_missing_value,
IF(COUNTIF(C41:C42,template_label_ok)=ROWS(C41:C42),template_label_ok,
IF(COUNTIF(C41:C42,"-")=ROWS(C41:C42),"-",
IF(AND(COUNTIF(C41:C42,template_label_ok)&gt;0,COUNTIF(C41:C42,template_label_error_plus_missing_value_plus_value_inconsistency)=0,COUNTIF(C41:C42,template_label_error_plus_value_inconsistency)=0,COUNTIF(C41:C42,template_label_error_plus_missing_value)=0,COUNTIF(C41:C42,template_label_error)=0,COUNTIF(C41:C42,template_label_missing_value_plus_value_inconsistency)=0,COUNTIF(C41:C42,template_label_value_inconsistency)=0,COUNTIF(C41:C42,template_label_missing_value)=0,OR(COUNTIF(C41:C42,template_label_missing_value)=0, COUNTIF(C41:C42,template_label_missing_value)&gt;0)),template_label_ok,
"-")))))))))))</f>
        <v>-</v>
      </c>
      <c r="D40" s="518" t="b">
        <f>IF(COUNTIF(D41:D42,TRUE)=ROWS(D41:D42),TRUE,FALSE)</f>
        <v>0</v>
      </c>
      <c r="E40" s="531"/>
      <c r="F40" s="309"/>
    </row>
    <row r="41" spans="2:6">
      <c r="B41" s="432" t="str">
        <f>template_label_b10_workforce_remuneration_collective_bargaining</f>
        <v>B10 - Workforce - Remuneration and collective bargaining</v>
      </c>
      <c r="C41" s="390" t="str">
        <f>IF(D41=TRUE, template_label_classified_or_sensitive_information,
IF(COUNTIF('Social Disclosures'!I142:I147, template_label_missing_value) &gt; 0,
    template_label_missing_value,
    IF(COUNTIF('Social Disclosures'!I142:I147, template_label_ok) &gt; 0,
        template_label_ok,
        "-"))
)</f>
        <v>-</v>
      </c>
      <c r="D41" s="512" t="b">
        <v>0</v>
      </c>
      <c r="E41" s="531"/>
      <c r="F41" s="309" t="str">
        <f>IF(AND(C41=template_label_classified_or_sensitive_information,OR(COUNTIF('Social Disclosures'!D142:H145,"&lt;&gt;")&gt;0,COUNTIF('Social Disclosures'!D147,"&lt;&gt;")&gt;0)),template_label_information_on_sensitive_information_before_converting,"")</f>
        <v/>
      </c>
    </row>
    <row r="42" spans="2:6">
      <c r="B42" s="384" t="str">
        <f>template_label_number_of_annual_training_hours_per_employee_during_the_reporting_period</f>
        <v>B10 - Workforce - Number of annual training hours per employee during the reporting period</v>
      </c>
      <c r="C42" s="390" t="str">
        <f>IF(D42=TRUE, template_label_classified_or_sensitive_information,
IF(COUNTIF('Social Disclosures'!I153:I154, template_label_missing_value) &gt; 0,
    template_label_missing_value,
    IF(COUNTIF('Social Disclosures'!I153:I154, template_label_ok) &gt; 0,
        template_label_ok,
        "-"))
)</f>
        <v>-</v>
      </c>
      <c r="D42" s="512" t="b">
        <v>0</v>
      </c>
      <c r="E42" s="531"/>
      <c r="F42" s="309" t="str">
        <f>IF(AND(C42=template_label_classified_or_sensitive_information,COUNTIF('Social Disclosures'!D153:H153,"&lt;&gt;")&gt;0),template_label_information_on_sensitive_information_before_converting,"")</f>
        <v/>
      </c>
    </row>
    <row r="43" spans="2:6">
      <c r="B43" s="386" t="str">
        <f>template_label_governance_disclosures_validation</f>
        <v>Governance Disclosures</v>
      </c>
      <c r="C43" s="378"/>
      <c r="D43" s="528"/>
      <c r="E43" s="531"/>
      <c r="F43" s="309"/>
    </row>
    <row r="44" spans="2:6" ht="15" thickBot="1">
      <c r="B44" s="305" t="str">
        <f>template_label_b11_convictions_and_fines_for_corruption_and_bribery_validation</f>
        <v>B11 - Convictions and fines for corruption and bribery</v>
      </c>
      <c r="C44" s="388" t="str">
        <f>IF(D44=TRUE, template_label_classified_or_sensitive_information,
IF(COUNTIF('Governance Disclosures'!I6:I7, template_label_missing_value) &gt; 0,
    template_label_missing_value,
    IF(COUNTIF('Governance Disclosures'!I6:I7, template_label_ok) &gt; 0,
        template_label_ok,
        "-"))
)</f>
        <v>-</v>
      </c>
      <c r="D44" s="523" t="b">
        <v>0</v>
      </c>
      <c r="E44" s="532"/>
      <c r="F44" s="309" t="str">
        <f>IF(AND(C44=template_label_classified_or_sensitive_information,'Governance Disclosures'!H5=TRUE),template_label_information_on_sensitive_information_before_converting,"")</f>
        <v/>
      </c>
    </row>
    <row r="45" spans="2:6" ht="18.45">
      <c r="B45" s="342" t="str">
        <f>template_label_comprehensive_module_validation</f>
        <v>Comprehensive Module</v>
      </c>
      <c r="C45" s="391"/>
      <c r="D45" s="529"/>
      <c r="E45" s="535"/>
      <c r="F45" s="309"/>
    </row>
    <row r="46" spans="2:6">
      <c r="B46" s="385" t="str">
        <f>template_label_general_information_validation</f>
        <v>General Information</v>
      </c>
      <c r="C46" s="378"/>
      <c r="D46" s="528"/>
      <c r="E46" s="531"/>
      <c r="F46" s="309"/>
    </row>
    <row r="47" spans="2:6">
      <c r="B47" s="304" t="str">
        <f>template_label_c1_strategy_business_model_and_sustainability_related_initiatives_validation</f>
        <v>C1 - Strategy: Business Model and Sustainability - Related Initiatives</v>
      </c>
      <c r="C47" s="390" t="str">
        <f>IF(D47=TRUE, template_label_classified_or_sensitive_information,
IF(COUNTIF('General Information'!H523:H527, template_label_missing_value) &gt; 0,
    template_label_missing_value,
    IF(COUNTIF('General Information'!H523:H527, template_label_ok) &gt; 0,
        template_label_ok,
        "-"))
)</f>
        <v>-</v>
      </c>
      <c r="D47" s="512" t="b">
        <v>0</v>
      </c>
      <c r="E47" s="533" t="b">
        <v>0</v>
      </c>
      <c r="F47" s="309" t="str">
        <f>IF(AND(C47=template_label_classified_or_sensitive_information,OR(COUNTIF('General Information'!E523:G525,"&lt;&gt;")&gt;0,'General Information'!E526=TRUE)),template_label_information_on_sensitive_information_before_converting,"")</f>
        <v/>
      </c>
    </row>
    <row r="48" spans="2:6">
      <c r="B48" s="304" t="str">
        <f>template_label_c2_description_of_practices_policies_and_future_initiatives_for_transitioning_towards_a_more_sustainable_economy_validation</f>
        <v>C2 - Description of practices, policies and future initiatives for transitioning towards a more sustainable economy</v>
      </c>
      <c r="C48" s="390" t="str">
        <f>IF(D48=TRUE, template_label_classified_or_sensitive_information,
IF(COUNTIF('General Information'!H517:H519, template_label_missing_value) &gt; 0,
    template_label_missing_value,
    IF(COUNTIF('General Information'!H517:H519, template_label_ok) &gt; 0,
        template_label_ok,
        "-"))
)</f>
        <v>-</v>
      </c>
      <c r="D48" s="512" t="b">
        <v>0</v>
      </c>
      <c r="E48" s="536" t="b">
        <v>0</v>
      </c>
      <c r="F48" s="309" t="str">
        <f>IF(AND(C48=template_label_classified_or_sensitive_information,COUNTIF('General Information'!E214:E322,"&lt;&gt;")&gt;0),template_label_information_on_sensitive_information_before_converting,"")</f>
        <v/>
      </c>
    </row>
    <row r="49" spans="2:6">
      <c r="B49" s="386" t="str">
        <f>template_label_environmental_disclosures_validation</f>
        <v>Environmental Disclosures</v>
      </c>
      <c r="C49" s="378"/>
      <c r="D49" s="528"/>
      <c r="E49" s="531"/>
      <c r="F49" s="309"/>
    </row>
    <row r="50" spans="2:6">
      <c r="B50" s="273" t="str">
        <f>template_label_c3_ghg_reduction_targets_and_climate_transition_validation</f>
        <v>C3 - GHG reduction targets and climate transition</v>
      </c>
      <c r="C50" s="390" t="str">
        <f>IF(D50=TRUE,template_label_classified_or_sensitive_information,
IF(COUNTIF(C51:C53,template_label_error_plus_missing_value_plus_value_inconsistency)&gt;0,template_label_error_plus_missing_value_plus_value_inconsistency,
IF(COUNTIF(C51:C53,template_label_error_plus_value_inconsistency)&gt;0,template_label_error_plus_value_inconsistency,
IF(COUNTIF(C51:C53,template_label_error_plus_missing_value)&gt;0,template_label_error_plus_missing_value,
IF(COUNTIF(C51:C53,template_label_error)&gt;0,template_label_error,
IF(COUNTIF(C51:C53,template_label_missing_value_plus_value_inconsistency)&gt;0,template_label_missing_value_plus_value_inconsistency,
IF(COUNTIF(C51:C53,template_label_value_inconsistency)&gt;0,template_label_value_inconsistency,
IF(COUNTIF(C51:C53,template_label_missing_value)&gt;0,template_label_missing_value,
IF(COUNTIF(C51:C53,template_label_ok)=ROWS(C51:C53),template_label_ok,
IF(COUNTIF(C51:C53,"-")=ROWS(C51:C53),"-",
IF(AND(COUNTIF(C51:C53,template_label_ok)&gt;0,
COUNTIF(C51:C53,template_label_error_plus_missing_value_plus_value_inconsistency)=0,
COUNTIF(C51:C53,template_label_error_plus_value_inconsistency)=0,
COUNTIF(C51:C53,template_label_error_plus_missing_value)=0,
COUNTIF(C51:C53,template_label_error)=0,
COUNTIF(C51:C53,template_label_missing_value_plus_value_inconsistency)=0,
COUNTIF(C51:C53,template_label_value_inconsistency)=0,
COUNTIF(C51:C53,template_label_missing_value)=0),
template_label_ok,
"-")))))))))))</f>
        <v>MISSING VALUE</v>
      </c>
      <c r="D50" s="518" t="b">
        <f>IF(COUNTIF(D51:D53,TRUE)=ROWS(D51:D53),TRUE,FALSE)</f>
        <v>0</v>
      </c>
      <c r="E50" s="531"/>
      <c r="F50" s="309"/>
    </row>
    <row r="51" spans="2:6">
      <c r="B51" s="384" t="str">
        <f>template_label_c3_ghg_reduction_targets</f>
        <v>C3 - GHG reduction targets (in tC02e)</v>
      </c>
      <c r="C51" s="390" t="str">
        <f>IF(D51=TRUE, template_label_classified_or_sensitive_information,
IF(AND('General Information'!E125 = "Option A (Basic Module only)",
        COUNTA('Environmental Disclosures'!G21:G24) = 0),
    "-",
IF(COUNTIF('Environmental Disclosures'!L52, template_label_missing_value) &gt; 0,
    template_label_missing_value,
IF(COUNTIF('Environmental Disclosures'!L52, template_label_ok) &gt; 0,
    template_label_ok,
"-")))
)</f>
        <v>MISSING VALUE</v>
      </c>
      <c r="D51" s="512" t="b">
        <v>0</v>
      </c>
      <c r="E51" s="531"/>
      <c r="F51" s="309" t="str">
        <f>IF(AND(C51=template_label_classified_or_sensitive_information,'Environmental Disclosures'!J19=TRUE),template_label_information_on_sensitive_information_before_converting,"")</f>
        <v/>
      </c>
    </row>
    <row r="52" spans="2:6">
      <c r="B52" s="384" t="str">
        <f>template_label_c3_disclosure_of_list_of_main_actions_the_entity_seeks_in_order_to_achieve_its_targets</f>
        <v>C3 - Disclosure of list of main actions the entity seeks in order to achieve its targets</v>
      </c>
      <c r="C52" s="390" t="str">
        <f>IF(D52=TRUE, template_label_classified_or_sensitive_information,
IF(COUNTIF('Environmental Disclosures'!L52, template_label_missing_value) &gt; 0,
    template_label_missing_value,
    IF(COUNTIF('Environmental Disclosures'!L52, template_label_ok) &gt; 0,
        template_label_ok,
        "-"))
)</f>
        <v>MISSING VALUE</v>
      </c>
      <c r="D52" s="512" t="b">
        <v>0</v>
      </c>
      <c r="E52" s="533" t="b">
        <v>0</v>
      </c>
      <c r="F52" s="309" t="str">
        <f>IF(AND(C52=template_label_classified_or_sensitive_information,COUNTIF(DisclosureOfListOfMainActionsTheEntitySeeksInOrderToAchieveItsTargets,"&lt;&gt;")&gt;0),template_label_information_on_sensitive_information_before_converting,"")</f>
        <v/>
      </c>
    </row>
    <row r="53" spans="2:6">
      <c r="B53" s="384" t="str">
        <f>template_label_c3_transition_plan_for_undertakings_operating_in_high_climate_impact_sectors</f>
        <v>C3 - Transition plan for undertakings operating in high climate impact sectors</v>
      </c>
      <c r="C53" s="390" t="str">
        <f>IF(D53=TRUE,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v>
      </c>
      <c r="D53" s="512" t="b">
        <v>0</v>
      </c>
      <c r="E53" s="533" t="b">
        <v>0</v>
      </c>
      <c r="F53" s="309" t="str">
        <f>IF(AND(C53=template_label_classified_or_sensitive_information,COUNTIF('Environmental Disclosures'!D57,"&lt;&gt;")&gt;0),template_label_information_on_sensitive_information_before_converting,"")</f>
        <v/>
      </c>
    </row>
    <row r="54" spans="2:6">
      <c r="B54" s="304" t="str">
        <f>template_label_c4_climate_risks_validation</f>
        <v>C4 - Climate risks</v>
      </c>
      <c r="C54" s="390" t="str">
        <f>IF(D54=TRUE, template_label_classified_or_sensitive_information,
IF(COUNTIF('Environmental Disclosures'!L537:L541, template_label_missing_value) &gt; 0,
    template_label_missing_value,
    IF(COUNTIF('Environmental Disclosures'!L537:L541, template_label_ok) &gt; 0,
        template_label_ok,
        "-"))
)</f>
        <v>-</v>
      </c>
      <c r="D54" s="512" t="b">
        <v>0</v>
      </c>
      <c r="E54" s="536" t="b">
        <v>0</v>
      </c>
      <c r="F54" s="309" t="str" cm="1">
        <f t="array" ref="F54">IF(AND(C54=template_label_classified_or_sensitive_information,'Environmental Disclosures'!E536:K536=TRUE),template_label_information_on_sensitive_information_before_converting,"")</f>
        <v/>
      </c>
    </row>
    <row r="55" spans="2:6">
      <c r="B55" s="386" t="str">
        <f>template_label_social_disclosures_validation</f>
        <v>Social Disclosures</v>
      </c>
      <c r="C55" s="378"/>
      <c r="D55" s="528"/>
      <c r="E55" s="531"/>
      <c r="F55" s="309"/>
    </row>
    <row r="56" spans="2:6">
      <c r="B56" s="304" t="str">
        <f>template_label_c5_additional_general_workforce_characteristics_validation</f>
        <v>C5 - Additional (general) workforce characteristics</v>
      </c>
      <c r="C56" s="390" t="str" cm="1">
        <f t="array" ref="C56">IF(D56=TRUE, template_label_classified_or_sensitive_information,
_xlfn.IFS(COUNTIF('Social Disclosures'!I158:I166, template_label_missing_value) &gt; 0,
    template_label_missing_value,
    AND(COUNTIF('Social Disclosures'!I158:I166, template_label_ok) &gt; 0, COUNTIF('Social Disclosures'!I158:I166, template_label_missing_value) = 0), template_label_ok, AND(COUNTIF('Social Disclosures'!I158:I166, template_label_ok) = 0, COUNTIF('Social Disclosures'!I158:I166, template_label_missing_value) = 0), "")
)</f>
        <v/>
      </c>
      <c r="D56" s="512" t="b">
        <v>0</v>
      </c>
      <c r="E56" s="531"/>
      <c r="F56" s="309" t="str">
        <f>IF(AND(C56=template_label_classified_or_sensitive_information,OR(COUNTIF('Social Disclosures'!D162:H163,"&lt;&gt;")&gt;0,COUNTIF('Social Disclosures'!D165:H166,"&lt;&gt;")&gt;0)),template_label_information_on_sensitive_information_before_converting,"")</f>
        <v/>
      </c>
    </row>
    <row r="57" spans="2:6">
      <c r="B57" s="304" t="str">
        <f>template_label_c6_additional_own_workforce_information_human_rights_policies_and_processes_validation</f>
        <v>C6 - Additional own workforce information - Human rights policies and processes</v>
      </c>
      <c r="C57" s="390" t="str">
        <f>IF(D57=TRUE, template_label_classified_or_sensitive_information,
IF(
AND(
COUNTIF('Social Disclosures'!I169:I178, template_label_missing_value) &gt; 0,
COUNTIF('Social Disclosures'!I169:I178, template_label_value_inconsistency) = 0,
COUNTIF('Social Disclosures'!I169:I178, template_label_ok) &gt;= 0
),
template_label_missing_value,
IF(
AND(
COUNTIF('Social Disclosures'!I169:I178, template_label_value_inconsistency) &gt; 0,
COUNTIF('Social Disclosures'!I169:I178, template_label_missing_value) = 0,
COUNTIF('Social Disclosures'!I169:I178, template_label_ok) &gt;= 0
),
template_label_value_inconsistency,
IF(
AND(
COUNTIF('Social Disclosures'!I169:I178, template_label_value_inconsistency) &gt; 0,
COUNTIF('Social Disclosures'!I169:I178, template_label_missing_value) &gt; 0,
COUNTIF('Social Disclosures'!I169:I178, template_label_ok) &gt;= 0
),
template_label_missing_value_plus_value_inconsistency,
IF(
AND(
COUNTIF('Social Disclosures'!I169:I178, template_label_value_inconsistency) = 0,
COUNTIF('Social Disclosures'!I169:I178, template_label_missing_value) = 0,
COUNTIF('Social Disclosures'!I169:I178, template_label_ok) &gt; 0
),
template_label_ok,
"-"
)
)
))
)</f>
        <v>-</v>
      </c>
      <c r="D57" s="512" t="b">
        <v>0</v>
      </c>
      <c r="E57" s="533" t="b">
        <v>0</v>
      </c>
      <c r="F57" s="309" t="str">
        <f>IF(AND(C57=template_label_classified_or_sensitive_information,OR(COUNTIF(UndertakingHasACodeOfConductOrHumanRightsPolicyForItsOwnWorkforce,"&lt;&gt;")&gt;0,COUNTIF('Social Disclosures'!D177:H178,"&lt;&gt;")&gt;0,COUNTIF(TypeOfContentCoveredByTheCodeOfConductOrHumanRightsPolicyForItsOwnWorkforce,TRUE)&gt;0)),template_label_information_on_sensitive_information_before_converting,"")</f>
        <v/>
      </c>
    </row>
    <row r="58" spans="2:6">
      <c r="B58" s="387" t="str">
        <f>template_label_c7_human_rights_incidents_validation</f>
        <v>C7 - Human rights incidents</v>
      </c>
      <c r="C58" s="393" t="str">
        <f>IF(D58=TRUE, template_label_classified_or_sensitive_information,
IF(
AND(
COUNTIF('Social Disclosures'!I181:I191, template_label_missing_value) &gt; 0,
COUNTIF('Social Disclosures'!I181:I191, template_label_value_inconsistency) = 0,
COUNTIF('Social Disclosures'!I181:I191, template_label_ok) &gt;= 0
),
template_label_missing_value,
IF(
AND(
COUNTIF('Social Disclosures'!I181:I191, template_label_value_inconsistency) &gt; 0,
COUNTIF('Social Disclosures'!I181:I191, template_label_missing_value) = 0,
COUNTIF('Social Disclosures'!I181:I191, template_label_ok) &gt;= 0
),
template_label_value_inconsistency,
IF(
AND(
COUNTIF('Social Disclosures'!I181:I191, template_label_value_inconsistency) &gt; 0,
COUNTIF('Social Disclosures'!I181:I191, template_label_missing_value) &gt; 0,
COUNTIF('Social Disclosures'!I181:I191, template_label_ok) &gt;= 0
),
template_label_missing_value_plus_value_inconsistency,
IF(
AND(
COUNTIF('Social Disclosures'!I181:I191, template_label_value_inconsistency) = 0,
COUNTIF('Social Disclosures'!I181:I191, template_label_missing_value) = 0,
COUNTIF('Social Disclosures'!I181:I191, template_label_ok) &gt; 0
),
template_label_ok,
"-"
)
)
))
)</f>
        <v>-</v>
      </c>
      <c r="D58" s="512" t="b">
        <v>0</v>
      </c>
      <c r="E58" s="536" t="b">
        <v>0</v>
      </c>
      <c r="F58" s="309" t="str">
        <f>IF(AND(C58=template_label_classified_or_sensitive_information,OR(COUNTIF(UndertakingHasConfirmedHumanRightsIncidentsInItsOwnWorkforce,"&lt;&gt;")&gt;0,COUNTIF(TypeOfHumanRightRelatedToTheConfirmedIncident,TRUE)&gt;0,COUNTIF('Social Disclosures'!D188:H191,"&lt;&gt;"))),template_label_information_on_sensitive_information_before_converting,"")</f>
        <v/>
      </c>
    </row>
    <row r="59" spans="2:6">
      <c r="B59" s="274" t="str">
        <f>template_label_governance_disclosures_validation</f>
        <v>Governance Disclosures</v>
      </c>
      <c r="C59" s="394"/>
      <c r="D59" s="528"/>
      <c r="E59" s="531"/>
      <c r="F59" s="309"/>
    </row>
    <row r="60" spans="2:6">
      <c r="B60" s="577" t="str">
        <f>template_label_c8_revenues_from_certain_sectors</f>
        <v>C8 - Revenues from certain activities</v>
      </c>
      <c r="C60" s="390" t="str">
        <f>IF(D60=TRUE, template_label_classified_or_sensitive_information,
IF(COUNTIF('Governance Disclosures'!I12:I18, template_label_value_inconsistency) &gt; 0,
    template_label_value_inconsistency,
    IF(COUNTIF('Governance Disclosures'!I12:I18, template_label_ok) &gt; 0,
        template_label_ok,
        "-"))
)</f>
        <v>-</v>
      </c>
      <c r="D60" s="512" t="b">
        <v>0</v>
      </c>
      <c r="E60" s="531"/>
      <c r="F60" s="309" t="str">
        <f>IF(AND(C60=template_label_classified_or_sensitive_information,COUNTIF('Governance Disclosures'!H10,TRUE)&gt;0),template_label_information_on_sensitive_information_before_converting,"")</f>
        <v/>
      </c>
    </row>
    <row r="61" spans="2:6" ht="15" thickBot="1">
      <c r="B61" s="304" t="str">
        <f>template_label_c9_gender_diversity_ratio_in_the_governance_body_validation</f>
        <v>C9 - Gender diversity ratio in the governance body</v>
      </c>
      <c r="C61" s="390" t="str">
        <f>IF(D61=TRUE, template_label_classified_or_sensitive_information,
IF(COUNTIF('Governance Disclosures'!I23:I24, template_label_missing_value) &gt; 0,
    template_label_missing_value,
    IF(COUNTIF('Governance Disclosures'!I23:I24, template_label_ok) &gt; 0,
        template_label_ok,
        "-"))
)</f>
        <v>-</v>
      </c>
      <c r="D61" s="512" t="b">
        <v>0</v>
      </c>
      <c r="E61" s="532"/>
      <c r="F61" s="309" t="str">
        <f>IF(AND(C61=template_label_classified_or_sensitive_information,COUNTIF('Governance Disclosures'!H22,"&lt;&gt;")&gt;0),template_label_information_on_sensitive_information_before_converting,"")</f>
        <v/>
      </c>
    </row>
    <row r="62" spans="2:6">
      <c r="B62" s="343" t="str">
        <f>template_label_additional_disclosures_validation</f>
        <v>Additional Disclosures</v>
      </c>
      <c r="C62" s="377"/>
      <c r="D62" s="530"/>
      <c r="E62" s="531"/>
      <c r="F62" s="309"/>
    </row>
    <row r="63" spans="2:6">
      <c r="B63" s="304" t="str">
        <f>template_label_disclosure_of_any_other_environmental_and_or_entity_specific_environmental_disclosures</f>
        <v>Disclosure of any other environmental and/or entity specific environmental disclosures</v>
      </c>
      <c r="C63" s="390" t="str">
        <f>IF(D63=TRUE, template_label_classified_or_sensitive_information,
IF('Environmental Disclosures'!M545 = template_label_ok, template_label_ok, "-")
)</f>
        <v>-</v>
      </c>
      <c r="D63" s="512" t="b">
        <v>0</v>
      </c>
      <c r="E63" s="533" t="b">
        <v>0</v>
      </c>
      <c r="F63" s="309" t="str">
        <f>IF(AND(C63=template_label_classified_or_sensitive_information,COUNTIF(DisclosureOfAnyOtherEnvironmentalAndOrEntitySpecificEnvironmentalDisclosures,"&lt;&gt;")&gt;0),template_label_information_on_sensitive_information_before_converting,"")</f>
        <v/>
      </c>
    </row>
    <row r="64" spans="2:6">
      <c r="B64" s="304" t="str">
        <f>template_label_disclosure_of_any_other_social_and_or_entity_specific_social_disclosures</f>
        <v>Disclosure of any other social and/or entity specific social disclosures</v>
      </c>
      <c r="C64" s="390" t="str">
        <f>IF(D64=TRUE, template_label_classified_or_sensitive_information,
IF('Social Disclosures'!I197 = template_label_ok, template_label_ok, "-")
)</f>
        <v>-</v>
      </c>
      <c r="D64" s="512" t="b">
        <v>0</v>
      </c>
      <c r="E64" s="533" t="b">
        <v>0</v>
      </c>
      <c r="F64" s="309" t="str">
        <f>IF(AND(C64=template_label_classified_or_sensitive_information,COUNTIF(DisclosureOfAnyOtherSocialAndOrEntitySpecificSocialDisclosures,"&lt;&gt;")&gt;0),template_label_information_on_sensitive_information_before_converting,"")</f>
        <v/>
      </c>
    </row>
    <row r="65" spans="2:6" ht="15" thickBot="1">
      <c r="B65" s="305" t="str">
        <f>template_label_disclosure_of_any_other_governance_and_or_entity_specific_governance_disclosures</f>
        <v>Disclosure of any other governance and/or entity specific governance disclosures</v>
      </c>
      <c r="C65" s="388" t="str">
        <f>IF(D65=TRUE, template_label_classified_or_sensitive_information,
IF('Governance Disclosures'!I30 = template_label_ok, template_label_ok, "-")
)</f>
        <v>-</v>
      </c>
      <c r="D65" s="523" t="b">
        <v>0</v>
      </c>
      <c r="E65" s="534" t="b">
        <v>0</v>
      </c>
      <c r="F65" s="309" t="str">
        <f>IF(AND(C65=template_label_classified_or_sensitive_information,COUNTIF(DisclosureOfAnyOtherGovernanceAndOrEntitySpecificGovernanceDisclosures,"&lt;&gt;")&gt;0),template_label_information_on_sensitive_information_before_converting,"")</f>
        <v/>
      </c>
    </row>
  </sheetData>
  <sheetProtection formatColumns="0" formatRows="0"/>
  <mergeCells count="2">
    <mergeCell ref="D3:D4"/>
    <mergeCell ref="B3:B4"/>
  </mergeCells>
  <conditionalFormatting sqref="B2:C2">
    <cfRule type="expression" dxfId="396" priority="392">
      <formula>B$44="INCOMPLETE"</formula>
    </cfRule>
    <cfRule type="expression" dxfId="395" priority="393">
      <formula>B$44="COMPLETE"</formula>
    </cfRule>
  </conditionalFormatting>
  <conditionalFormatting sqref="C3">
    <cfRule type="expression" dxfId="394" priority="31">
      <formula>$C$3=template_label_incomplete</formula>
    </cfRule>
    <cfRule type="expression" dxfId="393" priority="32">
      <formula>$C$3=template_label_complete</formula>
    </cfRule>
  </conditionalFormatting>
  <conditionalFormatting sqref="C6:C9 C11:C45 C47:C65">
    <cfRule type="expression" dxfId="392" priority="1">
      <formula>$C6=template_label_classified_or_sensitive_information</formula>
    </cfRule>
    <cfRule type="expression" dxfId="391" priority="22">
      <formula>$C6=template_label_value_inconsistency</formula>
    </cfRule>
    <cfRule type="expression" dxfId="390" priority="23">
      <formula>$C6=template_label_invalid_url</formula>
    </cfRule>
    <cfRule type="expression" dxfId="389" priority="24">
      <formula>$C6=template_label_error_plus_missing_value_plus_value_inconsistency</formula>
    </cfRule>
    <cfRule type="expression" dxfId="388" priority="25">
      <formula>$C6=template_label_error_plus_value_inconsistency</formula>
    </cfRule>
    <cfRule type="expression" dxfId="387" priority="26">
      <formula>$C6=template_label_error_plus_missing_value</formula>
    </cfRule>
    <cfRule type="expression" dxfId="386" priority="27">
      <formula>$C6=template_label_missing_value_plus_value_inconsistency</formula>
    </cfRule>
    <cfRule type="expression" dxfId="385" priority="28">
      <formula>$C6=template_label_missing_value</formula>
    </cfRule>
    <cfRule type="expression" dxfId="384" priority="29">
      <formula>$C6=template_label_error</formula>
    </cfRule>
    <cfRule type="expression" dxfId="383" priority="30">
      <formula>$C6=template_label_ok</formula>
    </cfRule>
  </conditionalFormatting>
  <conditionalFormatting sqref="D9:D10">
    <cfRule type="expression" dxfId="382" priority="2">
      <formula>$C9=template_label_value_inconsistency</formula>
    </cfRule>
    <cfRule type="expression" dxfId="381" priority="3">
      <formula>$C9=template_label_invalid_url</formula>
    </cfRule>
    <cfRule type="expression" dxfId="380" priority="4">
      <formula>$C9=template_label_error_plus_missing_value_plus_value_inconsistency</formula>
    </cfRule>
    <cfRule type="expression" dxfId="379" priority="5">
      <formula>$C9=template_label_error_plus_value_inconsistency</formula>
    </cfRule>
    <cfRule type="expression" dxfId="378" priority="6">
      <formula>$C9=template_label_error_plus_missing_value</formula>
    </cfRule>
    <cfRule type="expression" dxfId="377" priority="7">
      <formula>$C9=template_label_missing_value_plus_value_inconsistency</formula>
    </cfRule>
    <cfRule type="expression" dxfId="376" priority="8">
      <formula>$C9=template_label_missing_value</formula>
    </cfRule>
    <cfRule type="expression" dxfId="375" priority="9">
      <formula>$C9=template_label_error</formula>
    </cfRule>
    <cfRule type="expression" dxfId="374" priority="10">
      <formula>$C9=template_label_ok</formula>
    </cfRule>
  </conditionalFormatting>
  <conditionalFormatting sqref="D19">
    <cfRule type="expression" dxfId="373" priority="11">
      <formula>$C19=template_label_value_inconsistency</formula>
    </cfRule>
    <cfRule type="expression" dxfId="372" priority="12">
      <formula>$C19=template_label_invalid_url</formula>
    </cfRule>
    <cfRule type="expression" dxfId="371" priority="13">
      <formula>$C19=template_label_error_plus_missing_value_plus_value_inconsistency</formula>
    </cfRule>
    <cfRule type="expression" dxfId="370" priority="14">
      <formula>$C19=template_label_error_plus_value_inconsistency</formula>
    </cfRule>
    <cfRule type="expression" dxfId="369" priority="15">
      <formula>$C19=template_label_error_plus_missing_value</formula>
    </cfRule>
    <cfRule type="expression" dxfId="368" priority="16">
      <formula>$C19=template_label_missing_value_plus_value_inconsistency</formula>
    </cfRule>
    <cfRule type="expression" dxfId="367" priority="17">
      <formula>$C19=template_label_missing_value</formula>
    </cfRule>
    <cfRule type="expression" dxfId="366" priority="18">
      <formula>$C19=template_label_error</formula>
    </cfRule>
    <cfRule type="expression" dxfId="365" priority="19">
      <formula>$C19=template_label_ok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8" location="template_information_on_previous_reporting_period" display="· Information on previous reporting period" xr:uid="{A7B7970B-B829-4E06-98AB-137CDC76DA3F}"/>
    <hyperlink ref="B11" location="template_b1_basis_for_preparation" display="template_b1_basis_for_preparation" xr:uid="{D3B8ECC2-14C0-4EF6-8D88-0E701043E936}"/>
    <hyperlink ref="B14" location="template_b1_list_of_subsidiaries" display="             List of subsidiaries" xr:uid="{9EAA5EF6-131F-42F1-9145-55B580C93404}"/>
    <hyperlink ref="B15" location="template_b1_disclosure_of_sustainability_related_certifications_or_labels" display="             Disclosure of sustainability-related certification(s) or label(s)" xr:uid="{4D19F8C5-01A7-4A79-B8B9-BD32706D0E62}"/>
    <hyperlink ref="B16" location="template_b1_list_of_sites" display="             List of site(s)" xr:uid="{D243425C-ED64-484D-A378-BCE59FEA1CCA}"/>
    <hyperlink ref="B17" location="template_b2_practices_policies_and_future_initiatives_for_transitioning_towards_a_more_sustainable_economy" display="             Practices, policies and future initiatives for transitioning towards a more sustainable economy" xr:uid="{7FBE981F-5786-4A7C-A533-0218F6C159B3}"/>
    <hyperlink ref="B18"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49" location="'Environmental Disclosures'!A1" display="Environmental Disclosures" xr:uid="{10462CBF-ABB9-48E1-BEB6-C8118F1D11E7}"/>
    <hyperlink ref="B20" location="template_b3_total_energy_consumption_in_MWh" display="· B3 - Energy and greenhouse gas emissions" xr:uid="{08781854-D699-4BBB-904F-9F167F4BC7F5}"/>
    <hyperlink ref="B21" location="template_b3_total_energy_consumption_in_MWh" display="              Total Energy Consumption (in MWh)" xr:uid="{5B575D7E-E621-4CB5-AA93-723609F4A6A2}"/>
    <hyperlink ref="B22" location="template_b3_breakdown_of_energy_consumption_in_MWh" display="              Breakdown of energy consumption (in MWh)" xr:uid="{BE17BD15-69F9-4526-83D2-A71BB8432726}"/>
    <hyperlink ref="B23" location="template_b3_estimated_greenhouse_gas_emissions_considering_the_GHG_protocol_version_2004_in_tCO2e" display="              Estimated Greenhouse Gas Emissions considering the GHG Protocol Version 2004 (in tCO2e)" xr:uid="{D4732330-7C7D-4BC6-82F9-4BAE89A1C083}"/>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6_water_withdrawal" display="· B6 - Water" xr:uid="{30924859-42AD-4793-BB93-4D15632E75FB}"/>
    <hyperlink ref="B28" location="template_b6_water_withdrawal" display="              Water Withdrawal" xr:uid="{15F35FEF-ED86-4242-BBB3-A19B3AE7F39B}"/>
    <hyperlink ref="B29" location="template_b6_water_consumption" display="              Water Consumption" xr:uid="{1A5C0D0C-A5AD-4D6D-8842-164CB4995CF0}"/>
    <hyperlink ref="B30" location="template_b7_description_of_circular_economy_principles" display="· B7 - Resource use, circular economy and waste management" xr:uid="{E73F13C7-0475-49C2-8004-4B82FA915BBF}"/>
    <hyperlink ref="B31" location="template_b7_description_of_circular_economy_principles" display="               Description of circular economy principles" xr:uid="{D81C731F-C208-41C3-A3C2-15BDAD9FB28C}"/>
    <hyperlink ref="B32" location="template_b7_waste_generated" display="               Waste generated" xr:uid="{4C54828D-61E5-4A13-82DB-6726CB12D26D}"/>
    <hyperlink ref="B33"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55" location="'Social Disclosures'!A1" display="Social Disclosures" xr:uid="{664E23E3-4976-47A2-9233-8DBF4A2B0004}"/>
    <hyperlink ref="B35" location="template_b8_workforce_general_characteristics_type_of_contract" display="· B8 - Workforce - General characteristics" xr:uid="{319673CB-05CE-4E03-98D7-7EFA767A760B}"/>
    <hyperlink ref="B36" location="template_b8_workforce_general_characteristics_type_of_contract" display="              Type of contract" xr:uid="{EF6C1F60-CB03-481A-9593-49F09F25E273}"/>
    <hyperlink ref="B37" location="template_b8_workforce_general_characteristics_gender" display="              Gender" xr:uid="{553B08BC-0FC3-432D-B82C-D06226579BD6}"/>
    <hyperlink ref="B38" location="template_b8_workforce_general_characteristics_country_of_employment" display="              Country of employment" xr:uid="{33734E25-2845-4F90-BCB6-E86394EDCA24}"/>
    <hyperlink ref="B39" location="template_b9_workforce_health_and_safety" display="· B9 - Workforce – Health and safety" xr:uid="{A5F3F6AC-150A-4651-8667-6E55FFE385E3}"/>
    <hyperlink ref="B40"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4"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Revenues from certain sectors" xr:uid="{C95EF8C3-FA9B-4CEE-8D33-44BBFD20DB8E}"/>
    <hyperlink ref="B61" location="template_c9_gender_diversity_ratio_in_the_governance_body" display="· C9 - Gender diversity ratio in the governance body" xr:uid="{8744655C-A8E1-41B4-9ACB-ED49B581199E}"/>
    <hyperlink ref="B65" location="template_disclosure_of_any_other_governance_and_or_entity_specific_governance_disclosures" display="· Disclosure of any other governance and/or entity specific governance disclosures" xr:uid="{A24B95B2-E94D-40C8-8CF7-1A8C1D3E88B4}"/>
    <hyperlink ref="B10" location="'General Information'!A1" display="General Information" xr:uid="{8E3A83E8-4322-4B9A-8B41-51DE5C1FB320}"/>
    <hyperlink ref="B46" location="'General Information'!A1" display="General Information" xr:uid="{8D1A7217-DD9F-4D14-8E62-DF0CE7521CD6}"/>
    <hyperlink ref="B34" location="'Social Disclosures'!A1" display="Social Disclosures" xr:uid="{5005ADE5-99EC-42B4-8AAE-6D7FF266EFE1}"/>
    <hyperlink ref="B43" location="'Governance Disclosures'!A1" display="Governance Disclosures" xr:uid="{3A78DB22-3150-4E53-A3E3-AF5505C487EE}"/>
    <hyperlink ref="B19" location="'Environmental Disclosures'!A1" display="Environmental Disclosures" xr:uid="{7718B422-B5A6-477E-8388-A9804BDB4D4F}"/>
    <hyperlink ref="B41" location="template_b10_workforce_remuneration_collective_bargaining_and_training" display="template_b10_workforce_remuneration_collective_bargaining_and_training" xr:uid="{203BC68F-FB2B-4D06-88CB-1719EC4A5A0E}"/>
    <hyperlink ref="B42" location="template_b10_workforce_number_of_training" display="template_b10_workforce_number_of_training" xr:uid="{7A83DE48-ECCD-4CDC-96C4-FE6FEFA66522}"/>
    <hyperlink ref="B12" location="template_b1_basis_for_preparation" display="template_b1_basis_for_preparation" xr:uid="{DCB9EB33-29ED-498C-82CC-F099A7297C4E}"/>
    <hyperlink ref="B13" location="template_b1_other_undertakings_general_information" display="template_b1_other_undertakings_general_information" xr:uid="{86A71077-5E3D-4DEE-8A72-EAAE1FBB0A0F}"/>
    <hyperlink ref="B63" location="template_disclosure_of_any_other_environmental_and_or_entity_specific_enviromental_disclosures" display="· Disclosure of any other environmental and/or entity specific enviromental disclosures" xr:uid="{3B30C8FE-FF9E-4311-9E4E-4FDD869D911E}"/>
    <hyperlink ref="B7" location="template_disclosure_of_any_other_general_and_or_entity_specific_information_on_the_reporting_period" display="template_disclosure_of_any_other_general_and_or_entity_specific_information_on_the_reporting_period" xr:uid="{E0931B17-06FD-4081-85F0-976F01E56BAC}"/>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31"/>
  <sheetViews>
    <sheetView showGridLines="0" zoomScale="55" zoomScaleNormal="55" workbookViewId="0">
      <selection activeCell="D3" sqref="D3:E3"/>
    </sheetView>
  </sheetViews>
  <sheetFormatPr defaultColWidth="8.84375" defaultRowHeight="14.6" outlineLevelRow="2"/>
  <cols>
    <col min="1" max="1" width="10.4609375" bestFit="1" customWidth="1"/>
    <col min="2" max="2" width="16.84375" customWidth="1"/>
    <col min="3" max="3" width="54.84375" customWidth="1"/>
    <col min="4" max="4" width="94.07421875" customWidth="1"/>
    <col min="5" max="5" width="41.4609375" customWidth="1"/>
    <col min="6" max="6" width="31.53515625" style="2" customWidth="1"/>
    <col min="7" max="7" width="95.84375" customWidth="1"/>
    <col min="8" max="8" width="91.53515625" customWidth="1"/>
    <col min="9" max="9" width="19.84375" customWidth="1"/>
    <col min="10" max="10" width="25.53515625" bestFit="1" customWidth="1"/>
    <col min="11" max="11" width="43.53515625" bestFit="1" customWidth="1"/>
    <col min="12" max="12" width="11" customWidth="1"/>
    <col min="13" max="13" width="8.53515625" customWidth="1"/>
    <col min="14" max="14" width="24" customWidth="1"/>
    <col min="15" max="15" width="15.53515625" customWidth="1"/>
    <col min="16" max="16" width="58" customWidth="1"/>
    <col min="17" max="17" width="34.53515625" customWidth="1"/>
    <col min="18" max="18" width="25" customWidth="1"/>
  </cols>
  <sheetData>
    <row r="1" spans="1:12" ht="44.15" thickBot="1">
      <c r="A1" s="344" t="str">
        <f>template_label_paragraph_reference</f>
        <v>Paragraph Reference</v>
      </c>
      <c r="B1" s="191" t="str">
        <f>template_label_paragraph_guidance_reference</f>
        <v>Paragraph Guidance Reference</v>
      </c>
    </row>
    <row r="2" spans="1:12" ht="14.4" customHeight="1" thickBot="1">
      <c r="B2" s="70"/>
      <c r="C2" s="774" t="str">
        <f>template_label_information_on_the_report_necessary_for_xbrl &amp; " "</f>
        <v xml:space="preserve">Information on the report necessary for  XBRL </v>
      </c>
      <c r="D2" s="774"/>
      <c r="E2" s="775"/>
    </row>
    <row r="3" spans="1:12" ht="14.4" customHeight="1">
      <c r="B3" s="70"/>
      <c r="C3" s="369" t="str">
        <f>template_label_name_of_the_reporting_entity</f>
        <v>Name of the reporting entity</v>
      </c>
      <c r="D3" s="783"/>
      <c r="E3" s="784"/>
      <c r="F3" s="11" t="str">
        <f>IF(D3 = "", template_label_missing_value, template_label_ok)</f>
        <v>MISSING VALUE</v>
      </c>
    </row>
    <row r="4" spans="1:12" ht="14.4" customHeight="1">
      <c r="B4" s="70"/>
      <c r="C4" s="97" t="str">
        <f>template_label_identifier_of_the_reporting_entity</f>
        <v>Identifier of the reporting entity (select and specify on the right)</v>
      </c>
      <c r="D4" s="282" t="s">
        <v>6</v>
      </c>
      <c r="E4" s="49"/>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Voluntary Standard does not require any specific identifier. An entity identifier is required for the digital reporting. </v>
      </c>
    </row>
    <row r="5" spans="1:12" ht="14.4" customHeight="1" thickBot="1">
      <c r="C5" s="5" t="str">
        <f>template_label_currency_of_the_monetary_values_in_the_report</f>
        <v>Currency of the monetary values in the report</v>
      </c>
      <c r="D5" s="785"/>
      <c r="E5" s="786"/>
      <c r="F5" s="11" t="str">
        <f>IF(D5 = "", template_label_missing_value, template_label_ok)</f>
        <v>MISSING VALUE</v>
      </c>
      <c r="H5" s="45"/>
    </row>
    <row r="6" spans="1:12" ht="14.4" customHeight="1">
      <c r="C6" s="185" t="str">
        <f>template_label_starting_year</f>
        <v>Starting year</v>
      </c>
      <c r="D6" s="763"/>
      <c r="E6" s="764"/>
      <c r="F6" s="770"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758" t="str">
        <f>template_label_date_warning</f>
        <v>ℹ️ If VALUE INCONSISTENCY message appears on the right, please ensure that the reporting period end date is greater than the reporting period start date.</v>
      </c>
      <c r="H6" s="758"/>
      <c r="I6" s="758"/>
      <c r="J6" s="758"/>
      <c r="K6" s="758"/>
    </row>
    <row r="7" spans="1:12" ht="14.4" customHeight="1">
      <c r="C7" s="107" t="str">
        <f>template_label_starting_month</f>
        <v>Starting month</v>
      </c>
      <c r="D7" s="787"/>
      <c r="E7" s="788"/>
      <c r="F7" s="770"/>
      <c r="G7" s="758"/>
      <c r="H7" s="758"/>
      <c r="I7" s="758"/>
      <c r="J7" s="758"/>
      <c r="K7" s="758"/>
    </row>
    <row r="8" spans="1:12" ht="14.4" customHeight="1">
      <c r="C8" s="107" t="str">
        <f>template_label_starting_day</f>
        <v>Starting day</v>
      </c>
      <c r="D8" s="789"/>
      <c r="E8" s="790"/>
      <c r="F8" s="770"/>
      <c r="G8" s="758"/>
      <c r="H8" s="758"/>
      <c r="I8" s="758"/>
      <c r="J8" s="758"/>
      <c r="K8" s="758"/>
    </row>
    <row r="9" spans="1:12" ht="14.4" customHeight="1" thickBot="1">
      <c r="C9" s="95" t="str">
        <f>template_label_reporting_period_start_date</f>
        <v>Reporting period start date (yyyy-mm-dd)</v>
      </c>
      <c r="D9" s="761" t="str">
        <f>IF(OR(ISBLANK(D6), ISBLANK(D7), ISBLANK(D8)), "-", D6 &amp; "-" &amp; TEXT(D7, "00") &amp; "-" &amp; TEXT(D8, "00"))</f>
        <v>-</v>
      </c>
      <c r="E9" s="762"/>
      <c r="F9"/>
      <c r="H9" s="45"/>
    </row>
    <row r="10" spans="1:12" ht="14.4" customHeight="1">
      <c r="C10" s="185" t="str">
        <f>template_label_ending_year</f>
        <v>Ending year</v>
      </c>
      <c r="D10" s="763"/>
      <c r="E10" s="764"/>
      <c r="F10" s="770"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758" t="str">
        <f>template_label_date_warning</f>
        <v>ℹ️ If VALUE INCONSISTENCY message appears on the right, please ensure that the reporting period end date is greater than the reporting period start date.</v>
      </c>
      <c r="H10" s="758"/>
      <c r="I10" s="758"/>
      <c r="J10" s="758"/>
      <c r="K10" s="758"/>
    </row>
    <row r="11" spans="1:12" ht="14.4" customHeight="1">
      <c r="C11" s="107" t="str">
        <f>template_label_ending_month</f>
        <v>Ending month</v>
      </c>
      <c r="D11" s="765"/>
      <c r="E11" s="766"/>
      <c r="F11" s="770"/>
      <c r="G11" s="758"/>
      <c r="H11" s="758"/>
      <c r="I11" s="758"/>
      <c r="J11" s="758"/>
      <c r="K11" s="758"/>
    </row>
    <row r="12" spans="1:12" ht="14.4" customHeight="1">
      <c r="C12" s="107" t="s">
        <v>8</v>
      </c>
      <c r="D12" s="767"/>
      <c r="E12" s="768"/>
      <c r="F12" s="770"/>
      <c r="G12" s="758"/>
      <c r="H12" s="758"/>
      <c r="I12" s="758"/>
      <c r="J12" s="758"/>
      <c r="K12" s="758"/>
    </row>
    <row r="13" spans="1:12" ht="14.4" customHeight="1" thickBot="1">
      <c r="B13" s="70"/>
      <c r="C13" s="95" t="str">
        <f>template_label_reporting_period_end_date</f>
        <v>Reporting period end date  (yyyy-mm-dd)</v>
      </c>
      <c r="D13" s="761" t="str">
        <f>IF(OR(ISBLANK(D10), ISBLANK(D11), ISBLANK(D12)), "-", D10 &amp; "-" &amp; TEXT(D11, "00") &amp; "-" &amp; TEXT(D12, "00"))</f>
        <v>-</v>
      </c>
      <c r="E13" s="762"/>
      <c r="F13" s="11"/>
    </row>
    <row r="14" spans="1:12" ht="15" thickBot="1">
      <c r="B14" s="70"/>
      <c r="C14" s="71"/>
      <c r="D14" s="71"/>
      <c r="E14" s="72"/>
      <c r="F14" s="11"/>
    </row>
    <row r="15" spans="1:12" ht="14.9" customHeight="1" thickBot="1">
      <c r="C15" s="771" t="str">
        <f>template_label_disclosure_of_any_other_general_and_or_entity_specific_information_on_the_reporting_period &amp; " " &amp; template_label_from &amp; " " &amp; template_starting_date_display &amp; " " &amp; template_label_to &amp; " " &amp; template_ending_date_display</f>
        <v>Introduction and/or other entity specific information from - to -</v>
      </c>
      <c r="D15" s="772"/>
      <c r="E15" s="773"/>
      <c r="F15" s="10"/>
      <c r="G15" s="10"/>
      <c r="H15" s="10"/>
      <c r="I15" s="10"/>
      <c r="J15" s="10"/>
      <c r="K15" s="10"/>
      <c r="L15" s="10"/>
    </row>
    <row r="16" spans="1:12" ht="14.9" customHeight="1">
      <c r="C16" s="696">
        <v>12</v>
      </c>
      <c r="D16" s="697"/>
      <c r="E16" s="698"/>
      <c r="F16" s="10"/>
      <c r="G16" s="10"/>
      <c r="H16" s="10"/>
      <c r="I16" s="10"/>
      <c r="J16" s="10"/>
      <c r="K16" s="10"/>
      <c r="L16" s="10"/>
    </row>
    <row r="17" spans="2:7" ht="15" customHeight="1" thickBot="1">
      <c r="C17" s="699"/>
      <c r="D17" s="700"/>
      <c r="E17" s="701"/>
      <c r="F17" s="15" t="str">
        <f>IF(C17&lt;&gt;"", template_label_ok, "")</f>
        <v/>
      </c>
    </row>
    <row r="18" spans="2:7" ht="15" customHeight="1" thickBot="1">
      <c r="B18" s="70"/>
    </row>
    <row r="19" spans="2:7" ht="15" thickBot="1">
      <c r="B19" s="70"/>
      <c r="C19" s="777" t="str">
        <f>template_label_information_on_previous_reporting_period</f>
        <v>Information on previous reporting period</v>
      </c>
      <c r="D19" s="777"/>
      <c r="E19" s="778"/>
    </row>
    <row r="20" spans="2:7">
      <c r="B20" s="70"/>
      <c r="C20" s="781">
        <v>18</v>
      </c>
      <c r="D20" s="781"/>
      <c r="E20" s="782"/>
      <c r="F20" s="186"/>
    </row>
    <row r="21" spans="2:7" ht="14.4" customHeight="1">
      <c r="C21" s="780" t="str">
        <f>template_label_disclosures_from_the_previous_reporting_period_that_remain_unchanged</f>
        <v>This report contains disclosures from the previous reporting period that remain unchanged</v>
      </c>
      <c r="D21" s="780"/>
      <c r="E21" s="50" t="b">
        <v>0</v>
      </c>
      <c r="F21" s="11" t="str">
        <f>IF(E21 = FALSE, "", template_label_ok)</f>
        <v/>
      </c>
    </row>
    <row r="22" spans="2:7" ht="14.4" customHeight="1">
      <c r="C22" s="769" t="str">
        <f>template_label_disclosures_for_which_no_changes_are_reported_compared_to_the_previous_period_reporting</f>
        <v>List of disclosures for which no changes are reported compared to the previous period reporting</v>
      </c>
      <c r="D22" s="769"/>
      <c r="E22" s="51"/>
      <c r="F22" s="11" t="str">
        <f>IF(AND(E21 = FALSE, E22 = ""), "",
IF(AND(E21 = FALSE, E22 &lt;&gt; ""), "",
IF(AND(E21 = TRUE, E22 = ""), template_label_missing_value,
IF(AND(E21 = TRUE, E22 &lt;&gt; "", COUNTIF(E22:E121, E22) = COUNTA(E22:E121), COUNTA(E22:E121) &gt; 1), template_label_value_inconsistency,
template_label_ok))))</f>
        <v/>
      </c>
      <c r="G22" t="str">
        <f>template_label_additional_rows_warning</f>
        <v>ℹ️  Lists can be expanded using the little [+] button on the left.  If the number of rows is not sufficient, those can be added by right clicking the second row and selecting "Insert row".</v>
      </c>
    </row>
    <row r="23" spans="2:7" ht="14.4" customHeight="1">
      <c r="C23" s="769"/>
      <c r="D23" s="769"/>
      <c r="E23" s="52"/>
      <c r="F23" s="11" t="str">
        <f t="shared" ref="F23:F30" si="0">IF($E$21 = FALSE, "",
IF(E23 = "", "",
IF(COUNTIF($E$22:$E$121, E23) &gt; 1, template_label_value_inconsistency, template_label_ok)))</f>
        <v/>
      </c>
    </row>
    <row r="24" spans="2:7" ht="14.4" customHeight="1">
      <c r="C24" s="769"/>
      <c r="D24" s="769"/>
      <c r="E24" s="52"/>
      <c r="F24" s="11" t="str">
        <f t="shared" si="0"/>
        <v/>
      </c>
    </row>
    <row r="25" spans="2:7" ht="14.4" hidden="1" customHeight="1" outlineLevel="2">
      <c r="C25" s="769"/>
      <c r="D25" s="769"/>
      <c r="E25" s="52"/>
      <c r="F25" s="11" t="str">
        <f t="shared" si="0"/>
        <v/>
      </c>
    </row>
    <row r="26" spans="2:7" ht="14.4" hidden="1" customHeight="1" outlineLevel="2">
      <c r="C26" s="769"/>
      <c r="D26" s="769"/>
      <c r="E26" s="52"/>
      <c r="F26" s="11" t="str">
        <f t="shared" si="0"/>
        <v/>
      </c>
    </row>
    <row r="27" spans="2:7" ht="14.4" hidden="1" customHeight="1" outlineLevel="2">
      <c r="C27" s="769"/>
      <c r="D27" s="769"/>
      <c r="E27" s="52"/>
      <c r="F27" s="11" t="str">
        <f t="shared" si="0"/>
        <v/>
      </c>
    </row>
    <row r="28" spans="2:7" ht="14.4" hidden="1" customHeight="1" outlineLevel="2">
      <c r="C28" s="769"/>
      <c r="D28" s="769"/>
      <c r="E28" s="52"/>
      <c r="F28" s="11" t="str">
        <f t="shared" si="0"/>
        <v/>
      </c>
    </row>
    <row r="29" spans="2:7" ht="14.4" hidden="1" customHeight="1" outlineLevel="2">
      <c r="C29" s="769"/>
      <c r="D29" s="769"/>
      <c r="E29" s="52"/>
      <c r="F29" s="11" t="str">
        <f t="shared" si="0"/>
        <v/>
      </c>
    </row>
    <row r="30" spans="2:7" ht="14.4" hidden="1" customHeight="1" outlineLevel="2">
      <c r="C30" s="769"/>
      <c r="D30" s="769"/>
      <c r="E30" s="52"/>
      <c r="F30" s="11" t="str">
        <f t="shared" si="0"/>
        <v/>
      </c>
    </row>
    <row r="31" spans="2:7" ht="14.4" hidden="1" customHeight="1" outlineLevel="2">
      <c r="C31" s="769"/>
      <c r="D31" s="769"/>
      <c r="E31" s="52"/>
      <c r="F31" s="11"/>
    </row>
    <row r="32" spans="2:7" ht="14.4" hidden="1" customHeight="1" outlineLevel="2">
      <c r="C32" s="769"/>
      <c r="D32" s="769"/>
      <c r="E32" s="52"/>
      <c r="F32" s="11"/>
    </row>
    <row r="33" spans="3:6" ht="14.4" hidden="1" customHeight="1" outlineLevel="2">
      <c r="C33" s="769"/>
      <c r="D33" s="769"/>
      <c r="E33" s="52"/>
      <c r="F33" s="11"/>
    </row>
    <row r="34" spans="3:6" ht="14.4" hidden="1" customHeight="1" outlineLevel="2">
      <c r="C34" s="769"/>
      <c r="D34" s="769"/>
      <c r="E34" s="52"/>
      <c r="F34" s="11"/>
    </row>
    <row r="35" spans="3:6" ht="14.4" hidden="1" customHeight="1" outlineLevel="2">
      <c r="C35" s="769"/>
      <c r="D35" s="769"/>
      <c r="E35" s="52"/>
      <c r="F35" s="11"/>
    </row>
    <row r="36" spans="3:6" ht="14.4" hidden="1" customHeight="1" outlineLevel="2">
      <c r="C36" s="769"/>
      <c r="D36" s="769"/>
      <c r="E36" s="52"/>
      <c r="F36" s="11"/>
    </row>
    <row r="37" spans="3:6" ht="14.4" hidden="1" customHeight="1" outlineLevel="2">
      <c r="C37" s="769"/>
      <c r="D37" s="769"/>
      <c r="E37" s="52"/>
      <c r="F37" s="11"/>
    </row>
    <row r="38" spans="3:6" ht="14.4" hidden="1" customHeight="1" outlineLevel="2">
      <c r="C38" s="769"/>
      <c r="D38" s="769"/>
      <c r="E38" s="52"/>
      <c r="F38" s="11"/>
    </row>
    <row r="39" spans="3:6" ht="14.4" hidden="1" customHeight="1" outlineLevel="2">
      <c r="C39" s="769"/>
      <c r="D39" s="769"/>
      <c r="E39" s="52"/>
      <c r="F39" s="11"/>
    </row>
    <row r="40" spans="3:6" ht="14.4" hidden="1" customHeight="1" outlineLevel="2">
      <c r="C40" s="769"/>
      <c r="D40" s="769"/>
      <c r="E40" s="52"/>
      <c r="F40" s="11"/>
    </row>
    <row r="41" spans="3:6" ht="14.4" hidden="1" customHeight="1" outlineLevel="2">
      <c r="C41" s="769"/>
      <c r="D41" s="769"/>
      <c r="E41" s="52"/>
      <c r="F41" s="11"/>
    </row>
    <row r="42" spans="3:6" ht="14.4" hidden="1" customHeight="1" outlineLevel="2">
      <c r="C42" s="769"/>
      <c r="D42" s="769"/>
      <c r="E42" s="52"/>
      <c r="F42" s="11"/>
    </row>
    <row r="43" spans="3:6" ht="14.4" hidden="1" customHeight="1" outlineLevel="2">
      <c r="C43" s="769"/>
      <c r="D43" s="769"/>
      <c r="E43" s="52"/>
      <c r="F43" s="11"/>
    </row>
    <row r="44" spans="3:6" ht="14.4" hidden="1" customHeight="1" outlineLevel="2">
      <c r="C44" s="769"/>
      <c r="D44" s="769"/>
      <c r="E44" s="52"/>
      <c r="F44" s="11"/>
    </row>
    <row r="45" spans="3:6" ht="14.4" hidden="1" customHeight="1" outlineLevel="2">
      <c r="C45" s="769"/>
      <c r="D45" s="769"/>
      <c r="E45" s="52"/>
      <c r="F45" s="11"/>
    </row>
    <row r="46" spans="3:6" ht="14.4" hidden="1" customHeight="1" outlineLevel="2">
      <c r="C46" s="769"/>
      <c r="D46" s="769"/>
      <c r="E46" s="52"/>
      <c r="F46" s="11"/>
    </row>
    <row r="47" spans="3:6" ht="14.4" hidden="1" customHeight="1" outlineLevel="2">
      <c r="C47" s="769"/>
      <c r="D47" s="769"/>
      <c r="E47" s="52"/>
      <c r="F47" s="11"/>
    </row>
    <row r="48" spans="3:6" ht="14.4" hidden="1" customHeight="1" outlineLevel="2">
      <c r="C48" s="769"/>
      <c r="D48" s="769"/>
      <c r="E48" s="52"/>
      <c r="F48" s="11"/>
    </row>
    <row r="49" spans="3:6" ht="14.4" hidden="1" customHeight="1" outlineLevel="2">
      <c r="C49" s="769"/>
      <c r="D49" s="769"/>
      <c r="E49" s="52"/>
      <c r="F49" s="11"/>
    </row>
    <row r="50" spans="3:6" ht="14.4" hidden="1" customHeight="1" outlineLevel="2">
      <c r="C50" s="769"/>
      <c r="D50" s="769"/>
      <c r="E50" s="52"/>
      <c r="F50" s="11"/>
    </row>
    <row r="51" spans="3:6" ht="14.4" hidden="1" customHeight="1" outlineLevel="2">
      <c r="C51" s="769"/>
      <c r="D51" s="769"/>
      <c r="E51" s="52"/>
      <c r="F51" s="11"/>
    </row>
    <row r="52" spans="3:6" ht="14.4" hidden="1" customHeight="1" outlineLevel="2">
      <c r="C52" s="769"/>
      <c r="D52" s="769"/>
      <c r="E52" s="52"/>
      <c r="F52" s="11"/>
    </row>
    <row r="53" spans="3:6" ht="14.4" hidden="1" customHeight="1" outlineLevel="2">
      <c r="C53" s="769"/>
      <c r="D53" s="769"/>
      <c r="E53" s="52"/>
      <c r="F53" s="11"/>
    </row>
    <row r="54" spans="3:6" ht="14.4" hidden="1" customHeight="1" outlineLevel="2">
      <c r="C54" s="769"/>
      <c r="D54" s="769"/>
      <c r="E54" s="52"/>
      <c r="F54" s="11"/>
    </row>
    <row r="55" spans="3:6" ht="14.4" hidden="1" customHeight="1" outlineLevel="2">
      <c r="C55" s="769"/>
      <c r="D55" s="769"/>
      <c r="E55" s="52"/>
      <c r="F55" s="11"/>
    </row>
    <row r="56" spans="3:6" ht="14.4" hidden="1" customHeight="1" outlineLevel="2">
      <c r="C56" s="769"/>
      <c r="D56" s="769"/>
      <c r="E56" s="52"/>
      <c r="F56" s="11"/>
    </row>
    <row r="57" spans="3:6" ht="14.4" hidden="1" customHeight="1" outlineLevel="2">
      <c r="C57" s="769"/>
      <c r="D57" s="769"/>
      <c r="E57" s="52"/>
      <c r="F57" s="11"/>
    </row>
    <row r="58" spans="3:6" ht="14.4" hidden="1" customHeight="1" outlineLevel="2">
      <c r="C58" s="769"/>
      <c r="D58" s="769"/>
      <c r="E58" s="52"/>
      <c r="F58" s="11"/>
    </row>
    <row r="59" spans="3:6" ht="14.4" hidden="1" customHeight="1" outlineLevel="2">
      <c r="C59" s="769"/>
      <c r="D59" s="769"/>
      <c r="E59" s="52"/>
      <c r="F59" s="11"/>
    </row>
    <row r="60" spans="3:6" ht="14.4" hidden="1" customHeight="1" outlineLevel="2">
      <c r="C60" s="769"/>
      <c r="D60" s="769"/>
      <c r="E60" s="52"/>
      <c r="F60" s="11"/>
    </row>
    <row r="61" spans="3:6" ht="14.4" hidden="1" customHeight="1" outlineLevel="2">
      <c r="C61" s="769"/>
      <c r="D61" s="769"/>
      <c r="E61" s="52"/>
      <c r="F61" s="11"/>
    </row>
    <row r="62" spans="3:6" ht="14.4" hidden="1" customHeight="1" outlineLevel="2">
      <c r="C62" s="769"/>
      <c r="D62" s="769"/>
      <c r="E62" s="52"/>
      <c r="F62" s="11"/>
    </row>
    <row r="63" spans="3:6" ht="14.4" hidden="1" customHeight="1" outlineLevel="2">
      <c r="C63" s="769"/>
      <c r="D63" s="769"/>
      <c r="E63" s="52"/>
      <c r="F63" s="11"/>
    </row>
    <row r="64" spans="3:6" ht="14.4" hidden="1" customHeight="1" outlineLevel="2">
      <c r="C64" s="769"/>
      <c r="D64" s="769"/>
      <c r="E64" s="52"/>
      <c r="F64" s="11"/>
    </row>
    <row r="65" spans="3:6" ht="14.4" hidden="1" customHeight="1" outlineLevel="2">
      <c r="C65" s="769"/>
      <c r="D65" s="769"/>
      <c r="E65" s="52"/>
      <c r="F65" s="11"/>
    </row>
    <row r="66" spans="3:6" ht="14.4" hidden="1" customHeight="1" outlineLevel="2">
      <c r="C66" s="769"/>
      <c r="D66" s="769"/>
      <c r="E66" s="52"/>
      <c r="F66" s="11"/>
    </row>
    <row r="67" spans="3:6" ht="14.4" hidden="1" customHeight="1" outlineLevel="2">
      <c r="C67" s="769"/>
      <c r="D67" s="769"/>
      <c r="E67" s="52"/>
      <c r="F67" s="11"/>
    </row>
    <row r="68" spans="3:6" ht="14.4" hidden="1" customHeight="1" outlineLevel="2">
      <c r="C68" s="769"/>
      <c r="D68" s="769"/>
      <c r="E68" s="52"/>
      <c r="F68" s="11"/>
    </row>
    <row r="69" spans="3:6" ht="14.4" hidden="1" customHeight="1" outlineLevel="2">
      <c r="C69" s="769"/>
      <c r="D69" s="769"/>
      <c r="E69" s="52"/>
      <c r="F69" s="11"/>
    </row>
    <row r="70" spans="3:6" ht="14.4" hidden="1" customHeight="1" outlineLevel="2">
      <c r="C70" s="769"/>
      <c r="D70" s="769"/>
      <c r="E70" s="52"/>
      <c r="F70" s="11"/>
    </row>
    <row r="71" spans="3:6" ht="14.4" hidden="1" customHeight="1" outlineLevel="2">
      <c r="C71" s="769"/>
      <c r="D71" s="769"/>
      <c r="E71" s="52"/>
      <c r="F71" s="11"/>
    </row>
    <row r="72" spans="3:6" ht="14.4" hidden="1" customHeight="1" outlineLevel="2">
      <c r="C72" s="769"/>
      <c r="D72" s="769"/>
      <c r="E72" s="52"/>
      <c r="F72" s="11"/>
    </row>
    <row r="73" spans="3:6" ht="14.4" hidden="1" customHeight="1" outlineLevel="2">
      <c r="C73" s="769"/>
      <c r="D73" s="769"/>
      <c r="E73" s="52"/>
      <c r="F73" s="11"/>
    </row>
    <row r="74" spans="3:6" ht="14.4" hidden="1" customHeight="1" outlineLevel="2">
      <c r="C74" s="769"/>
      <c r="D74" s="769"/>
      <c r="E74" s="52"/>
      <c r="F74" s="11"/>
    </row>
    <row r="75" spans="3:6" ht="14.4" hidden="1" customHeight="1" outlineLevel="2">
      <c r="C75" s="769"/>
      <c r="D75" s="769"/>
      <c r="E75" s="52"/>
      <c r="F75" s="11"/>
    </row>
    <row r="76" spans="3:6" ht="14.4" hidden="1" customHeight="1" outlineLevel="2">
      <c r="C76" s="769"/>
      <c r="D76" s="769"/>
      <c r="E76" s="52"/>
      <c r="F76" s="11"/>
    </row>
    <row r="77" spans="3:6" ht="14.4" hidden="1" customHeight="1" outlineLevel="2">
      <c r="C77" s="769"/>
      <c r="D77" s="769"/>
      <c r="E77" s="52"/>
      <c r="F77" s="11"/>
    </row>
    <row r="78" spans="3:6" ht="14.4" hidden="1" customHeight="1" outlineLevel="2">
      <c r="C78" s="769"/>
      <c r="D78" s="769"/>
      <c r="E78" s="52"/>
      <c r="F78" s="11"/>
    </row>
    <row r="79" spans="3:6" ht="14.4" hidden="1" customHeight="1" outlineLevel="2">
      <c r="C79" s="769"/>
      <c r="D79" s="769"/>
      <c r="E79" s="52"/>
      <c r="F79" s="11"/>
    </row>
    <row r="80" spans="3:6" ht="14.4" hidden="1" customHeight="1" outlineLevel="2">
      <c r="C80" s="769"/>
      <c r="D80" s="769"/>
      <c r="E80" s="52"/>
      <c r="F80" s="11"/>
    </row>
    <row r="81" spans="3:6" ht="14.4" hidden="1" customHeight="1" outlineLevel="2">
      <c r="C81" s="769"/>
      <c r="D81" s="769"/>
      <c r="E81" s="52"/>
      <c r="F81" s="11"/>
    </row>
    <row r="82" spans="3:6" ht="14.4" hidden="1" customHeight="1" outlineLevel="2">
      <c r="C82" s="769"/>
      <c r="D82" s="769"/>
      <c r="E82" s="52"/>
      <c r="F82" s="11"/>
    </row>
    <row r="83" spans="3:6" ht="14.4" hidden="1" customHeight="1" outlineLevel="2">
      <c r="C83" s="769"/>
      <c r="D83" s="769"/>
      <c r="E83" s="52"/>
      <c r="F83" s="11"/>
    </row>
    <row r="84" spans="3:6" ht="14.4" hidden="1" customHeight="1" outlineLevel="2">
      <c r="C84" s="769"/>
      <c r="D84" s="769"/>
      <c r="E84" s="52"/>
      <c r="F84" s="11"/>
    </row>
    <row r="85" spans="3:6" ht="14.4" hidden="1" customHeight="1" outlineLevel="2">
      <c r="C85" s="769"/>
      <c r="D85" s="769"/>
      <c r="E85" s="52"/>
      <c r="F85" s="11"/>
    </row>
    <row r="86" spans="3:6" ht="14.4" hidden="1" customHeight="1" outlineLevel="2">
      <c r="C86" s="769"/>
      <c r="D86" s="769"/>
      <c r="E86" s="52"/>
      <c r="F86" s="11"/>
    </row>
    <row r="87" spans="3:6" ht="14.4" hidden="1" customHeight="1" outlineLevel="2">
      <c r="C87" s="769"/>
      <c r="D87" s="769"/>
      <c r="E87" s="52"/>
      <c r="F87" s="11"/>
    </row>
    <row r="88" spans="3:6" ht="14.4" hidden="1" customHeight="1" outlineLevel="2">
      <c r="C88" s="769"/>
      <c r="D88" s="769"/>
      <c r="E88" s="52"/>
      <c r="F88" s="11"/>
    </row>
    <row r="89" spans="3:6" ht="14.4" hidden="1" customHeight="1" outlineLevel="2">
      <c r="C89" s="769"/>
      <c r="D89" s="769"/>
      <c r="E89" s="52"/>
      <c r="F89" s="11"/>
    </row>
    <row r="90" spans="3:6" ht="14.4" hidden="1" customHeight="1" outlineLevel="2">
      <c r="C90" s="769"/>
      <c r="D90" s="769"/>
      <c r="E90" s="52"/>
      <c r="F90" s="11"/>
    </row>
    <row r="91" spans="3:6" ht="14.4" hidden="1" customHeight="1" outlineLevel="2">
      <c r="C91" s="769"/>
      <c r="D91" s="769"/>
      <c r="E91" s="52"/>
      <c r="F91" s="11"/>
    </row>
    <row r="92" spans="3:6" ht="14.4" hidden="1" customHeight="1" outlineLevel="2">
      <c r="C92" s="769"/>
      <c r="D92" s="769"/>
      <c r="E92" s="52"/>
      <c r="F92" s="11"/>
    </row>
    <row r="93" spans="3:6" ht="14.4" hidden="1" customHeight="1" outlineLevel="2">
      <c r="C93" s="769"/>
      <c r="D93" s="769"/>
      <c r="E93" s="52"/>
      <c r="F93" s="11"/>
    </row>
    <row r="94" spans="3:6" ht="14.4" hidden="1" customHeight="1" outlineLevel="2">
      <c r="C94" s="769"/>
      <c r="D94" s="769"/>
      <c r="E94" s="52"/>
      <c r="F94" s="11"/>
    </row>
    <row r="95" spans="3:6" ht="14.4" hidden="1" customHeight="1" outlineLevel="2">
      <c r="C95" s="769"/>
      <c r="D95" s="769"/>
      <c r="E95" s="52"/>
      <c r="F95" s="11"/>
    </row>
    <row r="96" spans="3:6" ht="14.4" hidden="1" customHeight="1" outlineLevel="2">
      <c r="C96" s="769"/>
      <c r="D96" s="769"/>
      <c r="E96" s="52"/>
      <c r="F96" s="11"/>
    </row>
    <row r="97" spans="3:6" ht="14.4" hidden="1" customHeight="1" outlineLevel="2">
      <c r="C97" s="769"/>
      <c r="D97" s="769"/>
      <c r="E97" s="52"/>
      <c r="F97" s="11"/>
    </row>
    <row r="98" spans="3:6" ht="14.4" hidden="1" customHeight="1" outlineLevel="2">
      <c r="C98" s="769"/>
      <c r="D98" s="769"/>
      <c r="E98" s="52"/>
      <c r="F98" s="11"/>
    </row>
    <row r="99" spans="3:6" ht="14.4" hidden="1" customHeight="1" outlineLevel="2">
      <c r="C99" s="769"/>
      <c r="D99" s="769"/>
      <c r="E99" s="52"/>
      <c r="F99" s="11"/>
    </row>
    <row r="100" spans="3:6" ht="14.4" hidden="1" customHeight="1" outlineLevel="2">
      <c r="C100" s="769"/>
      <c r="D100" s="769"/>
      <c r="E100" s="52"/>
      <c r="F100" s="11"/>
    </row>
    <row r="101" spans="3:6" ht="14.4" hidden="1" customHeight="1" outlineLevel="2">
      <c r="C101" s="769"/>
      <c r="D101" s="769"/>
      <c r="E101" s="52"/>
      <c r="F101" s="11"/>
    </row>
    <row r="102" spans="3:6" ht="14.4" hidden="1" customHeight="1" outlineLevel="2">
      <c r="C102" s="769"/>
      <c r="D102" s="769"/>
      <c r="E102" s="52"/>
      <c r="F102" s="11"/>
    </row>
    <row r="103" spans="3:6" ht="14.4" hidden="1" customHeight="1" outlineLevel="2">
      <c r="C103" s="769"/>
      <c r="D103" s="769"/>
      <c r="E103" s="52"/>
      <c r="F103" s="11"/>
    </row>
    <row r="104" spans="3:6" ht="14.4" hidden="1" customHeight="1" outlineLevel="2">
      <c r="C104" s="769"/>
      <c r="D104" s="769"/>
      <c r="E104" s="52"/>
      <c r="F104" s="11"/>
    </row>
    <row r="105" spans="3:6" ht="14.4" hidden="1" customHeight="1" outlineLevel="2">
      <c r="C105" s="769"/>
      <c r="D105" s="769"/>
      <c r="E105" s="52"/>
      <c r="F105" s="11"/>
    </row>
    <row r="106" spans="3:6" ht="14.4" hidden="1" customHeight="1" outlineLevel="2">
      <c r="C106" s="769"/>
      <c r="D106" s="769"/>
      <c r="E106" s="52"/>
      <c r="F106" s="11"/>
    </row>
    <row r="107" spans="3:6" ht="14.4" hidden="1" customHeight="1" outlineLevel="2">
      <c r="C107" s="769"/>
      <c r="D107" s="769"/>
      <c r="E107" s="52"/>
      <c r="F107" s="11"/>
    </row>
    <row r="108" spans="3:6" ht="14.4" hidden="1" customHeight="1" outlineLevel="2">
      <c r="C108" s="769"/>
      <c r="D108" s="769"/>
      <c r="E108" s="52"/>
      <c r="F108" s="11"/>
    </row>
    <row r="109" spans="3:6" ht="14.4" hidden="1" customHeight="1" outlineLevel="2">
      <c r="C109" s="769"/>
      <c r="D109" s="769"/>
      <c r="E109" s="52"/>
      <c r="F109" s="11"/>
    </row>
    <row r="110" spans="3:6" ht="14.4" hidden="1" customHeight="1" outlineLevel="2">
      <c r="C110" s="769"/>
      <c r="D110" s="769"/>
      <c r="E110" s="52"/>
      <c r="F110" s="11"/>
    </row>
    <row r="111" spans="3:6" ht="14.4" hidden="1" customHeight="1" outlineLevel="2">
      <c r="C111" s="769"/>
      <c r="D111" s="769"/>
      <c r="E111" s="52"/>
      <c r="F111" s="11"/>
    </row>
    <row r="112" spans="3:6" ht="14.4" hidden="1" customHeight="1" outlineLevel="2">
      <c r="C112" s="769"/>
      <c r="D112" s="769"/>
      <c r="E112" s="52"/>
      <c r="F112" s="11"/>
    </row>
    <row r="113" spans="1:10" ht="14.4" hidden="1" customHeight="1" outlineLevel="2">
      <c r="C113" s="769"/>
      <c r="D113" s="769"/>
      <c r="E113" s="52"/>
      <c r="F113" s="11"/>
    </row>
    <row r="114" spans="1:10" ht="14.4" hidden="1" customHeight="1" outlineLevel="2">
      <c r="C114" s="769"/>
      <c r="D114" s="769"/>
      <c r="E114" s="52"/>
      <c r="F114" s="11"/>
    </row>
    <row r="115" spans="1:10" ht="14.4" hidden="1" customHeight="1" outlineLevel="2">
      <c r="C115" s="769"/>
      <c r="D115" s="769"/>
      <c r="E115" s="52"/>
      <c r="F115" s="11"/>
    </row>
    <row r="116" spans="1:10" ht="14.4" hidden="1" customHeight="1" outlineLevel="2">
      <c r="C116" s="769"/>
      <c r="D116" s="769"/>
      <c r="E116" s="52"/>
      <c r="F116" s="11"/>
    </row>
    <row r="117" spans="1:10" ht="14.4" hidden="1" customHeight="1" outlineLevel="2">
      <c r="C117" s="769"/>
      <c r="D117" s="769"/>
      <c r="E117" s="52"/>
      <c r="F117" s="11"/>
    </row>
    <row r="118" spans="1:10" ht="14.4" hidden="1" customHeight="1" outlineLevel="2">
      <c r="C118" s="769"/>
      <c r="D118" s="769"/>
      <c r="E118" s="52"/>
      <c r="F118" s="11"/>
    </row>
    <row r="119" spans="1:10" ht="14.4" hidden="1" customHeight="1" outlineLevel="2">
      <c r="C119" s="769"/>
      <c r="D119" s="769"/>
      <c r="E119" s="52"/>
      <c r="F119" s="11"/>
    </row>
    <row r="120" spans="1:10" ht="14.4" hidden="1" customHeight="1" outlineLevel="2">
      <c r="C120" s="769"/>
      <c r="D120" s="769"/>
      <c r="E120" s="52"/>
      <c r="F120" s="11"/>
    </row>
    <row r="121" spans="1:10" ht="14.4" hidden="1" customHeight="1" outlineLevel="2">
      <c r="C121" s="769"/>
      <c r="D121" s="769"/>
      <c r="E121" s="52"/>
      <c r="F121" s="11"/>
    </row>
    <row r="122" spans="1:10" ht="14.4" customHeight="1" collapsed="1" thickBot="1">
      <c r="B122" s="73"/>
      <c r="C122" s="718" t="str">
        <f>template_label_link_to_previous_report_containing_disclosures_that_remain_unchanged</f>
        <v>Link to previous report containing disclosures that remain unchanged</v>
      </c>
      <c r="D122" s="718"/>
      <c r="E122" s="170"/>
      <c r="F122" s="11" t="str">
        <f>IF(AND(E21 = FALSE, E122 = ""), "",
IF(AND(E21 = TRUE, E122 = ""), template_label_missing_value,
IF(AND(E21 = FALSE, E122 &lt;&gt; ""), "",
IF(AND(E21 = TRUE, E122 &lt;&gt; "", OR(LEFT(E122, 7) = "http://", LEFT(E122, 8) = "https://", LEFT(E122, 4) = "www.")), template_label_ok,
IF(E21 = TRUE, template_label_invalid_url, template_label_missing_value)))))</f>
        <v/>
      </c>
    </row>
    <row r="123" spans="1:10" ht="15" thickBot="1">
      <c r="B123" s="74"/>
    </row>
    <row r="124" spans="1:10" ht="17.899999999999999" customHeight="1" thickBot="1">
      <c r="C124" s="709" t="str">
        <f>template_label_b1_basis_for_preparation &amp; " " &amp; template_label_from &amp; " " &amp; template_starting_date_display &amp; " " &amp; template_label_to &amp; " " &amp; template_ending_date_display</f>
        <v>B1 - Basis for Preparation &amp; Module from - to -</v>
      </c>
      <c r="D124" s="709"/>
      <c r="E124" s="717"/>
      <c r="F124"/>
    </row>
    <row r="125" spans="1:10">
      <c r="A125" s="421" t="s">
        <v>9</v>
      </c>
      <c r="B125" s="422" t="s">
        <v>10</v>
      </c>
      <c r="C125" s="779" t="str">
        <f>template_label_basis_for_preparation</f>
        <v>Basis for preparation (Basic Module Only or Basic &amp; Comprehensive Module)</v>
      </c>
      <c r="D125" s="779"/>
      <c r="E125" s="370"/>
      <c r="F125" s="11" t="str">
        <f>IF(
'Table of Contents &amp; Validation'!D12=TRUE, IF(E125 = "", "", template_label_ok),
IF(E125 = "", template_label_missing_value, template_label_ok)
)</f>
        <v>MISSING VALUE</v>
      </c>
    </row>
    <row r="126" spans="1:10">
      <c r="A126" s="421" t="s">
        <v>9</v>
      </c>
      <c r="B126" s="422" t="s">
        <v>10</v>
      </c>
      <c r="C126" s="712" t="str">
        <f>template_label_statement_of_compliance</f>
        <v xml:space="preserve">Explicit statement of compliance </v>
      </c>
      <c r="D126" s="713"/>
      <c r="E126" s="370"/>
      <c r="F126" s="11" t="str">
        <f>IF((AND(BasisForPreparation&lt;&gt;"",ExplicitStatementOfCompliance="")),template_label_missing_value, IF((AND(BasisForPreparation&lt;&gt;"",ExplicitStatementOfCompliance&lt;&gt;"")),template_label_ok,""))</f>
        <v/>
      </c>
    </row>
    <row r="127" spans="1:10" ht="14.4" customHeight="1">
      <c r="A127" s="705" t="s">
        <v>12</v>
      </c>
      <c r="B127" s="707" t="s">
        <v>10</v>
      </c>
      <c r="C127" s="719" t="str">
        <f>template_label_list_of_omitted_disclosures</f>
        <v xml:space="preserve">List of omitted disclosures </v>
      </c>
      <c r="D127" s="720"/>
      <c r="E127" s="341" t="str" cm="1">
        <f t="array" ref="E127">IF('Technical Sheet'!E254=0,"None",_xlfn.XLOOKUP('Technical Sheet'!A120, 'Technical Sheet'!E193:$E$253, 'Table of Contents &amp; Validation'!B5:$B$65, ""))</f>
        <v>None</v>
      </c>
      <c r="F127" s="312"/>
      <c r="G127" s="758" t="str">
        <f>template_label_bold_omitted_information</f>
        <v>ℹ️  Whenever a disclosure is fully omitted because sensitive or classfied, it will be highligted in bold</v>
      </c>
      <c r="H127" s="758"/>
      <c r="I127" s="758"/>
      <c r="J127" s="758"/>
    </row>
    <row r="128" spans="1:10" ht="14.4" customHeight="1">
      <c r="A128" s="706"/>
      <c r="B128" s="708"/>
      <c r="C128" s="721"/>
      <c r="D128" s="722"/>
      <c r="E128" s="341" t="str" cm="1">
        <f t="array" ref="E128">_xlfn.XLOOKUP('Technical Sheet'!A121, 'Technical Sheet'!E194:$E$253, 'Table of Contents &amp; Validation'!B6:$B$65, "")</f>
        <v/>
      </c>
      <c r="F128" s="312"/>
      <c r="G128" s="758"/>
      <c r="H128" s="758"/>
      <c r="I128" s="758"/>
      <c r="J128" s="758"/>
    </row>
    <row r="129" spans="1:10" ht="14.4" customHeight="1">
      <c r="A129" s="706"/>
      <c r="B129" s="708"/>
      <c r="C129" s="721"/>
      <c r="D129" s="722"/>
      <c r="E129" s="341" t="str" cm="1">
        <f t="array" ref="E129">_xlfn.XLOOKUP('Technical Sheet'!A122, 'Technical Sheet'!E195:$E$253, 'Table of Contents &amp; Validation'!B7:$B$65, "")</f>
        <v/>
      </c>
      <c r="F129" s="312"/>
      <c r="G129" s="758"/>
      <c r="H129" s="758"/>
      <c r="I129" s="758"/>
      <c r="J129" s="758"/>
    </row>
    <row r="130" spans="1:10" ht="14.4" customHeight="1" outlineLevel="1">
      <c r="A130" s="706"/>
      <c r="B130" s="708"/>
      <c r="C130" s="721"/>
      <c r="D130" s="722"/>
      <c r="E130" s="341" t="str" cm="1">
        <f t="array" ref="E130">_xlfn.XLOOKUP('Technical Sheet'!A123, 'Technical Sheet'!E196:$E$253, 'Table of Contents &amp; Validation'!B8:$B$65, "")</f>
        <v/>
      </c>
      <c r="F130" s="312"/>
    </row>
    <row r="131" spans="1:10" ht="14.4" customHeight="1" outlineLevel="1">
      <c r="A131" s="706"/>
      <c r="B131" s="708"/>
      <c r="C131" s="721"/>
      <c r="D131" s="722"/>
      <c r="E131" s="341" t="str" cm="1">
        <f t="array" ref="E131">_xlfn.XLOOKUP('Technical Sheet'!A124, 'Technical Sheet'!E197:$E$253, 'Table of Contents &amp; Validation'!B9:$B$65, "")</f>
        <v/>
      </c>
      <c r="F131" s="312"/>
    </row>
    <row r="132" spans="1:10" ht="14.4" customHeight="1" outlineLevel="1">
      <c r="A132" s="706"/>
      <c r="B132" s="708"/>
      <c r="C132" s="721"/>
      <c r="D132" s="722"/>
      <c r="E132" s="341" t="str" cm="1">
        <f t="array" ref="E132">_xlfn.XLOOKUP('Technical Sheet'!A125, 'Technical Sheet'!E198:$E$253, 'Table of Contents &amp; Validation'!B10:$B$65, "")</f>
        <v/>
      </c>
      <c r="F132" s="312"/>
    </row>
    <row r="133" spans="1:10" ht="14.4" customHeight="1" outlineLevel="1">
      <c r="A133" s="706"/>
      <c r="B133" s="708"/>
      <c r="C133" s="721"/>
      <c r="D133" s="722"/>
      <c r="E133" s="341" t="str" cm="1">
        <f t="array" ref="E133">_xlfn.XLOOKUP('Technical Sheet'!A126, 'Technical Sheet'!E199:$E$253, 'Table of Contents &amp; Validation'!B11:$B$65, "")</f>
        <v/>
      </c>
      <c r="F133" s="312"/>
    </row>
    <row r="134" spans="1:10" ht="14.4" customHeight="1" outlineLevel="1">
      <c r="A134" s="706"/>
      <c r="B134" s="708"/>
      <c r="C134" s="721"/>
      <c r="D134" s="722"/>
      <c r="E134" s="341" t="str" cm="1">
        <f t="array" ref="E134">_xlfn.XLOOKUP('Technical Sheet'!A127, 'Technical Sheet'!E200:$E$253, 'Table of Contents &amp; Validation'!B12:$B$65, "")</f>
        <v/>
      </c>
      <c r="F134" s="312"/>
    </row>
    <row r="135" spans="1:10" ht="14.4" customHeight="1" outlineLevel="1">
      <c r="A135" s="706"/>
      <c r="B135" s="708"/>
      <c r="C135" s="721"/>
      <c r="D135" s="722"/>
      <c r="E135" s="341" t="str" cm="1">
        <f t="array" ref="E135">_xlfn.XLOOKUP('Technical Sheet'!A128, 'Technical Sheet'!E201:$E$253, 'Table of Contents &amp; Validation'!B13:$B$65, "")</f>
        <v/>
      </c>
      <c r="F135" s="312"/>
    </row>
    <row r="136" spans="1:10" ht="14.4" customHeight="1" outlineLevel="1">
      <c r="A136" s="706"/>
      <c r="B136" s="708"/>
      <c r="C136" s="721"/>
      <c r="D136" s="722"/>
      <c r="E136" s="341" t="str" cm="1">
        <f t="array" ref="E136">_xlfn.XLOOKUP('Technical Sheet'!A129, 'Technical Sheet'!E202:$E$253, 'Table of Contents &amp; Validation'!B14:$B$65, "")</f>
        <v/>
      </c>
      <c r="F136" s="312"/>
    </row>
    <row r="137" spans="1:10" ht="14.4" customHeight="1" outlineLevel="1">
      <c r="A137" s="706"/>
      <c r="B137" s="708"/>
      <c r="C137" s="721"/>
      <c r="D137" s="722"/>
      <c r="E137" s="341" t="str" cm="1">
        <f t="array" ref="E137">_xlfn.XLOOKUP('Technical Sheet'!A130, 'Technical Sheet'!E203:$E$253, 'Table of Contents &amp; Validation'!B15:$B$65, "")</f>
        <v/>
      </c>
      <c r="F137" s="312"/>
    </row>
    <row r="138" spans="1:10" ht="14.4" customHeight="1" outlineLevel="1">
      <c r="A138" s="706"/>
      <c r="B138" s="708"/>
      <c r="C138" s="721"/>
      <c r="D138" s="722"/>
      <c r="E138" s="341" t="str" cm="1">
        <f t="array" ref="E138">_xlfn.XLOOKUP('Technical Sheet'!A131, 'Technical Sheet'!E204:$E$253, 'Table of Contents &amp; Validation'!B16:$B$65, "")</f>
        <v/>
      </c>
      <c r="F138" s="312"/>
    </row>
    <row r="139" spans="1:10" ht="14.4" customHeight="1" outlineLevel="1">
      <c r="A139" s="706"/>
      <c r="B139" s="708"/>
      <c r="C139" s="721"/>
      <c r="D139" s="722"/>
      <c r="E139" s="341" t="str" cm="1">
        <f t="array" ref="E139">_xlfn.XLOOKUP('Technical Sheet'!A132, 'Technical Sheet'!E205:$E$253, 'Table of Contents &amp; Validation'!B17:$B$65, "")</f>
        <v/>
      </c>
      <c r="F139" s="312"/>
    </row>
    <row r="140" spans="1:10" ht="14.4" customHeight="1" outlineLevel="1">
      <c r="A140" s="706"/>
      <c r="B140" s="708"/>
      <c r="C140" s="721"/>
      <c r="D140" s="722"/>
      <c r="E140" s="341" t="str" cm="1">
        <f t="array" ref="E140">_xlfn.XLOOKUP('Technical Sheet'!A133, 'Technical Sheet'!E206:$E$253, 'Table of Contents &amp; Validation'!B18:$B$65, "")</f>
        <v/>
      </c>
      <c r="F140" s="312"/>
    </row>
    <row r="141" spans="1:10" ht="14.4" customHeight="1" outlineLevel="1">
      <c r="A141" s="706"/>
      <c r="B141" s="708"/>
      <c r="C141" s="721"/>
      <c r="D141" s="722"/>
      <c r="E141" s="341" t="str" cm="1">
        <f t="array" ref="E141">_xlfn.XLOOKUP('Technical Sheet'!A134, 'Technical Sheet'!E207:$E$253, 'Table of Contents &amp; Validation'!B19:$B$65, "")</f>
        <v/>
      </c>
      <c r="F141" s="312"/>
    </row>
    <row r="142" spans="1:10" ht="14.4" customHeight="1" outlineLevel="1">
      <c r="A142" s="706"/>
      <c r="B142" s="708"/>
      <c r="C142" s="721"/>
      <c r="D142" s="722"/>
      <c r="E142" s="341" t="str" cm="1">
        <f t="array" ref="E142">_xlfn.XLOOKUP('Technical Sheet'!A135, 'Technical Sheet'!E208:$E$253, 'Table of Contents &amp; Validation'!B20:$B$65, "")</f>
        <v/>
      </c>
      <c r="F142" s="312"/>
    </row>
    <row r="143" spans="1:10" ht="14.4" customHeight="1" outlineLevel="1">
      <c r="A143" s="706"/>
      <c r="B143" s="708"/>
      <c r="C143" s="721"/>
      <c r="D143" s="722"/>
      <c r="E143" s="341" t="str" cm="1">
        <f t="array" ref="E143">_xlfn.XLOOKUP('Technical Sheet'!A136, 'Technical Sheet'!E209:$E$253, 'Table of Contents &amp; Validation'!B21:$B$65, "")</f>
        <v/>
      </c>
      <c r="F143" s="312"/>
    </row>
    <row r="144" spans="1:10" ht="14.4" customHeight="1" outlineLevel="1">
      <c r="A144" s="706"/>
      <c r="B144" s="708"/>
      <c r="C144" s="721"/>
      <c r="D144" s="722"/>
      <c r="E144" s="341" t="str" cm="1">
        <f t="array" ref="E144">_xlfn.XLOOKUP('Technical Sheet'!A137, 'Technical Sheet'!E210:$E$253, 'Table of Contents &amp; Validation'!B22:$B$65, "")</f>
        <v/>
      </c>
      <c r="F144" s="312"/>
    </row>
    <row r="145" spans="1:6" ht="14.4" customHeight="1" outlineLevel="1">
      <c r="A145" s="706"/>
      <c r="B145" s="708"/>
      <c r="C145" s="721"/>
      <c r="D145" s="722"/>
      <c r="E145" s="341" t="str" cm="1">
        <f t="array" ref="E145">_xlfn.XLOOKUP('Technical Sheet'!A138, 'Technical Sheet'!E211:$E$253, 'Table of Contents &amp; Validation'!B23:$B$65, "")</f>
        <v/>
      </c>
      <c r="F145" s="312"/>
    </row>
    <row r="146" spans="1:6" ht="14.4" customHeight="1" outlineLevel="1">
      <c r="A146" s="706"/>
      <c r="B146" s="708"/>
      <c r="C146" s="721"/>
      <c r="D146" s="722"/>
      <c r="E146" s="341" t="str" cm="1">
        <f t="array" ref="E146">_xlfn.XLOOKUP('Technical Sheet'!A139, 'Technical Sheet'!E212:$E$253, 'Table of Contents &amp; Validation'!B24:$B$65, "")</f>
        <v/>
      </c>
      <c r="F146" s="312"/>
    </row>
    <row r="147" spans="1:6" ht="14.4" customHeight="1" outlineLevel="1">
      <c r="A147" s="706"/>
      <c r="B147" s="708"/>
      <c r="C147" s="721"/>
      <c r="D147" s="722"/>
      <c r="E147" s="341" t="str" cm="1">
        <f t="array" ref="E147">_xlfn.XLOOKUP('Technical Sheet'!A140, 'Technical Sheet'!E212:$E$253, 'Table of Contents &amp; Validation'!B24:$B$65, "")</f>
        <v/>
      </c>
      <c r="F147" s="312"/>
    </row>
    <row r="148" spans="1:6" ht="14.4" customHeight="1" outlineLevel="1">
      <c r="A148" s="706"/>
      <c r="B148" s="708"/>
      <c r="C148" s="721"/>
      <c r="D148" s="722"/>
      <c r="E148" s="341" t="str" cm="1">
        <f t="array" ref="E148">_xlfn.XLOOKUP('Technical Sheet'!A141, 'Technical Sheet'!E213:$E$253, 'Table of Contents &amp; Validation'!B25:$B$65, "")</f>
        <v/>
      </c>
      <c r="F148" s="312"/>
    </row>
    <row r="149" spans="1:6" ht="14.4" customHeight="1" outlineLevel="1">
      <c r="A149" s="706"/>
      <c r="B149" s="708"/>
      <c r="C149" s="721"/>
      <c r="D149" s="722"/>
      <c r="E149" s="341" t="str" cm="1">
        <f t="array" ref="E149">_xlfn.XLOOKUP('Technical Sheet'!A142, 'Technical Sheet'!E214:$E$253, 'Table of Contents &amp; Validation'!B26:$B$65, "")</f>
        <v/>
      </c>
      <c r="F149" s="312"/>
    </row>
    <row r="150" spans="1:6" ht="14.4" customHeight="1" outlineLevel="1">
      <c r="A150" s="706"/>
      <c r="B150" s="708"/>
      <c r="C150" s="721"/>
      <c r="D150" s="722"/>
      <c r="E150" s="341" t="str" cm="1">
        <f t="array" ref="E150">_xlfn.XLOOKUP('Technical Sheet'!A143, 'Technical Sheet'!E215:$E$253, 'Table of Contents &amp; Validation'!B27:$B$65, "")</f>
        <v/>
      </c>
      <c r="F150" s="312"/>
    </row>
    <row r="151" spans="1:6" ht="14.4" customHeight="1" outlineLevel="1">
      <c r="A151" s="706"/>
      <c r="B151" s="708"/>
      <c r="C151" s="721"/>
      <c r="D151" s="722"/>
      <c r="E151" s="341" t="str" cm="1">
        <f t="array" ref="E151">_xlfn.XLOOKUP('Technical Sheet'!A144, 'Technical Sheet'!E215:$E$253, 'Table of Contents &amp; Validation'!B27:$B$65, "")</f>
        <v/>
      </c>
      <c r="F151" s="312"/>
    </row>
    <row r="152" spans="1:6" ht="14.4" customHeight="1" outlineLevel="1">
      <c r="A152" s="706"/>
      <c r="B152" s="708"/>
      <c r="C152" s="721"/>
      <c r="D152" s="722"/>
      <c r="E152" s="341" t="str" cm="1">
        <f t="array" ref="E152">_xlfn.XLOOKUP('Technical Sheet'!A145, 'Technical Sheet'!E216:$E$253, 'Table of Contents &amp; Validation'!B28:$B$65, "")</f>
        <v/>
      </c>
      <c r="F152" s="312"/>
    </row>
    <row r="153" spans="1:6" ht="14.4" customHeight="1" outlineLevel="1">
      <c r="A153" s="706"/>
      <c r="B153" s="708"/>
      <c r="C153" s="721"/>
      <c r="D153" s="722"/>
      <c r="E153" s="341" t="str" cm="1">
        <f t="array" ref="E153">_xlfn.XLOOKUP('Technical Sheet'!A146, 'Technical Sheet'!E217:$E$253, 'Table of Contents &amp; Validation'!B29:$B$65, "")</f>
        <v/>
      </c>
      <c r="F153" s="312"/>
    </row>
    <row r="154" spans="1:6" ht="14.4" customHeight="1" outlineLevel="1">
      <c r="A154" s="706"/>
      <c r="B154" s="708"/>
      <c r="C154" s="721"/>
      <c r="D154" s="722"/>
      <c r="E154" s="341" t="str" cm="1">
        <f t="array" ref="E154">_xlfn.XLOOKUP('Technical Sheet'!A147, 'Technical Sheet'!E218:$E$253, 'Table of Contents &amp; Validation'!B30:$B$65, "")</f>
        <v/>
      </c>
      <c r="F154" s="312"/>
    </row>
    <row r="155" spans="1:6" ht="14.4" customHeight="1" outlineLevel="1">
      <c r="A155" s="706"/>
      <c r="B155" s="708"/>
      <c r="C155" s="721"/>
      <c r="D155" s="722"/>
      <c r="E155" s="341" t="str" cm="1">
        <f t="array" ref="E155">_xlfn.XLOOKUP('Technical Sheet'!A148, 'Technical Sheet'!E219:$E$253, 'Table of Contents &amp; Validation'!B31:$B$65, "")</f>
        <v/>
      </c>
      <c r="F155" s="312"/>
    </row>
    <row r="156" spans="1:6" ht="14.4" customHeight="1" outlineLevel="1">
      <c r="A156" s="706"/>
      <c r="B156" s="708"/>
      <c r="C156" s="721"/>
      <c r="D156" s="722"/>
      <c r="E156" s="341" t="str" cm="1">
        <f t="array" ref="E156">_xlfn.XLOOKUP('Technical Sheet'!A149, 'Technical Sheet'!E220:$E$253, 'Table of Contents &amp; Validation'!B32:$B$65, "")</f>
        <v/>
      </c>
      <c r="F156" s="312"/>
    </row>
    <row r="157" spans="1:6" ht="14.4" customHeight="1" outlineLevel="1">
      <c r="A157" s="706"/>
      <c r="B157" s="708"/>
      <c r="C157" s="721"/>
      <c r="D157" s="722"/>
      <c r="E157" s="341" t="str" cm="1">
        <f t="array" ref="E157">_xlfn.XLOOKUP('Technical Sheet'!A150, 'Technical Sheet'!E221:$E$253, 'Table of Contents &amp; Validation'!B33:$B$65, "")</f>
        <v/>
      </c>
      <c r="F157" s="312"/>
    </row>
    <row r="158" spans="1:6" ht="14.4" customHeight="1" outlineLevel="1">
      <c r="A158" s="706"/>
      <c r="B158" s="708"/>
      <c r="C158" s="721"/>
      <c r="D158" s="722"/>
      <c r="E158" s="341" t="str" cm="1">
        <f t="array" ref="E158">_xlfn.XLOOKUP('Technical Sheet'!A151, 'Technical Sheet'!E222:$E$253, 'Table of Contents &amp; Validation'!B34:$B$65, "")</f>
        <v/>
      </c>
      <c r="F158" s="312"/>
    </row>
    <row r="159" spans="1:6" ht="14.4" customHeight="1" outlineLevel="1">
      <c r="A159" s="706"/>
      <c r="B159" s="708"/>
      <c r="C159" s="721"/>
      <c r="D159" s="722"/>
      <c r="E159" s="341" t="str" cm="1">
        <f t="array" ref="E159">_xlfn.XLOOKUP('Technical Sheet'!A152, 'Technical Sheet'!E223:$E$253, 'Table of Contents &amp; Validation'!B35:$B$65, "")</f>
        <v/>
      </c>
      <c r="F159" s="312"/>
    </row>
    <row r="160" spans="1:6" ht="14.4" customHeight="1" outlineLevel="1">
      <c r="A160" s="706"/>
      <c r="B160" s="708"/>
      <c r="C160" s="721"/>
      <c r="D160" s="722"/>
      <c r="E160" s="341" t="str" cm="1">
        <f t="array" ref="E160">_xlfn.XLOOKUP('Technical Sheet'!A153, 'Technical Sheet'!E224:$E$253, 'Table of Contents &amp; Validation'!B36:$B$65, "")</f>
        <v/>
      </c>
      <c r="F160" s="312"/>
    </row>
    <row r="161" spans="1:7" ht="14.4" customHeight="1" outlineLevel="1">
      <c r="A161" s="706"/>
      <c r="B161" s="708"/>
      <c r="C161" s="721"/>
      <c r="D161" s="722"/>
      <c r="E161" s="341" t="str" cm="1">
        <f t="array" ref="E161">_xlfn.XLOOKUP('Technical Sheet'!A154, 'Technical Sheet'!E225:$E$253, 'Table of Contents &amp; Validation'!B37:$B$65, "")</f>
        <v/>
      </c>
      <c r="F161" s="312"/>
    </row>
    <row r="162" spans="1:7" ht="14.4" customHeight="1" outlineLevel="1">
      <c r="A162" s="706"/>
      <c r="B162" s="708"/>
      <c r="C162" s="721"/>
      <c r="D162" s="722"/>
      <c r="E162" s="341" t="str" cm="1">
        <f t="array" ref="E162">_xlfn.XLOOKUP('Technical Sheet'!A155, 'Technical Sheet'!E226:$E$253, 'Table of Contents &amp; Validation'!B38:$B$65, "")</f>
        <v/>
      </c>
      <c r="F162" s="312"/>
    </row>
    <row r="163" spans="1:7" ht="14.4" customHeight="1" outlineLevel="1">
      <c r="A163" s="706"/>
      <c r="B163" s="708"/>
      <c r="C163" s="721"/>
      <c r="D163" s="722"/>
      <c r="E163" s="341" t="str" cm="1">
        <f t="array" ref="E163">_xlfn.XLOOKUP('Technical Sheet'!A156, 'Technical Sheet'!E227:$E$253, 'Table of Contents &amp; Validation'!B39:$B$65, "")</f>
        <v/>
      </c>
      <c r="F163" s="312"/>
    </row>
    <row r="164" spans="1:7" ht="14.4" customHeight="1" outlineLevel="1">
      <c r="A164" s="706"/>
      <c r="B164" s="708"/>
      <c r="C164" s="721"/>
      <c r="D164" s="722"/>
      <c r="E164" s="341" t="str" cm="1">
        <f t="array" ref="E164">_xlfn.XLOOKUP('Technical Sheet'!A157, 'Technical Sheet'!E227:$E$253, 'Table of Contents &amp; Validation'!B39:$B$65, "")</f>
        <v/>
      </c>
      <c r="F164" s="312"/>
    </row>
    <row r="165" spans="1:7" ht="14.4" customHeight="1" outlineLevel="1">
      <c r="A165" s="706"/>
      <c r="B165" s="708"/>
      <c r="C165" s="721"/>
      <c r="D165" s="722"/>
      <c r="E165" s="341" t="str" cm="1">
        <f t="array" ref="E165">_xlfn.XLOOKUP('Technical Sheet'!A158, 'Technical Sheet'!E228:$E$253, 'Table of Contents &amp; Validation'!B40:$B$65, "")</f>
        <v/>
      </c>
      <c r="F165" s="312"/>
    </row>
    <row r="166" spans="1:7" ht="14.4" customHeight="1" outlineLevel="1">
      <c r="A166" s="706"/>
      <c r="B166" s="708"/>
      <c r="C166" s="721"/>
      <c r="D166" s="722"/>
      <c r="E166" s="341" t="str" cm="1">
        <f t="array" ref="E166">_xlfn.XLOOKUP('Technical Sheet'!A159, 'Technical Sheet'!E229:$E$253, 'Table of Contents &amp; Validation'!B41:$B$65, "")</f>
        <v/>
      </c>
      <c r="F166" s="312"/>
    </row>
    <row r="167" spans="1:7" ht="14.4" customHeight="1" outlineLevel="1">
      <c r="A167" s="706"/>
      <c r="B167" s="708"/>
      <c r="C167" s="721"/>
      <c r="D167" s="722"/>
      <c r="E167" s="341" t="str" cm="1">
        <f t="array" ref="E167">_xlfn.XLOOKUP('Technical Sheet'!A160, 'Technical Sheet'!E230:$E$253, 'Table of Contents &amp; Validation'!B42:$B$65, "")</f>
        <v/>
      </c>
      <c r="F167" s="312"/>
    </row>
    <row r="168" spans="1:7" ht="14.4" customHeight="1" outlineLevel="1">
      <c r="A168" s="706"/>
      <c r="B168" s="708"/>
      <c r="C168" s="721"/>
      <c r="D168" s="722"/>
      <c r="E168" s="341" t="str" cm="1">
        <f t="array" ref="E168">_xlfn.XLOOKUP('Technical Sheet'!A161, 'Technical Sheet'!E231:$E$253, 'Table of Contents &amp; Validation'!B43:$B$65, "")</f>
        <v/>
      </c>
      <c r="F168" s="312"/>
    </row>
    <row r="169" spans="1:7" ht="14.4" customHeight="1" outlineLevel="1">
      <c r="A169" s="706"/>
      <c r="B169" s="708"/>
      <c r="C169" s="721"/>
      <c r="D169" s="722"/>
      <c r="E169" s="341" t="str" cm="1">
        <f t="array" ref="E169">_xlfn.XLOOKUP('Technical Sheet'!A162, 'Technical Sheet'!E232:$E$253, 'Table of Contents &amp; Validation'!B44:$B$65, "")</f>
        <v/>
      </c>
      <c r="F169" s="312"/>
    </row>
    <row r="170" spans="1:7" ht="14.4" customHeight="1" outlineLevel="1">
      <c r="A170" s="706"/>
      <c r="B170" s="708"/>
      <c r="C170" s="721"/>
      <c r="D170" s="722"/>
      <c r="E170" s="341" t="str" cm="1">
        <f t="array" ref="E170">_xlfn.XLOOKUP('Technical Sheet'!A163, 'Technical Sheet'!E233:$E$253, 'Table of Contents &amp; Validation'!B45:$B$65, "")</f>
        <v/>
      </c>
      <c r="F170" s="312"/>
    </row>
    <row r="171" spans="1:7" ht="14.4" customHeight="1" outlineLevel="1">
      <c r="A171" s="706"/>
      <c r="B171" s="708"/>
      <c r="C171" s="721"/>
      <c r="D171" s="722"/>
      <c r="E171" s="341" t="str" cm="1">
        <f t="array" ref="E171">_xlfn.XLOOKUP('Technical Sheet'!A164, 'Technical Sheet'!E234:$E$253, 'Table of Contents &amp; Validation'!B46:$B$65, "")</f>
        <v/>
      </c>
      <c r="F171" s="312"/>
    </row>
    <row r="172" spans="1:7" ht="14.4" customHeight="1" outlineLevel="1" thickBot="1">
      <c r="A172" s="706"/>
      <c r="B172" s="708"/>
      <c r="C172" s="721"/>
      <c r="D172" s="722"/>
      <c r="E172" s="341" t="str" cm="1">
        <f t="array" ref="E172">_xlfn.XLOOKUP('Technical Sheet'!A165, 'Technical Sheet'!E235:$E$253, 'Table of Contents &amp; Validation'!B47:$B$65, "")</f>
        <v/>
      </c>
      <c r="F172" s="312"/>
    </row>
    <row r="173" spans="1:7" ht="14.4" customHeight="1" thickBot="1">
      <c r="A173" s="471"/>
      <c r="B173" s="471"/>
      <c r="C173" s="492"/>
      <c r="D173" s="492"/>
      <c r="E173" s="492"/>
      <c r="F173"/>
    </row>
    <row r="174" spans="1:7" ht="14.4" customHeight="1" thickBot="1">
      <c r="C174" s="709" t="str">
        <f>template_label_b1_other_undertakings_general_information &amp; " " &amp; template_label_from &amp; " " &amp; template_starting_date_display &amp; " " &amp; template_label_to &amp; " " &amp; template_ending_date_display</f>
        <v>B1 - Other undertaking's general information from - to -</v>
      </c>
      <c r="D174" s="710"/>
      <c r="E174" s="711"/>
      <c r="F174"/>
    </row>
    <row r="175" spans="1:7">
      <c r="A175" s="345" t="s">
        <v>13</v>
      </c>
      <c r="B175" s="187" t="s">
        <v>10</v>
      </c>
      <c r="C175" s="779" t="str">
        <f>template_label_basis_for_reporting</f>
        <v>Basis for reporting (consolidated or individual basis)</v>
      </c>
      <c r="D175" s="779"/>
      <c r="E175" s="370"/>
      <c r="F175" s="11" t="str">
        <f>IF(
    OR(
        'Table of Contents &amp; Validation'!D13=TRUE,
        'Table of Contents &amp; Validation'!D11=TRUE
    ),
    IF(
        AND(
            OR(
                E125="Option A (Basic Module only)",
                E125="Option B (Basic Module and Comprehensive Module)"
            ),
            E175=""
        ),
        "",
        IF(
            AND(E125&lt;&gt;"", E175&lt;&gt;""),
            template_label_ok,
            ""
        )
    ),
    IF(
        AND(
            OR(
                E125="Option A (Basic Module only)",
                E125="Option B (Basic Module and Comprehensive Module)"
            ),
            E175=""
        ),
        template_label_missing_value,
        IF(
            AND(E125&lt;&gt;"", E175&lt;&gt;""),
            template_label_ok,
            ""
        )
    )
)</f>
        <v/>
      </c>
    </row>
    <row r="176" spans="1:7">
      <c r="A176" s="702" t="s">
        <v>14</v>
      </c>
      <c r="B176" s="704">
        <v>4</v>
      </c>
      <c r="C176" s="714" t="str">
        <f>template_label_undertakings_legal_form</f>
        <v>Undertakings legal form</v>
      </c>
      <c r="D176" s="714"/>
      <c r="E176" s="53"/>
      <c r="F176" s="11" t="str">
        <f>IF(OR(
'Table of Contents &amp; Validation'!D13=TRUE, 'Table of Contents &amp; Validation'!D11=TRUE),IF(AND(OR(E125="Option A (Basic Module only)",E125="Option B (Basic Module and Comprehensive Module)"),E176=""),
"",
IF(E125="","",template_label_ok)),
IF(AND(OR(E125="Option A (Basic Module only)",E125="Option B (Basic Module and Comprehensive Module)"),E176=""),
template_label_missing_value,
IF(E125="","",template_label_ok))
)</f>
        <v/>
      </c>
      <c r="G176" t="str">
        <f>template_label_other_warning</f>
        <v>ℹ️ When "other" is chosen as undertaking legal form, please fill the row below</v>
      </c>
    </row>
    <row r="177" spans="1:7">
      <c r="A177" s="702"/>
      <c r="B177" s="704"/>
      <c r="C177" s="760" t="str">
        <f>template_label_other_undertakings_legal_form_specification</f>
        <v>Other undertaking's legal form specification</v>
      </c>
      <c r="D177" s="760"/>
      <c r="E177" s="55"/>
      <c r="F177" s="11" t="str">
        <f>IF(
'Table of Contents &amp; Validation'!D12=TRUE,
IF(AND(E176 = "other (please specify the legal form in the row below)", E177 &lt;&gt; ""),
    template_label_ok,
IF(AND(E176 = "other (please specify the legal form in the row below)", E177 = ""),
    template_label_missing_value,
IF(AND(E176 = "", E177 = ""),
    "",
IF(AND(E176 &lt;&gt; "other (please specify the legal form in the row below)", E177 = ""),
    "",
"")))),
IF(AND(E176 = "other (please specify the legal form in the row below)", E177 &lt;&gt; ""),
    template_label_ok,
IF(AND(E176 = "other (please specify the legal form in the row below)", E177 = ""),
    template_label_missing_value,
IF(AND(E176 = "", E177 = ""),
    "",
IF(AND(E176 &lt;&gt; "other (please specify the legal form in the row below)", E177 = ""),
    "",
""))))
)</f>
        <v/>
      </c>
    </row>
    <row r="178" spans="1:7" ht="14.4" customHeight="1">
      <c r="A178" s="702" t="s">
        <v>15</v>
      </c>
      <c r="B178" s="703" t="s">
        <v>16</v>
      </c>
      <c r="C178" s="759" t="str">
        <f>template_label_nace_sector_classification_code</f>
        <v>NACE sector classification code(s)</v>
      </c>
      <c r="D178" s="759"/>
      <c r="E178" s="53"/>
      <c r="F178" s="11" t="str">
        <f>IF(OR(
'Table of Contents &amp; Validation'!D13=TRUE,'Table of Contents &amp; Validation'!D11=TRUE),IF(OR(E125="Option A (Basic Module only)",E125="Option B (Basic Module and Comprehensive Module)"),
IF(COUNTIF(enum_ListNACECategories,E178)&gt;0,template_label_error,
IF(E178="","",
IF(COUNTIF($E$178:$E$277,E178)&gt;1,template_label_value_inconsistency,template_label_ok)
)
),
""
),
IF(OR(E125="Option A (Basic Module only)",E125="Option B (Basic Module and Comprehensive Module)"),
IF(COUNTIF(enum_ListNACECategories,E178)&gt;0,template_label_error,
IF(E178="",template_label_missing_value,
IF(COUNTIF($E$178:$E$277,E178)&gt;1,template_label_value_inconsistency,template_label_ok)
)
),
""
)
)</f>
        <v/>
      </c>
      <c r="G178" t="str">
        <f>template_label_NACE_warning</f>
        <v>ℹ️  Please select a NACE code rather than a category else an ERROR message will appear.</v>
      </c>
    </row>
    <row r="179" spans="1:7" ht="14.4" customHeight="1">
      <c r="A179" s="702"/>
      <c r="B179" s="703"/>
      <c r="C179" s="759"/>
      <c r="D179" s="759"/>
      <c r="E179" s="53"/>
      <c r="F179" s="11" t="str">
        <f>IF(COUNTIF(enum_ListNACECategories, E179) &gt; 0, template_label_error,
IF(E179 = "", "",
IF(COUNTIF($E$178:$E$277, E179) &gt; 1, template_label_value_inconsistency, template_label_ok)))</f>
        <v/>
      </c>
    </row>
    <row r="180" spans="1:7" ht="14.4" customHeight="1">
      <c r="A180" s="702"/>
      <c r="B180" s="703"/>
      <c r="C180" s="759"/>
      <c r="D180" s="759"/>
      <c r="E180" s="53"/>
      <c r="F180" s="11" t="str">
        <f t="shared" ref="F180:F210" si="1">IF(COUNTIF(enum_ListNACECategories, E180) &gt; 0, template_label_error,
IF(E180 = "", "",
IF(COUNTIF($E$178:$E$277, E180) &gt; 1, template_label_value_inconsistency, template_label_ok)))</f>
        <v/>
      </c>
    </row>
    <row r="181" spans="1:7" ht="14.4" hidden="1" customHeight="1" outlineLevel="2">
      <c r="A181" s="702"/>
      <c r="B181" s="703"/>
      <c r="C181" s="759"/>
      <c r="D181" s="759"/>
      <c r="E181" s="53"/>
      <c r="F181" s="11" t="str">
        <f t="shared" si="1"/>
        <v/>
      </c>
    </row>
    <row r="182" spans="1:7" ht="14.4" hidden="1" customHeight="1" outlineLevel="2">
      <c r="A182" s="702"/>
      <c r="B182" s="703"/>
      <c r="C182" s="759"/>
      <c r="D182" s="759"/>
      <c r="E182" s="53"/>
      <c r="F182" s="11" t="str">
        <f t="shared" si="1"/>
        <v/>
      </c>
    </row>
    <row r="183" spans="1:7" ht="14.4" hidden="1" customHeight="1" outlineLevel="2">
      <c r="A183" s="702"/>
      <c r="B183" s="703"/>
      <c r="C183" s="759"/>
      <c r="D183" s="759"/>
      <c r="E183" s="53"/>
      <c r="F183" s="11" t="str">
        <f t="shared" si="1"/>
        <v/>
      </c>
    </row>
    <row r="184" spans="1:7" ht="14.4" hidden="1" customHeight="1" outlineLevel="2">
      <c r="A184" s="702"/>
      <c r="B184" s="703"/>
      <c r="C184" s="759"/>
      <c r="D184" s="759"/>
      <c r="E184" s="53"/>
      <c r="F184" s="11" t="str">
        <f t="shared" si="1"/>
        <v/>
      </c>
    </row>
    <row r="185" spans="1:7" ht="14.4" hidden="1" customHeight="1" outlineLevel="2">
      <c r="A185" s="702"/>
      <c r="B185" s="703"/>
      <c r="C185" s="759"/>
      <c r="D185" s="759"/>
      <c r="E185" s="53"/>
      <c r="F185" s="11" t="str">
        <f t="shared" si="1"/>
        <v/>
      </c>
    </row>
    <row r="186" spans="1:7" ht="14.4" hidden="1" customHeight="1" outlineLevel="2">
      <c r="A186" s="702"/>
      <c r="B186" s="703"/>
      <c r="C186" s="759"/>
      <c r="D186" s="759"/>
      <c r="E186" s="53"/>
      <c r="F186" s="11" t="str">
        <f t="shared" si="1"/>
        <v/>
      </c>
    </row>
    <row r="187" spans="1:7" ht="14.4" hidden="1" customHeight="1" outlineLevel="2">
      <c r="A187" s="702"/>
      <c r="B187" s="703"/>
      <c r="C187" s="759"/>
      <c r="D187" s="759"/>
      <c r="E187" s="53"/>
      <c r="F187" s="11" t="str">
        <f t="shared" si="1"/>
        <v/>
      </c>
    </row>
    <row r="188" spans="1:7" ht="14.4" hidden="1" customHeight="1" outlineLevel="2">
      <c r="A188" s="702"/>
      <c r="B188" s="703"/>
      <c r="C188" s="759"/>
      <c r="D188" s="759"/>
      <c r="E188" s="53"/>
      <c r="F188" s="11" t="str">
        <f t="shared" si="1"/>
        <v/>
      </c>
    </row>
    <row r="189" spans="1:7" ht="14.4" hidden="1" customHeight="1" outlineLevel="2">
      <c r="A189" s="702"/>
      <c r="B189" s="703"/>
      <c r="C189" s="759"/>
      <c r="D189" s="759"/>
      <c r="E189" s="53"/>
      <c r="F189" s="11" t="str">
        <f t="shared" si="1"/>
        <v/>
      </c>
    </row>
    <row r="190" spans="1:7" ht="14.4" hidden="1" customHeight="1" outlineLevel="2">
      <c r="A190" s="702"/>
      <c r="B190" s="703"/>
      <c r="C190" s="759"/>
      <c r="D190" s="759"/>
      <c r="E190" s="53"/>
      <c r="F190" s="11" t="str">
        <f t="shared" si="1"/>
        <v/>
      </c>
    </row>
    <row r="191" spans="1:7" ht="14.4" hidden="1" customHeight="1" outlineLevel="2">
      <c r="A191" s="702"/>
      <c r="B191" s="703"/>
      <c r="C191" s="759"/>
      <c r="D191" s="759"/>
      <c r="E191" s="53"/>
      <c r="F191" s="11" t="str">
        <f t="shared" si="1"/>
        <v/>
      </c>
    </row>
    <row r="192" spans="1:7" ht="14.4" hidden="1" customHeight="1" outlineLevel="2">
      <c r="A192" s="702"/>
      <c r="B192" s="703"/>
      <c r="C192" s="759"/>
      <c r="D192" s="759"/>
      <c r="E192" s="53"/>
      <c r="F192" s="11" t="str">
        <f t="shared" si="1"/>
        <v/>
      </c>
    </row>
    <row r="193" spans="1:6" ht="14.4" hidden="1" customHeight="1" outlineLevel="2">
      <c r="A193" s="702"/>
      <c r="B193" s="703"/>
      <c r="C193" s="759"/>
      <c r="D193" s="759"/>
      <c r="E193" s="53"/>
      <c r="F193" s="11" t="str">
        <f t="shared" si="1"/>
        <v/>
      </c>
    </row>
    <row r="194" spans="1:6" ht="14.4" hidden="1" customHeight="1" outlineLevel="2">
      <c r="A194" s="702"/>
      <c r="B194" s="703"/>
      <c r="C194" s="759"/>
      <c r="D194" s="759"/>
      <c r="E194" s="53"/>
      <c r="F194" s="11" t="str">
        <f t="shared" si="1"/>
        <v/>
      </c>
    </row>
    <row r="195" spans="1:6" ht="14.4" hidden="1" customHeight="1" outlineLevel="2">
      <c r="A195" s="702"/>
      <c r="B195" s="703"/>
      <c r="C195" s="759"/>
      <c r="D195" s="759"/>
      <c r="E195" s="53"/>
      <c r="F195" s="11" t="str">
        <f t="shared" si="1"/>
        <v/>
      </c>
    </row>
    <row r="196" spans="1:6" ht="14.4" hidden="1" customHeight="1" outlineLevel="2">
      <c r="A196" s="702"/>
      <c r="B196" s="703"/>
      <c r="C196" s="759"/>
      <c r="D196" s="759"/>
      <c r="E196" s="53"/>
      <c r="F196" s="11" t="str">
        <f t="shared" si="1"/>
        <v/>
      </c>
    </row>
    <row r="197" spans="1:6" ht="14.4" hidden="1" customHeight="1" outlineLevel="2">
      <c r="A197" s="702"/>
      <c r="B197" s="703"/>
      <c r="C197" s="759"/>
      <c r="D197" s="759"/>
      <c r="E197" s="53"/>
      <c r="F197" s="11" t="str">
        <f t="shared" si="1"/>
        <v/>
      </c>
    </row>
    <row r="198" spans="1:6" ht="14.4" hidden="1" customHeight="1" outlineLevel="2">
      <c r="A198" s="702"/>
      <c r="B198" s="703"/>
      <c r="C198" s="759"/>
      <c r="D198" s="759"/>
      <c r="E198" s="53"/>
      <c r="F198" s="11" t="str">
        <f t="shared" si="1"/>
        <v/>
      </c>
    </row>
    <row r="199" spans="1:6" ht="14.4" hidden="1" customHeight="1" outlineLevel="2">
      <c r="A199" s="702"/>
      <c r="B199" s="703"/>
      <c r="C199" s="759"/>
      <c r="D199" s="759"/>
      <c r="E199" s="53"/>
      <c r="F199" s="11" t="str">
        <f t="shared" si="1"/>
        <v/>
      </c>
    </row>
    <row r="200" spans="1:6" ht="14.4" hidden="1" customHeight="1" outlineLevel="2">
      <c r="A200" s="702"/>
      <c r="B200" s="703"/>
      <c r="C200" s="759"/>
      <c r="D200" s="759"/>
      <c r="E200" s="53"/>
      <c r="F200" s="11" t="str">
        <f t="shared" si="1"/>
        <v/>
      </c>
    </row>
    <row r="201" spans="1:6" ht="14.4" hidden="1" customHeight="1" outlineLevel="2">
      <c r="A201" s="702"/>
      <c r="B201" s="703"/>
      <c r="C201" s="759"/>
      <c r="D201" s="759"/>
      <c r="E201" s="53"/>
      <c r="F201" s="11" t="str">
        <f t="shared" si="1"/>
        <v/>
      </c>
    </row>
    <row r="202" spans="1:6" ht="14.4" hidden="1" customHeight="1" outlineLevel="2">
      <c r="A202" s="702"/>
      <c r="B202" s="703"/>
      <c r="C202" s="759"/>
      <c r="D202" s="759"/>
      <c r="E202" s="53"/>
      <c r="F202" s="11" t="str">
        <f t="shared" si="1"/>
        <v/>
      </c>
    </row>
    <row r="203" spans="1:6" ht="14.4" hidden="1" customHeight="1" outlineLevel="2">
      <c r="A203" s="702"/>
      <c r="B203" s="703"/>
      <c r="C203" s="759"/>
      <c r="D203" s="759"/>
      <c r="E203" s="53"/>
      <c r="F203" s="11" t="str">
        <f t="shared" si="1"/>
        <v/>
      </c>
    </row>
    <row r="204" spans="1:6" ht="14.4" hidden="1" customHeight="1" outlineLevel="2">
      <c r="A204" s="702"/>
      <c r="B204" s="703"/>
      <c r="C204" s="759"/>
      <c r="D204" s="759"/>
      <c r="E204" s="53"/>
      <c r="F204" s="11" t="str">
        <f t="shared" si="1"/>
        <v/>
      </c>
    </row>
    <row r="205" spans="1:6" ht="14.4" hidden="1" customHeight="1" outlineLevel="2">
      <c r="A205" s="702"/>
      <c r="B205" s="703"/>
      <c r="C205" s="759"/>
      <c r="D205" s="759"/>
      <c r="E205" s="53"/>
      <c r="F205" s="11" t="str">
        <f t="shared" si="1"/>
        <v/>
      </c>
    </row>
    <row r="206" spans="1:6" ht="14.4" hidden="1" customHeight="1" outlineLevel="2">
      <c r="A206" s="702"/>
      <c r="B206" s="703"/>
      <c r="C206" s="759"/>
      <c r="D206" s="759"/>
      <c r="E206" s="53"/>
      <c r="F206" s="11" t="str">
        <f t="shared" si="1"/>
        <v/>
      </c>
    </row>
    <row r="207" spans="1:6" ht="14.4" hidden="1" customHeight="1" outlineLevel="2">
      <c r="A207" s="702"/>
      <c r="B207" s="703"/>
      <c r="C207" s="759"/>
      <c r="D207" s="759"/>
      <c r="E207" s="53"/>
      <c r="F207" s="11" t="str">
        <f t="shared" si="1"/>
        <v/>
      </c>
    </row>
    <row r="208" spans="1:6" ht="14.4" hidden="1" customHeight="1" outlineLevel="2">
      <c r="A208" s="702"/>
      <c r="B208" s="703"/>
      <c r="C208" s="759"/>
      <c r="D208" s="759"/>
      <c r="E208" s="53"/>
      <c r="F208" s="11" t="str">
        <f t="shared" si="1"/>
        <v/>
      </c>
    </row>
    <row r="209" spans="1:6" ht="14.4" hidden="1" customHeight="1" outlineLevel="2">
      <c r="A209" s="702"/>
      <c r="B209" s="703"/>
      <c r="C209" s="759"/>
      <c r="D209" s="759"/>
      <c r="E209" s="53"/>
      <c r="F209" s="11" t="str">
        <f t="shared" si="1"/>
        <v/>
      </c>
    </row>
    <row r="210" spans="1:6" ht="14.4" hidden="1" customHeight="1" outlineLevel="2">
      <c r="A210" s="702"/>
      <c r="B210" s="703"/>
      <c r="C210" s="759"/>
      <c r="D210" s="759"/>
      <c r="E210" s="53"/>
      <c r="F210" s="11" t="str">
        <f t="shared" si="1"/>
        <v/>
      </c>
    </row>
    <row r="211" spans="1:6" ht="14.4" hidden="1" customHeight="1" outlineLevel="2">
      <c r="A211" s="702"/>
      <c r="B211" s="703"/>
      <c r="C211" s="759"/>
      <c r="D211" s="759"/>
      <c r="E211" s="53"/>
      <c r="F211" s="11" t="str">
        <f t="shared" ref="F211:F242" si="2">IF(COUNTIF(enum_ListNACECategories, E211) &gt; 0, template_label_error,
IF(E211 = "", "",
IF(COUNTIF($E$178:$E$277, E211) &gt; 1, template_label_value_inconsistency, template_label_ok)))</f>
        <v/>
      </c>
    </row>
    <row r="212" spans="1:6" ht="14.4" hidden="1" customHeight="1" outlineLevel="2">
      <c r="A212" s="702"/>
      <c r="B212" s="703"/>
      <c r="C212" s="759"/>
      <c r="D212" s="759"/>
      <c r="E212" s="53"/>
      <c r="F212" s="11" t="str">
        <f t="shared" si="2"/>
        <v/>
      </c>
    </row>
    <row r="213" spans="1:6" ht="14.4" hidden="1" customHeight="1" outlineLevel="2">
      <c r="A213" s="702"/>
      <c r="B213" s="703"/>
      <c r="C213" s="759"/>
      <c r="D213" s="759"/>
      <c r="E213" s="53"/>
      <c r="F213" s="11" t="str">
        <f t="shared" si="2"/>
        <v/>
      </c>
    </row>
    <row r="214" spans="1:6" ht="14.4" hidden="1" customHeight="1" outlineLevel="2">
      <c r="A214" s="702"/>
      <c r="B214" s="703"/>
      <c r="C214" s="759"/>
      <c r="D214" s="759"/>
      <c r="E214" s="53"/>
      <c r="F214" s="11" t="str">
        <f t="shared" si="2"/>
        <v/>
      </c>
    </row>
    <row r="215" spans="1:6" ht="14.4" hidden="1" customHeight="1" outlineLevel="2">
      <c r="A215" s="702"/>
      <c r="B215" s="703"/>
      <c r="C215" s="759"/>
      <c r="D215" s="759"/>
      <c r="E215" s="53"/>
      <c r="F215" s="11" t="str">
        <f t="shared" si="2"/>
        <v/>
      </c>
    </row>
    <row r="216" spans="1:6" ht="14.4" hidden="1" customHeight="1" outlineLevel="2">
      <c r="A216" s="702"/>
      <c r="B216" s="703"/>
      <c r="C216" s="759"/>
      <c r="D216" s="759"/>
      <c r="E216" s="53"/>
      <c r="F216" s="11" t="str">
        <f t="shared" si="2"/>
        <v/>
      </c>
    </row>
    <row r="217" spans="1:6" ht="14.4" hidden="1" customHeight="1" outlineLevel="2">
      <c r="A217" s="702"/>
      <c r="B217" s="703"/>
      <c r="C217" s="759"/>
      <c r="D217" s="759"/>
      <c r="E217" s="53"/>
      <c r="F217" s="11" t="str">
        <f t="shared" si="2"/>
        <v/>
      </c>
    </row>
    <row r="218" spans="1:6" ht="14.4" hidden="1" customHeight="1" outlineLevel="2">
      <c r="A218" s="702"/>
      <c r="B218" s="703"/>
      <c r="C218" s="759"/>
      <c r="D218" s="759"/>
      <c r="E218" s="53"/>
      <c r="F218" s="11" t="str">
        <f t="shared" si="2"/>
        <v/>
      </c>
    </row>
    <row r="219" spans="1:6" ht="14.4" hidden="1" customHeight="1" outlineLevel="2">
      <c r="A219" s="702"/>
      <c r="B219" s="703"/>
      <c r="C219" s="759"/>
      <c r="D219" s="759"/>
      <c r="E219" s="53"/>
      <c r="F219" s="11" t="str">
        <f t="shared" si="2"/>
        <v/>
      </c>
    </row>
    <row r="220" spans="1:6" ht="14.4" hidden="1" customHeight="1" outlineLevel="2">
      <c r="A220" s="702"/>
      <c r="B220" s="703"/>
      <c r="C220" s="759"/>
      <c r="D220" s="759"/>
      <c r="E220" s="53"/>
      <c r="F220" s="11" t="str">
        <f t="shared" si="2"/>
        <v/>
      </c>
    </row>
    <row r="221" spans="1:6" ht="14.4" hidden="1" customHeight="1" outlineLevel="2">
      <c r="A221" s="702"/>
      <c r="B221" s="703"/>
      <c r="C221" s="759"/>
      <c r="D221" s="759"/>
      <c r="E221" s="53"/>
      <c r="F221" s="11" t="str">
        <f t="shared" si="2"/>
        <v/>
      </c>
    </row>
    <row r="222" spans="1:6" ht="14.4" hidden="1" customHeight="1" outlineLevel="2">
      <c r="A222" s="702"/>
      <c r="B222" s="703"/>
      <c r="C222" s="759"/>
      <c r="D222" s="759"/>
      <c r="E222" s="53"/>
      <c r="F222" s="11" t="str">
        <f t="shared" si="2"/>
        <v/>
      </c>
    </row>
    <row r="223" spans="1:6" ht="14.4" hidden="1" customHeight="1" outlineLevel="2">
      <c r="A223" s="702"/>
      <c r="B223" s="703"/>
      <c r="C223" s="759"/>
      <c r="D223" s="759"/>
      <c r="E223" s="53"/>
      <c r="F223" s="11" t="str">
        <f t="shared" si="2"/>
        <v/>
      </c>
    </row>
    <row r="224" spans="1:6" ht="14.4" hidden="1" customHeight="1" outlineLevel="2">
      <c r="A224" s="702"/>
      <c r="B224" s="703"/>
      <c r="C224" s="759"/>
      <c r="D224" s="759"/>
      <c r="E224" s="53"/>
      <c r="F224" s="11" t="str">
        <f t="shared" si="2"/>
        <v/>
      </c>
    </row>
    <row r="225" spans="1:6" ht="14.4" hidden="1" customHeight="1" outlineLevel="2">
      <c r="A225" s="702"/>
      <c r="B225" s="703"/>
      <c r="C225" s="759"/>
      <c r="D225" s="759"/>
      <c r="E225" s="53"/>
      <c r="F225" s="11" t="str">
        <f t="shared" si="2"/>
        <v/>
      </c>
    </row>
    <row r="226" spans="1:6" ht="14.4" hidden="1" customHeight="1" outlineLevel="2">
      <c r="A226" s="702"/>
      <c r="B226" s="703"/>
      <c r="C226" s="759"/>
      <c r="D226" s="759"/>
      <c r="E226" s="53"/>
      <c r="F226" s="11" t="str">
        <f t="shared" si="2"/>
        <v/>
      </c>
    </row>
    <row r="227" spans="1:6" ht="14.4" hidden="1" customHeight="1" outlineLevel="2">
      <c r="A227" s="702"/>
      <c r="B227" s="703"/>
      <c r="C227" s="759"/>
      <c r="D227" s="759"/>
      <c r="E227" s="53"/>
      <c r="F227" s="11" t="str">
        <f t="shared" si="2"/>
        <v/>
      </c>
    </row>
    <row r="228" spans="1:6" ht="14.4" hidden="1" customHeight="1" outlineLevel="2">
      <c r="A228" s="702"/>
      <c r="B228" s="703"/>
      <c r="C228" s="759"/>
      <c r="D228" s="759"/>
      <c r="E228" s="53"/>
      <c r="F228" s="11" t="str">
        <f t="shared" si="2"/>
        <v/>
      </c>
    </row>
    <row r="229" spans="1:6" ht="14.4" hidden="1" customHeight="1" outlineLevel="2">
      <c r="A229" s="702"/>
      <c r="B229" s="703"/>
      <c r="C229" s="759"/>
      <c r="D229" s="759"/>
      <c r="E229" s="53"/>
      <c r="F229" s="11" t="str">
        <f t="shared" si="2"/>
        <v/>
      </c>
    </row>
    <row r="230" spans="1:6" ht="14.4" hidden="1" customHeight="1" outlineLevel="2">
      <c r="A230" s="702"/>
      <c r="B230" s="703"/>
      <c r="C230" s="759"/>
      <c r="D230" s="759"/>
      <c r="E230" s="53"/>
      <c r="F230" s="11" t="str">
        <f t="shared" si="2"/>
        <v/>
      </c>
    </row>
    <row r="231" spans="1:6" ht="14.4" hidden="1" customHeight="1" outlineLevel="2">
      <c r="A231" s="702"/>
      <c r="B231" s="703"/>
      <c r="C231" s="759"/>
      <c r="D231" s="759"/>
      <c r="E231" s="53"/>
      <c r="F231" s="11" t="str">
        <f t="shared" si="2"/>
        <v/>
      </c>
    </row>
    <row r="232" spans="1:6" ht="14.4" hidden="1" customHeight="1" outlineLevel="2">
      <c r="A232" s="702"/>
      <c r="B232" s="703"/>
      <c r="C232" s="759"/>
      <c r="D232" s="759"/>
      <c r="E232" s="53"/>
      <c r="F232" s="11" t="str">
        <f t="shared" si="2"/>
        <v/>
      </c>
    </row>
    <row r="233" spans="1:6" ht="14.4" hidden="1" customHeight="1" outlineLevel="2">
      <c r="A233" s="702"/>
      <c r="B233" s="703"/>
      <c r="C233" s="759"/>
      <c r="D233" s="759"/>
      <c r="E233" s="53"/>
      <c r="F233" s="11" t="str">
        <f t="shared" si="2"/>
        <v/>
      </c>
    </row>
    <row r="234" spans="1:6" ht="14.4" hidden="1" customHeight="1" outlineLevel="2">
      <c r="A234" s="702"/>
      <c r="B234" s="703"/>
      <c r="C234" s="759"/>
      <c r="D234" s="759"/>
      <c r="E234" s="53"/>
      <c r="F234" s="11" t="str">
        <f t="shared" si="2"/>
        <v/>
      </c>
    </row>
    <row r="235" spans="1:6" ht="14.4" hidden="1" customHeight="1" outlineLevel="2">
      <c r="A235" s="702"/>
      <c r="B235" s="703"/>
      <c r="C235" s="759"/>
      <c r="D235" s="759"/>
      <c r="E235" s="53"/>
      <c r="F235" s="11" t="str">
        <f t="shared" si="2"/>
        <v/>
      </c>
    </row>
    <row r="236" spans="1:6" ht="14.4" hidden="1" customHeight="1" outlineLevel="2">
      <c r="A236" s="702"/>
      <c r="B236" s="703"/>
      <c r="C236" s="759"/>
      <c r="D236" s="759"/>
      <c r="E236" s="53"/>
      <c r="F236" s="11" t="str">
        <f t="shared" si="2"/>
        <v/>
      </c>
    </row>
    <row r="237" spans="1:6" ht="14.4" hidden="1" customHeight="1" outlineLevel="2">
      <c r="A237" s="702"/>
      <c r="B237" s="703"/>
      <c r="C237" s="759"/>
      <c r="D237" s="759"/>
      <c r="E237" s="53"/>
      <c r="F237" s="11" t="str">
        <f t="shared" si="2"/>
        <v/>
      </c>
    </row>
    <row r="238" spans="1:6" ht="14.4" hidden="1" customHeight="1" outlineLevel="2">
      <c r="A238" s="702"/>
      <c r="B238" s="703"/>
      <c r="C238" s="759"/>
      <c r="D238" s="759"/>
      <c r="E238" s="53"/>
      <c r="F238" s="11" t="str">
        <f t="shared" si="2"/>
        <v/>
      </c>
    </row>
    <row r="239" spans="1:6" ht="14.4" hidden="1" customHeight="1" outlineLevel="2">
      <c r="A239" s="702"/>
      <c r="B239" s="703"/>
      <c r="C239" s="759"/>
      <c r="D239" s="759"/>
      <c r="E239" s="53"/>
      <c r="F239" s="11" t="str">
        <f t="shared" si="2"/>
        <v/>
      </c>
    </row>
    <row r="240" spans="1:6" ht="14.4" hidden="1" customHeight="1" outlineLevel="2">
      <c r="A240" s="702"/>
      <c r="B240" s="703"/>
      <c r="C240" s="759"/>
      <c r="D240" s="759"/>
      <c r="E240" s="53"/>
      <c r="F240" s="11" t="str">
        <f t="shared" si="2"/>
        <v/>
      </c>
    </row>
    <row r="241" spans="1:6" ht="14.4" hidden="1" customHeight="1" outlineLevel="2">
      <c r="A241" s="702"/>
      <c r="B241" s="703"/>
      <c r="C241" s="759"/>
      <c r="D241" s="759"/>
      <c r="E241" s="53"/>
      <c r="F241" s="11" t="str">
        <f t="shared" si="2"/>
        <v/>
      </c>
    </row>
    <row r="242" spans="1:6" ht="14.4" hidden="1" customHeight="1" outlineLevel="2">
      <c r="A242" s="702"/>
      <c r="B242" s="703"/>
      <c r="C242" s="759"/>
      <c r="D242" s="759"/>
      <c r="E242" s="53"/>
      <c r="F242" s="11" t="str">
        <f t="shared" si="2"/>
        <v/>
      </c>
    </row>
    <row r="243" spans="1:6" ht="14.4" hidden="1" customHeight="1" outlineLevel="2">
      <c r="A243" s="702"/>
      <c r="B243" s="703"/>
      <c r="C243" s="759"/>
      <c r="D243" s="759"/>
      <c r="E243" s="53"/>
      <c r="F243" s="11" t="str">
        <f t="shared" ref="F243:F274" si="3">IF(COUNTIF(enum_ListNACECategories, E243) &gt; 0, template_label_error,
IF(E243 = "", "",
IF(COUNTIF($E$178:$E$277, E243) &gt; 1, template_label_value_inconsistency, template_label_ok)))</f>
        <v/>
      </c>
    </row>
    <row r="244" spans="1:6" ht="14.4" hidden="1" customHeight="1" outlineLevel="2">
      <c r="A244" s="702"/>
      <c r="B244" s="703"/>
      <c r="C244" s="759"/>
      <c r="D244" s="759"/>
      <c r="E244" s="53"/>
      <c r="F244" s="11" t="str">
        <f t="shared" si="3"/>
        <v/>
      </c>
    </row>
    <row r="245" spans="1:6" ht="14.4" hidden="1" customHeight="1" outlineLevel="2">
      <c r="A245" s="702"/>
      <c r="B245" s="703"/>
      <c r="C245" s="759"/>
      <c r="D245" s="759"/>
      <c r="E245" s="53"/>
      <c r="F245" s="11" t="str">
        <f t="shared" si="3"/>
        <v/>
      </c>
    </row>
    <row r="246" spans="1:6" ht="14.4" hidden="1" customHeight="1" outlineLevel="2">
      <c r="A246" s="702"/>
      <c r="B246" s="703"/>
      <c r="C246" s="759"/>
      <c r="D246" s="759"/>
      <c r="E246" s="53"/>
      <c r="F246" s="11" t="str">
        <f t="shared" si="3"/>
        <v/>
      </c>
    </row>
    <row r="247" spans="1:6" ht="14.4" hidden="1" customHeight="1" outlineLevel="2">
      <c r="A247" s="702"/>
      <c r="B247" s="703"/>
      <c r="C247" s="759"/>
      <c r="D247" s="759"/>
      <c r="E247" s="53"/>
      <c r="F247" s="11" t="str">
        <f t="shared" si="3"/>
        <v/>
      </c>
    </row>
    <row r="248" spans="1:6" ht="14.4" hidden="1" customHeight="1" outlineLevel="2">
      <c r="A248" s="702"/>
      <c r="B248" s="703"/>
      <c r="C248" s="759"/>
      <c r="D248" s="759"/>
      <c r="E248" s="53"/>
      <c r="F248" s="11" t="str">
        <f t="shared" si="3"/>
        <v/>
      </c>
    </row>
    <row r="249" spans="1:6" ht="14.4" hidden="1" customHeight="1" outlineLevel="2">
      <c r="A249" s="702"/>
      <c r="B249" s="703"/>
      <c r="C249" s="759"/>
      <c r="D249" s="759"/>
      <c r="E249" s="53"/>
      <c r="F249" s="11" t="str">
        <f t="shared" si="3"/>
        <v/>
      </c>
    </row>
    <row r="250" spans="1:6" ht="14.4" hidden="1" customHeight="1" outlineLevel="2">
      <c r="A250" s="702"/>
      <c r="B250" s="703"/>
      <c r="C250" s="759"/>
      <c r="D250" s="759"/>
      <c r="E250" s="53"/>
      <c r="F250" s="11" t="str">
        <f t="shared" si="3"/>
        <v/>
      </c>
    </row>
    <row r="251" spans="1:6" ht="14.4" hidden="1" customHeight="1" outlineLevel="2">
      <c r="A251" s="702"/>
      <c r="B251" s="703"/>
      <c r="C251" s="759"/>
      <c r="D251" s="759"/>
      <c r="E251" s="53"/>
      <c r="F251" s="11" t="str">
        <f t="shared" si="3"/>
        <v/>
      </c>
    </row>
    <row r="252" spans="1:6" ht="14.4" hidden="1" customHeight="1" outlineLevel="2">
      <c r="A252" s="702"/>
      <c r="B252" s="703"/>
      <c r="C252" s="759"/>
      <c r="D252" s="759"/>
      <c r="E252" s="53"/>
      <c r="F252" s="11" t="str">
        <f t="shared" si="3"/>
        <v/>
      </c>
    </row>
    <row r="253" spans="1:6" ht="14.4" hidden="1" customHeight="1" outlineLevel="2">
      <c r="A253" s="702"/>
      <c r="B253" s="703"/>
      <c r="C253" s="759"/>
      <c r="D253" s="759"/>
      <c r="E253" s="53"/>
      <c r="F253" s="11" t="str">
        <f t="shared" si="3"/>
        <v/>
      </c>
    </row>
    <row r="254" spans="1:6" ht="14.4" hidden="1" customHeight="1" outlineLevel="2">
      <c r="A254" s="702"/>
      <c r="B254" s="703"/>
      <c r="C254" s="759"/>
      <c r="D254" s="759"/>
      <c r="E254" s="53"/>
      <c r="F254" s="11" t="str">
        <f t="shared" si="3"/>
        <v/>
      </c>
    </row>
    <row r="255" spans="1:6" ht="14.4" hidden="1" customHeight="1" outlineLevel="2">
      <c r="A255" s="702"/>
      <c r="B255" s="703"/>
      <c r="C255" s="759"/>
      <c r="D255" s="759"/>
      <c r="E255" s="53"/>
      <c r="F255" s="11" t="str">
        <f t="shared" si="3"/>
        <v/>
      </c>
    </row>
    <row r="256" spans="1:6" ht="14.4" hidden="1" customHeight="1" outlineLevel="2">
      <c r="A256" s="702"/>
      <c r="B256" s="703"/>
      <c r="C256" s="759"/>
      <c r="D256" s="759"/>
      <c r="E256" s="53"/>
      <c r="F256" s="11" t="str">
        <f t="shared" si="3"/>
        <v/>
      </c>
    </row>
    <row r="257" spans="1:6" ht="14.4" hidden="1" customHeight="1" outlineLevel="2">
      <c r="A257" s="702"/>
      <c r="B257" s="703"/>
      <c r="C257" s="759"/>
      <c r="D257" s="759"/>
      <c r="E257" s="53"/>
      <c r="F257" s="11" t="str">
        <f t="shared" si="3"/>
        <v/>
      </c>
    </row>
    <row r="258" spans="1:6" ht="14.4" hidden="1" customHeight="1" outlineLevel="2">
      <c r="A258" s="702"/>
      <c r="B258" s="703"/>
      <c r="C258" s="759"/>
      <c r="D258" s="759"/>
      <c r="E258" s="53"/>
      <c r="F258" s="11" t="str">
        <f t="shared" si="3"/>
        <v/>
      </c>
    </row>
    <row r="259" spans="1:6" ht="14.4" hidden="1" customHeight="1" outlineLevel="2">
      <c r="A259" s="702"/>
      <c r="B259" s="703"/>
      <c r="C259" s="759"/>
      <c r="D259" s="759"/>
      <c r="E259" s="53"/>
      <c r="F259" s="11" t="str">
        <f t="shared" si="3"/>
        <v/>
      </c>
    </row>
    <row r="260" spans="1:6" ht="14.4" hidden="1" customHeight="1" outlineLevel="2">
      <c r="A260" s="702"/>
      <c r="B260" s="703"/>
      <c r="C260" s="759"/>
      <c r="D260" s="759"/>
      <c r="E260" s="53"/>
      <c r="F260" s="11" t="str">
        <f t="shared" si="3"/>
        <v/>
      </c>
    </row>
    <row r="261" spans="1:6" ht="14.4" hidden="1" customHeight="1" outlineLevel="2">
      <c r="A261" s="702"/>
      <c r="B261" s="703"/>
      <c r="C261" s="759"/>
      <c r="D261" s="759"/>
      <c r="E261" s="53"/>
      <c r="F261" s="11" t="str">
        <f t="shared" si="3"/>
        <v/>
      </c>
    </row>
    <row r="262" spans="1:6" ht="14.4" hidden="1" customHeight="1" outlineLevel="2">
      <c r="A262" s="702"/>
      <c r="B262" s="703"/>
      <c r="C262" s="759"/>
      <c r="D262" s="759"/>
      <c r="E262" s="53"/>
      <c r="F262" s="11" t="str">
        <f t="shared" si="3"/>
        <v/>
      </c>
    </row>
    <row r="263" spans="1:6" ht="14.4" hidden="1" customHeight="1" outlineLevel="2">
      <c r="A263" s="702"/>
      <c r="B263" s="703"/>
      <c r="C263" s="759"/>
      <c r="D263" s="759"/>
      <c r="E263" s="53"/>
      <c r="F263" s="11" t="str">
        <f t="shared" si="3"/>
        <v/>
      </c>
    </row>
    <row r="264" spans="1:6" ht="14.4" hidden="1" customHeight="1" outlineLevel="2">
      <c r="A264" s="702"/>
      <c r="B264" s="703"/>
      <c r="C264" s="759"/>
      <c r="D264" s="759"/>
      <c r="E264" s="53"/>
      <c r="F264" s="11" t="str">
        <f t="shared" si="3"/>
        <v/>
      </c>
    </row>
    <row r="265" spans="1:6" ht="14.4" hidden="1" customHeight="1" outlineLevel="2">
      <c r="A265" s="702"/>
      <c r="B265" s="703"/>
      <c r="C265" s="759"/>
      <c r="D265" s="759"/>
      <c r="E265" s="53"/>
      <c r="F265" s="11" t="str">
        <f t="shared" si="3"/>
        <v/>
      </c>
    </row>
    <row r="266" spans="1:6" ht="14.4" hidden="1" customHeight="1" outlineLevel="2">
      <c r="A266" s="702"/>
      <c r="B266" s="703"/>
      <c r="C266" s="759"/>
      <c r="D266" s="759"/>
      <c r="E266" s="53"/>
      <c r="F266" s="11" t="str">
        <f t="shared" si="3"/>
        <v/>
      </c>
    </row>
    <row r="267" spans="1:6" ht="14.4" hidden="1" customHeight="1" outlineLevel="2">
      <c r="A267" s="702"/>
      <c r="B267" s="703"/>
      <c r="C267" s="759"/>
      <c r="D267" s="759"/>
      <c r="E267" s="53"/>
      <c r="F267" s="11" t="str">
        <f t="shared" si="3"/>
        <v/>
      </c>
    </row>
    <row r="268" spans="1:6" ht="14.4" hidden="1" customHeight="1" outlineLevel="2">
      <c r="A268" s="702"/>
      <c r="B268" s="703"/>
      <c r="C268" s="759"/>
      <c r="D268" s="759"/>
      <c r="E268" s="53"/>
      <c r="F268" s="11" t="str">
        <f t="shared" si="3"/>
        <v/>
      </c>
    </row>
    <row r="269" spans="1:6" ht="14.4" hidden="1" customHeight="1" outlineLevel="2">
      <c r="A269" s="702"/>
      <c r="B269" s="703"/>
      <c r="C269" s="759"/>
      <c r="D269" s="759"/>
      <c r="E269" s="53"/>
      <c r="F269" s="11" t="str">
        <f t="shared" si="3"/>
        <v/>
      </c>
    </row>
    <row r="270" spans="1:6" ht="14.4" hidden="1" customHeight="1" outlineLevel="2">
      <c r="A270" s="702"/>
      <c r="B270" s="703"/>
      <c r="C270" s="759"/>
      <c r="D270" s="759"/>
      <c r="E270" s="53"/>
      <c r="F270" s="11" t="str">
        <f t="shared" si="3"/>
        <v/>
      </c>
    </row>
    <row r="271" spans="1:6" ht="14.4" hidden="1" customHeight="1" outlineLevel="2">
      <c r="A271" s="702"/>
      <c r="B271" s="703"/>
      <c r="C271" s="759"/>
      <c r="D271" s="759"/>
      <c r="E271" s="53"/>
      <c r="F271" s="11" t="str">
        <f t="shared" si="3"/>
        <v/>
      </c>
    </row>
    <row r="272" spans="1:6" ht="14.4" hidden="1" customHeight="1" outlineLevel="2">
      <c r="A272" s="702"/>
      <c r="B272" s="703"/>
      <c r="C272" s="759"/>
      <c r="D272" s="759"/>
      <c r="E272" s="53"/>
      <c r="F272" s="11" t="str">
        <f t="shared" si="3"/>
        <v/>
      </c>
    </row>
    <row r="273" spans="1:7" ht="14.4" hidden="1" customHeight="1" outlineLevel="2">
      <c r="A273" s="702"/>
      <c r="B273" s="703"/>
      <c r="C273" s="759"/>
      <c r="D273" s="759"/>
      <c r="E273" s="53"/>
      <c r="F273" s="11" t="str">
        <f t="shared" si="3"/>
        <v/>
      </c>
    </row>
    <row r="274" spans="1:7" ht="14.4" hidden="1" customHeight="1" outlineLevel="2">
      <c r="A274" s="702"/>
      <c r="B274" s="703"/>
      <c r="C274" s="759"/>
      <c r="D274" s="759"/>
      <c r="E274" s="53"/>
      <c r="F274" s="11" t="str">
        <f t="shared" si="3"/>
        <v/>
      </c>
    </row>
    <row r="275" spans="1:7" ht="14.4" hidden="1" customHeight="1" outlineLevel="2">
      <c r="A275" s="702"/>
      <c r="B275" s="703"/>
      <c r="C275" s="759"/>
      <c r="D275" s="759"/>
      <c r="E275" s="53"/>
      <c r="F275" s="11" t="str">
        <f t="shared" ref="F275:F277" si="4">IF(COUNTIF(enum_ListNACECategories, E275) &gt; 0, template_label_error,
IF(E275 = "", "",
IF(COUNTIF($E$178:$E$277, E275) &gt; 1, template_label_value_inconsistency, template_label_ok)))</f>
        <v/>
      </c>
    </row>
    <row r="276" spans="1:7" ht="14.4" hidden="1" customHeight="1" outlineLevel="2">
      <c r="A276" s="702"/>
      <c r="B276" s="703"/>
      <c r="C276" s="759"/>
      <c r="D276" s="759"/>
      <c r="E276" s="53"/>
      <c r="F276" s="11" t="str">
        <f t="shared" si="4"/>
        <v/>
      </c>
    </row>
    <row r="277" spans="1:7" ht="14.4" hidden="1" customHeight="1" outlineLevel="2">
      <c r="A277" s="702"/>
      <c r="B277" s="703"/>
      <c r="C277" s="759"/>
      <c r="D277" s="759"/>
      <c r="E277" s="53"/>
      <c r="F277" s="11" t="str">
        <f t="shared" si="4"/>
        <v/>
      </c>
    </row>
    <row r="278" spans="1:7" ht="14.4" customHeight="1" collapsed="1">
      <c r="A278" s="345" t="s">
        <v>18</v>
      </c>
      <c r="B278" s="187" t="s">
        <v>10</v>
      </c>
      <c r="C278" s="714" t="str">
        <f>template_label_size_of_balance_sheet_in &amp; " " &amp; template_currency</f>
        <v xml:space="preserve">Size of balance sheet (total assets) in </v>
      </c>
      <c r="D278" s="714"/>
      <c r="E278" s="56"/>
      <c r="F278" s="11" t="str">
        <f>IF(OR(
'Table of Contents &amp; Validation'!D13=TRUE,'Table of Contents &amp; Validation'!D11=TRUE),IF(AND(OR(E125="Option A (Basic Module only)",E125="Option B (Basic Module and Comprehensive Module)"),E278=""),
"",
IF(E125="","",template_label_ok)),
IF(AND(OR(E125="Option A (Basic Module only)",E125="Option B (Basic Module and Comprehensive Module)"),E278=""),
template_label_missing_value,
IF(E125="","",template_label_ok))
)</f>
        <v/>
      </c>
    </row>
    <row r="279" spans="1:7" ht="14.4" customHeight="1">
      <c r="A279" s="345" t="s">
        <v>19</v>
      </c>
      <c r="B279" s="187" t="s">
        <v>10</v>
      </c>
      <c r="C279" s="714" t="str">
        <f>template_label_turnover_in &amp; " " &amp; template_currency</f>
        <v xml:space="preserve">Turnover in </v>
      </c>
      <c r="D279" s="714"/>
      <c r="E279" s="56"/>
      <c r="F279" s="11" t="str">
        <f>IF(OR(
'Table of Contents &amp; Validation'!D13=TRUE,'Table of Contents &amp; Validation'!D11=TRUE),
IF(AND(OR(E125 = "Option A (Basic Module only)", E125 = "Option B (Basic Module and Comprehensive Module)"), E279 = ""),
    "",
    IF(E125 = "", "", template_label_ok)),
IF(AND(OR(E125 = "Option A (Basic Module only)", E125 = "Option B (Basic Module and Comprehensive Module)"), E279 = ""),
    template_label_missing_value,
    IF(E125 = "", "", template_label_ok))
)</f>
        <v/>
      </c>
    </row>
    <row r="280" spans="1:7" ht="14.4" customHeight="1">
      <c r="A280" s="675" t="s">
        <v>20</v>
      </c>
      <c r="B280" s="678" t="s">
        <v>21</v>
      </c>
      <c r="C280" s="714" t="str">
        <f>+template_label_number_of_employees</f>
        <v>Number of employees</v>
      </c>
      <c r="D280" s="714"/>
      <c r="E280" s="57"/>
      <c r="F280" s="11" t="str">
        <f>IF(OR(
'Table of Contents &amp; Validation'!D13=TRUE, 'Table of Contents &amp; Validation'!D11=TRUE),
IF(AND(OR(E125 = "Option A (Basic Module only)", E125 = "Option B (Basic Module and Comprehensive Module)"), E280 = ""),
    "",
    IF(E125 = "", "", template_label_ok)),
IF(AND(OR(E125 = "Option A (Basic Module only)", E125 = "Option B (Basic Module and Comprehensive Module)"), E280 = ""),
    template_label_missing_value,
    IF(E125 = "", "", template_label_ok))
)</f>
        <v/>
      </c>
      <c r="G280" s="17" t="str">
        <f>IF(AND(NumberOfEmployees&lt;&gt;"",NumberOfEmployees&lt;=10),template_label_microenterprise_validation,"")</f>
        <v/>
      </c>
    </row>
    <row r="281" spans="1:7" ht="14.4" customHeight="1">
      <c r="A281" s="676"/>
      <c r="B281" s="679"/>
      <c r="C281" s="715" t="str">
        <f>template_label_employee_counting_methodology_end_of_reporting_period_or_average_during_the_reporting_period</f>
        <v>Employee counting methodology (At the end of reporting period or as an average during the reporting period)</v>
      </c>
      <c r="D281" s="715"/>
      <c r="E281" s="57"/>
      <c r="F281" s="11" t="str">
        <f>IF(OR(
'Table of Contents &amp; Validation'!D13=TRUE, 'Table of Contents &amp; Validation'!D11=TRUE),
IF(AND(OR(E125 = "Option A (Basic Module only)", E125 = "Option B (Basic Module and Comprehensive Module)"), E281 = ""),
    "",
    IF(E125 = "", "", template_label_ok)),
IF(AND(OR(E125 = "Option A (Basic Module only)", E125 = "Option B (Basic Module and Comprehensive Module)"), E281 = ""),
    template_label_missing_value,
    IF(E125 = "", "", template_label_ok))
)</f>
        <v/>
      </c>
    </row>
    <row r="282" spans="1:7" ht="14.4" customHeight="1">
      <c r="A282" s="677"/>
      <c r="B282" s="680"/>
      <c r="C282" s="714" t="str">
        <f>template_label_employee_counting_methodology_headcount_or_fulltime_equivalent</f>
        <v>Employee counting methodology (Headcount or Full-time equivalent)</v>
      </c>
      <c r="D282" s="714"/>
      <c r="E282" s="54"/>
      <c r="F282" s="11" t="str">
        <f>IF(OR(
'Table of Contents &amp; Validation'!D13=TRUE, 'Table of Contents &amp; Validation'!D11=TRUE),
IF(AND(OR(E125 = "Option A (Basic Module only)", E125 = "Option B (Basic Module and Comprehensive Module)"), E282 = ""),
    "",
    IF(E125 = "", "", template_label_ok)),
IF(AND(OR(E125 = "Option A (Basic Module only)", E125 = "Option B (Basic Module and Comprehensive Module)"), E282 = ""),
    template_label_missing_value,
    IF(E125 = "", "", template_label_ok))
)</f>
        <v/>
      </c>
    </row>
    <row r="283" spans="1:7" ht="14.4" customHeight="1" thickBot="1">
      <c r="A283" s="345" t="s">
        <v>23</v>
      </c>
      <c r="B283" s="598" t="s">
        <v>24</v>
      </c>
      <c r="C283" s="725" t="str">
        <f>template_label_country_of_primary_operations_and_location_of_significant_asset</f>
        <v>Country of primary operations and location of significant asset(s)</v>
      </c>
      <c r="D283" s="725"/>
      <c r="E283" s="58"/>
      <c r="F283" s="11" t="str">
        <f>IF(OR(
'Table of Contents &amp; Validation'!D13=TRUE, 'Table of Contents &amp; Validation'!D11=TRUE),
IF(AND(OR(E125 = "Option A (Basic Module only)", E125 = "Option B (Basic Module and Comprehensive Module)"), E283 = ""),
    "",
    IF(E125 = "", "", template_label_ok)),
IF(AND(OR(E125 = "Option A (Basic Module only)", E125 = "Option B (Basic Module and Comprehensive Module)"), E283 = ""),
    template_label_missing_value,
    IF(E125 = "", "", template_label_ok))
)</f>
        <v/>
      </c>
    </row>
    <row r="284" spans="1:7" ht="15" thickBot="1">
      <c r="B284" s="70"/>
    </row>
    <row r="285" spans="1:7" ht="14.4" customHeight="1" thickBot="1">
      <c r="B285" s="70"/>
      <c r="C285" s="716" t="str">
        <f xml:space="preserve"> template_label_b1_list_of_subsidiaries &amp; " " &amp; template_label_from &amp; " " &amp; template_starting_date_display &amp; " " &amp; template_label_to &amp; " " &amp; template_ending_date_display</f>
        <v>B1 - List of subsidiaries from - to -</v>
      </c>
      <c r="D285" s="716"/>
      <c r="E285" s="717"/>
    </row>
    <row r="286" spans="1:7" ht="14.4" customHeight="1">
      <c r="B286" s="70"/>
      <c r="C286" s="687" t="s">
        <v>25</v>
      </c>
      <c r="D286" s="687"/>
      <c r="E286" s="688"/>
    </row>
    <row r="287" spans="1:7" ht="14.4" customHeight="1">
      <c r="B287" s="70"/>
      <c r="C287" s="4" t="str">
        <f>template_label_id</f>
        <v>ID</v>
      </c>
      <c r="D287" s="1" t="str">
        <f>template_label_name</f>
        <v>Name</v>
      </c>
      <c r="E287" s="348" t="str">
        <f>template_label_registered_address</f>
        <v>Registered Address</v>
      </c>
    </row>
    <row r="288" spans="1:7" ht="14.4" customHeight="1">
      <c r="B288" s="70"/>
      <c r="C288" s="173"/>
      <c r="D288" s="315"/>
      <c r="E288" s="63"/>
      <c r="F288" s="11" t="str">
        <f>IF(OR(
'Table of Contents &amp; Validation'!D14=TRUE,'Table of Contents &amp; Validation'!D11=TRUE),
IF(AND(BasisForReporting="Sustainability report prepared on a consolidated basis",D288&lt;&gt;"",E288=""),"",
IF(AND(BasisForReporting="Sustainability report prepared on a consolidated basis",D288&lt;&gt;"",E288&lt;&gt;""),template_label_ok,
IF(AND(BasisForReporting="Sustainability report prepared on a consolidated basis",D288="",E288=""),"",""))),
IF(AND(BasisForReporting="Sustainability report prepared on a consolidated basis",D288&lt;&gt;"",E288=""),template_label_missing_value,
IF(AND(BasisForReporting="Sustainability report prepared on a consolidated basis",D288&lt;&gt;"",E288&lt;&gt;""),template_label_ok,
IF(AND(BasisForReporting="Sustainability report prepared on a consolidated basis",D288="",E288=""),template_label_missing_value,""))))</f>
        <v/>
      </c>
      <c r="G288" t="str">
        <f>template_label_additional_rows_warning</f>
        <v>ℹ️  Lists can be expanded using the little [+] button on the left.  If the number of rows is not sufficient, those can be added by right clicking the second row and selecting "Insert row".</v>
      </c>
    </row>
    <row r="289" spans="2:6" ht="14.4" customHeight="1">
      <c r="B289" s="70"/>
      <c r="C289" s="173"/>
      <c r="D289" s="315"/>
      <c r="E289" s="63"/>
      <c r="F289" s="11" t="str">
        <f t="shared" ref="F289:F387" si="5">IF(AND(D289&lt;&gt;"",E289=""), template_label_missing_value,
IF(AND(D289&lt;&gt;"",E289&lt;&gt;""), template_label_ok,
IF(AND(D289="",E289=""), "", template_label_missing_value)))</f>
        <v/>
      </c>
    </row>
    <row r="290" spans="2:6" ht="14.4" customHeight="1" thickBot="1">
      <c r="C290" s="175"/>
      <c r="D290" s="349"/>
      <c r="E290" s="59"/>
      <c r="F290" s="11" t="str">
        <f t="shared" si="5"/>
        <v/>
      </c>
    </row>
    <row r="291" spans="2:6" ht="14.4" hidden="1" customHeight="1" outlineLevel="1">
      <c r="C291" s="174">
        <v>4</v>
      </c>
      <c r="D291" s="60"/>
      <c r="E291" s="61"/>
      <c r="F291" s="69" t="str">
        <f t="shared" si="5"/>
        <v/>
      </c>
    </row>
    <row r="292" spans="2:6" ht="14.4" hidden="1" customHeight="1" outlineLevel="1">
      <c r="C292" s="174">
        <v>5</v>
      </c>
      <c r="D292" s="62"/>
      <c r="E292" s="63"/>
      <c r="F292" s="69" t="str">
        <f t="shared" si="5"/>
        <v/>
      </c>
    </row>
    <row r="293" spans="2:6" ht="14.4" hidden="1" customHeight="1" outlineLevel="1">
      <c r="C293" s="173">
        <v>6</v>
      </c>
      <c r="D293" s="62"/>
      <c r="E293" s="63"/>
      <c r="F293" s="69" t="str">
        <f t="shared" si="5"/>
        <v/>
      </c>
    </row>
    <row r="294" spans="2:6" ht="14.4" hidden="1" customHeight="1" outlineLevel="1">
      <c r="C294" s="173">
        <v>7</v>
      </c>
      <c r="D294" s="62"/>
      <c r="E294" s="63"/>
      <c r="F294" s="69" t="str">
        <f t="shared" si="5"/>
        <v/>
      </c>
    </row>
    <row r="295" spans="2:6" ht="14.4" hidden="1" customHeight="1" outlineLevel="1">
      <c r="C295" s="174">
        <v>8</v>
      </c>
      <c r="D295" s="62"/>
      <c r="E295" s="63"/>
      <c r="F295" s="69" t="str">
        <f t="shared" si="5"/>
        <v/>
      </c>
    </row>
    <row r="296" spans="2:6" ht="14.4" hidden="1" customHeight="1" outlineLevel="1">
      <c r="C296" s="173">
        <v>9</v>
      </c>
      <c r="D296" s="62"/>
      <c r="E296" s="63"/>
      <c r="F296" s="69" t="str">
        <f t="shared" si="5"/>
        <v/>
      </c>
    </row>
    <row r="297" spans="2:6" ht="14.4" hidden="1" customHeight="1" outlineLevel="1">
      <c r="C297" s="173">
        <v>10</v>
      </c>
      <c r="D297" s="62"/>
      <c r="E297" s="63"/>
      <c r="F297" s="69" t="str">
        <f t="shared" si="5"/>
        <v/>
      </c>
    </row>
    <row r="298" spans="2:6" ht="14.4" hidden="1" customHeight="1" outlineLevel="1">
      <c r="C298" s="174">
        <v>11</v>
      </c>
      <c r="D298" s="62"/>
      <c r="E298" s="63"/>
      <c r="F298" s="69" t="str">
        <f t="shared" si="5"/>
        <v/>
      </c>
    </row>
    <row r="299" spans="2:6" ht="14.4" hidden="1" customHeight="1" outlineLevel="1">
      <c r="C299" s="173">
        <v>12</v>
      </c>
      <c r="D299" s="62"/>
      <c r="E299" s="63"/>
      <c r="F299" s="69" t="str">
        <f t="shared" si="5"/>
        <v/>
      </c>
    </row>
    <row r="300" spans="2:6" ht="14.4" hidden="1" customHeight="1" outlineLevel="1">
      <c r="C300" s="173">
        <v>13</v>
      </c>
      <c r="D300" s="62"/>
      <c r="E300" s="63"/>
      <c r="F300" s="69" t="str">
        <f t="shared" si="5"/>
        <v/>
      </c>
    </row>
    <row r="301" spans="2:6" ht="14.4" hidden="1" customHeight="1" outlineLevel="1">
      <c r="C301" s="174">
        <v>14</v>
      </c>
      <c r="D301" s="62"/>
      <c r="E301" s="63"/>
      <c r="F301" s="69" t="str">
        <f t="shared" si="5"/>
        <v/>
      </c>
    </row>
    <row r="302" spans="2:6" ht="14.4" hidden="1" customHeight="1" outlineLevel="1">
      <c r="C302" s="173">
        <v>15</v>
      </c>
      <c r="D302" s="62"/>
      <c r="E302" s="63"/>
      <c r="F302" s="69" t="str">
        <f t="shared" si="5"/>
        <v/>
      </c>
    </row>
    <row r="303" spans="2:6" ht="14.4" hidden="1" customHeight="1" outlineLevel="1">
      <c r="C303" s="173">
        <v>16</v>
      </c>
      <c r="D303" s="62"/>
      <c r="E303" s="63"/>
      <c r="F303" s="69" t="str">
        <f t="shared" si="5"/>
        <v/>
      </c>
    </row>
    <row r="304" spans="2:6" ht="14.4" hidden="1" customHeight="1" outlineLevel="1">
      <c r="C304" s="174">
        <v>17</v>
      </c>
      <c r="D304" s="62"/>
      <c r="E304" s="63"/>
      <c r="F304" s="69" t="str">
        <f t="shared" si="5"/>
        <v/>
      </c>
    </row>
    <row r="305" spans="3:6" ht="14.4" hidden="1" customHeight="1" outlineLevel="1">
      <c r="C305" s="173">
        <v>18</v>
      </c>
      <c r="D305" s="62"/>
      <c r="E305" s="63"/>
      <c r="F305" s="69" t="str">
        <f t="shared" si="5"/>
        <v/>
      </c>
    </row>
    <row r="306" spans="3:6" ht="14.4" hidden="1" customHeight="1" outlineLevel="1">
      <c r="C306" s="173">
        <v>19</v>
      </c>
      <c r="D306" s="62"/>
      <c r="E306" s="63"/>
      <c r="F306" s="69" t="str">
        <f t="shared" si="5"/>
        <v/>
      </c>
    </row>
    <row r="307" spans="3:6" ht="14.4" hidden="1" customHeight="1" outlineLevel="1">
      <c r="C307" s="174">
        <v>20</v>
      </c>
      <c r="D307" s="62"/>
      <c r="E307" s="63"/>
      <c r="F307" s="69" t="str">
        <f t="shared" si="5"/>
        <v/>
      </c>
    </row>
    <row r="308" spans="3:6" ht="14.4" hidden="1" customHeight="1" outlineLevel="1">
      <c r="C308" s="173">
        <v>21</v>
      </c>
      <c r="D308" s="62"/>
      <c r="E308" s="63"/>
      <c r="F308" s="69" t="str">
        <f t="shared" si="5"/>
        <v/>
      </c>
    </row>
    <row r="309" spans="3:6" ht="14.4" hidden="1" customHeight="1" outlineLevel="1">
      <c r="C309" s="173">
        <v>22</v>
      </c>
      <c r="D309" s="62"/>
      <c r="E309" s="63"/>
      <c r="F309" s="69" t="str">
        <f t="shared" si="5"/>
        <v/>
      </c>
    </row>
    <row r="310" spans="3:6" ht="14.4" hidden="1" customHeight="1" outlineLevel="1">
      <c r="C310" s="174">
        <v>23</v>
      </c>
      <c r="D310" s="62"/>
      <c r="E310" s="63"/>
      <c r="F310" s="69" t="str">
        <f t="shared" si="5"/>
        <v/>
      </c>
    </row>
    <row r="311" spans="3:6" ht="14.4" hidden="1" customHeight="1" outlineLevel="1">
      <c r="C311" s="173">
        <v>24</v>
      </c>
      <c r="D311" s="62"/>
      <c r="E311" s="63"/>
      <c r="F311" s="69" t="str">
        <f t="shared" si="5"/>
        <v/>
      </c>
    </row>
    <row r="312" spans="3:6" ht="14.4" hidden="1" customHeight="1" outlineLevel="1">
      <c r="C312" s="173">
        <v>25</v>
      </c>
      <c r="D312" s="62"/>
      <c r="E312" s="63"/>
      <c r="F312" s="69" t="str">
        <f t="shared" si="5"/>
        <v/>
      </c>
    </row>
    <row r="313" spans="3:6" ht="14.4" hidden="1" customHeight="1" outlineLevel="1">
      <c r="C313" s="174">
        <v>26</v>
      </c>
      <c r="D313" s="62"/>
      <c r="E313" s="63"/>
      <c r="F313" s="69" t="str">
        <f t="shared" si="5"/>
        <v/>
      </c>
    </row>
    <row r="314" spans="3:6" ht="14.4" hidden="1" customHeight="1" outlineLevel="1">
      <c r="C314" s="173">
        <v>27</v>
      </c>
      <c r="D314" s="62"/>
      <c r="E314" s="63"/>
      <c r="F314" s="69" t="str">
        <f t="shared" si="5"/>
        <v/>
      </c>
    </row>
    <row r="315" spans="3:6" ht="14.4" hidden="1" customHeight="1" outlineLevel="1">
      <c r="C315" s="173">
        <v>28</v>
      </c>
      <c r="D315" s="62"/>
      <c r="E315" s="63"/>
      <c r="F315" s="69" t="str">
        <f t="shared" si="5"/>
        <v/>
      </c>
    </row>
    <row r="316" spans="3:6" ht="14.4" hidden="1" customHeight="1" outlineLevel="1">
      <c r="C316" s="174">
        <v>29</v>
      </c>
      <c r="D316" s="62"/>
      <c r="E316" s="63"/>
      <c r="F316" s="69" t="str">
        <f t="shared" si="5"/>
        <v/>
      </c>
    </row>
    <row r="317" spans="3:6" ht="14.4" hidden="1" customHeight="1" outlineLevel="1">
      <c r="C317" s="173">
        <v>30</v>
      </c>
      <c r="D317" s="62"/>
      <c r="E317" s="63"/>
      <c r="F317" s="69" t="str">
        <f t="shared" si="5"/>
        <v/>
      </c>
    </row>
    <row r="318" spans="3:6" ht="14.4" hidden="1" customHeight="1" outlineLevel="1">
      <c r="C318" s="173">
        <v>31</v>
      </c>
      <c r="D318" s="62"/>
      <c r="E318" s="63"/>
      <c r="F318" s="69" t="str">
        <f t="shared" si="5"/>
        <v/>
      </c>
    </row>
    <row r="319" spans="3:6" ht="14.4" hidden="1" customHeight="1" outlineLevel="1">
      <c r="C319" s="174">
        <v>32</v>
      </c>
      <c r="D319" s="62"/>
      <c r="E319" s="63"/>
      <c r="F319" s="69" t="str">
        <f t="shared" si="5"/>
        <v/>
      </c>
    </row>
    <row r="320" spans="3:6" ht="14.4" hidden="1" customHeight="1" outlineLevel="1">
      <c r="C320" s="173">
        <v>33</v>
      </c>
      <c r="D320" s="62"/>
      <c r="E320" s="63"/>
      <c r="F320" s="69" t="str">
        <f t="shared" si="5"/>
        <v/>
      </c>
    </row>
    <row r="321" spans="3:6" ht="14.4" hidden="1" customHeight="1" outlineLevel="1">
      <c r="C321" s="173">
        <v>34</v>
      </c>
      <c r="D321" s="62"/>
      <c r="E321" s="63"/>
      <c r="F321" s="69" t="str">
        <f t="shared" si="5"/>
        <v/>
      </c>
    </row>
    <row r="322" spans="3:6" ht="14.4" hidden="1" customHeight="1" outlineLevel="1">
      <c r="C322" s="174">
        <v>35</v>
      </c>
      <c r="D322" s="62"/>
      <c r="E322" s="63"/>
      <c r="F322" s="69" t="str">
        <f t="shared" si="5"/>
        <v/>
      </c>
    </row>
    <row r="323" spans="3:6" ht="14.4" hidden="1" customHeight="1" outlineLevel="1">
      <c r="C323" s="173">
        <v>36</v>
      </c>
      <c r="D323" s="62"/>
      <c r="E323" s="63"/>
      <c r="F323" s="69" t="str">
        <f t="shared" si="5"/>
        <v/>
      </c>
    </row>
    <row r="324" spans="3:6" ht="14.4" hidden="1" customHeight="1" outlineLevel="1">
      <c r="C324" s="173">
        <v>37</v>
      </c>
      <c r="D324" s="62"/>
      <c r="E324" s="63"/>
      <c r="F324" s="69" t="str">
        <f t="shared" si="5"/>
        <v/>
      </c>
    </row>
    <row r="325" spans="3:6" ht="14.4" hidden="1" customHeight="1" outlineLevel="1">
      <c r="C325" s="174">
        <v>38</v>
      </c>
      <c r="D325" s="62"/>
      <c r="E325" s="63"/>
      <c r="F325" s="69" t="str">
        <f t="shared" si="5"/>
        <v/>
      </c>
    </row>
    <row r="326" spans="3:6" ht="14.4" hidden="1" customHeight="1" outlineLevel="1">
      <c r="C326" s="173">
        <v>39</v>
      </c>
      <c r="D326" s="62"/>
      <c r="E326" s="63"/>
      <c r="F326" s="69" t="str">
        <f t="shared" si="5"/>
        <v/>
      </c>
    </row>
    <row r="327" spans="3:6" ht="14.4" hidden="1" customHeight="1" outlineLevel="1">
      <c r="C327" s="173">
        <v>40</v>
      </c>
      <c r="D327" s="62"/>
      <c r="E327" s="63"/>
      <c r="F327" s="69" t="str">
        <f t="shared" si="5"/>
        <v/>
      </c>
    </row>
    <row r="328" spans="3:6" ht="14.4" hidden="1" customHeight="1" outlineLevel="1">
      <c r="C328" s="174">
        <v>41</v>
      </c>
      <c r="D328" s="62"/>
      <c r="E328" s="63"/>
      <c r="F328" s="69" t="str">
        <f t="shared" si="5"/>
        <v/>
      </c>
    </row>
    <row r="329" spans="3:6" ht="14.4" hidden="1" customHeight="1" outlineLevel="1">
      <c r="C329" s="173">
        <v>42</v>
      </c>
      <c r="D329" s="62"/>
      <c r="E329" s="63"/>
      <c r="F329" s="69" t="str">
        <f t="shared" si="5"/>
        <v/>
      </c>
    </row>
    <row r="330" spans="3:6" ht="14.4" hidden="1" customHeight="1" outlineLevel="1">
      <c r="C330" s="173">
        <v>43</v>
      </c>
      <c r="D330" s="62"/>
      <c r="E330" s="63"/>
      <c r="F330" s="69" t="str">
        <f t="shared" si="5"/>
        <v/>
      </c>
    </row>
    <row r="331" spans="3:6" ht="14.4" hidden="1" customHeight="1" outlineLevel="1">
      <c r="C331" s="174">
        <v>44</v>
      </c>
      <c r="D331" s="62"/>
      <c r="E331" s="63"/>
      <c r="F331" s="69" t="str">
        <f t="shared" si="5"/>
        <v/>
      </c>
    </row>
    <row r="332" spans="3:6" ht="14.4" hidden="1" customHeight="1" outlineLevel="1">
      <c r="C332" s="173">
        <v>45</v>
      </c>
      <c r="D332" s="62"/>
      <c r="E332" s="63"/>
      <c r="F332" s="69" t="str">
        <f t="shared" si="5"/>
        <v/>
      </c>
    </row>
    <row r="333" spans="3:6" ht="14.4" hidden="1" customHeight="1" outlineLevel="1">
      <c r="C333" s="173">
        <v>46</v>
      </c>
      <c r="D333" s="62"/>
      <c r="E333" s="63"/>
      <c r="F333" s="69" t="str">
        <f t="shared" si="5"/>
        <v/>
      </c>
    </row>
    <row r="334" spans="3:6" ht="14.4" hidden="1" customHeight="1" outlineLevel="1">
      <c r="C334" s="174">
        <v>47</v>
      </c>
      <c r="D334" s="62"/>
      <c r="E334" s="63"/>
      <c r="F334" s="69" t="str">
        <f t="shared" si="5"/>
        <v/>
      </c>
    </row>
    <row r="335" spans="3:6" ht="14.4" hidden="1" customHeight="1" outlineLevel="1">
      <c r="C335" s="173">
        <v>48</v>
      </c>
      <c r="D335" s="62"/>
      <c r="E335" s="63"/>
      <c r="F335" s="69" t="str">
        <f t="shared" si="5"/>
        <v/>
      </c>
    </row>
    <row r="336" spans="3:6" ht="14.4" hidden="1" customHeight="1" outlineLevel="1">
      <c r="C336" s="173">
        <v>49</v>
      </c>
      <c r="D336" s="62"/>
      <c r="E336" s="63"/>
      <c r="F336" s="69" t="str">
        <f t="shared" si="5"/>
        <v/>
      </c>
    </row>
    <row r="337" spans="3:6" ht="14.4" hidden="1" customHeight="1" outlineLevel="1">
      <c r="C337" s="174">
        <v>50</v>
      </c>
      <c r="D337" s="62"/>
      <c r="E337" s="63"/>
      <c r="F337" s="69" t="str">
        <f t="shared" si="5"/>
        <v/>
      </c>
    </row>
    <row r="338" spans="3:6" ht="14.4" hidden="1" customHeight="1" outlineLevel="1">
      <c r="C338" s="173">
        <v>51</v>
      </c>
      <c r="D338" s="62"/>
      <c r="E338" s="63"/>
      <c r="F338" s="69" t="str">
        <f t="shared" si="5"/>
        <v/>
      </c>
    </row>
    <row r="339" spans="3:6" ht="14.4" hidden="1" customHeight="1" outlineLevel="1">
      <c r="C339" s="173">
        <v>52</v>
      </c>
      <c r="D339" s="62"/>
      <c r="E339" s="63"/>
      <c r="F339" s="69" t="str">
        <f t="shared" si="5"/>
        <v/>
      </c>
    </row>
    <row r="340" spans="3:6" ht="14.4" hidden="1" customHeight="1" outlineLevel="1">
      <c r="C340" s="174">
        <v>53</v>
      </c>
      <c r="D340" s="62"/>
      <c r="E340" s="63"/>
      <c r="F340" s="69" t="str">
        <f t="shared" si="5"/>
        <v/>
      </c>
    </row>
    <row r="341" spans="3:6" ht="14.4" hidden="1" customHeight="1" outlineLevel="1">
      <c r="C341" s="173">
        <v>54</v>
      </c>
      <c r="D341" s="62"/>
      <c r="E341" s="63"/>
      <c r="F341" s="69" t="str">
        <f t="shared" si="5"/>
        <v/>
      </c>
    </row>
    <row r="342" spans="3:6" ht="14.4" hidden="1" customHeight="1" outlineLevel="1">
      <c r="C342" s="173">
        <v>55</v>
      </c>
      <c r="D342" s="62"/>
      <c r="E342" s="63"/>
      <c r="F342" s="69" t="str">
        <f t="shared" si="5"/>
        <v/>
      </c>
    </row>
    <row r="343" spans="3:6" ht="14.4" hidden="1" customHeight="1" outlineLevel="1">
      <c r="C343" s="174">
        <v>56</v>
      </c>
      <c r="D343" s="62"/>
      <c r="E343" s="63"/>
      <c r="F343" s="69" t="str">
        <f t="shared" si="5"/>
        <v/>
      </c>
    </row>
    <row r="344" spans="3:6" ht="14.4" hidden="1" customHeight="1" outlineLevel="1">
      <c r="C344" s="173">
        <v>57</v>
      </c>
      <c r="D344" s="62"/>
      <c r="E344" s="63"/>
      <c r="F344" s="69" t="str">
        <f t="shared" si="5"/>
        <v/>
      </c>
    </row>
    <row r="345" spans="3:6" ht="14.4" hidden="1" customHeight="1" outlineLevel="1">
      <c r="C345" s="173">
        <v>58</v>
      </c>
      <c r="D345" s="62"/>
      <c r="E345" s="63"/>
      <c r="F345" s="69" t="str">
        <f t="shared" si="5"/>
        <v/>
      </c>
    </row>
    <row r="346" spans="3:6" ht="14.4" hidden="1" customHeight="1" outlineLevel="1">
      <c r="C346" s="174">
        <v>59</v>
      </c>
      <c r="D346" s="62"/>
      <c r="E346" s="63"/>
      <c r="F346" s="69" t="str">
        <f t="shared" si="5"/>
        <v/>
      </c>
    </row>
    <row r="347" spans="3:6" ht="14.4" hidden="1" customHeight="1" outlineLevel="1">
      <c r="C347" s="173">
        <v>60</v>
      </c>
      <c r="D347" s="62"/>
      <c r="E347" s="63"/>
      <c r="F347" s="69" t="str">
        <f t="shared" si="5"/>
        <v/>
      </c>
    </row>
    <row r="348" spans="3:6" ht="14.4" hidden="1" customHeight="1" outlineLevel="1">
      <c r="C348" s="173">
        <v>61</v>
      </c>
      <c r="D348" s="62"/>
      <c r="E348" s="63"/>
      <c r="F348" s="69" t="str">
        <f t="shared" si="5"/>
        <v/>
      </c>
    </row>
    <row r="349" spans="3:6" ht="14.4" hidden="1" customHeight="1" outlineLevel="1">
      <c r="C349" s="174">
        <v>62</v>
      </c>
      <c r="D349" s="62"/>
      <c r="E349" s="63"/>
      <c r="F349" s="69" t="str">
        <f t="shared" si="5"/>
        <v/>
      </c>
    </row>
    <row r="350" spans="3:6" ht="14.4" hidden="1" customHeight="1" outlineLevel="1">
      <c r="C350" s="173">
        <v>63</v>
      </c>
      <c r="D350" s="62"/>
      <c r="E350" s="63"/>
      <c r="F350" s="69" t="str">
        <f t="shared" si="5"/>
        <v/>
      </c>
    </row>
    <row r="351" spans="3:6" ht="14.4" hidden="1" customHeight="1" outlineLevel="1">
      <c r="C351" s="173">
        <v>64</v>
      </c>
      <c r="D351" s="62"/>
      <c r="E351" s="63"/>
      <c r="F351" s="69" t="str">
        <f t="shared" si="5"/>
        <v/>
      </c>
    </row>
    <row r="352" spans="3:6" ht="14.4" hidden="1" customHeight="1" outlineLevel="1">
      <c r="C352" s="174">
        <v>65</v>
      </c>
      <c r="D352" s="62"/>
      <c r="E352" s="63"/>
      <c r="F352" s="69" t="str">
        <f t="shared" si="5"/>
        <v/>
      </c>
    </row>
    <row r="353" spans="3:6" ht="14.4" hidden="1" customHeight="1" outlineLevel="1">
      <c r="C353" s="173">
        <v>66</v>
      </c>
      <c r="D353" s="62"/>
      <c r="E353" s="63"/>
      <c r="F353" s="69" t="str">
        <f t="shared" si="5"/>
        <v/>
      </c>
    </row>
    <row r="354" spans="3:6" ht="14.4" hidden="1" customHeight="1" outlineLevel="1">
      <c r="C354" s="173">
        <v>67</v>
      </c>
      <c r="D354" s="62"/>
      <c r="E354" s="63"/>
      <c r="F354" s="69" t="str">
        <f t="shared" si="5"/>
        <v/>
      </c>
    </row>
    <row r="355" spans="3:6" ht="14.4" hidden="1" customHeight="1" outlineLevel="1">
      <c r="C355" s="174">
        <v>68</v>
      </c>
      <c r="D355" s="62"/>
      <c r="E355" s="63"/>
      <c r="F355" s="69" t="str">
        <f t="shared" si="5"/>
        <v/>
      </c>
    </row>
    <row r="356" spans="3:6" ht="14.4" hidden="1" customHeight="1" outlineLevel="1">
      <c r="C356" s="173">
        <v>69</v>
      </c>
      <c r="D356" s="62"/>
      <c r="E356" s="63"/>
      <c r="F356" s="69" t="str">
        <f t="shared" si="5"/>
        <v/>
      </c>
    </row>
    <row r="357" spans="3:6" ht="14.4" hidden="1" customHeight="1" outlineLevel="1">
      <c r="C357" s="173">
        <v>70</v>
      </c>
      <c r="D357" s="62"/>
      <c r="E357" s="63"/>
      <c r="F357" s="69" t="str">
        <f t="shared" si="5"/>
        <v/>
      </c>
    </row>
    <row r="358" spans="3:6" ht="14.4" hidden="1" customHeight="1" outlineLevel="1">
      <c r="C358" s="174">
        <v>71</v>
      </c>
      <c r="D358" s="62"/>
      <c r="E358" s="63"/>
      <c r="F358" s="69" t="str">
        <f t="shared" si="5"/>
        <v/>
      </c>
    </row>
    <row r="359" spans="3:6" ht="14.4" hidden="1" customHeight="1" outlineLevel="1">
      <c r="C359" s="173">
        <v>72</v>
      </c>
      <c r="D359" s="62"/>
      <c r="E359" s="63"/>
      <c r="F359" s="69" t="str">
        <f t="shared" si="5"/>
        <v/>
      </c>
    </row>
    <row r="360" spans="3:6" ht="14.4" hidden="1" customHeight="1" outlineLevel="1">
      <c r="C360" s="173">
        <v>73</v>
      </c>
      <c r="D360" s="62"/>
      <c r="E360" s="63"/>
      <c r="F360" s="69" t="str">
        <f t="shared" si="5"/>
        <v/>
      </c>
    </row>
    <row r="361" spans="3:6" ht="14.4" hidden="1" customHeight="1" outlineLevel="1">
      <c r="C361" s="174">
        <v>74</v>
      </c>
      <c r="D361" s="62"/>
      <c r="E361" s="63"/>
      <c r="F361" s="69" t="str">
        <f t="shared" si="5"/>
        <v/>
      </c>
    </row>
    <row r="362" spans="3:6" ht="14.4" hidden="1" customHeight="1" outlineLevel="1">
      <c r="C362" s="173">
        <v>75</v>
      </c>
      <c r="D362" s="62"/>
      <c r="E362" s="63"/>
      <c r="F362" s="69" t="str">
        <f t="shared" si="5"/>
        <v/>
      </c>
    </row>
    <row r="363" spans="3:6" ht="14.4" hidden="1" customHeight="1" outlineLevel="1">
      <c r="C363" s="173">
        <v>76</v>
      </c>
      <c r="D363" s="62"/>
      <c r="E363" s="63"/>
      <c r="F363" s="69" t="str">
        <f t="shared" si="5"/>
        <v/>
      </c>
    </row>
    <row r="364" spans="3:6" ht="14.4" hidden="1" customHeight="1" outlineLevel="1">
      <c r="C364" s="174">
        <v>77</v>
      </c>
      <c r="D364" s="62"/>
      <c r="E364" s="63"/>
      <c r="F364" s="69" t="str">
        <f t="shared" si="5"/>
        <v/>
      </c>
    </row>
    <row r="365" spans="3:6" ht="14.4" hidden="1" customHeight="1" outlineLevel="1">
      <c r="C365" s="173">
        <v>78</v>
      </c>
      <c r="D365" s="62"/>
      <c r="E365" s="63"/>
      <c r="F365" s="69" t="str">
        <f t="shared" si="5"/>
        <v/>
      </c>
    </row>
    <row r="366" spans="3:6" ht="14.4" hidden="1" customHeight="1" outlineLevel="1">
      <c r="C366" s="173">
        <v>79</v>
      </c>
      <c r="D366" s="62"/>
      <c r="E366" s="63"/>
      <c r="F366" s="69" t="str">
        <f t="shared" si="5"/>
        <v/>
      </c>
    </row>
    <row r="367" spans="3:6" ht="14.4" hidden="1" customHeight="1" outlineLevel="1">
      <c r="C367" s="174">
        <v>80</v>
      </c>
      <c r="D367" s="62"/>
      <c r="E367" s="63"/>
      <c r="F367" s="69" t="str">
        <f t="shared" si="5"/>
        <v/>
      </c>
    </row>
    <row r="368" spans="3:6" ht="14.4" hidden="1" customHeight="1" outlineLevel="1">
      <c r="C368" s="173">
        <v>81</v>
      </c>
      <c r="D368" s="62"/>
      <c r="E368" s="63"/>
      <c r="F368" s="69" t="str">
        <f t="shared" si="5"/>
        <v/>
      </c>
    </row>
    <row r="369" spans="3:6" ht="14.4" hidden="1" customHeight="1" outlineLevel="1">
      <c r="C369" s="173">
        <v>82</v>
      </c>
      <c r="D369" s="62"/>
      <c r="E369" s="63"/>
      <c r="F369" s="69" t="str">
        <f t="shared" si="5"/>
        <v/>
      </c>
    </row>
    <row r="370" spans="3:6" ht="14.4" hidden="1" customHeight="1" outlineLevel="1">
      <c r="C370" s="174">
        <v>83</v>
      </c>
      <c r="D370" s="62"/>
      <c r="E370" s="63"/>
      <c r="F370" s="69" t="str">
        <f t="shared" si="5"/>
        <v/>
      </c>
    </row>
    <row r="371" spans="3:6" ht="14.4" hidden="1" customHeight="1" outlineLevel="1">
      <c r="C371" s="173">
        <v>84</v>
      </c>
      <c r="D371" s="62"/>
      <c r="E371" s="63"/>
      <c r="F371" s="69" t="str">
        <f t="shared" si="5"/>
        <v/>
      </c>
    </row>
    <row r="372" spans="3:6" ht="14.4" hidden="1" customHeight="1" outlineLevel="1">
      <c r="C372" s="173">
        <v>85</v>
      </c>
      <c r="D372" s="62"/>
      <c r="E372" s="63"/>
      <c r="F372" s="69" t="str">
        <f t="shared" si="5"/>
        <v/>
      </c>
    </row>
    <row r="373" spans="3:6" ht="14.4" hidden="1" customHeight="1" outlineLevel="1">
      <c r="C373" s="174">
        <v>86</v>
      </c>
      <c r="D373" s="62"/>
      <c r="E373" s="63"/>
      <c r="F373" s="69" t="str">
        <f t="shared" si="5"/>
        <v/>
      </c>
    </row>
    <row r="374" spans="3:6" ht="14.4" hidden="1" customHeight="1" outlineLevel="1">
      <c r="C374" s="173">
        <v>87</v>
      </c>
      <c r="D374" s="62"/>
      <c r="E374" s="63"/>
      <c r="F374" s="69" t="str">
        <f>IF(AND(D374&lt;&gt;"",E374=""), template_label_missing_value,
IF(AND(D374&lt;&gt;"",E374&lt;&gt;""), template_label_ok,
IF(AND(D374="",E374=""), "", template_label_missing_value)))</f>
        <v/>
      </c>
    </row>
    <row r="375" spans="3:6" ht="14.4" hidden="1" customHeight="1" outlineLevel="1">
      <c r="C375" s="173">
        <v>88</v>
      </c>
      <c r="D375" s="62"/>
      <c r="E375" s="63"/>
      <c r="F375" s="69" t="str">
        <f t="shared" si="5"/>
        <v/>
      </c>
    </row>
    <row r="376" spans="3:6" ht="14.4" hidden="1" customHeight="1" outlineLevel="1">
      <c r="C376" s="174">
        <v>89</v>
      </c>
      <c r="D376" s="62"/>
      <c r="E376" s="63"/>
      <c r="F376" s="69" t="str">
        <f t="shared" si="5"/>
        <v/>
      </c>
    </row>
    <row r="377" spans="3:6" ht="14.4" hidden="1" customHeight="1" outlineLevel="1">
      <c r="C377" s="173">
        <v>90</v>
      </c>
      <c r="D377" s="62"/>
      <c r="E377" s="63"/>
      <c r="F377" s="69" t="str">
        <f t="shared" si="5"/>
        <v/>
      </c>
    </row>
    <row r="378" spans="3:6" ht="14.4" hidden="1" customHeight="1" outlineLevel="1">
      <c r="C378" s="173">
        <v>91</v>
      </c>
      <c r="D378" s="62"/>
      <c r="E378" s="63"/>
      <c r="F378" s="69" t="str">
        <f t="shared" si="5"/>
        <v/>
      </c>
    </row>
    <row r="379" spans="3:6" ht="14.4" hidden="1" customHeight="1" outlineLevel="1">
      <c r="C379" s="174">
        <v>92</v>
      </c>
      <c r="D379" s="62"/>
      <c r="E379" s="63"/>
      <c r="F379" s="69" t="str">
        <f t="shared" si="5"/>
        <v/>
      </c>
    </row>
    <row r="380" spans="3:6" ht="14.4" hidden="1" customHeight="1" outlineLevel="1">
      <c r="C380" s="173">
        <v>93</v>
      </c>
      <c r="D380" s="62"/>
      <c r="E380" s="63"/>
      <c r="F380" s="69" t="str">
        <f t="shared" si="5"/>
        <v/>
      </c>
    </row>
    <row r="381" spans="3:6" ht="14.4" hidden="1" customHeight="1" outlineLevel="1">
      <c r="C381" s="173">
        <v>94</v>
      </c>
      <c r="D381" s="62"/>
      <c r="E381" s="63"/>
      <c r="F381" s="69" t="str">
        <f t="shared" si="5"/>
        <v/>
      </c>
    </row>
    <row r="382" spans="3:6" ht="14.4" hidden="1" customHeight="1" outlineLevel="1">
      <c r="C382" s="174">
        <v>95</v>
      </c>
      <c r="D382" s="62"/>
      <c r="E382" s="63"/>
      <c r="F382" s="69" t="str">
        <f t="shared" si="5"/>
        <v/>
      </c>
    </row>
    <row r="383" spans="3:6" ht="14.4" hidden="1" customHeight="1" outlineLevel="1">
      <c r="C383" s="173">
        <v>96</v>
      </c>
      <c r="D383" s="62"/>
      <c r="E383" s="63"/>
      <c r="F383" s="69" t="str">
        <f t="shared" si="5"/>
        <v/>
      </c>
    </row>
    <row r="384" spans="3:6" ht="14.4" hidden="1" customHeight="1" outlineLevel="1">
      <c r="C384" s="173">
        <v>97</v>
      </c>
      <c r="D384" s="62"/>
      <c r="E384" s="63"/>
      <c r="F384" s="69" t="str">
        <f t="shared" si="5"/>
        <v/>
      </c>
    </row>
    <row r="385" spans="3:10" ht="14.4" hidden="1" customHeight="1" outlineLevel="1">
      <c r="C385" s="174">
        <v>98</v>
      </c>
      <c r="D385" s="62"/>
      <c r="E385" s="63"/>
      <c r="F385" s="69" t="str">
        <f t="shared" si="5"/>
        <v/>
      </c>
    </row>
    <row r="386" spans="3:10" ht="14.4" hidden="1" customHeight="1" outlineLevel="1">
      <c r="C386" s="173">
        <v>99</v>
      </c>
      <c r="D386" s="62"/>
      <c r="E386" s="63"/>
      <c r="F386" s="69" t="str">
        <f t="shared" si="5"/>
        <v/>
      </c>
    </row>
    <row r="387" spans="3:10" ht="14.4" hidden="1" customHeight="1" outlineLevel="1" thickBot="1">
      <c r="C387" s="175">
        <v>100</v>
      </c>
      <c r="D387" s="64"/>
      <c r="E387" s="59"/>
      <c r="F387" s="69" t="str">
        <f t="shared" si="5"/>
        <v/>
      </c>
    </row>
    <row r="388" spans="3:10" ht="15" collapsed="1" thickBot="1"/>
    <row r="389" spans="3:10" ht="14.4" customHeight="1" thickBot="1">
      <c r="C389" s="716" t="str">
        <f xml:space="preserve"> template_label_b1_disclosure_of_sustainability_related_certification_or_label &amp; " " &amp; template_label_from &amp; " " &amp; template_starting_date_display &amp; " " &amp; template_label_to &amp; " " &amp; template_ending_date_display</f>
        <v>B1 - Disclosure of sustainability-related certification(s) or label(s) from - to -</v>
      </c>
      <c r="D389" s="716"/>
      <c r="E389" s="716"/>
      <c r="F389" s="716"/>
      <c r="G389" s="716"/>
      <c r="H389" s="717"/>
    </row>
    <row r="390" spans="3:10" ht="14.4" customHeight="1">
      <c r="C390" s="687">
        <v>28</v>
      </c>
      <c r="D390" s="687"/>
      <c r="E390" s="687"/>
      <c r="F390" s="687"/>
      <c r="G390" s="687"/>
      <c r="H390" s="688"/>
    </row>
    <row r="391" spans="3:10" ht="14.4" customHeight="1">
      <c r="C391" s="726">
        <v>13</v>
      </c>
      <c r="D391" s="726"/>
      <c r="E391" s="726"/>
      <c r="F391" s="726"/>
      <c r="G391" s="726"/>
      <c r="H391" s="727"/>
    </row>
    <row r="392" spans="3:10" ht="14.4" customHeight="1">
      <c r="C392" s="728" t="str">
        <f>template_label_has_the_undertaking_obtained_any_sustainability_related_certification_or_label</f>
        <v>Has the undertaking obtained any sustainability-related certification(s) or label(s) ?</v>
      </c>
      <c r="D392" s="728"/>
      <c r="E392" s="729" t="b">
        <v>0</v>
      </c>
      <c r="F392" s="729"/>
      <c r="G392" s="729"/>
      <c r="H392" s="730"/>
    </row>
    <row r="393" spans="3:10" ht="30" customHeight="1" thickBot="1">
      <c r="C393" s="776" t="str">
        <f>template_label_description_of_sustainability_related_certification_or_label</f>
        <v>Description of sustainability-related certification(s) or label(s) including where relevant the issuers of the certification or label date and rating score</v>
      </c>
      <c r="D393" s="776"/>
      <c r="E393" s="723"/>
      <c r="F393" s="723"/>
      <c r="G393" s="723"/>
      <c r="H393" s="724"/>
      <c r="I393" s="16" t="str">
        <f>IF(template_checkbox_b1_certifications_or_labels_docx=TRUE,
IF(AND(E392=TRUE,E393=""),"",
IF(AND(E392=TRUE,E393&lt;&gt;""),template_label_ok,"")),
IF(AND(E392=TRUE,E393=""),template_label_missing_value,
IF(AND(E392=TRUE,E393&lt;&gt;""),template_label_ok,"")))</f>
        <v/>
      </c>
    </row>
    <row r="394" spans="3:10" ht="15" thickBot="1"/>
    <row r="395" spans="3:10" ht="15" thickBot="1">
      <c r="C395" s="716" t="str">
        <f>template_label_b1_list_of_site&amp; " " &amp; template_label_from &amp; " " &amp; template_starting_date_display &amp; " " &amp; template_label_to &amp; " " &amp; template_ending_date_display</f>
        <v>B1 - List of site(s) from - to -</v>
      </c>
      <c r="D395" s="716"/>
      <c r="E395" s="716"/>
      <c r="F395" s="716"/>
      <c r="G395" s="716"/>
      <c r="H395" s="717"/>
    </row>
    <row r="396" spans="3:10">
      <c r="C396" s="687" t="s">
        <v>26</v>
      </c>
      <c r="D396" s="687"/>
      <c r="E396" s="687"/>
      <c r="F396" s="687"/>
      <c r="G396" s="687"/>
      <c r="H396" s="688"/>
    </row>
    <row r="397" spans="3:10">
      <c r="C397" s="685">
        <v>12</v>
      </c>
      <c r="D397" s="685"/>
      <c r="E397" s="685"/>
      <c r="F397" s="685"/>
      <c r="G397" s="685"/>
      <c r="H397" s="686"/>
    </row>
    <row r="398" spans="3:10">
      <c r="C398" s="689" t="str">
        <f>template_label_id</f>
        <v>ID</v>
      </c>
      <c r="D398" s="690" t="str">
        <f>template_label_address</f>
        <v>Address</v>
      </c>
      <c r="E398" s="690" t="str">
        <f>template_label_postal_code</f>
        <v>Postal code</v>
      </c>
      <c r="F398" s="693" t="str">
        <f>template_label_city</f>
        <v>City</v>
      </c>
      <c r="G398" s="690" t="str">
        <f>template_label_country</f>
        <v>Country</v>
      </c>
      <c r="H398" s="351" t="str">
        <f>template_label_gps_coordinates</f>
        <v>GPS Coordinates (geolocation)</v>
      </c>
      <c r="I398" s="75"/>
    </row>
    <row r="399" spans="3:10" ht="58.3">
      <c r="C399" s="689"/>
      <c r="D399" s="690"/>
      <c r="E399" s="690"/>
      <c r="F399" s="694"/>
      <c r="G399" s="690"/>
      <c r="H399" s="352"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399" s="75"/>
      <c r="J399" s="2"/>
    </row>
    <row r="400" spans="3:10" ht="49.4" customHeight="1">
      <c r="C400" s="689"/>
      <c r="D400" s="690"/>
      <c r="E400" s="690"/>
      <c r="F400" s="694"/>
      <c r="G400" s="690"/>
      <c r="H400" s="353" t="s">
        <v>27</v>
      </c>
      <c r="I400" s="75"/>
      <c r="J400" s="2"/>
    </row>
    <row r="401" spans="3:13">
      <c r="C401" s="689"/>
      <c r="D401" s="690"/>
      <c r="E401" s="690"/>
      <c r="F401" s="695"/>
      <c r="G401" s="690"/>
      <c r="H401" s="354" t="b">
        <v>0</v>
      </c>
      <c r="I401" s="75"/>
      <c r="J401" s="258"/>
    </row>
    <row r="402" spans="3:13">
      <c r="C402" s="173">
        <v>1</v>
      </c>
      <c r="D402" s="65"/>
      <c r="E402" s="66"/>
      <c r="F402" s="350"/>
      <c r="G402" s="65"/>
      <c r="H402" s="355" t="str">
        <f>'Technical Sheet'!G2</f>
        <v>-</v>
      </c>
      <c r="I402" s="17" t="str">
        <f>IF(OR(
'Table of Contents &amp; Validation'!D16=TRUE, 'Table of Contents &amp; Validation'!D11=TRUE),
IF(OR(E125="Option A (Basic Module only)", E125="Option B (Basic Module and Comprehensive Module)"),
    IF(AND(D402&lt;&gt;"", E402&lt;&gt;"", F402&lt;&gt;"", G402&lt;&gt;"", H402&lt;&gt;""),
        template_label_ok,
        ""
    ),
    ""
),
IF(OR(E125="Option A (Basic Module only)", E125="Option B (Basic Module and Comprehensive Module)"),
    IF(AND(D402&lt;&gt;"", E402&lt;&gt;"", F402&lt;&gt;"", G402&lt;&gt;"", H402&lt;&gt;""),
        template_label_ok,
        template_label_missing_value
    ),
    ""
)
)</f>
        <v/>
      </c>
      <c r="J402" s="158" t="str">
        <f>IF(AND(D402&lt;&gt;"", E402&lt;&gt;"", F402&lt;&gt;"", G402&lt;&gt;""),
    IFERROR(
        HYPERLINK("https://www.openstreetmap.org/?mlat=" &amp; 'Technical Sheet'!E2 &amp; "&amp;mlon=" &amp; 'Technical Sheet'!F2 &amp; "#map=17/" &amp; 'Technical Sheet'!E2 &amp; "/" &amp; 'Technical Sheet'!F2,
            "OpenStreetMap Link"
        ),
        ""
    ),
    ""
)</f>
        <v/>
      </c>
      <c r="K402" s="76" t="str">
        <f t="shared" ref="K402:K465" si="6">LOWER(SUBSTITUTE(D402," ","+" )) &amp; "+" &amp; LOWER(SUBSTITUTE(E402," ","+" )) &amp; "+" &amp; LOWER(SUBSTITUTE(F402," ","+" )) &amp; "+" &amp; LOWER(SUBSTITUTE(G402," ","+" )) &amp; "+"</f>
        <v>++++</v>
      </c>
      <c r="L402" t="str">
        <f>template_label_geolocalisation_warning</f>
        <v>ℹ️  Please be careful to separate each street number and house number using the slash symbol "/" and not the comma ","</v>
      </c>
      <c r="M402" s="71"/>
    </row>
    <row r="403" spans="3:13">
      <c r="C403" s="173">
        <v>2</v>
      </c>
      <c r="D403" s="65"/>
      <c r="E403" s="66"/>
      <c r="F403" s="350"/>
      <c r="G403" s="65"/>
      <c r="H403" s="355" t="str">
        <f>'Technical Sheet'!G3</f>
        <v>-</v>
      </c>
      <c r="I403" s="17" t="str">
        <f t="shared" ref="I403:I434" si="7">IF(AND(D403&lt;&gt;"", E403&lt;&gt;"", F403&lt;&gt;"", G403&lt;&gt;"", H403&lt;&gt;""), template_label_ok,
    IF(AND(D403="", E403="", F403="", G403="", H403="-"), "",
        template_label_missing_value
    )
)</f>
        <v/>
      </c>
      <c r="J403" s="158" t="str">
        <f>IF(AND(D403&lt;&gt;"", E403&lt;&gt;"", F403&lt;&gt;"", G403&lt;&gt;""),
    IFERROR(
        HYPERLINK("https://www.openstreetmap.org/?mlat=" &amp; 'Technical Sheet'!E3 &amp; "&amp;mlon=" &amp; 'Technical Sheet'!F3 &amp; "#map=17/" &amp; 'Technical Sheet'!E3 &amp; "/" &amp; 'Technical Sheet'!F3,
            "OpenStreetMap Link"
        ),
        ""
    ),
    ""
)</f>
        <v/>
      </c>
      <c r="K403" s="76" t="str">
        <f t="shared" si="6"/>
        <v>++++</v>
      </c>
    </row>
    <row r="404" spans="3:13" ht="15" thickBot="1">
      <c r="C404" s="175">
        <v>3</v>
      </c>
      <c r="D404" s="613"/>
      <c r="E404" s="614"/>
      <c r="F404" s="615"/>
      <c r="G404" s="613"/>
      <c r="H404" s="616" t="str">
        <f>'Technical Sheet'!G4</f>
        <v>-</v>
      </c>
      <c r="I404" s="17" t="str">
        <f t="shared" si="7"/>
        <v/>
      </c>
      <c r="J404" s="158" t="str">
        <f>IF(AND(D404&lt;&gt;"", E404&lt;&gt;"", F404&lt;&gt;"", G404&lt;&gt;""),
    IFERROR(
        HYPERLINK("https://www.openstreetmap.org/?mlat=" &amp; 'Technical Sheet'!E4 &amp; "&amp;mlon=" &amp; 'Technical Sheet'!F4 &amp; "#map=17/" &amp; 'Technical Sheet'!E4 &amp; "/" &amp; 'Technical Sheet'!F4,
            "OpenStreetMap Link"
        ),
        ""
    ),
    ""
)</f>
        <v/>
      </c>
      <c r="K404" s="76" t="str">
        <f t="shared" si="6"/>
        <v>++++</v>
      </c>
      <c r="L404" t="str">
        <f>template_label_additional_rows_warning</f>
        <v>ℹ️  Lists can be expanded using the little [+] button on the left.  If the number of rows is not sufficient, those can be added by right clicking the second row and selecting "Insert row".</v>
      </c>
    </row>
    <row r="405" spans="3:13" outlineLevel="1">
      <c r="C405" s="174">
        <v>4</v>
      </c>
      <c r="D405" s="609"/>
      <c r="E405" s="610"/>
      <c r="F405" s="611"/>
      <c r="G405" s="609"/>
      <c r="H405" s="612" t="str">
        <f>'Technical Sheet'!G5</f>
        <v>-</v>
      </c>
      <c r="I405" s="17" t="str">
        <f t="shared" si="7"/>
        <v/>
      </c>
      <c r="J405" s="158" t="str">
        <f>IF(AND(D405&lt;&gt;"", E405&lt;&gt;"", F405&lt;&gt;"", G405&lt;&gt;""),
    IFERROR(
        HYPERLINK("https://www.openstreetmap.org/?mlat=" &amp; 'Technical Sheet'!E5 &amp; "&amp;mlon=" &amp; 'Technical Sheet'!F5 &amp; "#map=17/" &amp; 'Technical Sheet'!E5 &amp; "/" &amp; 'Technical Sheet'!F5,
            "OpenStreetMap Link"
        ),
        ""
    ),
    ""
)</f>
        <v/>
      </c>
      <c r="K405" s="76" t="str">
        <f t="shared" si="6"/>
        <v>++++</v>
      </c>
    </row>
    <row r="406" spans="3:13" outlineLevel="1">
      <c r="C406" s="174">
        <v>5</v>
      </c>
      <c r="D406" s="65"/>
      <c r="E406" s="66"/>
      <c r="F406" s="350"/>
      <c r="G406" s="65"/>
      <c r="H406" s="355" t="str">
        <f>'Technical Sheet'!G6</f>
        <v>-</v>
      </c>
      <c r="I406" s="17" t="str">
        <f t="shared" si="7"/>
        <v/>
      </c>
      <c r="J406" s="158" t="str">
        <f>IF(AND(D406&lt;&gt;"", E406&lt;&gt;"", F406&lt;&gt;"", G406&lt;&gt;""),
    IFERROR(
        HYPERLINK("https://www.openstreetmap.org/?mlat=" &amp; 'Technical Sheet'!E6 &amp; "&amp;mlon=" &amp; 'Technical Sheet'!F6 &amp; "#map=17/" &amp; 'Technical Sheet'!E6 &amp; "/" &amp; 'Technical Sheet'!F6,
            "OpenStreetMap Link"
        ),
        ""
    ),
    ""
)</f>
        <v/>
      </c>
      <c r="K406" s="76" t="str">
        <f t="shared" si="6"/>
        <v>++++</v>
      </c>
    </row>
    <row r="407" spans="3:13" outlineLevel="1">
      <c r="C407" s="173">
        <v>6</v>
      </c>
      <c r="D407" s="65"/>
      <c r="E407" s="66"/>
      <c r="F407" s="350"/>
      <c r="G407" s="65"/>
      <c r="H407" s="355" t="str">
        <f>'Technical Sheet'!G7</f>
        <v>-</v>
      </c>
      <c r="I407" s="17" t="str">
        <f t="shared" si="7"/>
        <v/>
      </c>
      <c r="J407" s="158" t="str">
        <f>IF(AND(D407&lt;&gt;"", E407&lt;&gt;"", F407&lt;&gt;"", G407&lt;&gt;""),
    IFERROR(
        HYPERLINK("https://www.openstreetmap.org/?mlat=" &amp; 'Technical Sheet'!E7 &amp; "&amp;mlon=" &amp; 'Technical Sheet'!F7 &amp; "#map=17/" &amp; 'Technical Sheet'!E7 &amp; "/" &amp; 'Technical Sheet'!F7,
            "OpenStreetMap Link"
        ),
        ""
    ),
    ""
)</f>
        <v/>
      </c>
      <c r="K407" s="76" t="str">
        <f t="shared" si="6"/>
        <v>++++</v>
      </c>
    </row>
    <row r="408" spans="3:13" outlineLevel="1">
      <c r="C408" s="173">
        <v>7</v>
      </c>
      <c r="D408" s="65"/>
      <c r="E408" s="66"/>
      <c r="F408" s="350"/>
      <c r="G408" s="65"/>
      <c r="H408" s="355" t="str">
        <f>'Technical Sheet'!G8</f>
        <v>-</v>
      </c>
      <c r="I408" s="17" t="str">
        <f t="shared" si="7"/>
        <v/>
      </c>
      <c r="J408" s="158" t="str">
        <f>IF(AND(D408&lt;&gt;"", E408&lt;&gt;"", F408&lt;&gt;"", G408&lt;&gt;""),
    IFERROR(
        HYPERLINK("https://www.openstreetmap.org/?mlat=" &amp; 'Technical Sheet'!E8 &amp; "&amp;mlon=" &amp; 'Technical Sheet'!F8 &amp; "#map=17/" &amp; 'Technical Sheet'!E8 &amp; "/" &amp; 'Technical Sheet'!F8,
            "OpenStreetMap Link"
        ),
        ""
    ),
    ""
)</f>
        <v/>
      </c>
      <c r="K408" s="76" t="str">
        <f t="shared" si="6"/>
        <v>++++</v>
      </c>
    </row>
    <row r="409" spans="3:13" outlineLevel="1">
      <c r="C409" s="174">
        <v>8</v>
      </c>
      <c r="D409" s="65"/>
      <c r="E409" s="66"/>
      <c r="F409" s="350"/>
      <c r="G409" s="65"/>
      <c r="H409" s="355" t="str">
        <f>'Technical Sheet'!G9</f>
        <v>-</v>
      </c>
      <c r="I409" s="17" t="str">
        <f t="shared" si="7"/>
        <v/>
      </c>
      <c r="J409" s="158" t="str">
        <f>IF(AND(D409&lt;&gt;"", E409&lt;&gt;"", F409&lt;&gt;"", G409&lt;&gt;""),
    IFERROR(
        HYPERLINK("https://www.openstreetmap.org/?mlat=" &amp; 'Technical Sheet'!E9 &amp; "&amp;mlon=" &amp; 'Technical Sheet'!F9 &amp; "#map=17/" &amp; 'Technical Sheet'!E9 &amp; "/" &amp; 'Technical Sheet'!F9,
            "OpenStreetMap Link"
        ),
        ""
    ),
    ""
)</f>
        <v/>
      </c>
      <c r="K409" s="76" t="str">
        <f t="shared" si="6"/>
        <v>++++</v>
      </c>
    </row>
    <row r="410" spans="3:13" outlineLevel="1">
      <c r="C410" s="173">
        <v>9</v>
      </c>
      <c r="D410" s="65"/>
      <c r="E410" s="66"/>
      <c r="F410" s="350"/>
      <c r="G410" s="65"/>
      <c r="H410" s="355" t="str">
        <f>'Technical Sheet'!G10</f>
        <v>-</v>
      </c>
      <c r="I410" s="17" t="str">
        <f t="shared" si="7"/>
        <v/>
      </c>
      <c r="J410" s="158" t="str">
        <f>IF(AND(D410&lt;&gt;"", E410&lt;&gt;"", F410&lt;&gt;"", G410&lt;&gt;""),
    IFERROR(
        HYPERLINK("https://www.openstreetmap.org/?mlat=" &amp; 'Technical Sheet'!E10 &amp; "&amp;mlon=" &amp; 'Technical Sheet'!F10 &amp; "#map=17/" &amp; 'Technical Sheet'!E10 &amp; "/" &amp; 'Technical Sheet'!F10,
            "OpenStreetMap Link"
        ),
        ""
    ),
    ""
)</f>
        <v/>
      </c>
      <c r="K410" s="76" t="str">
        <f t="shared" si="6"/>
        <v>++++</v>
      </c>
    </row>
    <row r="411" spans="3:13" outlineLevel="1">
      <c r="C411" s="173">
        <v>10</v>
      </c>
      <c r="D411" s="65"/>
      <c r="E411" s="66"/>
      <c r="F411" s="350"/>
      <c r="G411" s="65"/>
      <c r="H411" s="355" t="str">
        <f>'Technical Sheet'!G11</f>
        <v>-</v>
      </c>
      <c r="I411" s="17" t="str">
        <f t="shared" si="7"/>
        <v/>
      </c>
      <c r="J411" s="158" t="str">
        <f>IF(AND(D411&lt;&gt;"", E411&lt;&gt;"", F411&lt;&gt;"", G411&lt;&gt;""),
    IFERROR(
        HYPERLINK("https://www.openstreetmap.org/?mlat=" &amp; 'Technical Sheet'!E11 &amp; "&amp;mlon=" &amp; 'Technical Sheet'!F11 &amp; "#map=17/" &amp; 'Technical Sheet'!E11 &amp; "/" &amp; 'Technical Sheet'!F11,
            "OpenStreetMap Link"
        ),
        ""
    ),
    ""
)</f>
        <v/>
      </c>
      <c r="K411" s="76" t="str">
        <f t="shared" si="6"/>
        <v>++++</v>
      </c>
    </row>
    <row r="412" spans="3:13" outlineLevel="1">
      <c r="C412" s="174">
        <v>11</v>
      </c>
      <c r="D412" s="65"/>
      <c r="E412" s="66"/>
      <c r="F412" s="350"/>
      <c r="G412" s="65"/>
      <c r="H412" s="355" t="str">
        <f>'Technical Sheet'!G12</f>
        <v>-</v>
      </c>
      <c r="I412" s="17" t="str">
        <f t="shared" si="7"/>
        <v/>
      </c>
      <c r="J412" s="158" t="str">
        <f>IF(AND(D412&lt;&gt;"", E412&lt;&gt;"", F412&lt;&gt;"", G412&lt;&gt;""),
    IFERROR(
        HYPERLINK("https://www.openstreetmap.org/?mlat=" &amp; 'Technical Sheet'!E12 &amp; "&amp;mlon=" &amp; 'Technical Sheet'!F12 &amp; "#map=17/" &amp; 'Technical Sheet'!E12 &amp; "/" &amp; 'Technical Sheet'!F12,
            "OpenStreetMap Link"
        ),
        ""
    ),
    ""
)</f>
        <v/>
      </c>
      <c r="K412" s="76" t="str">
        <f t="shared" si="6"/>
        <v>++++</v>
      </c>
    </row>
    <row r="413" spans="3:13" outlineLevel="1">
      <c r="C413" s="173">
        <v>12</v>
      </c>
      <c r="D413" s="65"/>
      <c r="E413" s="66"/>
      <c r="F413" s="350"/>
      <c r="G413" s="65"/>
      <c r="H413" s="355" t="str">
        <f>'Technical Sheet'!G13</f>
        <v>-</v>
      </c>
      <c r="I413" s="17" t="str">
        <f t="shared" si="7"/>
        <v/>
      </c>
      <c r="J413" s="158" t="str">
        <f>IF(AND(D413&lt;&gt;"", E413&lt;&gt;"", F413&lt;&gt;"", G413&lt;&gt;""),
    IFERROR(
        HYPERLINK("https://www.openstreetmap.org/?mlat=" &amp; 'Technical Sheet'!E13 &amp; "&amp;mlon=" &amp; 'Technical Sheet'!F13 &amp; "#map=17/" &amp; 'Technical Sheet'!E13 &amp; "/" &amp; 'Technical Sheet'!F13,
            "OpenStreetMap Link"
        ),
        ""
    ),
    ""
)</f>
        <v/>
      </c>
      <c r="K413" s="76" t="str">
        <f t="shared" si="6"/>
        <v>++++</v>
      </c>
    </row>
    <row r="414" spans="3:13" outlineLevel="1">
      <c r="C414" s="173">
        <v>13</v>
      </c>
      <c r="D414" s="65"/>
      <c r="E414" s="66"/>
      <c r="F414" s="350"/>
      <c r="G414" s="65"/>
      <c r="H414" s="355" t="str">
        <f>'Technical Sheet'!G14</f>
        <v>-</v>
      </c>
      <c r="I414" s="17" t="str">
        <f t="shared" si="7"/>
        <v/>
      </c>
      <c r="J414" s="158" t="str">
        <f>IF(AND(D414&lt;&gt;"", E414&lt;&gt;"", F414&lt;&gt;"", G414&lt;&gt;""),
    IFERROR(
        HYPERLINK("https://www.openstreetmap.org/?mlat=" &amp; 'Technical Sheet'!E14 &amp; "&amp;mlon=" &amp; 'Technical Sheet'!F14 &amp; "#map=17/" &amp; 'Technical Sheet'!E14 &amp; "/" &amp; 'Technical Sheet'!F14,
            "OpenStreetMap Link"
        ),
        ""
    ),
    ""
)</f>
        <v/>
      </c>
      <c r="K414" s="76" t="str">
        <f t="shared" si="6"/>
        <v>++++</v>
      </c>
    </row>
    <row r="415" spans="3:13" outlineLevel="1">
      <c r="C415" s="174">
        <v>14</v>
      </c>
      <c r="D415" s="65"/>
      <c r="E415" s="66"/>
      <c r="F415" s="350"/>
      <c r="G415" s="65"/>
      <c r="H415" s="355" t="str">
        <f>'Technical Sheet'!G15</f>
        <v>-</v>
      </c>
      <c r="I415" s="17" t="str">
        <f t="shared" si="7"/>
        <v/>
      </c>
      <c r="J415" s="158" t="str">
        <f>IF(AND(D415&lt;&gt;"", E415&lt;&gt;"", F415&lt;&gt;"", G415&lt;&gt;""),
    IFERROR(
        HYPERLINK("https://www.openstreetmap.org/?mlat=" &amp; 'Technical Sheet'!E15 &amp; "&amp;mlon=" &amp; 'Technical Sheet'!F15 &amp; "#map=17/" &amp; 'Technical Sheet'!E15 &amp; "/" &amp; 'Technical Sheet'!F15,
            "OpenStreetMap Link"
        ),
        ""
    ),
    ""
)</f>
        <v/>
      </c>
      <c r="K415" s="76" t="str">
        <f t="shared" si="6"/>
        <v>++++</v>
      </c>
    </row>
    <row r="416" spans="3:13" outlineLevel="1">
      <c r="C416" s="173">
        <v>15</v>
      </c>
      <c r="D416" s="65"/>
      <c r="E416" s="66"/>
      <c r="F416" s="350"/>
      <c r="G416" s="65"/>
      <c r="H416" s="355" t="str">
        <f>'Technical Sheet'!G16</f>
        <v>-</v>
      </c>
      <c r="I416" s="17" t="str">
        <f t="shared" si="7"/>
        <v/>
      </c>
      <c r="J416" s="158" t="str">
        <f>IF(AND(D416&lt;&gt;"", E416&lt;&gt;"", F416&lt;&gt;"", G416&lt;&gt;""),
    IFERROR(
        HYPERLINK("https://www.openstreetmap.org/?mlat=" &amp; 'Technical Sheet'!E16 &amp; "&amp;mlon=" &amp; 'Technical Sheet'!F16 &amp; "#map=17/" &amp; 'Technical Sheet'!E16 &amp; "/" &amp; 'Technical Sheet'!F16,
            "OpenStreetMap Link"
        ),
        ""
    ),
    ""
)</f>
        <v/>
      </c>
      <c r="K416" s="76" t="str">
        <f t="shared" si="6"/>
        <v>++++</v>
      </c>
    </row>
    <row r="417" spans="3:11" outlineLevel="1">
      <c r="C417" s="173">
        <v>16</v>
      </c>
      <c r="D417" s="65"/>
      <c r="E417" s="66"/>
      <c r="F417" s="350"/>
      <c r="G417" s="65"/>
      <c r="H417" s="355" t="str">
        <f>'Technical Sheet'!G17</f>
        <v>-</v>
      </c>
      <c r="I417" s="17" t="str">
        <f t="shared" si="7"/>
        <v/>
      </c>
      <c r="J417" s="158" t="str">
        <f>IF(AND(D417&lt;&gt;"", E417&lt;&gt;"", F417&lt;&gt;"", G417&lt;&gt;""),
    IFERROR(
        HYPERLINK("https://www.openstreetmap.org/?mlat=" &amp; 'Technical Sheet'!E17 &amp; "&amp;mlon=" &amp; 'Technical Sheet'!F17 &amp; "#map=17/" &amp; 'Technical Sheet'!E17 &amp; "/" &amp; 'Technical Sheet'!F17,
            "OpenStreetMap Link"
        ),
        ""
    ),
    ""
)</f>
        <v/>
      </c>
      <c r="K417" s="76" t="str">
        <f t="shared" si="6"/>
        <v>++++</v>
      </c>
    </row>
    <row r="418" spans="3:11" outlineLevel="1">
      <c r="C418" s="174">
        <v>17</v>
      </c>
      <c r="D418" s="65"/>
      <c r="E418" s="66"/>
      <c r="F418" s="350"/>
      <c r="G418" s="65"/>
      <c r="H418" s="355" t="str">
        <f>'Technical Sheet'!G18</f>
        <v>-</v>
      </c>
      <c r="I418" s="17" t="str">
        <f t="shared" si="7"/>
        <v/>
      </c>
      <c r="J418" s="158" t="str">
        <f>IF(AND(D418&lt;&gt;"", E418&lt;&gt;"", F418&lt;&gt;"", G418&lt;&gt;""),
    IFERROR(
        HYPERLINK("https://www.openstreetmap.org/?mlat=" &amp; 'Technical Sheet'!E18 &amp; "&amp;mlon=" &amp; 'Technical Sheet'!F18 &amp; "#map=17/" &amp; 'Technical Sheet'!E18 &amp; "/" &amp; 'Technical Sheet'!F18,
            "OpenStreetMap Link"
        ),
        ""
    ),
    ""
)</f>
        <v/>
      </c>
      <c r="K418" s="76" t="str">
        <f t="shared" si="6"/>
        <v>++++</v>
      </c>
    </row>
    <row r="419" spans="3:11" outlineLevel="1">
      <c r="C419" s="173">
        <v>18</v>
      </c>
      <c r="D419" s="65"/>
      <c r="E419" s="66"/>
      <c r="F419" s="350"/>
      <c r="G419" s="65"/>
      <c r="H419" s="355" t="str">
        <f>'Technical Sheet'!G19</f>
        <v>-</v>
      </c>
      <c r="I419" s="17" t="str">
        <f t="shared" si="7"/>
        <v/>
      </c>
      <c r="J419" s="158" t="str">
        <f>IF(AND(D419&lt;&gt;"", E419&lt;&gt;"", F419&lt;&gt;"", G419&lt;&gt;""),
    IFERROR(
        HYPERLINK("https://www.openstreetmap.org/?mlat=" &amp; 'Technical Sheet'!E19 &amp; "&amp;mlon=" &amp; 'Technical Sheet'!F19 &amp; "#map=17/" &amp; 'Technical Sheet'!E19 &amp; "/" &amp; 'Technical Sheet'!F19,
            "OpenStreetMap Link"
        ),
        ""
    ),
    ""
)</f>
        <v/>
      </c>
      <c r="K419" s="76" t="str">
        <f t="shared" si="6"/>
        <v>++++</v>
      </c>
    </row>
    <row r="420" spans="3:11" outlineLevel="1">
      <c r="C420" s="173">
        <v>19</v>
      </c>
      <c r="D420" s="65"/>
      <c r="E420" s="66"/>
      <c r="F420" s="350"/>
      <c r="G420" s="65"/>
      <c r="H420" s="355" t="str">
        <f>'Technical Sheet'!G20</f>
        <v>-</v>
      </c>
      <c r="I420" s="17" t="str">
        <f t="shared" si="7"/>
        <v/>
      </c>
      <c r="J420" s="158" t="str">
        <f>IF(AND(D420&lt;&gt;"", E420&lt;&gt;"", F420&lt;&gt;"", G420&lt;&gt;""),
    IFERROR(
        HYPERLINK("https://www.openstreetmap.org/?mlat=" &amp; 'Technical Sheet'!E20 &amp; "&amp;mlon=" &amp; 'Technical Sheet'!F20 &amp; "#map=17/" &amp; 'Technical Sheet'!E20 &amp; "/" &amp; 'Technical Sheet'!F20,
            "OpenStreetMap Link"
        ),
        ""
    ),
    ""
)</f>
        <v/>
      </c>
      <c r="K420" s="76" t="str">
        <f t="shared" si="6"/>
        <v>++++</v>
      </c>
    </row>
    <row r="421" spans="3:11" outlineLevel="1">
      <c r="C421" s="174">
        <v>20</v>
      </c>
      <c r="D421" s="65"/>
      <c r="E421" s="66"/>
      <c r="F421" s="350"/>
      <c r="G421" s="65"/>
      <c r="H421" s="355" t="str">
        <f>'Technical Sheet'!G21</f>
        <v>-</v>
      </c>
      <c r="I421" s="17" t="str">
        <f t="shared" si="7"/>
        <v/>
      </c>
      <c r="J421" s="158" t="str">
        <f>IF(AND(D421&lt;&gt;"", E421&lt;&gt;"", F421&lt;&gt;"", G421&lt;&gt;""),
    IFERROR(
        HYPERLINK("https://www.openstreetmap.org/?mlat=" &amp; 'Technical Sheet'!E21 &amp; "&amp;mlon=" &amp; 'Technical Sheet'!F21 &amp; "#map=17/" &amp; 'Technical Sheet'!E21 &amp; "/" &amp; 'Technical Sheet'!F21,
            "OpenStreetMap Link"
        ),
        ""
    ),
    ""
)</f>
        <v/>
      </c>
      <c r="K421" s="76" t="str">
        <f t="shared" si="6"/>
        <v>++++</v>
      </c>
    </row>
    <row r="422" spans="3:11" outlineLevel="1">
      <c r="C422" s="173">
        <v>21</v>
      </c>
      <c r="D422" s="65"/>
      <c r="E422" s="66"/>
      <c r="F422" s="350"/>
      <c r="G422" s="65"/>
      <c r="H422" s="355" t="str">
        <f>'Technical Sheet'!G22</f>
        <v>-</v>
      </c>
      <c r="I422" s="17" t="str">
        <f t="shared" si="7"/>
        <v/>
      </c>
      <c r="J422" s="158" t="str">
        <f>IF(AND(D422&lt;&gt;"", E422&lt;&gt;"", F422&lt;&gt;"", G422&lt;&gt;""),
    IFERROR(
        HYPERLINK("https://www.openstreetmap.org/?mlat=" &amp; 'Technical Sheet'!E22 &amp; "&amp;mlon=" &amp; 'Technical Sheet'!F22 &amp; "#map=17/" &amp; 'Technical Sheet'!E22 &amp; "/" &amp; 'Technical Sheet'!F22,
            "OpenStreetMap Link"
        ),
        ""
    ),
    ""
)</f>
        <v/>
      </c>
      <c r="K422" s="76" t="str">
        <f t="shared" si="6"/>
        <v>++++</v>
      </c>
    </row>
    <row r="423" spans="3:11" outlineLevel="1">
      <c r="C423" s="173">
        <v>22</v>
      </c>
      <c r="D423" s="65"/>
      <c r="E423" s="66"/>
      <c r="F423" s="350"/>
      <c r="G423" s="65"/>
      <c r="H423" s="355" t="str">
        <f>'Technical Sheet'!G23</f>
        <v>-</v>
      </c>
      <c r="I423" s="17" t="str">
        <f t="shared" si="7"/>
        <v/>
      </c>
      <c r="J423" s="158" t="str">
        <f>IF(AND(D423&lt;&gt;"", E423&lt;&gt;"", F423&lt;&gt;"", G423&lt;&gt;""),
    IFERROR(
        HYPERLINK("https://www.openstreetmap.org/?mlat=" &amp; 'Technical Sheet'!E23 &amp; "&amp;mlon=" &amp; 'Technical Sheet'!F23 &amp; "#map=17/" &amp; 'Technical Sheet'!E23 &amp; "/" &amp; 'Technical Sheet'!F23,
            "OpenStreetMap Link"
        ),
        ""
    ),
    ""
)</f>
        <v/>
      </c>
      <c r="K423" s="76" t="str">
        <f t="shared" si="6"/>
        <v>++++</v>
      </c>
    </row>
    <row r="424" spans="3:11" outlineLevel="1">
      <c r="C424" s="174">
        <v>23</v>
      </c>
      <c r="D424" s="65"/>
      <c r="E424" s="66"/>
      <c r="F424" s="350"/>
      <c r="G424" s="65"/>
      <c r="H424" s="355" t="str">
        <f>'Technical Sheet'!G24</f>
        <v>-</v>
      </c>
      <c r="I424" s="17" t="str">
        <f t="shared" si="7"/>
        <v/>
      </c>
      <c r="J424" s="158" t="str">
        <f>IF(AND(D424&lt;&gt;"", E424&lt;&gt;"", F424&lt;&gt;"", G424&lt;&gt;""),
    IFERROR(
        HYPERLINK("https://www.openstreetmap.org/?mlat=" &amp; 'Technical Sheet'!E24 &amp; "&amp;mlon=" &amp; 'Technical Sheet'!F24 &amp; "#map=17/" &amp; 'Technical Sheet'!E24 &amp; "/" &amp; 'Technical Sheet'!F24,
            "OpenStreetMap Link"
        ),
        ""
    ),
    ""
)</f>
        <v/>
      </c>
      <c r="K424" s="76" t="str">
        <f t="shared" si="6"/>
        <v>++++</v>
      </c>
    </row>
    <row r="425" spans="3:11" outlineLevel="1">
      <c r="C425" s="173">
        <v>24</v>
      </c>
      <c r="D425" s="65"/>
      <c r="E425" s="66"/>
      <c r="F425" s="350"/>
      <c r="G425" s="65"/>
      <c r="H425" s="355" t="str">
        <f>'Technical Sheet'!G25</f>
        <v>-</v>
      </c>
      <c r="I425" s="17" t="str">
        <f t="shared" si="7"/>
        <v/>
      </c>
      <c r="J425" s="158" t="str">
        <f>IF(AND(D425&lt;&gt;"", E425&lt;&gt;"", F425&lt;&gt;"", G425&lt;&gt;""),
    IFERROR(
        HYPERLINK("https://www.openstreetmap.org/?mlat=" &amp; 'Technical Sheet'!E25 &amp; "&amp;mlon=" &amp; 'Technical Sheet'!F25 &amp; "#map=17/" &amp; 'Technical Sheet'!E25 &amp; "/" &amp; 'Technical Sheet'!F25,
            "OpenStreetMap Link"
        ),
        ""
    ),
    ""
)</f>
        <v/>
      </c>
      <c r="K425" s="76" t="str">
        <f t="shared" si="6"/>
        <v>++++</v>
      </c>
    </row>
    <row r="426" spans="3:11" outlineLevel="1">
      <c r="C426" s="173">
        <v>25</v>
      </c>
      <c r="D426" s="65"/>
      <c r="E426" s="66"/>
      <c r="F426" s="350"/>
      <c r="G426" s="65"/>
      <c r="H426" s="355" t="str">
        <f>'Technical Sheet'!G26</f>
        <v>-</v>
      </c>
      <c r="I426" s="17" t="str">
        <f t="shared" si="7"/>
        <v/>
      </c>
      <c r="J426" s="158" t="str">
        <f>IF(AND(D426&lt;&gt;"", E426&lt;&gt;"", F426&lt;&gt;"", G426&lt;&gt;""),
    IFERROR(
        HYPERLINK("https://www.openstreetmap.org/?mlat=" &amp; 'Technical Sheet'!E26 &amp; "&amp;mlon=" &amp; 'Technical Sheet'!F26 &amp; "#map=17/" &amp; 'Technical Sheet'!E26 &amp; "/" &amp; 'Technical Sheet'!F26,
            "OpenStreetMap Link"
        ),
        ""
    ),
    ""
)</f>
        <v/>
      </c>
      <c r="K426" s="76" t="str">
        <f t="shared" si="6"/>
        <v>++++</v>
      </c>
    </row>
    <row r="427" spans="3:11" outlineLevel="1">
      <c r="C427" s="174">
        <v>26</v>
      </c>
      <c r="D427" s="65"/>
      <c r="E427" s="66"/>
      <c r="F427" s="350"/>
      <c r="G427" s="65"/>
      <c r="H427" s="355" t="str">
        <f>'Technical Sheet'!G27</f>
        <v>-</v>
      </c>
      <c r="I427" s="17" t="str">
        <f t="shared" si="7"/>
        <v/>
      </c>
      <c r="J427" s="158" t="str">
        <f>IF(AND(D427&lt;&gt;"", E427&lt;&gt;"", F427&lt;&gt;"", G427&lt;&gt;""),
    IFERROR(
        HYPERLINK("https://www.openstreetmap.org/?mlat=" &amp; 'Technical Sheet'!E27 &amp; "&amp;mlon=" &amp; 'Technical Sheet'!F27 &amp; "#map=17/" &amp; 'Technical Sheet'!E27 &amp; "/" &amp; 'Technical Sheet'!F27,
            "OpenStreetMap Link"
        ),
        ""
    ),
    ""
)</f>
        <v/>
      </c>
      <c r="K427" s="76" t="str">
        <f t="shared" si="6"/>
        <v>++++</v>
      </c>
    </row>
    <row r="428" spans="3:11" outlineLevel="1">
      <c r="C428" s="173">
        <v>27</v>
      </c>
      <c r="D428" s="65"/>
      <c r="E428" s="66"/>
      <c r="F428" s="350"/>
      <c r="G428" s="65"/>
      <c r="H428" s="355" t="str">
        <f>'Technical Sheet'!G28</f>
        <v>-</v>
      </c>
      <c r="I428" s="17" t="str">
        <f t="shared" si="7"/>
        <v/>
      </c>
      <c r="J428" s="158" t="str">
        <f>IF(AND(D428&lt;&gt;"", E428&lt;&gt;"", F428&lt;&gt;"", G428&lt;&gt;""),
    IFERROR(
        HYPERLINK("https://www.openstreetmap.org/?mlat=" &amp; 'Technical Sheet'!E28 &amp; "&amp;mlon=" &amp; 'Technical Sheet'!F28 &amp; "#map=17/" &amp; 'Technical Sheet'!E28 &amp; "/" &amp; 'Technical Sheet'!F28,
            "OpenStreetMap Link"
        ),
        ""
    ),
    ""
)</f>
        <v/>
      </c>
      <c r="K428" s="76" t="str">
        <f t="shared" si="6"/>
        <v>++++</v>
      </c>
    </row>
    <row r="429" spans="3:11" outlineLevel="1">
      <c r="C429" s="173">
        <v>28</v>
      </c>
      <c r="D429" s="65"/>
      <c r="E429" s="66"/>
      <c r="F429" s="350"/>
      <c r="G429" s="65"/>
      <c r="H429" s="355" t="str">
        <f>'Technical Sheet'!G29</f>
        <v>-</v>
      </c>
      <c r="I429" s="17" t="str">
        <f t="shared" si="7"/>
        <v/>
      </c>
      <c r="J429" s="158" t="str">
        <f>IF(AND(D429&lt;&gt;"", E429&lt;&gt;"", F429&lt;&gt;"", G429&lt;&gt;""),
    IFERROR(
        HYPERLINK("https://www.openstreetmap.org/?mlat=" &amp; 'Technical Sheet'!E29 &amp; "&amp;mlon=" &amp; 'Technical Sheet'!F29 &amp; "#map=17/" &amp; 'Technical Sheet'!E29 &amp; "/" &amp; 'Technical Sheet'!F29,
            "OpenStreetMap Link"
        ),
        ""
    ),
    ""
)</f>
        <v/>
      </c>
      <c r="K429" s="76" t="str">
        <f t="shared" si="6"/>
        <v>++++</v>
      </c>
    </row>
    <row r="430" spans="3:11" outlineLevel="1">
      <c r="C430" s="174">
        <v>29</v>
      </c>
      <c r="D430" s="65"/>
      <c r="E430" s="66"/>
      <c r="F430" s="350"/>
      <c r="G430" s="65"/>
      <c r="H430" s="355" t="str">
        <f>'Technical Sheet'!G30</f>
        <v>-</v>
      </c>
      <c r="I430" s="17" t="str">
        <f t="shared" si="7"/>
        <v/>
      </c>
      <c r="J430" s="158" t="str">
        <f>IF(AND(D430&lt;&gt;"", E430&lt;&gt;"", F430&lt;&gt;"", G430&lt;&gt;""),
    IFERROR(
        HYPERLINK("https://www.openstreetmap.org/?mlat=" &amp; 'Technical Sheet'!E30 &amp; "&amp;mlon=" &amp; 'Technical Sheet'!F30 &amp; "#map=17/" &amp; 'Technical Sheet'!E30 &amp; "/" &amp; 'Technical Sheet'!F30,
            "OpenStreetMap Link"
        ),
        ""
    ),
    ""
)</f>
        <v/>
      </c>
      <c r="K430" s="76" t="str">
        <f t="shared" si="6"/>
        <v>++++</v>
      </c>
    </row>
    <row r="431" spans="3:11" outlineLevel="1">
      <c r="C431" s="173">
        <v>30</v>
      </c>
      <c r="D431" s="65"/>
      <c r="E431" s="66"/>
      <c r="F431" s="350"/>
      <c r="G431" s="65"/>
      <c r="H431" s="355" t="str">
        <f>'Technical Sheet'!G31</f>
        <v>-</v>
      </c>
      <c r="I431" s="17" t="str">
        <f t="shared" si="7"/>
        <v/>
      </c>
      <c r="J431" s="158" t="str">
        <f>IF(AND(D431&lt;&gt;"", E431&lt;&gt;"", F431&lt;&gt;"", G431&lt;&gt;""),
    IFERROR(
        HYPERLINK("https://www.openstreetmap.org/?mlat=" &amp; 'Technical Sheet'!E31 &amp; "&amp;mlon=" &amp; 'Technical Sheet'!F31 &amp; "#map=17/" &amp; 'Technical Sheet'!E31 &amp; "/" &amp; 'Technical Sheet'!F31,
            "OpenStreetMap Link"
        ),
        ""
    ),
    ""
)</f>
        <v/>
      </c>
      <c r="K431" s="76" t="str">
        <f t="shared" si="6"/>
        <v>++++</v>
      </c>
    </row>
    <row r="432" spans="3:11" outlineLevel="1">
      <c r="C432" s="173">
        <v>31</v>
      </c>
      <c r="D432" s="65"/>
      <c r="E432" s="66"/>
      <c r="F432" s="350"/>
      <c r="G432" s="65"/>
      <c r="H432" s="355" t="str">
        <f>'Technical Sheet'!G32</f>
        <v>-</v>
      </c>
      <c r="I432" s="17" t="str">
        <f t="shared" si="7"/>
        <v/>
      </c>
      <c r="J432" s="158" t="str">
        <f>IF(AND(D432&lt;&gt;"", E432&lt;&gt;"", F432&lt;&gt;"", G432&lt;&gt;""),
    IFERROR(
        HYPERLINK("https://www.openstreetmap.org/?mlat=" &amp; 'Technical Sheet'!E32 &amp; "&amp;mlon=" &amp; 'Technical Sheet'!F32 &amp; "#map=17/" &amp; 'Technical Sheet'!E32 &amp; "/" &amp; 'Technical Sheet'!F32,
            "OpenStreetMap Link"
        ),
        ""
    ),
    ""
)</f>
        <v/>
      </c>
      <c r="K432" s="76" t="str">
        <f t="shared" si="6"/>
        <v>++++</v>
      </c>
    </row>
    <row r="433" spans="3:11" outlineLevel="1">
      <c r="C433" s="174">
        <v>32</v>
      </c>
      <c r="D433" s="65"/>
      <c r="E433" s="66"/>
      <c r="F433" s="350"/>
      <c r="G433" s="65"/>
      <c r="H433" s="355" t="str">
        <f>'Technical Sheet'!G33</f>
        <v>-</v>
      </c>
      <c r="I433" s="17" t="str">
        <f t="shared" si="7"/>
        <v/>
      </c>
      <c r="J433" s="158" t="str">
        <f>IF(AND(D433&lt;&gt;"", E433&lt;&gt;"", F433&lt;&gt;"", G433&lt;&gt;""),
    IFERROR(
        HYPERLINK("https://www.openstreetmap.org/?mlat=" &amp; 'Technical Sheet'!E33 &amp; "&amp;mlon=" &amp; 'Technical Sheet'!F33 &amp; "#map=17/" &amp; 'Technical Sheet'!E33 &amp; "/" &amp; 'Technical Sheet'!F33,
            "OpenStreetMap Link"
        ),
        ""
    ),
    ""
)</f>
        <v/>
      </c>
      <c r="K433" s="76" t="str">
        <f t="shared" si="6"/>
        <v>++++</v>
      </c>
    </row>
    <row r="434" spans="3:11" outlineLevel="1">
      <c r="C434" s="173">
        <v>33</v>
      </c>
      <c r="D434" s="65"/>
      <c r="E434" s="66"/>
      <c r="F434" s="350"/>
      <c r="G434" s="65"/>
      <c r="H434" s="355" t="str">
        <f>'Technical Sheet'!G34</f>
        <v>-</v>
      </c>
      <c r="I434" s="17" t="str">
        <f t="shared" si="7"/>
        <v/>
      </c>
      <c r="J434" s="158" t="str">
        <f>IF(AND(D434&lt;&gt;"", E434&lt;&gt;"", F434&lt;&gt;"", G434&lt;&gt;""),
    IFERROR(
        HYPERLINK("https://www.openstreetmap.org/?mlat=" &amp; 'Technical Sheet'!E34 &amp; "&amp;mlon=" &amp; 'Technical Sheet'!F34 &amp; "#map=17/" &amp; 'Technical Sheet'!E34 &amp; "/" &amp; 'Technical Sheet'!F34,
            "OpenStreetMap Link"
        ),
        ""
    ),
    ""
)</f>
        <v/>
      </c>
      <c r="K434" s="76" t="str">
        <f t="shared" si="6"/>
        <v>++++</v>
      </c>
    </row>
    <row r="435" spans="3:11" outlineLevel="1">
      <c r="C435" s="173">
        <v>34</v>
      </c>
      <c r="D435" s="65"/>
      <c r="E435" s="66"/>
      <c r="F435" s="350"/>
      <c r="G435" s="65"/>
      <c r="H435" s="355" t="str">
        <f>'Technical Sheet'!G35</f>
        <v>-</v>
      </c>
      <c r="I435" s="17" t="str">
        <f t="shared" ref="I435:I466" si="8">IF(AND(D435&lt;&gt;"", E435&lt;&gt;"", F435&lt;&gt;"", G435&lt;&gt;"", H435&lt;&gt;""), template_label_ok,
    IF(AND(D435="", E435="", F435="", G435="", H435="-"), "",
        template_label_missing_value
    )
)</f>
        <v/>
      </c>
      <c r="J435" s="158" t="str">
        <f>IF(AND(D435&lt;&gt;"", E435&lt;&gt;"", F435&lt;&gt;"", G435&lt;&gt;""),
    IFERROR(
        HYPERLINK("https://www.openstreetmap.org/?mlat=" &amp; 'Technical Sheet'!E35 &amp; "&amp;mlon=" &amp; 'Technical Sheet'!F35 &amp; "#map=17/" &amp; 'Technical Sheet'!E35 &amp; "/" &amp; 'Technical Sheet'!F35,
            "OpenStreetMap Link"
        ),
        ""
    ),
    ""
)</f>
        <v/>
      </c>
      <c r="K435" s="76" t="str">
        <f t="shared" si="6"/>
        <v>++++</v>
      </c>
    </row>
    <row r="436" spans="3:11" outlineLevel="1">
      <c r="C436" s="174">
        <v>35</v>
      </c>
      <c r="D436" s="65"/>
      <c r="E436" s="66"/>
      <c r="F436" s="350"/>
      <c r="G436" s="65"/>
      <c r="H436" s="355" t="str">
        <f>'Technical Sheet'!G36</f>
        <v>-</v>
      </c>
      <c r="I436" s="17" t="str">
        <f t="shared" si="8"/>
        <v/>
      </c>
      <c r="J436" s="158" t="str">
        <f>IF(AND(D436&lt;&gt;"", E436&lt;&gt;"", F436&lt;&gt;"", G436&lt;&gt;""),
    IFERROR(
        HYPERLINK("https://www.openstreetmap.org/?mlat=" &amp; 'Technical Sheet'!E36 &amp; "&amp;mlon=" &amp; 'Technical Sheet'!F36 &amp; "#map=17/" &amp; 'Technical Sheet'!E36 &amp; "/" &amp; 'Technical Sheet'!F36,
            "OpenStreetMap Link"
        ),
        ""
    ),
    ""
)</f>
        <v/>
      </c>
      <c r="K436" s="76" t="str">
        <f t="shared" si="6"/>
        <v>++++</v>
      </c>
    </row>
    <row r="437" spans="3:11" outlineLevel="1">
      <c r="C437" s="173">
        <v>36</v>
      </c>
      <c r="D437" s="65"/>
      <c r="E437" s="66"/>
      <c r="F437" s="350"/>
      <c r="G437" s="65"/>
      <c r="H437" s="355" t="str">
        <f>'Technical Sheet'!G37</f>
        <v>-</v>
      </c>
      <c r="I437" s="17" t="str">
        <f t="shared" si="8"/>
        <v/>
      </c>
      <c r="J437" s="158" t="str">
        <f>IF(AND(D437&lt;&gt;"", E437&lt;&gt;"", F437&lt;&gt;"", G437&lt;&gt;""),
    IFERROR(
        HYPERLINK("https://www.openstreetmap.org/?mlat=" &amp; 'Technical Sheet'!E37 &amp; "&amp;mlon=" &amp; 'Technical Sheet'!F37 &amp; "#map=17/" &amp; 'Technical Sheet'!E37 &amp; "/" &amp; 'Technical Sheet'!F37,
            "OpenStreetMap Link"
        ),
        ""
    ),
    ""
)</f>
        <v/>
      </c>
      <c r="K437" s="76" t="str">
        <f t="shared" si="6"/>
        <v>++++</v>
      </c>
    </row>
    <row r="438" spans="3:11" outlineLevel="1">
      <c r="C438" s="173">
        <v>37</v>
      </c>
      <c r="D438" s="65"/>
      <c r="E438" s="66"/>
      <c r="F438" s="350"/>
      <c r="G438" s="65"/>
      <c r="H438" s="355" t="str">
        <f>'Technical Sheet'!G38</f>
        <v>-</v>
      </c>
      <c r="I438" s="17" t="str">
        <f t="shared" si="8"/>
        <v/>
      </c>
      <c r="J438" s="158" t="str">
        <f>IF(AND(D438&lt;&gt;"", E438&lt;&gt;"", F438&lt;&gt;"", G438&lt;&gt;""),
    IFERROR(
        HYPERLINK("https://www.openstreetmap.org/?mlat=" &amp; 'Technical Sheet'!E38 &amp; "&amp;mlon=" &amp; 'Technical Sheet'!F38 &amp; "#map=17/" &amp; 'Technical Sheet'!E38 &amp; "/" &amp; 'Technical Sheet'!F38,
            "OpenStreetMap Link"
        ),
        ""
    ),
    ""
)</f>
        <v/>
      </c>
      <c r="K438" s="76" t="str">
        <f t="shared" si="6"/>
        <v>++++</v>
      </c>
    </row>
    <row r="439" spans="3:11" outlineLevel="1">
      <c r="C439" s="174">
        <v>38</v>
      </c>
      <c r="D439" s="65"/>
      <c r="E439" s="66"/>
      <c r="F439" s="350"/>
      <c r="G439" s="65"/>
      <c r="H439" s="355" t="str">
        <f>'Technical Sheet'!G39</f>
        <v>-</v>
      </c>
      <c r="I439" s="17" t="str">
        <f t="shared" si="8"/>
        <v/>
      </c>
      <c r="J439" s="158" t="str">
        <f>IF(AND(D439&lt;&gt;"", E439&lt;&gt;"", F439&lt;&gt;"", G439&lt;&gt;""),
    IFERROR(
        HYPERLINK("https://www.openstreetmap.org/?mlat=" &amp; 'Technical Sheet'!E39 &amp; "&amp;mlon=" &amp; 'Technical Sheet'!F39 &amp; "#map=17/" &amp; 'Technical Sheet'!E39 &amp; "/" &amp; 'Technical Sheet'!F39,
            "OpenStreetMap Link"
        ),
        ""
    ),
    ""
)</f>
        <v/>
      </c>
      <c r="K439" s="76" t="str">
        <f t="shared" si="6"/>
        <v>++++</v>
      </c>
    </row>
    <row r="440" spans="3:11" outlineLevel="1">
      <c r="C440" s="173">
        <v>39</v>
      </c>
      <c r="D440" s="65"/>
      <c r="E440" s="66"/>
      <c r="F440" s="350"/>
      <c r="G440" s="65"/>
      <c r="H440" s="355" t="str">
        <f>'Technical Sheet'!G40</f>
        <v>-</v>
      </c>
      <c r="I440" s="17" t="str">
        <f t="shared" si="8"/>
        <v/>
      </c>
      <c r="J440" s="158" t="str">
        <f>IF(AND(D440&lt;&gt;"", E440&lt;&gt;"", F440&lt;&gt;"", G440&lt;&gt;""),
    IFERROR(
        HYPERLINK("https://www.openstreetmap.org/?mlat=" &amp; 'Technical Sheet'!E40 &amp; "&amp;mlon=" &amp; 'Technical Sheet'!F40 &amp; "#map=17/" &amp; 'Technical Sheet'!E40 &amp; "/" &amp; 'Technical Sheet'!F40,
            "OpenStreetMap Link"
        ),
        ""
    ),
    ""
)</f>
        <v/>
      </c>
      <c r="K440" s="76" t="str">
        <f t="shared" si="6"/>
        <v>++++</v>
      </c>
    </row>
    <row r="441" spans="3:11" outlineLevel="1">
      <c r="C441" s="173">
        <v>40</v>
      </c>
      <c r="D441" s="65"/>
      <c r="E441" s="66"/>
      <c r="F441" s="350"/>
      <c r="G441" s="65"/>
      <c r="H441" s="355" t="str">
        <f>'Technical Sheet'!G41</f>
        <v>-</v>
      </c>
      <c r="I441" s="17" t="str">
        <f t="shared" si="8"/>
        <v/>
      </c>
      <c r="J441" s="158" t="str">
        <f>IF(AND(D441&lt;&gt;"", E441&lt;&gt;"", F441&lt;&gt;"", G441&lt;&gt;""),
    IFERROR(
        HYPERLINK("https://www.openstreetmap.org/?mlat=" &amp; 'Technical Sheet'!E41 &amp; "&amp;mlon=" &amp; 'Technical Sheet'!F41 &amp; "#map=17/" &amp; 'Technical Sheet'!E41 &amp; "/" &amp; 'Technical Sheet'!F41,
            "OpenStreetMap Link"
        ),
        ""
    ),
    ""
)</f>
        <v/>
      </c>
      <c r="K441" s="76" t="str">
        <f t="shared" si="6"/>
        <v>++++</v>
      </c>
    </row>
    <row r="442" spans="3:11" outlineLevel="1">
      <c r="C442" s="174">
        <v>41</v>
      </c>
      <c r="D442" s="65"/>
      <c r="E442" s="66"/>
      <c r="F442" s="350"/>
      <c r="G442" s="65"/>
      <c r="H442" s="355" t="str">
        <f>'Technical Sheet'!G42</f>
        <v>-</v>
      </c>
      <c r="I442" s="17" t="str">
        <f t="shared" si="8"/>
        <v/>
      </c>
      <c r="J442" s="158" t="str">
        <f>IF(AND(D442&lt;&gt;"", E442&lt;&gt;"", F442&lt;&gt;"", G442&lt;&gt;""),
    IFERROR(
        HYPERLINK("https://www.openstreetmap.org/?mlat=" &amp; 'Technical Sheet'!E42 &amp; "&amp;mlon=" &amp; 'Technical Sheet'!F42 &amp; "#map=17/" &amp; 'Technical Sheet'!E42 &amp; "/" &amp; 'Technical Sheet'!F42,
            "OpenStreetMap Link"
        ),
        ""
    ),
    ""
)</f>
        <v/>
      </c>
      <c r="K442" s="76" t="str">
        <f t="shared" si="6"/>
        <v>++++</v>
      </c>
    </row>
    <row r="443" spans="3:11" outlineLevel="1">
      <c r="C443" s="173">
        <v>42</v>
      </c>
      <c r="D443" s="65"/>
      <c r="E443" s="66"/>
      <c r="F443" s="350"/>
      <c r="G443" s="65"/>
      <c r="H443" s="355" t="str">
        <f>'Technical Sheet'!G43</f>
        <v>-</v>
      </c>
      <c r="I443" s="17" t="str">
        <f t="shared" si="8"/>
        <v/>
      </c>
      <c r="J443" s="158" t="str">
        <f>IF(AND(D443&lt;&gt;"", E443&lt;&gt;"", F443&lt;&gt;"", G443&lt;&gt;""),
    IFERROR(
        HYPERLINK("https://www.openstreetmap.org/?mlat=" &amp; 'Technical Sheet'!E43 &amp; "&amp;mlon=" &amp; 'Technical Sheet'!F43 &amp; "#map=17/" &amp; 'Technical Sheet'!E43 &amp; "/" &amp; 'Technical Sheet'!F43,
            "OpenStreetMap Link"
        ),
        ""
    ),
    ""
)</f>
        <v/>
      </c>
      <c r="K443" s="76" t="str">
        <f t="shared" si="6"/>
        <v>++++</v>
      </c>
    </row>
    <row r="444" spans="3:11" outlineLevel="1">
      <c r="C444" s="173">
        <v>43</v>
      </c>
      <c r="D444" s="65"/>
      <c r="E444" s="66"/>
      <c r="F444" s="350"/>
      <c r="G444" s="65"/>
      <c r="H444" s="355" t="str">
        <f>'Technical Sheet'!G44</f>
        <v>-</v>
      </c>
      <c r="I444" s="17" t="str">
        <f t="shared" si="8"/>
        <v/>
      </c>
      <c r="J444" s="158" t="str">
        <f>IF(AND(D444&lt;&gt;"", E444&lt;&gt;"", F444&lt;&gt;"", G444&lt;&gt;""),
    IFERROR(
        HYPERLINK("https://www.openstreetmap.org/?mlat=" &amp; 'Technical Sheet'!E44 &amp; "&amp;mlon=" &amp; 'Technical Sheet'!F44 &amp; "#map=17/" &amp; 'Technical Sheet'!E44 &amp; "/" &amp; 'Technical Sheet'!F44,
            "OpenStreetMap Link"
        ),
        ""
    ),
    ""
)</f>
        <v/>
      </c>
      <c r="K444" s="76" t="str">
        <f t="shared" si="6"/>
        <v>++++</v>
      </c>
    </row>
    <row r="445" spans="3:11" outlineLevel="1">
      <c r="C445" s="174">
        <v>44</v>
      </c>
      <c r="D445" s="65"/>
      <c r="E445" s="66"/>
      <c r="F445" s="350"/>
      <c r="G445" s="65"/>
      <c r="H445" s="355" t="str">
        <f>'Technical Sheet'!G45</f>
        <v>-</v>
      </c>
      <c r="I445" s="17" t="str">
        <f t="shared" si="8"/>
        <v/>
      </c>
      <c r="J445" s="158" t="str">
        <f>IF(AND(D445&lt;&gt;"", E445&lt;&gt;"", F445&lt;&gt;"", G445&lt;&gt;""),
    IFERROR(
        HYPERLINK("https://www.openstreetmap.org/?mlat=" &amp; 'Technical Sheet'!E45 &amp; "&amp;mlon=" &amp; 'Technical Sheet'!F45 &amp; "#map=17/" &amp; 'Technical Sheet'!E45 &amp; "/" &amp; 'Technical Sheet'!F45,
            "OpenStreetMap Link"
        ),
        ""
    ),
    ""
)</f>
        <v/>
      </c>
      <c r="K445" s="76" t="str">
        <f t="shared" si="6"/>
        <v>++++</v>
      </c>
    </row>
    <row r="446" spans="3:11" outlineLevel="1">
      <c r="C446" s="173">
        <v>45</v>
      </c>
      <c r="D446" s="65"/>
      <c r="E446" s="66"/>
      <c r="F446" s="350"/>
      <c r="G446" s="65"/>
      <c r="H446" s="355" t="str">
        <f>'Technical Sheet'!G46</f>
        <v>-</v>
      </c>
      <c r="I446" s="17" t="str">
        <f t="shared" si="8"/>
        <v/>
      </c>
      <c r="J446" s="158" t="str">
        <f>IF(AND(D446&lt;&gt;"", E446&lt;&gt;"", F446&lt;&gt;"", G446&lt;&gt;""),
    IFERROR(
        HYPERLINK("https://www.openstreetmap.org/?mlat=" &amp; 'Technical Sheet'!E46 &amp; "&amp;mlon=" &amp; 'Technical Sheet'!F46 &amp; "#map=17/" &amp; 'Technical Sheet'!E46 &amp; "/" &amp; 'Technical Sheet'!F46,
            "OpenStreetMap Link"
        ),
        ""
    ),
    ""
)</f>
        <v/>
      </c>
      <c r="K446" s="76" t="str">
        <f t="shared" si="6"/>
        <v>++++</v>
      </c>
    </row>
    <row r="447" spans="3:11" outlineLevel="1">
      <c r="C447" s="173">
        <v>46</v>
      </c>
      <c r="D447" s="65"/>
      <c r="E447" s="66"/>
      <c r="F447" s="350"/>
      <c r="G447" s="65"/>
      <c r="H447" s="355" t="str">
        <f>'Technical Sheet'!G47</f>
        <v>-</v>
      </c>
      <c r="I447" s="17" t="str">
        <f t="shared" si="8"/>
        <v/>
      </c>
      <c r="J447" s="158" t="str">
        <f>IF(AND(D447&lt;&gt;"", E447&lt;&gt;"", F447&lt;&gt;"", G447&lt;&gt;""),
    IFERROR(
        HYPERLINK("https://www.openstreetmap.org/?mlat=" &amp; 'Technical Sheet'!E47 &amp; "&amp;mlon=" &amp; 'Technical Sheet'!F47 &amp; "#map=17/" &amp; 'Technical Sheet'!E47 &amp; "/" &amp; 'Technical Sheet'!F47,
            "OpenStreetMap Link"
        ),
        ""
    ),
    ""
)</f>
        <v/>
      </c>
      <c r="K447" s="76" t="str">
        <f t="shared" si="6"/>
        <v>++++</v>
      </c>
    </row>
    <row r="448" spans="3:11" outlineLevel="1">
      <c r="C448" s="174">
        <v>47</v>
      </c>
      <c r="D448" s="65"/>
      <c r="E448" s="66"/>
      <c r="F448" s="350"/>
      <c r="G448" s="65"/>
      <c r="H448" s="355" t="str">
        <f>'Technical Sheet'!G48</f>
        <v>-</v>
      </c>
      <c r="I448" s="17" t="str">
        <f t="shared" si="8"/>
        <v/>
      </c>
      <c r="J448" s="158" t="str">
        <f>IF(AND(D448&lt;&gt;"", E448&lt;&gt;"", F448&lt;&gt;"", G448&lt;&gt;""),
    IFERROR(
        HYPERLINK("https://www.openstreetmap.org/?mlat=" &amp; 'Technical Sheet'!E48 &amp; "&amp;mlon=" &amp; 'Technical Sheet'!F48 &amp; "#map=17/" &amp; 'Technical Sheet'!E48 &amp; "/" &amp; 'Technical Sheet'!F48,
            "OpenStreetMap Link"
        ),
        ""
    ),
    ""
)</f>
        <v/>
      </c>
      <c r="K448" s="76" t="str">
        <f t="shared" si="6"/>
        <v>++++</v>
      </c>
    </row>
    <row r="449" spans="3:11" outlineLevel="1">
      <c r="C449" s="173">
        <v>48</v>
      </c>
      <c r="D449" s="65"/>
      <c r="E449" s="66"/>
      <c r="F449" s="350"/>
      <c r="G449" s="65"/>
      <c r="H449" s="355" t="str">
        <f>'Technical Sheet'!G49</f>
        <v>-</v>
      </c>
      <c r="I449" s="17" t="str">
        <f t="shared" si="8"/>
        <v/>
      </c>
      <c r="J449" s="158" t="str">
        <f>IF(AND(D449&lt;&gt;"", E449&lt;&gt;"", F449&lt;&gt;"", G449&lt;&gt;""),
    IFERROR(
        HYPERLINK("https://www.openstreetmap.org/?mlat=" &amp; 'Technical Sheet'!E49 &amp; "&amp;mlon=" &amp; 'Technical Sheet'!F49 &amp; "#map=17/" &amp; 'Technical Sheet'!E49 &amp; "/" &amp; 'Technical Sheet'!F49,
            "OpenStreetMap Link"
        ),
        ""
    ),
    ""
)</f>
        <v/>
      </c>
      <c r="K449" s="76" t="str">
        <f t="shared" si="6"/>
        <v>++++</v>
      </c>
    </row>
    <row r="450" spans="3:11" outlineLevel="1">
      <c r="C450" s="173">
        <v>49</v>
      </c>
      <c r="D450" s="65"/>
      <c r="E450" s="66"/>
      <c r="F450" s="350"/>
      <c r="G450" s="65"/>
      <c r="H450" s="355" t="str">
        <f>'Technical Sheet'!G50</f>
        <v>-</v>
      </c>
      <c r="I450" s="17" t="str">
        <f t="shared" si="8"/>
        <v/>
      </c>
      <c r="J450" s="158" t="str">
        <f>IF(AND(D450&lt;&gt;"", E450&lt;&gt;"", F450&lt;&gt;"", G450&lt;&gt;""),
    IFERROR(
        HYPERLINK("https://www.openstreetmap.org/?mlat=" &amp; 'Technical Sheet'!E50 &amp; "&amp;mlon=" &amp; 'Technical Sheet'!F50 &amp; "#map=17/" &amp; 'Technical Sheet'!E50 &amp; "/" &amp; 'Technical Sheet'!F50,
            "OpenStreetMap Link"
        ),
        ""
    ),
    ""
)</f>
        <v/>
      </c>
      <c r="K450" s="76" t="str">
        <f t="shared" si="6"/>
        <v>++++</v>
      </c>
    </row>
    <row r="451" spans="3:11" outlineLevel="1">
      <c r="C451" s="174">
        <v>50</v>
      </c>
      <c r="D451" s="65"/>
      <c r="E451" s="66"/>
      <c r="F451" s="350"/>
      <c r="G451" s="65"/>
      <c r="H451" s="355" t="str">
        <f>'Technical Sheet'!G51</f>
        <v>-</v>
      </c>
      <c r="I451" s="17" t="str">
        <f t="shared" si="8"/>
        <v/>
      </c>
      <c r="J451" s="158" t="str">
        <f>IF(AND(D451&lt;&gt;"", E451&lt;&gt;"", F451&lt;&gt;"", G451&lt;&gt;""),
    IFERROR(
        HYPERLINK("https://www.openstreetmap.org/?mlat=" &amp; 'Technical Sheet'!E51 &amp; "&amp;mlon=" &amp; 'Technical Sheet'!F51 &amp; "#map=17/" &amp; 'Technical Sheet'!E51 &amp; "/" &amp; 'Technical Sheet'!F51,
            "OpenStreetMap Link"
        ),
        ""
    ),
    ""
)</f>
        <v/>
      </c>
      <c r="K451" s="76" t="str">
        <f t="shared" si="6"/>
        <v>++++</v>
      </c>
    </row>
    <row r="452" spans="3:11" outlineLevel="1">
      <c r="C452" s="173">
        <v>51</v>
      </c>
      <c r="D452" s="65"/>
      <c r="E452" s="66"/>
      <c r="F452" s="350"/>
      <c r="G452" s="65"/>
      <c r="H452" s="355" t="str">
        <f>'Technical Sheet'!G52</f>
        <v>-</v>
      </c>
      <c r="I452" s="17" t="str">
        <f t="shared" si="8"/>
        <v/>
      </c>
      <c r="J452" s="158" t="str">
        <f>IF(AND(D452&lt;&gt;"", E452&lt;&gt;"", F452&lt;&gt;"", G452&lt;&gt;""),
    IFERROR(
        HYPERLINK("https://www.openstreetmap.org/?mlat=" &amp; 'Technical Sheet'!E52 &amp; "&amp;mlon=" &amp; 'Technical Sheet'!F52 &amp; "#map=17/" &amp; 'Technical Sheet'!E52 &amp; "/" &amp; 'Technical Sheet'!F52,
            "OpenStreetMap Link"
        ),
        ""
    ),
    ""
)</f>
        <v/>
      </c>
      <c r="K452" s="76" t="str">
        <f t="shared" si="6"/>
        <v>++++</v>
      </c>
    </row>
    <row r="453" spans="3:11" outlineLevel="1">
      <c r="C453" s="173">
        <v>52</v>
      </c>
      <c r="D453" s="65"/>
      <c r="E453" s="66"/>
      <c r="F453" s="350"/>
      <c r="G453" s="65"/>
      <c r="H453" s="355" t="str">
        <f>'Technical Sheet'!G53</f>
        <v>-</v>
      </c>
      <c r="I453" s="17" t="str">
        <f t="shared" si="8"/>
        <v/>
      </c>
      <c r="J453" s="158" t="str">
        <f>IF(AND(D453&lt;&gt;"", E453&lt;&gt;"", F453&lt;&gt;"", G453&lt;&gt;""),
    IFERROR(
        HYPERLINK("https://www.openstreetmap.org/?mlat=" &amp; 'Technical Sheet'!E53 &amp; "&amp;mlon=" &amp; 'Technical Sheet'!F53 &amp; "#map=17/" &amp; 'Technical Sheet'!E53 &amp; "/" &amp; 'Technical Sheet'!F53,
            "OpenStreetMap Link"
        ),
        ""
    ),
    ""
)</f>
        <v/>
      </c>
      <c r="K453" s="76" t="str">
        <f t="shared" si="6"/>
        <v>++++</v>
      </c>
    </row>
    <row r="454" spans="3:11" outlineLevel="1">
      <c r="C454" s="174">
        <v>53</v>
      </c>
      <c r="D454" s="65"/>
      <c r="E454" s="66"/>
      <c r="F454" s="350"/>
      <c r="G454" s="65"/>
      <c r="H454" s="355" t="str">
        <f>'Technical Sheet'!G54</f>
        <v>-</v>
      </c>
      <c r="I454" s="17" t="str">
        <f t="shared" si="8"/>
        <v/>
      </c>
      <c r="J454" s="158" t="str">
        <f>IF(AND(D454&lt;&gt;"", E454&lt;&gt;"", F454&lt;&gt;"", G454&lt;&gt;""),
    IFERROR(
        HYPERLINK("https://www.openstreetmap.org/?mlat=" &amp; 'Technical Sheet'!E54 &amp; "&amp;mlon=" &amp; 'Technical Sheet'!F54 &amp; "#map=17/" &amp; 'Technical Sheet'!E54 &amp; "/" &amp; 'Technical Sheet'!F54,
            "OpenStreetMap Link"
        ),
        ""
    ),
    ""
)</f>
        <v/>
      </c>
      <c r="K454" s="76" t="str">
        <f t="shared" si="6"/>
        <v>++++</v>
      </c>
    </row>
    <row r="455" spans="3:11" outlineLevel="1">
      <c r="C455" s="173">
        <v>54</v>
      </c>
      <c r="D455" s="65"/>
      <c r="E455" s="66"/>
      <c r="F455" s="350"/>
      <c r="G455" s="65"/>
      <c r="H455" s="355" t="str">
        <f>'Technical Sheet'!G55</f>
        <v>-</v>
      </c>
      <c r="I455" s="17" t="str">
        <f t="shared" si="8"/>
        <v/>
      </c>
      <c r="J455" s="158" t="str">
        <f>IF(AND(D455&lt;&gt;"", E455&lt;&gt;"", F455&lt;&gt;"", G455&lt;&gt;""),
    IFERROR(
        HYPERLINK("https://www.openstreetmap.org/?mlat=" &amp; 'Technical Sheet'!E55 &amp; "&amp;mlon=" &amp; 'Technical Sheet'!F55 &amp; "#map=17/" &amp; 'Technical Sheet'!E55 &amp; "/" &amp; 'Technical Sheet'!F55,
            "OpenStreetMap Link"
        ),
        ""
    ),
    ""
)</f>
        <v/>
      </c>
      <c r="K455" s="76" t="str">
        <f t="shared" si="6"/>
        <v>++++</v>
      </c>
    </row>
    <row r="456" spans="3:11" outlineLevel="1">
      <c r="C456" s="173">
        <v>55</v>
      </c>
      <c r="D456" s="65"/>
      <c r="E456" s="66"/>
      <c r="F456" s="350"/>
      <c r="G456" s="65"/>
      <c r="H456" s="355" t="str">
        <f>'Technical Sheet'!G56</f>
        <v>-</v>
      </c>
      <c r="I456" s="17" t="str">
        <f t="shared" si="8"/>
        <v/>
      </c>
      <c r="J456" s="158" t="str">
        <f>IF(AND(D456&lt;&gt;"", E456&lt;&gt;"", F456&lt;&gt;"", G456&lt;&gt;""),
    IFERROR(
        HYPERLINK("https://www.openstreetmap.org/?mlat=" &amp; 'Technical Sheet'!E56 &amp; "&amp;mlon=" &amp; 'Technical Sheet'!F56 &amp; "#map=17/" &amp; 'Technical Sheet'!E56 &amp; "/" &amp; 'Technical Sheet'!F56,
            "OpenStreetMap Link"
        ),
        ""
    ),
    ""
)</f>
        <v/>
      </c>
      <c r="K456" s="76" t="str">
        <f t="shared" si="6"/>
        <v>++++</v>
      </c>
    </row>
    <row r="457" spans="3:11" outlineLevel="1">
      <c r="C457" s="174">
        <v>56</v>
      </c>
      <c r="D457" s="65"/>
      <c r="E457" s="66"/>
      <c r="F457" s="350"/>
      <c r="G457" s="65"/>
      <c r="H457" s="355" t="str">
        <f>'Technical Sheet'!G57</f>
        <v>-</v>
      </c>
      <c r="I457" s="17" t="str">
        <f t="shared" si="8"/>
        <v/>
      </c>
      <c r="J457" s="158" t="str">
        <f>IF(AND(D457&lt;&gt;"", E457&lt;&gt;"", F457&lt;&gt;"", G457&lt;&gt;""),
    IFERROR(
        HYPERLINK("https://www.openstreetmap.org/?mlat=" &amp; 'Technical Sheet'!E57 &amp; "&amp;mlon=" &amp; 'Technical Sheet'!F57 &amp; "#map=17/" &amp; 'Technical Sheet'!E57 &amp; "/" &amp; 'Technical Sheet'!F57,
            "OpenStreetMap Link"
        ),
        ""
    ),
    ""
)</f>
        <v/>
      </c>
      <c r="K457" s="76" t="str">
        <f t="shared" si="6"/>
        <v>++++</v>
      </c>
    </row>
    <row r="458" spans="3:11" outlineLevel="1">
      <c r="C458" s="173">
        <v>57</v>
      </c>
      <c r="D458" s="65"/>
      <c r="E458" s="66"/>
      <c r="F458" s="350"/>
      <c r="G458" s="65"/>
      <c r="H458" s="355" t="str">
        <f>'Technical Sheet'!G58</f>
        <v>-</v>
      </c>
      <c r="I458" s="17" t="str">
        <f t="shared" si="8"/>
        <v/>
      </c>
      <c r="J458" s="158" t="str">
        <f>IF(AND(D458&lt;&gt;"", E458&lt;&gt;"", F458&lt;&gt;"", G458&lt;&gt;""),
    IFERROR(
        HYPERLINK("https://www.openstreetmap.org/?mlat=" &amp; 'Technical Sheet'!E58 &amp; "&amp;mlon=" &amp; 'Technical Sheet'!F58 &amp; "#map=17/" &amp; 'Technical Sheet'!E58 &amp; "/" &amp; 'Technical Sheet'!F58,
            "OpenStreetMap Link"
        ),
        ""
    ),
    ""
)</f>
        <v/>
      </c>
      <c r="K458" s="76" t="str">
        <f t="shared" si="6"/>
        <v>++++</v>
      </c>
    </row>
    <row r="459" spans="3:11" outlineLevel="1">
      <c r="C459" s="173">
        <v>58</v>
      </c>
      <c r="D459" s="65"/>
      <c r="E459" s="66"/>
      <c r="F459" s="350"/>
      <c r="G459" s="65"/>
      <c r="H459" s="355" t="str">
        <f>'Technical Sheet'!G59</f>
        <v>-</v>
      </c>
      <c r="I459" s="17" t="str">
        <f t="shared" si="8"/>
        <v/>
      </c>
      <c r="J459" s="158" t="str">
        <f>IF(AND(D459&lt;&gt;"", E459&lt;&gt;"", F459&lt;&gt;"", G459&lt;&gt;""),
    IFERROR(
        HYPERLINK("https://www.openstreetmap.org/?mlat=" &amp; 'Technical Sheet'!E59 &amp; "&amp;mlon=" &amp; 'Technical Sheet'!F59 &amp; "#map=17/" &amp; 'Technical Sheet'!E59 &amp; "/" &amp; 'Technical Sheet'!F59,
            "OpenStreetMap Link"
        ),
        ""
    ),
    ""
)</f>
        <v/>
      </c>
      <c r="K459" s="76" t="str">
        <f t="shared" si="6"/>
        <v>++++</v>
      </c>
    </row>
    <row r="460" spans="3:11" outlineLevel="1">
      <c r="C460" s="174">
        <v>59</v>
      </c>
      <c r="D460" s="65"/>
      <c r="E460" s="66"/>
      <c r="F460" s="350"/>
      <c r="G460" s="65"/>
      <c r="H460" s="355" t="str">
        <f>'Technical Sheet'!G60</f>
        <v>-</v>
      </c>
      <c r="I460" s="17" t="str">
        <f t="shared" si="8"/>
        <v/>
      </c>
      <c r="J460" s="158" t="str">
        <f>IF(AND(D460&lt;&gt;"", E460&lt;&gt;"", F460&lt;&gt;"", G460&lt;&gt;""),
    IFERROR(
        HYPERLINK("https://www.openstreetmap.org/?mlat=" &amp; 'Technical Sheet'!E60 &amp; "&amp;mlon=" &amp; 'Technical Sheet'!F60 &amp; "#map=17/" &amp; 'Technical Sheet'!E60 &amp; "/" &amp; 'Technical Sheet'!F60,
            "OpenStreetMap Link"
        ),
        ""
    ),
    ""
)</f>
        <v/>
      </c>
      <c r="K460" s="76" t="str">
        <f t="shared" si="6"/>
        <v>++++</v>
      </c>
    </row>
    <row r="461" spans="3:11" outlineLevel="1">
      <c r="C461" s="173">
        <v>60</v>
      </c>
      <c r="D461" s="65"/>
      <c r="E461" s="66"/>
      <c r="F461" s="350"/>
      <c r="G461" s="65"/>
      <c r="H461" s="355" t="str">
        <f>'Technical Sheet'!G61</f>
        <v>-</v>
      </c>
      <c r="I461" s="17" t="str">
        <f t="shared" si="8"/>
        <v/>
      </c>
      <c r="J461" s="158" t="str">
        <f>IF(AND(D461&lt;&gt;"", E461&lt;&gt;"", F461&lt;&gt;"", G461&lt;&gt;""),
    IFERROR(
        HYPERLINK("https://www.openstreetmap.org/?mlat=" &amp; 'Technical Sheet'!E61 &amp; "&amp;mlon=" &amp; 'Technical Sheet'!F61 &amp; "#map=17/" &amp; 'Technical Sheet'!E61 &amp; "/" &amp; 'Technical Sheet'!F61,
            "OpenStreetMap Link"
        ),
        ""
    ),
    ""
)</f>
        <v/>
      </c>
      <c r="K461" s="76" t="str">
        <f t="shared" si="6"/>
        <v>++++</v>
      </c>
    </row>
    <row r="462" spans="3:11" outlineLevel="1">
      <c r="C462" s="173">
        <v>61</v>
      </c>
      <c r="D462" s="65"/>
      <c r="E462" s="66"/>
      <c r="F462" s="350"/>
      <c r="G462" s="65"/>
      <c r="H462" s="355" t="str">
        <f>'Technical Sheet'!G62</f>
        <v>-</v>
      </c>
      <c r="I462" s="17" t="str">
        <f t="shared" si="8"/>
        <v/>
      </c>
      <c r="J462" s="158" t="str">
        <f>IF(AND(D462&lt;&gt;"", E462&lt;&gt;"", F462&lt;&gt;"", G462&lt;&gt;""),
    IFERROR(
        HYPERLINK("https://www.openstreetmap.org/?mlat=" &amp; 'Technical Sheet'!E62 &amp; "&amp;mlon=" &amp; 'Technical Sheet'!F62 &amp; "#map=17/" &amp; 'Technical Sheet'!E62 &amp; "/" &amp; 'Technical Sheet'!F62,
            "OpenStreetMap Link"
        ),
        ""
    ),
    ""
)</f>
        <v/>
      </c>
      <c r="K462" s="76" t="str">
        <f t="shared" si="6"/>
        <v>++++</v>
      </c>
    </row>
    <row r="463" spans="3:11" outlineLevel="1">
      <c r="C463" s="174">
        <v>62</v>
      </c>
      <c r="D463" s="65"/>
      <c r="E463" s="66"/>
      <c r="F463" s="350"/>
      <c r="G463" s="65"/>
      <c r="H463" s="355" t="str">
        <f>'Technical Sheet'!G63</f>
        <v>-</v>
      </c>
      <c r="I463" s="17" t="str">
        <f t="shared" si="8"/>
        <v/>
      </c>
      <c r="J463" s="158" t="str">
        <f>IF(AND(D463&lt;&gt;"", E463&lt;&gt;"", F463&lt;&gt;"", G463&lt;&gt;""),
    IFERROR(
        HYPERLINK("https://www.openstreetmap.org/?mlat=" &amp; 'Technical Sheet'!E63 &amp; "&amp;mlon=" &amp; 'Technical Sheet'!F63 &amp; "#map=17/" &amp; 'Technical Sheet'!E63 &amp; "/" &amp; 'Technical Sheet'!F63,
            "OpenStreetMap Link"
        ),
        ""
    ),
    ""
)</f>
        <v/>
      </c>
      <c r="K463" s="76" t="str">
        <f t="shared" si="6"/>
        <v>++++</v>
      </c>
    </row>
    <row r="464" spans="3:11" outlineLevel="1">
      <c r="C464" s="173">
        <v>63</v>
      </c>
      <c r="D464" s="65"/>
      <c r="E464" s="66"/>
      <c r="F464" s="350"/>
      <c r="G464" s="65"/>
      <c r="H464" s="355" t="str">
        <f>'Technical Sheet'!G64</f>
        <v>-</v>
      </c>
      <c r="I464" s="17" t="str">
        <f t="shared" si="8"/>
        <v/>
      </c>
      <c r="J464" s="158" t="str">
        <f>IF(AND(D464&lt;&gt;"", E464&lt;&gt;"", F464&lt;&gt;"", G464&lt;&gt;""),
    IFERROR(
        HYPERLINK("https://www.openstreetmap.org/?mlat=" &amp; 'Technical Sheet'!E64 &amp; "&amp;mlon=" &amp; 'Technical Sheet'!F64 &amp; "#map=17/" &amp; 'Technical Sheet'!E64 &amp; "/" &amp; 'Technical Sheet'!F64,
            "OpenStreetMap Link"
        ),
        ""
    ),
    ""
)</f>
        <v/>
      </c>
      <c r="K464" s="76" t="str">
        <f t="shared" si="6"/>
        <v>++++</v>
      </c>
    </row>
    <row r="465" spans="3:11" outlineLevel="1">
      <c r="C465" s="173">
        <v>64</v>
      </c>
      <c r="D465" s="65"/>
      <c r="E465" s="66"/>
      <c r="F465" s="350"/>
      <c r="G465" s="65"/>
      <c r="H465" s="355" t="str">
        <f>'Technical Sheet'!G65</f>
        <v>-</v>
      </c>
      <c r="I465" s="17" t="str">
        <f t="shared" si="8"/>
        <v/>
      </c>
      <c r="J465" s="158" t="str">
        <f>IF(AND(D465&lt;&gt;"", E465&lt;&gt;"", F465&lt;&gt;"", G465&lt;&gt;""),
    IFERROR(
        HYPERLINK("https://www.openstreetmap.org/?mlat=" &amp; 'Technical Sheet'!E65 &amp; "&amp;mlon=" &amp; 'Technical Sheet'!F65 &amp; "#map=17/" &amp; 'Technical Sheet'!E65 &amp; "/" &amp; 'Technical Sheet'!F65,
            "OpenStreetMap Link"
        ),
        ""
    ),
    ""
)</f>
        <v/>
      </c>
      <c r="K465" s="76" t="str">
        <f t="shared" si="6"/>
        <v>++++</v>
      </c>
    </row>
    <row r="466" spans="3:11" outlineLevel="1">
      <c r="C466" s="174">
        <v>65</v>
      </c>
      <c r="D466" s="65"/>
      <c r="E466" s="66"/>
      <c r="F466" s="350"/>
      <c r="G466" s="65"/>
      <c r="H466" s="355" t="str">
        <f>'Technical Sheet'!G66</f>
        <v>-</v>
      </c>
      <c r="I466" s="17" t="str">
        <f t="shared" si="8"/>
        <v/>
      </c>
      <c r="J466" s="158" t="str">
        <f>IF(AND(D466&lt;&gt;"", E466&lt;&gt;"", F466&lt;&gt;"", G466&lt;&gt;""),
    IFERROR(
        HYPERLINK("https://www.openstreetmap.org/?mlat=" &amp; 'Technical Sheet'!E66 &amp; "&amp;mlon=" &amp; 'Technical Sheet'!F66 &amp; "#map=17/" &amp; 'Technical Sheet'!E66 &amp; "/" &amp; 'Technical Sheet'!F66,
            "OpenStreetMap Link"
        ),
        ""
    ),
    ""
)</f>
        <v/>
      </c>
      <c r="K466" s="76" t="str">
        <f t="shared" ref="K466:K501" si="9">LOWER(SUBSTITUTE(D466," ","+" )) &amp; "+" &amp; LOWER(SUBSTITUTE(E466," ","+" )) &amp; "+" &amp; LOWER(SUBSTITUTE(F466," ","+" )) &amp; "+" &amp; LOWER(SUBSTITUTE(G466," ","+" )) &amp; "+"</f>
        <v>++++</v>
      </c>
    </row>
    <row r="467" spans="3:11" outlineLevel="1">
      <c r="C467" s="173">
        <v>66</v>
      </c>
      <c r="D467" s="65"/>
      <c r="E467" s="66"/>
      <c r="F467" s="350"/>
      <c r="G467" s="65"/>
      <c r="H467" s="355" t="str">
        <f>'Technical Sheet'!G67</f>
        <v>-</v>
      </c>
      <c r="I467" s="17" t="str">
        <f t="shared" ref="I467:I498" si="10">IF(AND(D467&lt;&gt;"", E467&lt;&gt;"", F467&lt;&gt;"", G467&lt;&gt;"", H467&lt;&gt;""), template_label_ok,
    IF(AND(D467="", E467="", F467="", G467="", H467="-"), "",
        template_label_missing_value
    )
)</f>
        <v/>
      </c>
      <c r="J467" s="158" t="str">
        <f>IF(AND(D467&lt;&gt;"", E467&lt;&gt;"", F467&lt;&gt;"", G467&lt;&gt;""),
    IFERROR(
        HYPERLINK("https://www.openstreetmap.org/?mlat=" &amp; 'Technical Sheet'!E67 &amp; "&amp;mlon=" &amp; 'Technical Sheet'!F67 &amp; "#map=17/" &amp; 'Technical Sheet'!E67 &amp; "/" &amp; 'Technical Sheet'!F67,
            "OpenStreetMap Link"
        ),
        ""
    ),
    ""
)</f>
        <v/>
      </c>
      <c r="K467" s="76" t="str">
        <f t="shared" si="9"/>
        <v>++++</v>
      </c>
    </row>
    <row r="468" spans="3:11" outlineLevel="1">
      <c r="C468" s="173">
        <v>67</v>
      </c>
      <c r="D468" s="65"/>
      <c r="E468" s="66"/>
      <c r="F468" s="350"/>
      <c r="G468" s="65"/>
      <c r="H468" s="355" t="str">
        <f>'Technical Sheet'!G68</f>
        <v>-</v>
      </c>
      <c r="I468" s="17" t="str">
        <f t="shared" si="10"/>
        <v/>
      </c>
      <c r="J468" s="158" t="str">
        <f>IF(AND(D468&lt;&gt;"", E468&lt;&gt;"", F468&lt;&gt;"", G468&lt;&gt;""),
    IFERROR(
        HYPERLINK("https://www.openstreetmap.org/?mlat=" &amp; 'Technical Sheet'!E68 &amp; "&amp;mlon=" &amp; 'Technical Sheet'!F68 &amp; "#map=17/" &amp; 'Technical Sheet'!E68 &amp; "/" &amp; 'Technical Sheet'!F68,
            "OpenStreetMap Link"
        ),
        ""
    ),
    ""
)</f>
        <v/>
      </c>
      <c r="K468" s="76" t="str">
        <f t="shared" si="9"/>
        <v>++++</v>
      </c>
    </row>
    <row r="469" spans="3:11" outlineLevel="1">
      <c r="C469" s="174">
        <v>68</v>
      </c>
      <c r="D469" s="65"/>
      <c r="E469" s="66"/>
      <c r="F469" s="350"/>
      <c r="G469" s="65"/>
      <c r="H469" s="355" t="str">
        <f>'Technical Sheet'!G69</f>
        <v>-</v>
      </c>
      <c r="I469" s="17" t="str">
        <f t="shared" si="10"/>
        <v/>
      </c>
      <c r="J469" s="158" t="str">
        <f>IF(AND(D469&lt;&gt;"", E469&lt;&gt;"", F469&lt;&gt;"", G469&lt;&gt;""),
    IFERROR(
        HYPERLINK("https://www.openstreetmap.org/?mlat=" &amp; 'Technical Sheet'!E69 &amp; "&amp;mlon=" &amp; 'Technical Sheet'!F69 &amp; "#map=17/" &amp; 'Technical Sheet'!E69 &amp; "/" &amp; 'Technical Sheet'!F69,
            "OpenStreetMap Link"
        ),
        ""
    ),
    ""
)</f>
        <v/>
      </c>
      <c r="K469" s="76" t="str">
        <f t="shared" si="9"/>
        <v>++++</v>
      </c>
    </row>
    <row r="470" spans="3:11" outlineLevel="1">
      <c r="C470" s="173">
        <v>69</v>
      </c>
      <c r="D470" s="65"/>
      <c r="E470" s="66"/>
      <c r="F470" s="350"/>
      <c r="G470" s="65"/>
      <c r="H470" s="355" t="str">
        <f>'Technical Sheet'!G70</f>
        <v>-</v>
      </c>
      <c r="I470" s="17" t="str">
        <f t="shared" si="10"/>
        <v/>
      </c>
      <c r="J470" s="158" t="str">
        <f>IF(AND(D470&lt;&gt;"", E470&lt;&gt;"", F470&lt;&gt;"", G470&lt;&gt;""),
    IFERROR(
        HYPERLINK("https://www.openstreetmap.org/?mlat=" &amp; 'Technical Sheet'!E70 &amp; "&amp;mlon=" &amp; 'Technical Sheet'!F70 &amp; "#map=17/" &amp; 'Technical Sheet'!E70 &amp; "/" &amp; 'Technical Sheet'!F70,
            "OpenStreetMap Link"
        ),
        ""
    ),
    ""
)</f>
        <v/>
      </c>
      <c r="K470" s="76" t="str">
        <f t="shared" si="9"/>
        <v>++++</v>
      </c>
    </row>
    <row r="471" spans="3:11" outlineLevel="1">
      <c r="C471" s="173">
        <v>70</v>
      </c>
      <c r="D471" s="65"/>
      <c r="E471" s="66"/>
      <c r="F471" s="350"/>
      <c r="G471" s="65"/>
      <c r="H471" s="355" t="str">
        <f>'Technical Sheet'!G71</f>
        <v>-</v>
      </c>
      <c r="I471" s="17" t="str">
        <f t="shared" si="10"/>
        <v/>
      </c>
      <c r="J471" s="158" t="str">
        <f>IF(AND(D471&lt;&gt;"", E471&lt;&gt;"", F471&lt;&gt;"", G471&lt;&gt;""),
    IFERROR(
        HYPERLINK("https://www.openstreetmap.org/?mlat=" &amp; 'Technical Sheet'!E71 &amp; "&amp;mlon=" &amp; 'Technical Sheet'!F71 &amp; "#map=17/" &amp; 'Technical Sheet'!E71 &amp; "/" &amp; 'Technical Sheet'!F71,
            "OpenStreetMap Link"
        ),
        ""
    ),
    ""
)</f>
        <v/>
      </c>
      <c r="K471" s="76" t="str">
        <f t="shared" si="9"/>
        <v>++++</v>
      </c>
    </row>
    <row r="472" spans="3:11" outlineLevel="1">
      <c r="C472" s="174">
        <v>71</v>
      </c>
      <c r="D472" s="65"/>
      <c r="E472" s="66"/>
      <c r="F472" s="350"/>
      <c r="G472" s="65"/>
      <c r="H472" s="355" t="str">
        <f>'Technical Sheet'!G72</f>
        <v>-</v>
      </c>
      <c r="I472" s="17" t="str">
        <f t="shared" si="10"/>
        <v/>
      </c>
      <c r="J472" s="158" t="str">
        <f>IF(AND(D472&lt;&gt;"", E472&lt;&gt;"", F472&lt;&gt;"", G472&lt;&gt;""),
    IFERROR(
        HYPERLINK("https://www.openstreetmap.org/?mlat=" &amp; 'Technical Sheet'!E72 &amp; "&amp;mlon=" &amp; 'Technical Sheet'!F72 &amp; "#map=17/" &amp; 'Technical Sheet'!E72 &amp; "/" &amp; 'Technical Sheet'!F72,
            "OpenStreetMap Link"
        ),
        ""
    ),
    ""
)</f>
        <v/>
      </c>
      <c r="K472" s="76" t="str">
        <f t="shared" si="9"/>
        <v>++++</v>
      </c>
    </row>
    <row r="473" spans="3:11" outlineLevel="1">
      <c r="C473" s="173">
        <v>72</v>
      </c>
      <c r="D473" s="65"/>
      <c r="E473" s="66"/>
      <c r="F473" s="350"/>
      <c r="G473" s="65"/>
      <c r="H473" s="355" t="str">
        <f>'Technical Sheet'!G73</f>
        <v>-</v>
      </c>
      <c r="I473" s="17" t="str">
        <f t="shared" si="10"/>
        <v/>
      </c>
      <c r="J473" s="158" t="str">
        <f>IF(AND(D473&lt;&gt;"", E473&lt;&gt;"", F473&lt;&gt;"", G473&lt;&gt;""),
    IFERROR(
        HYPERLINK("https://www.openstreetmap.org/?mlat=" &amp; 'Technical Sheet'!E73 &amp; "&amp;mlon=" &amp; 'Technical Sheet'!F73 &amp; "#map=17/" &amp; 'Technical Sheet'!E73 &amp; "/" &amp; 'Technical Sheet'!F73,
            "OpenStreetMap Link"
        ),
        ""
    ),
    ""
)</f>
        <v/>
      </c>
      <c r="K473" s="76" t="str">
        <f t="shared" si="9"/>
        <v>++++</v>
      </c>
    </row>
    <row r="474" spans="3:11" outlineLevel="1">
      <c r="C474" s="173">
        <v>73</v>
      </c>
      <c r="D474" s="65"/>
      <c r="E474" s="66"/>
      <c r="F474" s="350"/>
      <c r="G474" s="65"/>
      <c r="H474" s="355" t="str">
        <f>'Technical Sheet'!G74</f>
        <v>-</v>
      </c>
      <c r="I474" s="17" t="str">
        <f t="shared" si="10"/>
        <v/>
      </c>
      <c r="J474" s="158" t="str">
        <f>IF(AND(D474&lt;&gt;"", E474&lt;&gt;"", F474&lt;&gt;"", G474&lt;&gt;""),
    IFERROR(
        HYPERLINK("https://www.openstreetmap.org/?mlat=" &amp; 'Technical Sheet'!E74 &amp; "&amp;mlon=" &amp; 'Technical Sheet'!F74 &amp; "#map=17/" &amp; 'Technical Sheet'!E74 &amp; "/" &amp; 'Technical Sheet'!F74,
            "OpenStreetMap Link"
        ),
        ""
    ),
    ""
)</f>
        <v/>
      </c>
      <c r="K474" s="76" t="str">
        <f t="shared" si="9"/>
        <v>++++</v>
      </c>
    </row>
    <row r="475" spans="3:11" outlineLevel="1">
      <c r="C475" s="174">
        <v>74</v>
      </c>
      <c r="D475" s="65"/>
      <c r="E475" s="66"/>
      <c r="F475" s="350"/>
      <c r="G475" s="65"/>
      <c r="H475" s="355" t="str">
        <f>'Technical Sheet'!G75</f>
        <v>-</v>
      </c>
      <c r="I475" s="17" t="str">
        <f t="shared" si="10"/>
        <v/>
      </c>
      <c r="J475" s="158" t="str">
        <f>IF(AND(D475&lt;&gt;"", E475&lt;&gt;"", F475&lt;&gt;"", G475&lt;&gt;""),
    IFERROR(
        HYPERLINK("https://www.openstreetmap.org/?mlat=" &amp; 'Technical Sheet'!E75 &amp; "&amp;mlon=" &amp; 'Technical Sheet'!F75 &amp; "#map=17/" &amp; 'Technical Sheet'!E75 &amp; "/" &amp; 'Technical Sheet'!F75,
            "OpenStreetMap Link"
        ),
        ""
    ),
    ""
)</f>
        <v/>
      </c>
      <c r="K475" s="76" t="str">
        <f t="shared" si="9"/>
        <v>++++</v>
      </c>
    </row>
    <row r="476" spans="3:11" outlineLevel="1">
      <c r="C476" s="173">
        <v>75</v>
      </c>
      <c r="D476" s="65"/>
      <c r="E476" s="66"/>
      <c r="F476" s="350"/>
      <c r="G476" s="65"/>
      <c r="H476" s="355" t="str">
        <f>'Technical Sheet'!G76</f>
        <v>-</v>
      </c>
      <c r="I476" s="17" t="str">
        <f t="shared" si="10"/>
        <v/>
      </c>
      <c r="J476" s="158" t="str">
        <f>IF(AND(D476&lt;&gt;"", E476&lt;&gt;"", F476&lt;&gt;"", G476&lt;&gt;""),
    IFERROR(
        HYPERLINK("https://www.openstreetmap.org/?mlat=" &amp; 'Technical Sheet'!E76 &amp; "&amp;mlon=" &amp; 'Technical Sheet'!F76 &amp; "#map=17/" &amp; 'Technical Sheet'!E76 &amp; "/" &amp; 'Technical Sheet'!F76,
            "OpenStreetMap Link"
        ),
        ""
    ),
    ""
)</f>
        <v/>
      </c>
      <c r="K476" s="76" t="str">
        <f t="shared" si="9"/>
        <v>++++</v>
      </c>
    </row>
    <row r="477" spans="3:11" outlineLevel="1">
      <c r="C477" s="173">
        <v>76</v>
      </c>
      <c r="D477" s="65"/>
      <c r="E477" s="66"/>
      <c r="F477" s="350"/>
      <c r="G477" s="65"/>
      <c r="H477" s="355" t="str">
        <f>'Technical Sheet'!G77</f>
        <v>-</v>
      </c>
      <c r="I477" s="17" t="str">
        <f t="shared" si="10"/>
        <v/>
      </c>
      <c r="J477" s="158" t="str">
        <f>IF(AND(D477&lt;&gt;"", E477&lt;&gt;"", F477&lt;&gt;"", G477&lt;&gt;""),
    IFERROR(
        HYPERLINK("https://www.openstreetmap.org/?mlat=" &amp; 'Technical Sheet'!E77 &amp; "&amp;mlon=" &amp; 'Technical Sheet'!F77 &amp; "#map=17/" &amp; 'Technical Sheet'!E77 &amp; "/" &amp; 'Technical Sheet'!F77,
            "OpenStreetMap Link"
        ),
        ""
    ),
    ""
)</f>
        <v/>
      </c>
      <c r="K477" s="76" t="str">
        <f t="shared" si="9"/>
        <v>++++</v>
      </c>
    </row>
    <row r="478" spans="3:11" outlineLevel="1">
      <c r="C478" s="174">
        <v>77</v>
      </c>
      <c r="D478" s="65"/>
      <c r="E478" s="66"/>
      <c r="F478" s="350"/>
      <c r="G478" s="65"/>
      <c r="H478" s="355" t="str">
        <f>'Technical Sheet'!G78</f>
        <v>-</v>
      </c>
      <c r="I478" s="17" t="str">
        <f t="shared" si="10"/>
        <v/>
      </c>
      <c r="J478" s="158" t="str">
        <f>IF(AND(D478&lt;&gt;"", E478&lt;&gt;"", F478&lt;&gt;"", G478&lt;&gt;""),
    IFERROR(
        HYPERLINK("https://www.openstreetmap.org/?mlat=" &amp; 'Technical Sheet'!E78 &amp; "&amp;mlon=" &amp; 'Technical Sheet'!F78 &amp; "#map=17/" &amp; 'Technical Sheet'!E78 &amp; "/" &amp; 'Technical Sheet'!F78,
            "OpenStreetMap Link"
        ),
        ""
    ),
    ""
)</f>
        <v/>
      </c>
      <c r="K478" s="76" t="str">
        <f t="shared" si="9"/>
        <v>++++</v>
      </c>
    </row>
    <row r="479" spans="3:11" outlineLevel="1">
      <c r="C479" s="173">
        <v>78</v>
      </c>
      <c r="D479" s="65"/>
      <c r="E479" s="66"/>
      <c r="F479" s="350"/>
      <c r="G479" s="65"/>
      <c r="H479" s="355" t="str">
        <f>'Technical Sheet'!G79</f>
        <v>-</v>
      </c>
      <c r="I479" s="17" t="str">
        <f t="shared" si="10"/>
        <v/>
      </c>
      <c r="J479" s="158" t="str">
        <f>IF(AND(D479&lt;&gt;"", E479&lt;&gt;"", F479&lt;&gt;"", G479&lt;&gt;""),
    IFERROR(
        HYPERLINK("https://www.openstreetmap.org/?mlat=" &amp; 'Technical Sheet'!E79 &amp; "&amp;mlon=" &amp; 'Technical Sheet'!F79 &amp; "#map=17/" &amp; 'Technical Sheet'!E79 &amp; "/" &amp; 'Technical Sheet'!F79,
            "OpenStreetMap Link"
        ),
        ""
    ),
    ""
)</f>
        <v/>
      </c>
      <c r="K479" s="76" t="str">
        <f t="shared" si="9"/>
        <v>++++</v>
      </c>
    </row>
    <row r="480" spans="3:11" outlineLevel="1">
      <c r="C480" s="173">
        <v>79</v>
      </c>
      <c r="D480" s="65"/>
      <c r="E480" s="66"/>
      <c r="F480" s="350"/>
      <c r="G480" s="65"/>
      <c r="H480" s="355" t="str">
        <f>'Technical Sheet'!G80</f>
        <v>-</v>
      </c>
      <c r="I480" s="17" t="str">
        <f t="shared" si="10"/>
        <v/>
      </c>
      <c r="J480" s="158" t="str">
        <f>IF(AND(D480&lt;&gt;"", E480&lt;&gt;"", F480&lt;&gt;"", G480&lt;&gt;""),
    IFERROR(
        HYPERLINK("https://www.openstreetmap.org/?mlat=" &amp; 'Technical Sheet'!E80 &amp; "&amp;mlon=" &amp; 'Technical Sheet'!F80 &amp; "#map=17/" &amp; 'Technical Sheet'!E80 &amp; "/" &amp; 'Technical Sheet'!F80,
            "OpenStreetMap Link"
        ),
        ""
    ),
    ""
)</f>
        <v/>
      </c>
      <c r="K480" s="76" t="str">
        <f t="shared" si="9"/>
        <v>++++</v>
      </c>
    </row>
    <row r="481" spans="3:11" outlineLevel="1">
      <c r="C481" s="174">
        <v>80</v>
      </c>
      <c r="D481" s="65"/>
      <c r="E481" s="66"/>
      <c r="F481" s="350"/>
      <c r="G481" s="65"/>
      <c r="H481" s="355" t="str">
        <f>'Technical Sheet'!G81</f>
        <v>-</v>
      </c>
      <c r="I481" s="17" t="str">
        <f t="shared" si="10"/>
        <v/>
      </c>
      <c r="J481" s="158" t="str">
        <f>IF(AND(D481&lt;&gt;"", E481&lt;&gt;"", F481&lt;&gt;"", G481&lt;&gt;""),
    IFERROR(
        HYPERLINK("https://www.openstreetmap.org/?mlat=" &amp; 'Technical Sheet'!E81 &amp; "&amp;mlon=" &amp; 'Technical Sheet'!F81 &amp; "#map=17/" &amp; 'Technical Sheet'!E81 &amp; "/" &amp; 'Technical Sheet'!F81,
            "OpenStreetMap Link"
        ),
        ""
    ),
    ""
)</f>
        <v/>
      </c>
      <c r="K481" s="76" t="str">
        <f t="shared" si="9"/>
        <v>++++</v>
      </c>
    </row>
    <row r="482" spans="3:11" outlineLevel="1">
      <c r="C482" s="173">
        <v>81</v>
      </c>
      <c r="D482" s="65"/>
      <c r="E482" s="66"/>
      <c r="F482" s="350"/>
      <c r="G482" s="65"/>
      <c r="H482" s="355" t="str">
        <f>'Technical Sheet'!G82</f>
        <v>-</v>
      </c>
      <c r="I482" s="17" t="str">
        <f t="shared" si="10"/>
        <v/>
      </c>
      <c r="J482" s="158" t="str">
        <f>IF(AND(D482&lt;&gt;"", E482&lt;&gt;"", F482&lt;&gt;"", G482&lt;&gt;""),
    IFERROR(
        HYPERLINK("https://www.openstreetmap.org/?mlat=" &amp; 'Technical Sheet'!E82 &amp; "&amp;mlon=" &amp; 'Technical Sheet'!F82 &amp; "#map=17/" &amp; 'Technical Sheet'!E82 &amp; "/" &amp; 'Technical Sheet'!F82,
            "OpenStreetMap Link"
        ),
        ""
    ),
    ""
)</f>
        <v/>
      </c>
      <c r="K482" s="76" t="str">
        <f t="shared" si="9"/>
        <v>++++</v>
      </c>
    </row>
    <row r="483" spans="3:11" outlineLevel="1">
      <c r="C483" s="173">
        <v>82</v>
      </c>
      <c r="D483" s="65"/>
      <c r="E483" s="66"/>
      <c r="F483" s="350"/>
      <c r="G483" s="65"/>
      <c r="H483" s="355" t="str">
        <f>'Technical Sheet'!G83</f>
        <v>-</v>
      </c>
      <c r="I483" s="17" t="str">
        <f t="shared" si="10"/>
        <v/>
      </c>
      <c r="J483" s="158" t="str">
        <f>IF(AND(D483&lt;&gt;"", E483&lt;&gt;"", F483&lt;&gt;"", G483&lt;&gt;""),
    IFERROR(
        HYPERLINK("https://www.openstreetmap.org/?mlat=" &amp; 'Technical Sheet'!E83 &amp; "&amp;mlon=" &amp; 'Technical Sheet'!F83 &amp; "#map=17/" &amp; 'Technical Sheet'!E83 &amp; "/" &amp; 'Technical Sheet'!F83,
            "OpenStreetMap Link"
        ),
        ""
    ),
    ""
)</f>
        <v/>
      </c>
      <c r="K483" s="76" t="str">
        <f t="shared" si="9"/>
        <v>++++</v>
      </c>
    </row>
    <row r="484" spans="3:11" outlineLevel="1">
      <c r="C484" s="174">
        <v>83</v>
      </c>
      <c r="D484" s="65"/>
      <c r="E484" s="66"/>
      <c r="F484" s="350"/>
      <c r="G484" s="65"/>
      <c r="H484" s="355" t="str">
        <f>'Technical Sheet'!G84</f>
        <v>-</v>
      </c>
      <c r="I484" s="17" t="str">
        <f t="shared" si="10"/>
        <v/>
      </c>
      <c r="J484" s="158" t="str">
        <f>IF(AND(D484&lt;&gt;"", E484&lt;&gt;"", F484&lt;&gt;"", G484&lt;&gt;""),
    IFERROR(
        HYPERLINK("https://www.openstreetmap.org/?mlat=" &amp; 'Technical Sheet'!E84 &amp; "&amp;mlon=" &amp; 'Technical Sheet'!F84 &amp; "#map=17/" &amp; 'Technical Sheet'!E84 &amp; "/" &amp; 'Technical Sheet'!F84,
            "OpenStreetMap Link"
        ),
        ""
    ),
    ""
)</f>
        <v/>
      </c>
      <c r="K484" s="76" t="str">
        <f t="shared" si="9"/>
        <v>++++</v>
      </c>
    </row>
    <row r="485" spans="3:11" outlineLevel="1">
      <c r="C485" s="173">
        <v>84</v>
      </c>
      <c r="D485" s="65"/>
      <c r="E485" s="66"/>
      <c r="F485" s="350"/>
      <c r="G485" s="65"/>
      <c r="H485" s="355" t="str">
        <f>'Technical Sheet'!G85</f>
        <v>-</v>
      </c>
      <c r="I485" s="17" t="str">
        <f t="shared" si="10"/>
        <v/>
      </c>
      <c r="J485" s="158" t="str">
        <f>IF(AND(D485&lt;&gt;"", E485&lt;&gt;"", F485&lt;&gt;"", G485&lt;&gt;""),
    IFERROR(
        HYPERLINK("https://www.openstreetmap.org/?mlat=" &amp; 'Technical Sheet'!E85 &amp; "&amp;mlon=" &amp; 'Technical Sheet'!F85 &amp; "#map=17/" &amp; 'Technical Sheet'!E85 &amp; "/" &amp; 'Technical Sheet'!F85,
            "OpenStreetMap Link"
        ),
        ""
    ),
    ""
)</f>
        <v/>
      </c>
      <c r="K485" s="76" t="str">
        <f t="shared" si="9"/>
        <v>++++</v>
      </c>
    </row>
    <row r="486" spans="3:11" outlineLevel="1">
      <c r="C486" s="173">
        <v>85</v>
      </c>
      <c r="D486" s="65"/>
      <c r="E486" s="66"/>
      <c r="F486" s="350"/>
      <c r="G486" s="65"/>
      <c r="H486" s="355" t="str">
        <f>'Technical Sheet'!G86</f>
        <v>-</v>
      </c>
      <c r="I486" s="17" t="str">
        <f t="shared" si="10"/>
        <v/>
      </c>
      <c r="J486" s="158" t="str">
        <f>IF(AND(D486&lt;&gt;"", E486&lt;&gt;"", F486&lt;&gt;"", G486&lt;&gt;""),
    IFERROR(
        HYPERLINK("https://www.openstreetmap.org/?mlat=" &amp; 'Technical Sheet'!E86 &amp; "&amp;mlon=" &amp; 'Technical Sheet'!F86 &amp; "#map=17/" &amp; 'Technical Sheet'!E86 &amp; "/" &amp; 'Technical Sheet'!F86,
            "OpenStreetMap Link"
        ),
        ""
    ),
    ""
)</f>
        <v/>
      </c>
      <c r="K486" s="76" t="str">
        <f t="shared" si="9"/>
        <v>++++</v>
      </c>
    </row>
    <row r="487" spans="3:11" outlineLevel="1">
      <c r="C487" s="174">
        <v>86</v>
      </c>
      <c r="D487" s="65"/>
      <c r="E487" s="66"/>
      <c r="F487" s="350"/>
      <c r="G487" s="65"/>
      <c r="H487" s="355" t="str">
        <f>'Technical Sheet'!G87</f>
        <v>-</v>
      </c>
      <c r="I487" s="17" t="str">
        <f t="shared" si="10"/>
        <v/>
      </c>
      <c r="J487" s="158" t="str">
        <f>IF(AND(D487&lt;&gt;"", E487&lt;&gt;"", F487&lt;&gt;"", G487&lt;&gt;""),
    IFERROR(
        HYPERLINK("https://www.openstreetmap.org/?mlat=" &amp; 'Technical Sheet'!E87 &amp; "&amp;mlon=" &amp; 'Technical Sheet'!F87 &amp; "#map=17/" &amp; 'Technical Sheet'!E87 &amp; "/" &amp; 'Technical Sheet'!F87,
            "OpenStreetMap Link"
        ),
        ""
    ),
    ""
)</f>
        <v/>
      </c>
      <c r="K487" s="76" t="str">
        <f t="shared" si="9"/>
        <v>++++</v>
      </c>
    </row>
    <row r="488" spans="3:11" outlineLevel="1">
      <c r="C488" s="173">
        <v>87</v>
      </c>
      <c r="D488" s="65"/>
      <c r="E488" s="66"/>
      <c r="F488" s="350"/>
      <c r="G488" s="65"/>
      <c r="H488" s="355" t="str">
        <f>'Technical Sheet'!G88</f>
        <v>-</v>
      </c>
      <c r="I488" s="17" t="str">
        <f t="shared" si="10"/>
        <v/>
      </c>
      <c r="J488" s="158" t="str">
        <f>IF(AND(D488&lt;&gt;"", E488&lt;&gt;"", F488&lt;&gt;"", G488&lt;&gt;""),
    IFERROR(
        HYPERLINK("https://www.openstreetmap.org/?mlat=" &amp; 'Technical Sheet'!E88 &amp; "&amp;mlon=" &amp; 'Technical Sheet'!F88 &amp; "#map=17/" &amp; 'Technical Sheet'!E88 &amp; "/" &amp; 'Technical Sheet'!F88,
            "OpenStreetMap Link"
        ),
        ""
    ),
    ""
)</f>
        <v/>
      </c>
      <c r="K488" s="76" t="str">
        <f t="shared" si="9"/>
        <v>++++</v>
      </c>
    </row>
    <row r="489" spans="3:11" outlineLevel="1">
      <c r="C489" s="173">
        <v>88</v>
      </c>
      <c r="D489" s="65"/>
      <c r="E489" s="66"/>
      <c r="F489" s="350"/>
      <c r="G489" s="65"/>
      <c r="H489" s="355" t="str">
        <f>'Technical Sheet'!G89</f>
        <v>-</v>
      </c>
      <c r="I489" s="17" t="str">
        <f t="shared" si="10"/>
        <v/>
      </c>
      <c r="J489" s="158" t="str">
        <f>IF(AND(D489&lt;&gt;"", E489&lt;&gt;"", F489&lt;&gt;"", G489&lt;&gt;""),
    IFERROR(
        HYPERLINK("https://www.openstreetmap.org/?mlat=" &amp; 'Technical Sheet'!E89 &amp; "&amp;mlon=" &amp; 'Technical Sheet'!F89 &amp; "#map=17/" &amp; 'Technical Sheet'!E89 &amp; "/" &amp; 'Technical Sheet'!F89,
            "OpenStreetMap Link"
        ),
        ""
    ),
    ""
)</f>
        <v/>
      </c>
      <c r="K489" s="76" t="str">
        <f t="shared" si="9"/>
        <v>++++</v>
      </c>
    </row>
    <row r="490" spans="3:11" outlineLevel="1">
      <c r="C490" s="174">
        <v>89</v>
      </c>
      <c r="D490" s="65"/>
      <c r="E490" s="66"/>
      <c r="F490" s="350"/>
      <c r="G490" s="65"/>
      <c r="H490" s="355" t="str">
        <f>'Technical Sheet'!G90</f>
        <v>-</v>
      </c>
      <c r="I490" s="17" t="str">
        <f t="shared" si="10"/>
        <v/>
      </c>
      <c r="J490" s="158" t="str">
        <f>IF(AND(D490&lt;&gt;"", E490&lt;&gt;"", F490&lt;&gt;"", G490&lt;&gt;""),
    IFERROR(
        HYPERLINK("https://www.openstreetmap.org/?mlat=" &amp; 'Technical Sheet'!E90 &amp; "&amp;mlon=" &amp; 'Technical Sheet'!F90 &amp; "#map=17/" &amp; 'Technical Sheet'!E90 &amp; "/" &amp; 'Technical Sheet'!F90,
            "OpenStreetMap Link"
        ),
        ""
    ),
    ""
)</f>
        <v/>
      </c>
      <c r="K490" s="76" t="str">
        <f t="shared" si="9"/>
        <v>++++</v>
      </c>
    </row>
    <row r="491" spans="3:11" outlineLevel="1">
      <c r="C491" s="173">
        <v>90</v>
      </c>
      <c r="D491" s="65"/>
      <c r="E491" s="66"/>
      <c r="F491" s="350"/>
      <c r="G491" s="65"/>
      <c r="H491" s="355" t="str">
        <f>'Technical Sheet'!G91</f>
        <v>-</v>
      </c>
      <c r="I491" s="17" t="str">
        <f t="shared" si="10"/>
        <v/>
      </c>
      <c r="J491" s="158" t="str">
        <f>IF(AND(D491&lt;&gt;"", E491&lt;&gt;"", F491&lt;&gt;"", G491&lt;&gt;""),
    IFERROR(
        HYPERLINK("https://www.openstreetmap.org/?mlat=" &amp; 'Technical Sheet'!E91 &amp; "&amp;mlon=" &amp; 'Technical Sheet'!F91 &amp; "#map=17/" &amp; 'Technical Sheet'!E91 &amp; "/" &amp; 'Technical Sheet'!F91,
            "OpenStreetMap Link"
        ),
        ""
    ),
    ""
)</f>
        <v/>
      </c>
      <c r="K491" s="76" t="str">
        <f t="shared" si="9"/>
        <v>++++</v>
      </c>
    </row>
    <row r="492" spans="3:11" outlineLevel="1">
      <c r="C492" s="173">
        <v>91</v>
      </c>
      <c r="D492" s="65"/>
      <c r="E492" s="66"/>
      <c r="F492" s="350"/>
      <c r="G492" s="65"/>
      <c r="H492" s="355" t="str">
        <f>'Technical Sheet'!G92</f>
        <v>-</v>
      </c>
      <c r="I492" s="17" t="str">
        <f t="shared" si="10"/>
        <v/>
      </c>
      <c r="J492" s="158" t="str">
        <f>IF(AND(D492&lt;&gt;"", E492&lt;&gt;"", F492&lt;&gt;"", G492&lt;&gt;""),
    IFERROR(
        HYPERLINK("https://www.openstreetmap.org/?mlat=" &amp; 'Technical Sheet'!E92 &amp; "&amp;mlon=" &amp; 'Technical Sheet'!F92 &amp; "#map=17/" &amp; 'Technical Sheet'!E92 &amp; "/" &amp; 'Technical Sheet'!F92,
            "OpenStreetMap Link"
        ),
        ""
    ),
    ""
)</f>
        <v/>
      </c>
      <c r="K492" s="76" t="str">
        <f t="shared" si="9"/>
        <v>++++</v>
      </c>
    </row>
    <row r="493" spans="3:11" outlineLevel="1">
      <c r="C493" s="174">
        <v>92</v>
      </c>
      <c r="D493" s="65"/>
      <c r="E493" s="66"/>
      <c r="F493" s="350"/>
      <c r="G493" s="65"/>
      <c r="H493" s="355" t="str">
        <f>'Technical Sheet'!G93</f>
        <v>-</v>
      </c>
      <c r="I493" s="17" t="str">
        <f t="shared" si="10"/>
        <v/>
      </c>
      <c r="J493" s="158" t="str">
        <f>IF(AND(D493&lt;&gt;"", E493&lt;&gt;"", F493&lt;&gt;"", G493&lt;&gt;""),
    IFERROR(
        HYPERLINK("https://www.openstreetmap.org/?mlat=" &amp; 'Technical Sheet'!E93 &amp; "&amp;mlon=" &amp; 'Technical Sheet'!F93 &amp; "#map=17/" &amp; 'Technical Sheet'!E93 &amp; "/" &amp; 'Technical Sheet'!F93,
            "OpenStreetMap Link"
        ),
        ""
    ),
    ""
)</f>
        <v/>
      </c>
      <c r="K493" s="76" t="str">
        <f t="shared" si="9"/>
        <v>++++</v>
      </c>
    </row>
    <row r="494" spans="3:11" outlineLevel="1">
      <c r="C494" s="173">
        <v>93</v>
      </c>
      <c r="D494" s="65"/>
      <c r="E494" s="66"/>
      <c r="F494" s="350"/>
      <c r="G494" s="65"/>
      <c r="H494" s="355" t="str">
        <f>'Technical Sheet'!G94</f>
        <v>-</v>
      </c>
      <c r="I494" s="17" t="str">
        <f t="shared" si="10"/>
        <v/>
      </c>
      <c r="J494" s="158" t="str">
        <f>IF(AND(D494&lt;&gt;"", E494&lt;&gt;"", F494&lt;&gt;"", G494&lt;&gt;""),
    IFERROR(
        HYPERLINK("https://www.openstreetmap.org/?mlat=" &amp; 'Technical Sheet'!E94 &amp; "&amp;mlon=" &amp; 'Technical Sheet'!F94 &amp; "#map=17/" &amp; 'Technical Sheet'!E94 &amp; "/" &amp; 'Technical Sheet'!F94,
            "OpenStreetMap Link"
        ),
        ""
    ),
    ""
)</f>
        <v/>
      </c>
      <c r="K494" s="76" t="str">
        <f t="shared" si="9"/>
        <v>++++</v>
      </c>
    </row>
    <row r="495" spans="3:11" outlineLevel="1">
      <c r="C495" s="173">
        <v>94</v>
      </c>
      <c r="D495" s="65"/>
      <c r="E495" s="66"/>
      <c r="F495" s="350"/>
      <c r="G495" s="65"/>
      <c r="H495" s="355" t="str">
        <f>'Technical Sheet'!G95</f>
        <v>-</v>
      </c>
      <c r="I495" s="17" t="str">
        <f t="shared" si="10"/>
        <v/>
      </c>
      <c r="J495" s="158" t="str">
        <f>IF(AND(D495&lt;&gt;"", E495&lt;&gt;"", F495&lt;&gt;"", G495&lt;&gt;""),
    IFERROR(
        HYPERLINK("https://www.openstreetmap.org/?mlat=" &amp; 'Technical Sheet'!E95 &amp; "&amp;mlon=" &amp; 'Technical Sheet'!F95 &amp; "#map=17/" &amp; 'Technical Sheet'!E95 &amp; "/" &amp; 'Technical Sheet'!F95,
            "OpenStreetMap Link"
        ),
        ""
    ),
    ""
)</f>
        <v/>
      </c>
      <c r="K495" s="76" t="str">
        <f t="shared" si="9"/>
        <v>++++</v>
      </c>
    </row>
    <row r="496" spans="3:11" outlineLevel="1">
      <c r="C496" s="174">
        <v>95</v>
      </c>
      <c r="D496" s="65"/>
      <c r="E496" s="66"/>
      <c r="F496" s="350"/>
      <c r="G496" s="65"/>
      <c r="H496" s="355" t="str">
        <f>'Technical Sheet'!G96</f>
        <v>-</v>
      </c>
      <c r="I496" s="17" t="str">
        <f t="shared" si="10"/>
        <v/>
      </c>
      <c r="J496" s="158" t="str">
        <f>IF(AND(D496&lt;&gt;"", E496&lt;&gt;"", F496&lt;&gt;"", G496&lt;&gt;""),
    IFERROR(
        HYPERLINK("https://www.openstreetmap.org/?mlat=" &amp; 'Technical Sheet'!E96 &amp; "&amp;mlon=" &amp; 'Technical Sheet'!F96 &amp; "#map=17/" &amp; 'Technical Sheet'!E96 &amp; "/" &amp; 'Technical Sheet'!F96,
            "OpenStreetMap Link"
        ),
        ""
    ),
    ""
)</f>
        <v/>
      </c>
      <c r="K496" s="76" t="str">
        <f t="shared" si="9"/>
        <v>++++</v>
      </c>
    </row>
    <row r="497" spans="3:17" outlineLevel="1">
      <c r="C497" s="173">
        <v>96</v>
      </c>
      <c r="D497" s="65"/>
      <c r="E497" s="66"/>
      <c r="F497" s="350"/>
      <c r="G497" s="65"/>
      <c r="H497" s="355" t="str">
        <f>'Technical Sheet'!G97</f>
        <v>-</v>
      </c>
      <c r="I497" s="17" t="str">
        <f t="shared" si="10"/>
        <v/>
      </c>
      <c r="J497" s="158" t="str">
        <f>IF(AND(D497&lt;&gt;"", E497&lt;&gt;"", F497&lt;&gt;"", G497&lt;&gt;""),
    IFERROR(
        HYPERLINK("https://www.openstreetmap.org/?mlat=" &amp; 'Technical Sheet'!E97 &amp; "&amp;mlon=" &amp; 'Technical Sheet'!F97 &amp; "#map=17/" &amp; 'Technical Sheet'!E97 &amp; "/" &amp; 'Technical Sheet'!F97,
            "OpenStreetMap Link"
        ),
        ""
    ),
    ""
)</f>
        <v/>
      </c>
      <c r="K497" s="76" t="str">
        <f t="shared" si="9"/>
        <v>++++</v>
      </c>
    </row>
    <row r="498" spans="3:17" outlineLevel="1">
      <c r="C498" s="173">
        <v>97</v>
      </c>
      <c r="D498" s="65"/>
      <c r="E498" s="66"/>
      <c r="F498" s="350"/>
      <c r="G498" s="65"/>
      <c r="H498" s="355" t="str">
        <f>'Technical Sheet'!G98</f>
        <v>-</v>
      </c>
      <c r="I498" s="17" t="str">
        <f t="shared" si="10"/>
        <v/>
      </c>
      <c r="J498" s="158" t="str">
        <f>IF(AND(D498&lt;&gt;"", E498&lt;&gt;"", F498&lt;&gt;"", G498&lt;&gt;""),
    IFERROR(
        HYPERLINK("https://www.openstreetmap.org/?mlat=" &amp; 'Technical Sheet'!E98 &amp; "&amp;mlon=" &amp; 'Technical Sheet'!F98 &amp; "#map=17/" &amp; 'Technical Sheet'!E98 &amp; "/" &amp; 'Technical Sheet'!F98,
            "OpenStreetMap Link"
        ),
        ""
    ),
    ""
)</f>
        <v/>
      </c>
      <c r="K498" s="76" t="str">
        <f t="shared" si="9"/>
        <v>++++</v>
      </c>
    </row>
    <row r="499" spans="3:17" outlineLevel="1">
      <c r="C499" s="174">
        <v>98</v>
      </c>
      <c r="D499" s="65"/>
      <c r="E499" s="66"/>
      <c r="F499" s="350"/>
      <c r="G499" s="65"/>
      <c r="H499" s="355" t="str">
        <f>'Technical Sheet'!G99</f>
        <v>-</v>
      </c>
      <c r="I499" s="17" t="str">
        <f t="shared" ref="I499:I501" si="11">IF(AND(D499&lt;&gt;"", E499&lt;&gt;"", F499&lt;&gt;"", G499&lt;&gt;"", H499&lt;&gt;""), template_label_ok,
    IF(AND(D499="", E499="", F499="", G499="", H499="-"), "",
        template_label_missing_value
    )
)</f>
        <v/>
      </c>
      <c r="J499" s="158" t="str">
        <f>IF(AND(D499&lt;&gt;"", E499&lt;&gt;"", F499&lt;&gt;"", G499&lt;&gt;""),
    IFERROR(
        HYPERLINK("https://www.openstreetmap.org/?mlat=" &amp; 'Technical Sheet'!E99 &amp; "&amp;mlon=" &amp; 'Technical Sheet'!F99 &amp; "#map=17/" &amp; 'Technical Sheet'!E99 &amp; "/" &amp; 'Technical Sheet'!F99,
            "OpenStreetMap Link"
        ),
        ""
    ),
    ""
)</f>
        <v/>
      </c>
      <c r="K499" s="76" t="str">
        <f t="shared" si="9"/>
        <v>++++</v>
      </c>
    </row>
    <row r="500" spans="3:17" outlineLevel="1">
      <c r="C500" s="173">
        <v>99</v>
      </c>
      <c r="D500" s="65"/>
      <c r="E500" s="66"/>
      <c r="F500" s="350"/>
      <c r="G500" s="65"/>
      <c r="H500" s="355" t="str">
        <f>'Technical Sheet'!G100</f>
        <v>-</v>
      </c>
      <c r="I500" s="17" t="str">
        <f t="shared" si="11"/>
        <v/>
      </c>
      <c r="J500" s="158" t="str">
        <f>IF(AND(D500&lt;&gt;"", E500&lt;&gt;"", F500&lt;&gt;"", G500&lt;&gt;""),
    IFERROR(
        HYPERLINK("https://www.openstreetmap.org/?mlat=" &amp; 'Technical Sheet'!E100 &amp; "&amp;mlon=" &amp; 'Technical Sheet'!F100 &amp; "#map=17/" &amp; 'Technical Sheet'!E100 &amp; "/" &amp; 'Technical Sheet'!F100,
            "OpenStreetMap Link"
        ),
        ""
    ),
    ""
)</f>
        <v/>
      </c>
      <c r="K500" s="76" t="str">
        <f t="shared" si="9"/>
        <v>++++</v>
      </c>
    </row>
    <row r="501" spans="3:17" ht="15" outlineLevel="1" thickBot="1">
      <c r="C501" s="175">
        <v>100</v>
      </c>
      <c r="D501" s="613"/>
      <c r="E501" s="614"/>
      <c r="F501" s="615"/>
      <c r="G501" s="613"/>
      <c r="H501" s="616" t="str">
        <f>'Technical Sheet'!G101</f>
        <v>-</v>
      </c>
      <c r="I501" s="17" t="str">
        <f t="shared" si="11"/>
        <v/>
      </c>
      <c r="J501" s="158" t="str">
        <f>IF(AND(D501&lt;&gt;"", E501&lt;&gt;"", F501&lt;&gt;"", G501&lt;&gt;""),
    IFERROR(
        HYPERLINK("https://www.openstreetmap.org/?mlat=" &amp; 'Technical Sheet'!E101 &amp; "&amp;mlon=" &amp; 'Technical Sheet'!F101 &amp; "#map=17/" &amp; 'Technical Sheet'!E101 &amp; "/" &amp; 'Technical Sheet'!F101,
            "OpenStreetMap Link"
        ),
        ""
    ),
    ""
)</f>
        <v/>
      </c>
      <c r="K501" s="76" t="str">
        <f t="shared" si="9"/>
        <v>++++</v>
      </c>
    </row>
    <row r="502" spans="3:17" ht="15" customHeight="1" thickBot="1">
      <c r="I502" s="17"/>
    </row>
    <row r="503" spans="3:17" ht="38.15" customHeight="1" thickBot="1">
      <c r="C503" s="731" t="str">
        <f xml:space="preserve"> template_label_b2_practices_policies_and_future_initiatives_for_transitioning_towards_a_more_sustainable_economy &amp; " " &amp; template_label_from &amp; " " &amp; template_starting_date_display &amp; " " &amp; template_label_to &amp; " " &amp; template_ending_date_display</f>
        <v>B2 - Practices, policies and future initiatives for transitioning towards a more sustainable economy from - to -</v>
      </c>
      <c r="D503" s="731"/>
      <c r="E503" s="731"/>
      <c r="F503" s="731"/>
      <c r="G503" s="731"/>
      <c r="H503" s="731"/>
      <c r="I503" s="731"/>
      <c r="J503" s="731"/>
      <c r="K503" s="731"/>
      <c r="L503" s="731"/>
      <c r="M503" s="731"/>
      <c r="N503" s="731"/>
      <c r="O503" s="732"/>
    </row>
    <row r="504" spans="3:17" s="10" customFormat="1">
      <c r="C504" s="687" t="s">
        <v>28</v>
      </c>
      <c r="D504" s="687"/>
      <c r="E504" s="687"/>
      <c r="F504" s="687"/>
      <c r="G504" s="687"/>
      <c r="H504" s="687"/>
      <c r="I504" s="687"/>
      <c r="J504" s="687"/>
      <c r="K504" s="687"/>
      <c r="L504" s="687"/>
      <c r="M504" s="687"/>
      <c r="N504" s="687"/>
      <c r="O504" s="688"/>
      <c r="P504"/>
      <c r="Q504"/>
    </row>
    <row r="505" spans="3:17">
      <c r="C505" s="685" t="s">
        <v>29</v>
      </c>
      <c r="D505" s="691"/>
      <c r="E505" s="691"/>
      <c r="F505" s="691"/>
      <c r="G505" s="691"/>
      <c r="H505" s="691"/>
      <c r="I505" s="691"/>
      <c r="J505" s="691"/>
      <c r="K505" s="691"/>
      <c r="L505" s="691"/>
      <c r="M505" s="691"/>
      <c r="N505" s="691"/>
      <c r="O505" s="692"/>
    </row>
    <row r="506" spans="3:17" ht="14.4" customHeight="1">
      <c r="C506" s="794" t="str">
        <f>template_label_has_the_undertaking_put_in_place_specific_practices_policies_and_or_future</f>
        <v>Has the undertaking put in place specific practices policies and or future initiatives for transitioning towards a more sustainable economy?</v>
      </c>
      <c r="D506" s="733" t="str">
        <f>template_label_sustainability_issues_addressed_by_a_practice_policy_and_or_future_initiatives_put_in_place</f>
        <v>Sustainability issues addressed by a practice policy and or future initiatives that the undertaking has put in place</v>
      </c>
      <c r="E506" s="733"/>
      <c r="F506" s="733"/>
      <c r="G506" s="733"/>
      <c r="H506" s="733"/>
      <c r="I506" s="733"/>
      <c r="J506" s="733"/>
      <c r="K506" s="733"/>
      <c r="L506" s="733"/>
      <c r="M506" s="733"/>
      <c r="N506" s="733" t="str">
        <f>template_label_undertaking_has_a_practice_policy_and_or_future_initiative_that_is_publicly_available</f>
        <v>Undertaking has a practice policy and or future initiative that is publicly available</v>
      </c>
      <c r="O506" s="734" t="str">
        <f>template_label_undertaking_has_set_a_target_which_is_related_to_a_policy</f>
        <v>Undertaking has set a target which is related to a policy</v>
      </c>
    </row>
    <row r="507" spans="3:17" ht="41.4" customHeight="1">
      <c r="C507" s="794"/>
      <c r="D507" s="68" t="str">
        <f>template_label_climate_change</f>
        <v>Climate change</v>
      </c>
      <c r="E507" s="68" t="str">
        <f>template_label_pollution</f>
        <v>Pollution</v>
      </c>
      <c r="F507" s="68" t="str">
        <f>template_label_water_and_marine_resources</f>
        <v>Water and marine resources</v>
      </c>
      <c r="G507" s="68" t="str">
        <f>template_label_biodiversity_and_ecosystems</f>
        <v>Biodiversity and ecosystems</v>
      </c>
      <c r="H507" s="68" t="str">
        <f>template_label_circular_economy_and_resource_use</f>
        <v>Circular economy and Resource Use</v>
      </c>
      <c r="I507" s="68" t="str">
        <f>template_label_own_workforce</f>
        <v>Own workforce</v>
      </c>
      <c r="J507" s="68" t="str">
        <f>template_label_workers_in_the_value_chain</f>
        <v>Workers in the value chain</v>
      </c>
      <c r="K507" s="68" t="str">
        <f>template_label_affected_communities</f>
        <v>Affected communities</v>
      </c>
      <c r="L507" s="68" t="str">
        <f>template_label_consumers_and_endusers_validation</f>
        <v>Consumers and end-users</v>
      </c>
      <c r="M507" s="68" t="str">
        <f>template_label_business_conduct</f>
        <v>Business conduct</v>
      </c>
      <c r="N507" s="733"/>
      <c r="O507" s="734"/>
    </row>
    <row r="508" spans="3:17" ht="15" thickBot="1">
      <c r="C508" s="156" t="b">
        <v>0</v>
      </c>
      <c r="D508" s="155" t="b">
        <v>0</v>
      </c>
      <c r="E508" s="155" t="b">
        <v>0</v>
      </c>
      <c r="F508" s="155" t="b">
        <v>0</v>
      </c>
      <c r="G508" s="155" t="b">
        <v>0</v>
      </c>
      <c r="H508" s="155" t="b">
        <v>0</v>
      </c>
      <c r="I508" s="155" t="b">
        <v>0</v>
      </c>
      <c r="J508" s="155" t="b">
        <v>0</v>
      </c>
      <c r="K508" s="155" t="b">
        <v>0</v>
      </c>
      <c r="L508" s="155" t="b">
        <v>0</v>
      </c>
      <c r="M508" s="155" t="b">
        <v>0</v>
      </c>
      <c r="N508" s="429"/>
      <c r="O508" s="430"/>
      <c r="P508" s="16" t="str">
        <f>IF(C508=TRUE, IF(COUNTIF(D508:M508, TRUE)&gt;0, template_label_ok, template_label_missing_value), "")</f>
        <v/>
      </c>
    </row>
    <row r="509" spans="3:17" ht="57.65" customHeight="1" thickBot="1">
      <c r="F509"/>
    </row>
    <row r="510" spans="3:17" ht="15" thickBot="1">
      <c r="C510" s="795" t="str">
        <f xml:space="preserve"> template_label_disclosure_part_of_vs_guidance &amp; " " &amp; template_label_b2_cooperative_specific_disclosures &amp; " " &amp; template_label_from &amp; " " &amp; template_starting_date_display &amp; " " &amp; template_label_to &amp; " " &amp; template_ending_date_display</f>
        <v>[Disclosure stemming from EFRAG non-mandatory guidance] B2 - Cooperative specific disclosures from - to -</v>
      </c>
      <c r="D510" s="796"/>
      <c r="F510"/>
    </row>
    <row r="511" spans="3:17">
      <c r="C511" s="687"/>
      <c r="D511" s="688"/>
      <c r="F511"/>
    </row>
    <row r="512" spans="3:17" ht="30.65" customHeight="1">
      <c r="C512" s="99" t="str">
        <f>template_label_effective_participation_of_workers_users_or_other_interested_parties_or_communities_in_governance</f>
        <v>Effective participation of workers users or other interested parties or communities in governance</v>
      </c>
      <c r="D512" s="562"/>
      <c r="E512" s="16" t="str">
        <f>IF(AND(D512&lt;&gt;"", UndertakingsLegalForm="cooperative"), template_label_ok, "")</f>
        <v/>
      </c>
      <c r="F512"/>
    </row>
    <row r="513" spans="1:8" ht="57" customHeight="1">
      <c r="C513" s="99" t="str">
        <f>template_label_financial_investment_in_the_capital_or_assets_of_social_economy_entities</f>
        <v>Financial investment in the capital or assets of social economy entities referred to in the Council Recommendation of 29 September 2023 (excluding donations and contributions)</v>
      </c>
      <c r="D513" s="563"/>
      <c r="E513" s="16" t="str">
        <f>IF(AND(D513&lt;&gt;"", UndertakingsLegalForm="cooperative"), template_label_ok, "")</f>
        <v/>
      </c>
      <c r="F513"/>
    </row>
    <row r="514" spans="1:8" ht="47.4" customHeight="1" thickBot="1">
      <c r="C514" s="89" t="str">
        <f>template_label_limits_to_the_distribution_of_profits</f>
        <v>Any limits to the distribution of profits connected to the mutualistic nature or to the nature of the activities consisting in services of general economic interest (SGEI)</v>
      </c>
      <c r="D514" s="564"/>
      <c r="E514" s="16" t="str">
        <f>IF(AND(D514&lt;&gt;"", UndertakingsLegalForm="cooperative"), template_label_ok, "")</f>
        <v/>
      </c>
      <c r="F514"/>
    </row>
    <row r="515" spans="1:8" ht="50.15" customHeight="1" thickBot="1">
      <c r="C515" s="12"/>
      <c r="F515"/>
    </row>
    <row r="516" spans="1:8" ht="87.65" customHeight="1" thickBot="1">
      <c r="A516" s="791" t="str">
        <f>template_label_supporting_guidance_c2</f>
        <v>ℹ️ VSME Supporting Guidance on Disclosure C2 - Comprehensive Module (Practices, Policies, and Future Initiatives)</v>
      </c>
      <c r="B516" s="791"/>
      <c r="C516" s="683" t="str">
        <f>template_label_c2_description_of_practices_policies_and_future_initiatives_for_transitioning_towards_a_more_sustainable_economy&amp;" "&amp;template_label_from&amp;" "&amp;template_starting_date_display&amp;" "&amp;template_label_to&amp;" "&amp;template_ending_date_display</f>
        <v>C2 - Description of practices policies and future initiatives for transitioning towards a more sustainable economy from - to -</v>
      </c>
      <c r="D516" s="792"/>
      <c r="E516" s="792"/>
      <c r="F516" s="792"/>
      <c r="G516" s="793"/>
    </row>
    <row r="517" spans="1:8" ht="38.15" customHeight="1">
      <c r="A517" s="675">
        <v>47</v>
      </c>
      <c r="B517" s="681">
        <v>146</v>
      </c>
      <c r="C517" s="742"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17" s="742"/>
      <c r="E517" s="736"/>
      <c r="F517" s="736"/>
      <c r="G517" s="737"/>
      <c r="H517" s="16" t="str">
        <f>IF(template_checkbox_c2_description_of_practices_policies_and_future_initiatives_docx=TRUE,
IF(
'Table of Contents &amp; Validation'!D48=TRUE,
IF(AND(BasisForPreparation="Option B (Basic Module and Comprehensive Module)",C508=TRUE,DescriptionOfPracticesPoliciesAndOrFutureInitiatives=""),"",
IF(AND(BasisForPreparation="Option B (Basic Module and Comprehensive Module)",C508=TRUE,DescriptionOfPracticesPoliciesAndOrFutureInitiatives&lt;&gt;""),template_label_ok,
IF(AND(BasisForPreparation="Option A (Basic Module only)",E517&lt;&gt;""),template_label_ok,""))),
IF(AND(BasisForPreparation="Option B (Basic Module and Comprehensive Module)",C508=TRUE,DescriptionOfPracticesPoliciesAndOrFutureInitiatives=""),"",
IF(AND(BasisForPreparation="Option B (Basic Module and Comprehensive Module)",C508=TRUE,DescriptionOfPracticesPoliciesAndOrFutureInitiatives&lt;&gt;""),template_label_ok,
IF(AND(BasisForPreparation="Option A (Basic Module only)",E517&lt;&gt;""),template_label_ok,"")))),
IF(
'Table of Contents &amp; Validation'!D48=TRUE,
IF(AND(BasisForPreparation="Option B (Basic Module and Comprehensive Module)",C508=TRUE,DescriptionOfPracticesPoliciesAndOrFutureInitiatives=""),"",
IF(AND(BasisForPreparation="Option B (Basic Module and Comprehensive Module)",C508=TRUE,DescriptionOfPracticesPoliciesAndOrFutureInitiatives&lt;&gt;""),template_label_ok,
IF(AND(BasisForPreparation="Option A (Basic Module only)",E517&lt;&gt;""),template_label_ok,""))),
IF(AND(BasisForPreparation="Option B (Basic Module and Comprehensive Module)",C508=TRUE,DescriptionOfPracticesPoliciesAndOrFutureInitiatives=""),template_label_missing_value,
IF(AND(BasisForPreparation="Option B (Basic Module and Comprehensive Module)",C508=TRUE,DescriptionOfPracticesPoliciesAndOrFutureInitiatives&lt;&gt;""),template_label_ok,
IF(AND(BasisForPreparation="Option A (Basic Module only)",E517&lt;&gt;""),template_label_ok,"")))))</f>
        <v/>
      </c>
    </row>
    <row r="518" spans="1:8">
      <c r="A518" s="677"/>
      <c r="B518" s="682"/>
      <c r="C518" s="715" t="str">
        <f>template_label_description_of_target_related_to_a_policy</f>
        <v>Description of target related to a policy</v>
      </c>
      <c r="D518" s="715"/>
      <c r="E518" s="740"/>
      <c r="F518" s="740"/>
      <c r="G518" s="741"/>
      <c r="H518" s="16" t="str">
        <f>IF(template_checkbox_c2_description_of_practices_policies_and_future_initiatives_docx=TRUE,
IF(
'Table of Contents &amp; Validation'!D48=TRUE,
IF(AND(BasisForPreparation="Option B (Basic Module and Comprehensive Module)", C508=TRUE, O508=TRUE, E518=""), "",
IF(AND(BasisForPreparation="Option B (Basic Module and Comprehensive Module)", C508=TRUE, O508=TRUE, E518&lt;&gt;""), template_label_ok,
IF(AND(BasisForPreparation="Option A (Basic Module only)", E518&lt;&gt;""), template_label_ok, ""))),
IF(AND(BasisForPreparation="Option B (Basic Module and Comprehensive Module)", C508=TRUE, O508=TRUE, E518=""), "",
IF(AND(BasisForPreparation="Option B (Basic Module and Comprehensive Module)", C508=TRUE, O508=TRUE, E518&lt;&gt;""), template_label_ok,
IF(AND(BasisForPreparation="Option A (Basic Module only)", E518&lt;&gt;""), template_label_ok, "")))),
IF(
'Table of Contents &amp; Validation'!D48=TRUE,
IF(AND(BasisForPreparation="Option B (Basic Module and Comprehensive Module)", C508=TRUE, O508=TRUE, E518=""), "",
IF(AND(BasisForPreparation="Option B (Basic Module and Comprehensive Module)", C508=TRUE, O508=TRUE, E518&lt;&gt;""), template_label_ok,
IF(AND(BasisForPreparation="Option A (Basic Module only)", E518&lt;&gt;""), template_label_ok, ""))),
IF(AND(BasisForPreparation="Option B (Basic Module and Comprehensive Module)", C508=TRUE, O508=TRUE, E518=""), template_label_missing_value,
IF(AND(BasisForPreparation="Option B (Basic Module and Comprehensive Module)", C508=TRUE, O508=TRUE, E518&lt;&gt;""), template_label_ok,
IF(AND(BasisForPreparation="Option A (Basic Module only)", E518&lt;&gt;""), template_label_ok, "")))))</f>
        <v/>
      </c>
    </row>
    <row r="519" spans="1:8" ht="15" thickBot="1">
      <c r="A519" s="345">
        <v>48</v>
      </c>
      <c r="B519" s="346">
        <v>146</v>
      </c>
      <c r="C519" s="735" t="str">
        <f>template_label_most_senior_level_accountable_for_implementing_practices_policies_and_or_future_initiatives</f>
        <v>Most senior level in the undertaking (i.e. a person or a body) that is accountable for implementing those practices, policies, and future initiatives  when this has been determined by the undertaking</v>
      </c>
      <c r="D519" s="735"/>
      <c r="E519" s="738"/>
      <c r="F519" s="738"/>
      <c r="G519" s="739"/>
      <c r="H519" s="16" t="str">
        <f>IF(AND(BasisForPreparation="Option B (Basic Module and Comprehensive Module)", C508=TRUE, MostSeniorLevelInTheUndertakingAccountableForImplementationOfPracticesPoliciesAndFutureInitiatives=""), "",
IF(AND(BasisForPreparation="Option B (Basic Module and Comprehensive Module)", C508=TRUE, MostSeniorLevelInTheUndertakingAccountableForImplementationOfPracticesPoliciesAndFutureInitiatives&lt;&gt;""), template_label_ok,
IF(AND(BasisForPreparation="Option A (Basic Module only)", E519&lt;&gt;""), template_label_ok, "")))</f>
        <v/>
      </c>
    </row>
    <row r="520" spans="1:8" ht="14.9" customHeight="1">
      <c r="B520" s="98"/>
      <c r="F520"/>
    </row>
    <row r="521" spans="1:8" ht="14.9" customHeight="1" thickBot="1">
      <c r="B521" s="98"/>
      <c r="F521"/>
    </row>
    <row r="522" spans="1:8" ht="14.9" customHeight="1" thickBot="1">
      <c r="B522" s="98"/>
      <c r="C522" s="683" t="str">
        <f xml:space="preserve"> template_label_c1_strategy_business_model_and_sustainability_related_initiatives &amp; " " &amp; template_label_from &amp; " " &amp; template_starting_date_display &amp; " " &amp; template_label_to &amp; " " &amp; template_ending_date_display</f>
        <v>C1 - Strategy: Business Model and Sustainability - Related Initiatives from - to -</v>
      </c>
      <c r="D522" s="683"/>
      <c r="E522" s="683"/>
      <c r="F522" s="683"/>
      <c r="G522" s="684"/>
    </row>
    <row r="523" spans="1:8">
      <c r="A523" s="345" t="s">
        <v>30</v>
      </c>
      <c r="B523" s="187" t="s">
        <v>10</v>
      </c>
      <c r="C523" s="748" t="str">
        <f>template_label_description_of_significant_groups_of_products_and_or_services_offered</f>
        <v>Description of significant groups of products and or services offered</v>
      </c>
      <c r="D523" s="748"/>
      <c r="E523" s="754"/>
      <c r="F523" s="754"/>
      <c r="G523" s="755"/>
      <c r="H523" s="16" t="str">
        <f>IF(template_checkbox_c1_strategy_business_model_and_sustainability_initiatives_docx=TRUE,
IF(OR(
'Table of Contents &amp; Validation'!D47=TRUE,'General Information'!E280&lt;=10),
IF(AND($E$125="Option B (Basic Module and Comprehensive Module)", E523=""), "",
   IF(AND($E$125="Option A (Basic Module only)", E523&lt;&gt;""), template_label_ok,
   IF(AND($E$125="Option B (Basic Module and Comprehensive Module)", E523&lt;&gt;""), template_label_ok, ""))),
IF(AND($E$125="Option B (Basic Module and Comprehensive Module)", E523=""), "",
   IF(AND($E$125="Option A (Basic Module only)", E523&lt;&gt;""), template_label_ok,
   IF(AND($E$125="Option B (Basic Module and Comprehensive Module)", E523&lt;&gt;""), template_label_ok, "")))
),
IF(OR(
'Table of Contents &amp; Validation'!D47=TRUE,'General Information'!E280&lt;=10),
IF(AND($E$125="Option B (Basic Module and Comprehensive Module)", E523=""), "",
   IF(AND($E$125="Option A (Basic Module only)", E523&lt;&gt;""), template_label_ok,
   IF(AND($E$125="Option B (Basic Module and Comprehensive Module)", E523&lt;&gt;""), template_label_ok, ""))),
IF(AND($E$125="Option B (Basic Module and Comprehensive Module)", E523=""), template_label_missing_value,
   IF(AND($E$125="Option A (Basic Module only)", E523&lt;&gt;""), template_label_ok,
   IF(AND($E$125="Option B (Basic Module and Comprehensive Module)", E523&lt;&gt;""), template_label_ok, "")))
)
)</f>
        <v/>
      </c>
    </row>
    <row r="524" spans="1:8">
      <c r="A524" s="345" t="s">
        <v>31</v>
      </c>
      <c r="B524" s="187" t="s">
        <v>10</v>
      </c>
      <c r="C524" s="749" t="str">
        <f>template_label_description_of_significant_market_the_undertaking_operates_in</f>
        <v>Description of significant market(s) the undertaking operates in (e.g. B2B, wholesale, retail, countries)</v>
      </c>
      <c r="D524" s="749"/>
      <c r="E524" s="756"/>
      <c r="F524" s="756"/>
      <c r="G524" s="757"/>
      <c r="H524" s="16" t="str">
        <f>IF(template_checkbox_c1_strategy_business_model_and_sustainability_initiatives_docx=TRUE,
IF(OR(
'Table of Contents &amp; Validation'!D47=TRUE,'General Information'!E280&lt;=10),
IF(AND($E$125="Option B (Basic Module and Comprehensive Module)", E524=""), "",
   IF(AND($E$125="Option A (Basic Module only)", E524&lt;&gt;""), template_label_ok,
   IF(AND($E$125="Option B (Basic Module and Comprehensive Module)", E524&lt;&gt;""), template_label_ok, ""))),
IF(AND($E$125="Option B (Basic Module and Comprehensive Module)", E524=""), "",
   IF(AND($E$125="Option A (Basic Module only)", E524&lt;&gt;""), template_label_ok,
   IF(AND($E$125="Option B (Basic Module and Comprehensive Module)", E524&lt;&gt;""), template_label_ok, "")))),
IF(OR(
'Table of Contents &amp; Validation'!D47=TRUE,'General Information'!E280&lt;=10),
IF(AND($E$125="Option B (Basic Module and Comprehensive Module)", E524=""), "",
   IF(AND($E$125="Option A (Basic Module only)", E524&lt;&gt;""), template_label_ok,
   IF(AND($E$125="Option B (Basic Module and Comprehensive Module)", E524&lt;&gt;""), template_label_ok, ""))),
IF(AND($E$125="Option B (Basic Module and Comprehensive Module)", E524=""), template_label_missing_value,
   IF(AND($E$125="Option A (Basic Module only)", E524&lt;&gt;""), template_label_ok,
   IF(AND($E$125="Option B (Basic Module and Comprehensive Module)", E524&lt;&gt;""), template_label_ok, ""))))
)</f>
        <v/>
      </c>
    </row>
    <row r="525" spans="1:8" ht="15" thickBot="1">
      <c r="A525" s="345" t="s">
        <v>32</v>
      </c>
      <c r="B525" s="346">
        <v>145</v>
      </c>
      <c r="C525" s="747" t="str">
        <f>template_label_description_of_main_business_relationships</f>
        <v>Description of main business relationships (such as key suppliers, customers, distribution channels)</v>
      </c>
      <c r="D525" s="747"/>
      <c r="E525" s="743"/>
      <c r="F525" s="743"/>
      <c r="G525" s="744"/>
      <c r="H525" s="16" t="str">
        <f>IF(template_checkbox_c1_strategy_business_model_and_sustainability_initiatives_docx=TRUE,
IF(OR(
'Table of Contents &amp; Validation'!D47=TRUE,'General Information'!E280&lt;=10),
IF(AND($E$125="Option B (Basic Module and Comprehensive Module)", E525=""), "",
   IF(AND($E$125="Option A (Basic Module only)", E525&lt;&gt;""), template_label_ok,
   IF(AND($E$125="Option B (Basic Module and Comprehensive Module)", E525&lt;&gt;""), template_label_ok, ""))),
IF(AND($E$125="Option B (Basic Module and Comprehensive Module)", E525=""), "",
   IF(AND($E$125="Option A (Basic Module only)", E525&lt;&gt;""), template_label_ok,
   IF(AND($E$125="Option B (Basic Module and Comprehensive Module)", E525&lt;&gt;""), template_label_ok, "")))),
IF(OR(
'Table of Contents &amp; Validation'!D47=TRUE,'General Information'!E280&lt;=10),
IF(AND($E$125="Option B (Basic Module and Comprehensive Module)", E525=""), "",
   IF(AND($E$125="Option A (Basic Module only)", E525&lt;&gt;""), template_label_ok,
   IF(AND($E$125="Option B (Basic Module and Comprehensive Module)", E525&lt;&gt;""), template_label_ok, ""))),
IF(AND($E$125="Option B (Basic Module and Comprehensive Module)", E525=""), template_label_missing_value,
   IF(AND($E$125="Option A (Basic Module only)", E525&lt;&gt;""), template_label_ok,
   IF(AND($E$125="Option B (Basic Module and Comprehensive Module)", E525&lt;&gt;""), template_label_ok, ""))))
)</f>
        <v/>
      </c>
    </row>
    <row r="526" spans="1:8">
      <c r="B526" s="98"/>
      <c r="C526" s="750" t="str">
        <f>template_label_has_the_strategy_key_elements_that_relate_to_or_affect_sustainability_issues</f>
        <v>Voluntary for undertakings with 10 employees or less - Does the strategy have key elements in relation to or affecting sustainability issues?</v>
      </c>
      <c r="D526" s="751"/>
      <c r="E526" s="752" t="b">
        <v>0</v>
      </c>
      <c r="F526" s="752"/>
      <c r="G526" s="753"/>
    </row>
    <row r="527" spans="1:8" ht="15" thickBot="1">
      <c r="A527" s="345" t="s">
        <v>33</v>
      </c>
      <c r="B527" s="187" t="s">
        <v>10</v>
      </c>
      <c r="C527" s="735" t="str">
        <f>template_label_description_of_those_key_elements_in_the_strategy_that_relate_or_affect_sustainability_issues</f>
        <v>Description of those key elements in the strategy that relate or affect sustainability issues</v>
      </c>
      <c r="D527" s="746"/>
      <c r="E527" s="745"/>
      <c r="F527" s="745"/>
      <c r="G527" s="724"/>
      <c r="H527" s="16" t="str">
        <f>IF(template_checkbox_c1_strategy_business_model_and_sustainability_initiatives_docx=TRUE,
IF(AND($E$125="Option B (Basic Module and Comprehensive Module)", E527="", E526=TRUE), "",
   IF(AND($E$125="Option A (Basic Module only)", E527&lt;&gt;"", E526=TRUE), template_label_ok,
   IF(AND($E$125="Option B (Basic Module and Comprehensive Module)", E527&lt;&gt;"", E526=TRUE), template_label_ok, ""))),
IF(AND($E$125="Option B (Basic Module and Comprehensive Module)", E527="", E526=TRUE), template_label_missing_value,
   IF(AND($E$125="Option A (Basic Module only)", E527&lt;&gt;"", E526=TRUE), template_label_ok,
   IF(AND($E$125="Option B (Basic Module and Comprehensive Module)", E527&lt;&gt;"", E526=TRUE), template_label_ok, ""))))</f>
        <v/>
      </c>
    </row>
    <row r="528" spans="1:8" ht="15" thickBot="1"/>
    <row r="529" spans="3:7" ht="15" thickBot="1">
      <c r="C529" s="666" t="str">
        <f>template_label_general_and_or_entity_specific_disclosures &amp; " " &amp; template_label_from &amp; " " &amp; template_starting_date_display &amp; " " &amp; template_label_to &amp; " " &amp; template_ending_date_display</f>
        <v>Disclosure of any other general and/or entity specific information from - to -</v>
      </c>
      <c r="D529" s="667"/>
      <c r="E529" s="667"/>
      <c r="F529" s="667"/>
      <c r="G529" s="668"/>
    </row>
    <row r="530" spans="3:7">
      <c r="C530" s="669">
        <v>12</v>
      </c>
      <c r="D530" s="670"/>
      <c r="E530" s="670"/>
      <c r="F530" s="670"/>
      <c r="G530" s="671"/>
    </row>
    <row r="531" spans="3:7" ht="15" thickBot="1">
      <c r="C531" s="672"/>
      <c r="D531" s="673"/>
      <c r="E531" s="673"/>
      <c r="F531" s="673"/>
      <c r="G531" s="674"/>
    </row>
  </sheetData>
  <sheetProtection formatColumns="0" formatRows="0" insertRows="0"/>
  <mergeCells count="97">
    <mergeCell ref="A516:B516"/>
    <mergeCell ref="C516:G516"/>
    <mergeCell ref="C511:D511"/>
    <mergeCell ref="C506:C507"/>
    <mergeCell ref="D506:M506"/>
    <mergeCell ref="C510:D510"/>
    <mergeCell ref="C2:E2"/>
    <mergeCell ref="C393:D393"/>
    <mergeCell ref="C19:E19"/>
    <mergeCell ref="C125:D125"/>
    <mergeCell ref="C21:D21"/>
    <mergeCell ref="C279:D279"/>
    <mergeCell ref="C280:D280"/>
    <mergeCell ref="C20:E20"/>
    <mergeCell ref="C175:D175"/>
    <mergeCell ref="C285:E285"/>
    <mergeCell ref="D3:E3"/>
    <mergeCell ref="D5:E5"/>
    <mergeCell ref="D6:E6"/>
    <mergeCell ref="D7:E7"/>
    <mergeCell ref="D8:E8"/>
    <mergeCell ref="C282:D282"/>
    <mergeCell ref="G6:K8"/>
    <mergeCell ref="C178:D277"/>
    <mergeCell ref="C177:D177"/>
    <mergeCell ref="C176:D176"/>
    <mergeCell ref="D9:E9"/>
    <mergeCell ref="D10:E10"/>
    <mergeCell ref="D11:E11"/>
    <mergeCell ref="D12:E12"/>
    <mergeCell ref="D13:E13"/>
    <mergeCell ref="C124:E124"/>
    <mergeCell ref="C22:D121"/>
    <mergeCell ref="F6:F8"/>
    <mergeCell ref="F10:F12"/>
    <mergeCell ref="G10:K12"/>
    <mergeCell ref="G127:J129"/>
    <mergeCell ref="C15:E15"/>
    <mergeCell ref="E525:G525"/>
    <mergeCell ref="E527:G527"/>
    <mergeCell ref="C527:D527"/>
    <mergeCell ref="C525:D525"/>
    <mergeCell ref="C523:D523"/>
    <mergeCell ref="C524:D524"/>
    <mergeCell ref="C526:D526"/>
    <mergeCell ref="E526:G526"/>
    <mergeCell ref="E523:G523"/>
    <mergeCell ref="E524:G524"/>
    <mergeCell ref="D398:D401"/>
    <mergeCell ref="C503:O503"/>
    <mergeCell ref="N506:N507"/>
    <mergeCell ref="O506:O507"/>
    <mergeCell ref="C519:D519"/>
    <mergeCell ref="E517:G517"/>
    <mergeCell ref="E519:G519"/>
    <mergeCell ref="E518:G518"/>
    <mergeCell ref="C517:D517"/>
    <mergeCell ref="C518:D518"/>
    <mergeCell ref="C278:D278"/>
    <mergeCell ref="C281:D281"/>
    <mergeCell ref="C395:H395"/>
    <mergeCell ref="C122:D122"/>
    <mergeCell ref="C390:H390"/>
    <mergeCell ref="C127:D172"/>
    <mergeCell ref="C286:E286"/>
    <mergeCell ref="E393:H393"/>
    <mergeCell ref="C283:D283"/>
    <mergeCell ref="C391:H391"/>
    <mergeCell ref="C389:H389"/>
    <mergeCell ref="C392:D392"/>
    <mergeCell ref="E392:H392"/>
    <mergeCell ref="C16:E16"/>
    <mergeCell ref="C17:E17"/>
    <mergeCell ref="A176:A177"/>
    <mergeCell ref="A178:A277"/>
    <mergeCell ref="B178:B277"/>
    <mergeCell ref="B176:B177"/>
    <mergeCell ref="A127:A172"/>
    <mergeCell ref="B127:B172"/>
    <mergeCell ref="C174:E174"/>
    <mergeCell ref="C126:D126"/>
    <mergeCell ref="C529:G529"/>
    <mergeCell ref="C530:G530"/>
    <mergeCell ref="C531:G531"/>
    <mergeCell ref="A280:A282"/>
    <mergeCell ref="B280:B282"/>
    <mergeCell ref="A517:A518"/>
    <mergeCell ref="B517:B518"/>
    <mergeCell ref="C522:G522"/>
    <mergeCell ref="C397:H397"/>
    <mergeCell ref="C396:H396"/>
    <mergeCell ref="C398:C401"/>
    <mergeCell ref="G398:G401"/>
    <mergeCell ref="C505:O505"/>
    <mergeCell ref="C504:O504"/>
    <mergeCell ref="F398:F401"/>
    <mergeCell ref="E398:E401"/>
  </mergeCells>
  <phoneticPr fontId="3" type="noConversion"/>
  <conditionalFormatting sqref="C22 E22:E122 C122:D122">
    <cfRule type="expression" dxfId="364" priority="91">
      <formula>$E$21=TRUE</formula>
    </cfRule>
  </conditionalFormatting>
  <conditionalFormatting sqref="C177">
    <cfRule type="expression" dxfId="363" priority="107">
      <formula>$E$176="other (please specify the legal form in the row below)"</formula>
    </cfRule>
  </conditionalFormatting>
  <conditionalFormatting sqref="D512:D514">
    <cfRule type="expression" dxfId="362" priority="12">
      <formula>$E$176="cooperative"</formula>
    </cfRule>
  </conditionalFormatting>
  <conditionalFormatting sqref="D288:E387">
    <cfRule type="expression" dxfId="361" priority="59">
      <formula>$E$175="Sustainability report prepared on a consolidated basis"</formula>
    </cfRule>
  </conditionalFormatting>
  <conditionalFormatting sqref="D508:O508 E517 E519">
    <cfRule type="expression" dxfId="360" priority="21">
      <formula>$C$508=TRUE</formula>
    </cfRule>
  </conditionalFormatting>
  <conditionalFormatting sqref="D508:O508">
    <cfRule type="expression" dxfId="359" priority="31">
      <formula>$C$508=TRUE</formula>
    </cfRule>
  </conditionalFormatting>
  <conditionalFormatting sqref="E22:E121">
    <cfRule type="expression" dxfId="358" priority="145">
      <formula>AND(ISBLANK(#REF!), $E$21=TRUE)</formula>
    </cfRule>
  </conditionalFormatting>
  <conditionalFormatting sqref="E127:E172">
    <cfRule type="expression" dxfId="357" priority="3">
      <formula>ISNUMBER(MATCH(E127, enum_ListOmittedDisclosures, 0))</formula>
    </cfRule>
    <cfRule type="expression" dxfId="356" priority="4">
      <formula>$F$127="Disclosure completely omitted"</formula>
    </cfRule>
  </conditionalFormatting>
  <conditionalFormatting sqref="E177">
    <cfRule type="expression" dxfId="355" priority="106">
      <formula>$E$176="other (please specify the legal form in the row below)"</formula>
    </cfRule>
  </conditionalFormatting>
  <conditionalFormatting sqref="E392">
    <cfRule type="expression" dxfId="354" priority="57">
      <formula>$D$299="YES"</formula>
    </cfRule>
  </conditionalFormatting>
  <conditionalFormatting sqref="E512:E514">
    <cfRule type="expression" dxfId="353" priority="584">
      <formula>$E512=template_label_ok</formula>
    </cfRule>
  </conditionalFormatting>
  <conditionalFormatting sqref="E518:G518">
    <cfRule type="expression" dxfId="352" priority="375">
      <formula>AND($C$508=TRUE,$O$508=TRUE)</formula>
    </cfRule>
  </conditionalFormatting>
  <conditionalFormatting sqref="E527:G527">
    <cfRule type="expression" dxfId="351" priority="48">
      <formula>$E$526=TRUE</formula>
    </cfRule>
  </conditionalFormatting>
  <conditionalFormatting sqref="E393:H393">
    <cfRule type="expression" dxfId="350" priority="56">
      <formula>$E$392=TRUE</formula>
    </cfRule>
  </conditionalFormatting>
  <conditionalFormatting sqref="F3:F5 F288:F387">
    <cfRule type="expression" dxfId="349" priority="151">
      <formula>$F3=template_label_missing_value</formula>
    </cfRule>
    <cfRule type="expression" dxfId="348" priority="150">
      <formula>$F3=template_label_ok</formula>
    </cfRule>
  </conditionalFormatting>
  <conditionalFormatting sqref="F6:F8">
    <cfRule type="expression" dxfId="347" priority="6">
      <formula>$F$6=template_label_error</formula>
    </cfRule>
    <cfRule type="expression" dxfId="346" priority="61">
      <formula>$F$6=template_label_value_inconsistency</formula>
    </cfRule>
    <cfRule type="expression" dxfId="345" priority="63">
      <formula>$F$6=template_label_ok</formula>
    </cfRule>
    <cfRule type="expression" dxfId="344" priority="64">
      <formula>$F$6=template_label_missing_value</formula>
    </cfRule>
  </conditionalFormatting>
  <conditionalFormatting sqref="F10">
    <cfRule type="expression" dxfId="343" priority="65">
      <formula>$F$10=template_label_missing_value</formula>
    </cfRule>
    <cfRule type="expression" dxfId="342" priority="66">
      <formula>$F$10=template_label_value_inconsistency</formula>
    </cfRule>
    <cfRule type="expression" dxfId="341" priority="67">
      <formula>$F$10=template_label_ok</formula>
    </cfRule>
    <cfRule type="expression" dxfId="340" priority="60">
      <formula>$F$10=template_label_error</formula>
    </cfRule>
  </conditionalFormatting>
  <conditionalFormatting sqref="F13:F14">
    <cfRule type="expression" dxfId="339" priority="68">
      <formula>$F13="MISSING VALUE"</formula>
    </cfRule>
    <cfRule type="expression" dxfId="338" priority="69">
      <formula>$F13="OK"</formula>
    </cfRule>
  </conditionalFormatting>
  <conditionalFormatting sqref="F17">
    <cfRule type="expression" dxfId="337" priority="583">
      <formula>F17=template_label_ok</formula>
    </cfRule>
  </conditionalFormatting>
  <conditionalFormatting sqref="F21">
    <cfRule type="expression" dxfId="336" priority="92">
      <formula>$F$21=template_label_ok</formula>
    </cfRule>
  </conditionalFormatting>
  <conditionalFormatting sqref="F22:F122">
    <cfRule type="expression" dxfId="335" priority="11">
      <formula>$F22=template_label_value_inconsistency</formula>
    </cfRule>
    <cfRule type="expression" dxfId="334" priority="89">
      <formula>$F22=template_label_missing_value</formula>
    </cfRule>
    <cfRule type="expression" dxfId="333" priority="90">
      <formula>$F22=template_label_ok</formula>
    </cfRule>
  </conditionalFormatting>
  <conditionalFormatting sqref="F122">
    <cfRule type="expression" dxfId="332" priority="16">
      <formula>$F$122=template_label_invalid_url</formula>
    </cfRule>
  </conditionalFormatting>
  <conditionalFormatting sqref="F125:F126">
    <cfRule type="expression" dxfId="331" priority="72">
      <formula>$F125=template_label_missing_value</formula>
    </cfRule>
    <cfRule type="expression" dxfId="330" priority="73">
      <formula>$F125=template_label_ok</formula>
    </cfRule>
  </conditionalFormatting>
  <conditionalFormatting sqref="F127">
    <cfRule type="expression" dxfId="329" priority="9">
      <formula>$F$127=template_label_value_inconsistency</formula>
    </cfRule>
    <cfRule type="expression" dxfId="328" priority="122">
      <formula>$F$127=template_label_missing_value</formula>
    </cfRule>
    <cfRule type="expression" dxfId="327" priority="123">
      <formula>$F$127=template_label_ok</formula>
    </cfRule>
  </conditionalFormatting>
  <conditionalFormatting sqref="F175">
    <cfRule type="expression" dxfId="326" priority="155">
      <formula>$F$175=template_label_missing_value</formula>
    </cfRule>
    <cfRule type="expression" dxfId="325" priority="132">
      <formula>$F$175=template_label_ok</formula>
    </cfRule>
  </conditionalFormatting>
  <conditionalFormatting sqref="F176">
    <cfRule type="expression" dxfId="324" priority="131">
      <formula>$F$176=template_label_ok</formula>
    </cfRule>
    <cfRule type="expression" dxfId="323" priority="130">
      <formula>$F$176=template_label_missing_value</formula>
    </cfRule>
  </conditionalFormatting>
  <conditionalFormatting sqref="F177">
    <cfRule type="expression" dxfId="322" priority="93">
      <formula>$F$177=template_label_missing_value</formula>
    </cfRule>
    <cfRule type="expression" dxfId="321" priority="94">
      <formula>$F$177=template_label_ok</formula>
    </cfRule>
  </conditionalFormatting>
  <conditionalFormatting sqref="F178">
    <cfRule type="expression" dxfId="320" priority="153">
      <formula>$F$178=template_label_missing_value</formula>
    </cfRule>
    <cfRule type="expression" dxfId="319" priority="152">
      <formula>$F$178=template_label_ok</formula>
    </cfRule>
    <cfRule type="expression" dxfId="318" priority="8">
      <formula>$F$178=template_label_value_inconsistency</formula>
    </cfRule>
    <cfRule type="expression" dxfId="317" priority="45">
      <formula>$F$178=template_label_error</formula>
    </cfRule>
  </conditionalFormatting>
  <conditionalFormatting sqref="F179:F277">
    <cfRule type="expression" dxfId="316" priority="44">
      <formula>$F179=template_label_error</formula>
    </cfRule>
    <cfRule type="expression" dxfId="315" priority="43">
      <formula>$F179=template_label_ok</formula>
    </cfRule>
    <cfRule type="expression" dxfId="314" priority="42">
      <formula>$F179=template_label_missing_value</formula>
    </cfRule>
    <cfRule type="expression" dxfId="313" priority="7">
      <formula>$F179=template_label_value_inconsistency</formula>
    </cfRule>
  </conditionalFormatting>
  <conditionalFormatting sqref="F278">
    <cfRule type="expression" dxfId="312" priority="140">
      <formula>$F$278=template_label_missing_value</formula>
    </cfRule>
    <cfRule type="expression" dxfId="311" priority="139">
      <formula>$F$278=template_label_ok</formula>
    </cfRule>
  </conditionalFormatting>
  <conditionalFormatting sqref="F279:F283">
    <cfRule type="expression" dxfId="310" priority="137">
      <formula>$F279=template_label_ok</formula>
    </cfRule>
    <cfRule type="expression" dxfId="309" priority="138">
      <formula>$F279=template_label_missing_value</formula>
    </cfRule>
  </conditionalFormatting>
  <conditionalFormatting sqref="F387">
    <cfRule type="expression" dxfId="308" priority="276">
      <formula>$F398="MISSING VALUE"</formula>
    </cfRule>
    <cfRule type="expression" dxfId="307" priority="277">
      <formula>$F398="OK"</formula>
    </cfRule>
  </conditionalFormatting>
  <conditionalFormatting sqref="G176">
    <cfRule type="expression" dxfId="306" priority="136">
      <formula>$G$176="Please specify the legal form in the row below"</formula>
    </cfRule>
  </conditionalFormatting>
  <conditionalFormatting sqref="G280">
    <cfRule type="containsText" dxfId="305" priority="1" operator="containsText" text="MICROENTERPRISE">
      <formula>NOT(ISERROR(SEARCH("MICROENTERPRISE",G280)))</formula>
    </cfRule>
  </conditionalFormatting>
  <conditionalFormatting sqref="H402:H501">
    <cfRule type="expression" dxfId="304" priority="17">
      <formula>$H$401=FALSE</formula>
    </cfRule>
  </conditionalFormatting>
  <conditionalFormatting sqref="H517:H519">
    <cfRule type="expression" dxfId="303" priority="19">
      <formula>$H517=template_label_ok</formula>
    </cfRule>
    <cfRule type="expression" dxfId="302" priority="18">
      <formula>$H517=template_label_missing_value</formula>
    </cfRule>
  </conditionalFormatting>
  <conditionalFormatting sqref="H523:H525 H527">
    <cfRule type="expression" dxfId="301" priority="104">
      <formula>$H523=template_label_ok</formula>
    </cfRule>
    <cfRule type="expression" dxfId="300" priority="105">
      <formula>$H523=template_label_missing_value</formula>
    </cfRule>
  </conditionalFormatting>
  <conditionalFormatting sqref="I393">
    <cfRule type="expression" dxfId="299" priority="88">
      <formula>$I$393=template_label_ok</formula>
    </cfRule>
    <cfRule type="expression" dxfId="298" priority="47">
      <formula>$I$393=template_label_missing_value</formula>
    </cfRule>
  </conditionalFormatting>
  <conditionalFormatting sqref="I402:I502">
    <cfRule type="expression" dxfId="297" priority="95">
      <formula>$I402=template_label_ok</formula>
    </cfRule>
    <cfRule type="expression" dxfId="296" priority="96">
      <formula>$I402=template_label_missing_value</formula>
    </cfRule>
  </conditionalFormatting>
  <conditionalFormatting sqref="P508">
    <cfRule type="expression" dxfId="295" priority="28">
      <formula>$P$508=template_label_ok</formula>
    </cfRule>
    <cfRule type="expression" dxfId="294" priority="27">
      <formula>$P$508=template_label_missing_value</formula>
    </cfRule>
  </conditionalFormatting>
  <dataValidations xWindow="1485" yWindow="311" count="19">
    <dataValidation type="list" allowBlank="1" showInputMessage="1" showErrorMessage="1" sqref="E175" xr:uid="{4F13A5F9-E736-4E05-A233-B9B112EBE6A1}">
      <formula1>"Sustainability report prepared on an individual basis, Sustainability report prepared on a consolidated basis"</formula1>
    </dataValidation>
    <dataValidation type="list" allowBlank="1" showInputMessage="1" showErrorMessage="1" sqref="E282" xr:uid="{1DA6DC5E-36CE-4C4E-942D-7DCF7644718A}">
      <formula1>"Headcount, Full-time equivalent (FTE)"</formula1>
    </dataValidation>
    <dataValidation type="list" allowBlank="1" showInputMessage="1" showErrorMessage="1" sqref="G402:G501" xr:uid="{BE8F6A12-5C78-4D48-9F63-01FCA7AABD87}">
      <formula1>enum_ListCountriesName</formula1>
    </dataValidation>
    <dataValidation type="list" allowBlank="1" showInputMessage="1" showErrorMessage="1" sqref="E22:E121" xr:uid="{544D34CA-1630-49D5-B390-0FD7794F8530}">
      <formula1>enum_ListOmittedDisclosures</formula1>
    </dataValidation>
    <dataValidation type="decimal" operator="equal" allowBlank="1" showInputMessage="1" showErrorMessage="1" sqref="D513 E278:E280" xr:uid="{546D8560-FA10-4E3C-8848-2A7A25B13150}">
      <formula1>D278</formula1>
    </dataValidation>
    <dataValidation type="custom" showInputMessage="1" showErrorMessage="1" sqref="E526 I515:O521 E392 I392 C520:H521 C515:H515 H401 E21 C508:M509 N509:O509" xr:uid="{9BD8F46B-C9AA-4C89-814F-A6D87FB15620}">
      <formula1>OR(C21=TRUE,C21=FALSE)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02"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281" xr:uid="{144F4C96-EADD-4F0D-816D-09334348F775}">
      <formula1>enum_employee_methodology</formula1>
    </dataValidation>
    <dataValidation type="custom" showInputMessage="1" showErrorMessage="1" sqref="K402:K501" xr:uid="{87B45667-2565-4DEE-8FB7-7B0AF6539C1C}">
      <formula1>LOWER(SUBSTITUTE(D402," ","+" )) &amp; "+" &amp; LOWER(SUBSTITUTE(E402," ","+" )) &amp; "+" &amp; LOWER(SUBSTITUTE(F402," ","+" )) &amp; "+" &amp; LOWER(SUBSTITUTE(G402,"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178:E277" xr:uid="{EDCACB96-AA7D-42B4-A79D-8DE45409D62B}">
      <formula1>enum_ListNACETechnicalName</formula1>
    </dataValidation>
    <dataValidation type="list" allowBlank="1" showInputMessage="1" showErrorMessage="1" sqref="E125" xr:uid="{A53B3E48-2249-4EB2-9109-724985498E91}">
      <formula1>enum_list_options</formula1>
    </dataValidation>
    <dataValidation type="list" showInputMessage="1" showErrorMessage="1" sqref="N508:O508" xr:uid="{5DF04EA5-4448-4B3D-8846-FBF18CEE3669}">
      <formula1>enum_list_true_false</formula1>
    </dataValidation>
  </dataValidations>
  <hyperlinks>
    <hyperlink ref="C20:E20" r:id="rId1" display="https://knowledgehub.efrag.org/eng/interactive/voluntary-standard/standard-for-voluntary-use/da/18" xr:uid="{C6288B83-38FD-4709-9B33-F0054DEC3724}"/>
    <hyperlink ref="C286:E286" r:id="rId2" display="27(d)" xr:uid="{866DC784-0A33-4296-94DE-730486B814EB}"/>
    <hyperlink ref="C390:H390" r:id="rId3" display="https://knowledgehub.efrag.org/eng/interactive/voluntary-standard/standard-for-voluntary-use/voluntary-standard-official-journal-publication/28" xr:uid="{54DF6562-5AB5-4BA2-84D3-3DDE9832AD7E}"/>
    <hyperlink ref="C396:H396" r:id="rId4" display="27(e)(vii)" xr:uid="{B3308BD5-CB62-4F0C-87A6-146AA483697A}"/>
    <hyperlink ref="C504:O504" r:id="rId5" display="29-31" xr:uid="{63C6537F-D116-45BA-A6BC-D28D40439E04}"/>
    <hyperlink ref="A517" r:id="rId6" display="https://knowledgehub.efrag.org/eng/interactive/voluntary-standard/standard-for-voluntary-use/da/47" xr:uid="{C2A82C28-96C3-4BB8-BB11-D6F8F8783300}"/>
    <hyperlink ref="A519" r:id="rId7" display="https://knowledgehub.efrag.org/eng/interactive/voluntary-standard/standard-for-voluntary-use/voluntary-standard-official-journal-publication/48" xr:uid="{BEFF9414-B88D-4969-AC2C-7198F9BF54DF}"/>
    <hyperlink ref="A523" r:id="rId8" xr:uid="{1807F717-62C6-49F3-AAA4-CBD56B0E8817}"/>
    <hyperlink ref="A524" r:id="rId9" xr:uid="{68E2248F-8336-4B33-93BE-B6AFC4D8A606}"/>
    <hyperlink ref="A525" r:id="rId10" xr:uid="{B2C9ED42-61E9-4195-BE3D-D938ABECECC0}"/>
    <hyperlink ref="A527" r:id="rId11" xr:uid="{FD94F833-4E92-4157-A52C-B66DD33CFE3F}"/>
    <hyperlink ref="A125" r:id="rId12" xr:uid="{8EBCDC24-36DB-46B3-8D1D-9DCD530C843C}"/>
    <hyperlink ref="A127:A172" r:id="rId13" display="24(b)" xr:uid="{B917842C-2C60-41E9-89D2-8A2DBA36B4E9}"/>
    <hyperlink ref="A175" r:id="rId14" xr:uid="{ADECC625-0B55-465C-B2BD-5EFECF880BBA}"/>
    <hyperlink ref="A176:A177" r:id="rId15" display="27(e)(i)" xr:uid="{E1C27733-152F-4179-8EFF-F34BECD1BCEF}"/>
    <hyperlink ref="A178:A277" r:id="rId16" display="27(e)(ii)" xr:uid="{E2BB88AA-B51C-4158-88AB-A424BF457282}"/>
    <hyperlink ref="A278" r:id="rId17" xr:uid="{444C8ED6-E5B2-4BE8-B76D-993144E145B7}"/>
    <hyperlink ref="A279" r:id="rId18" xr:uid="{21550F72-CFC7-4DB9-A670-5EE464EE7763}"/>
    <hyperlink ref="A280" r:id="rId19" xr:uid="{7D723C6C-17E9-498C-9CAE-CA500D7388A6}"/>
    <hyperlink ref="A283" r:id="rId20" xr:uid="{42045304-FF87-4AAF-A8C4-0F94F3B97279}"/>
    <hyperlink ref="A516:B516" r:id="rId21" display="https://www.efrag.org/en/vsme-supporting-guide-on-disclosure-c2-comprehensive-module-practices-policies-and-future" xr:uid="{D2E4A3E9-6027-4469-A94E-9710EE9048D6}"/>
    <hyperlink ref="C16:E16" r:id="rId22" display="https://knowledgehub.efrag.org/eng/interactive/voluntary-standard/standard-for-voluntary-use/da/12" xr:uid="{7CBE50F8-D47F-49F5-8D11-AB0A365F7576}"/>
    <hyperlink ref="A127:A172" r:id="rId23" display="27(b)" xr:uid="{80D59AB0-AEF6-4B88-BDBC-08EF10A9E52C}"/>
    <hyperlink ref="B176:B177" r:id="rId24" display="https://knowledgehub.efrag.org/eng/interactive/voluntary-standard-non-mandatory-efrag-guidance/voluntary-standard-non-mandatory-efrag-guidance/2026-efrag-guidance/4" xr:uid="{C4F6B48F-46BC-49EB-A553-667C669C6569}"/>
    <hyperlink ref="B178:B277" r:id="rId25" display="5-6" xr:uid="{718088ED-17F1-4B0B-8BE3-5F5D8CEE0026}"/>
    <hyperlink ref="B280" r:id="rId26" xr:uid="{0033DE36-A194-46F8-A2AB-D3FCC069BFD6}"/>
    <hyperlink ref="B283" r:id="rId27" xr:uid="{5CCAC0BA-E663-49BA-94DA-3FA66702956E}"/>
    <hyperlink ref="B517" r:id="rId28" display="https://knowledgehub.efrag.org/eng/interactive/voluntary-standard-non-mandatory-efrag-guidance/voluntary-standard-non-mandatory-efrag-guidance/2026-efrag-guidance/146" xr:uid="{F3727850-685B-47F9-97FD-765611B9C6C2}"/>
    <hyperlink ref="B519" r:id="rId29" display="https://knowledgehub.efrag.org/eng/interactive/voluntary-standard-non-mandatory-efrag-guidance/voluntary-standard-non-mandatory-efrag-guidance/2026-efrag-guidance/146" xr:uid="{5C8A7EF8-1196-48A7-84C9-30FB933B8B36}"/>
    <hyperlink ref="B525" r:id="rId30" display="https://knowledgehub.efrag.org/eng/interactive/voluntary-standard-non-mandatory-efrag-guidance/voluntary-standard-non-mandatory-efrag-guidance/2026-efrag-guidance/145" xr:uid="{158F28A9-F114-42DA-B211-8E4A4969F4BF}"/>
    <hyperlink ref="C391:H391" r:id="rId31" display="https://knowledgehub.efrag.org/eng/interactive/voluntary-standard-non-mandatory-efrag-guidance/voluntary-standard-non-mandatory-efrag-guidance/2026-efrag-guidance/13" xr:uid="{3D018C03-5444-4FFA-A354-7C2ED788046E}"/>
    <hyperlink ref="C397:H397" r:id="rId32" display="https://knowledgehub.efrag.org/eng/interactive/voluntary-standard-non-mandatory-efrag-guidance/voluntary-standard-non-mandatory-efrag-guidance/2026-efrag-guidance/12" xr:uid="{9354A1A5-CEE6-4944-8344-644957F8358D}"/>
    <hyperlink ref="C505:O505" r:id="rId33" display="14-16" xr:uid="{9FB78C0C-4A36-4B40-9DA6-96F73D3022A6}"/>
    <hyperlink ref="C530:G530" r:id="rId34" display="https://knowledgehub.efrag.org/eng/interactive/voluntary-standard/standard-for-voluntary-use/voluntary-standard-official-journal-publication/12" xr:uid="{80758183-4A8C-40C5-BE60-F901EB1998D8}"/>
    <hyperlink ref="A126" r:id="rId35" xr:uid="{950B7BB6-4A21-4CD3-A1A1-167494EF876F}"/>
    <hyperlink ref="A280:A282" r:id="rId36" display="27(e)(v)" xr:uid="{93F003AD-3AA0-4566-913D-8D2515EFC1CD}"/>
    <hyperlink ref="A517:A518" r:id="rId37" display="https://knowledgehub.efrag.org/eng/interactive/voluntary-standard/standard-for-voluntary-use/voluntary-standard-official-journal-publication/47" xr:uid="{A5BA210F-F93A-495D-88AD-D6674F651830}"/>
  </hyperlinks>
  <pageMargins left="0.7" right="0.7" top="0.75" bottom="0.75" header="0.3" footer="0.3"/>
  <pageSetup paperSize="9" orientation="portrait" horizontalDpi="4294967293" verticalDpi="4294967293" r:id="rId38"/>
  <drawing r:id="rId39"/>
  <legacyDrawing r:id="rId40"/>
  <extLst>
    <ext xmlns:x14="http://schemas.microsoft.com/office/spreadsheetml/2009/9/main" uri="{CCE6A557-97BC-4b89-ADB6-D9C93CAAB3DF}">
      <x14:dataValidations xmlns:xm="http://schemas.microsoft.com/office/excel/2006/main" xWindow="1485" yWindow="311" count="2">
        <x14:dataValidation type="list" allowBlank="1" showInputMessage="1" showErrorMessage="1" xr:uid="{0AF44263-3F7A-40FE-9400-EEC7E8C4DF4E}">
          <x14:formula1>
            <xm:f>'Enumeration Lists'!$C$2:$C$257</xm:f>
          </x14:formula1>
          <xm:sqref>E283</xm:sqref>
        </x14:dataValidation>
        <x14:dataValidation type="list" allowBlank="1" showInputMessage="1" showErrorMessage="1" xr:uid="{386E27C7-13F7-4F0C-8DF1-6A82CC469E13}">
          <x14:formula1>
            <xm:f>'Enumeration Lists'!$J$2:$J$6</xm:f>
          </x14:formula1>
          <xm:sqref>E176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T545"/>
  <sheetViews>
    <sheetView showGridLines="0" zoomScale="75" zoomScaleNormal="90" workbookViewId="0">
      <selection activeCell="G68" sqref="G68:K68"/>
    </sheetView>
  </sheetViews>
  <sheetFormatPr defaultColWidth="8.84375" defaultRowHeight="14.6" outlineLevelRow="2"/>
  <cols>
    <col min="1" max="1" width="16.07421875" customWidth="1"/>
    <col min="2" max="2" width="14.07421875" customWidth="1"/>
    <col min="3" max="3" width="97.53515625" customWidth="1"/>
    <col min="4" max="4" width="17.4609375" customWidth="1"/>
    <col min="5" max="5" width="19.53515625" customWidth="1"/>
    <col min="6" max="6" width="25.84375" customWidth="1"/>
    <col min="7" max="7" width="23.84375" customWidth="1"/>
    <col min="8" max="8" width="5.4609375" customWidth="1"/>
    <col min="9" max="9" width="13.53515625" customWidth="1"/>
    <col min="10" max="10" width="26.53515625" customWidth="1"/>
    <col min="11" max="11" width="24.53515625" customWidth="1"/>
    <col min="12" max="12" width="27.4609375" customWidth="1"/>
    <col min="13" max="13" width="48" customWidth="1"/>
  </cols>
  <sheetData>
    <row r="1" spans="1:13" ht="44.15" thickBot="1">
      <c r="A1" s="191" t="str">
        <f>template_label_paragraph_reference</f>
        <v>Paragraph Reference</v>
      </c>
      <c r="B1" s="191" t="str">
        <f>template_label_paragraph_guidance_reference</f>
        <v>Paragraph Guidance Reference</v>
      </c>
    </row>
    <row r="2" spans="1:13" ht="15" thickBot="1">
      <c r="C2" s="716" t="str">
        <f>template_label_b3_total_energy_consumption&amp;" "&amp;template_label_from&amp;" "&amp;template_starting_date_display&amp;" "&amp;template_label_to&amp;" "&amp;template_ending_date_display</f>
        <v>B3 - Total Energy Consumption (in MWh) from - to -</v>
      </c>
      <c r="D2" s="883"/>
      <c r="E2" s="883"/>
      <c r="F2" s="883"/>
      <c r="G2" s="883"/>
      <c r="H2" s="883"/>
      <c r="I2" s="883"/>
      <c r="J2" s="883"/>
      <c r="K2" s="884"/>
    </row>
    <row r="3" spans="1:13">
      <c r="C3" s="687">
        <v>32</v>
      </c>
      <c r="D3" s="677"/>
      <c r="E3" s="677"/>
      <c r="F3" s="677"/>
      <c r="G3" s="677"/>
      <c r="H3" s="677"/>
      <c r="I3" s="677"/>
      <c r="J3" s="677"/>
      <c r="K3" s="682"/>
    </row>
    <row r="4" spans="1:13">
      <c r="C4" s="726" t="s">
        <v>34</v>
      </c>
      <c r="D4" s="702"/>
      <c r="E4" s="702"/>
      <c r="F4" s="702"/>
      <c r="G4" s="702"/>
      <c r="H4" s="702"/>
      <c r="I4" s="702"/>
      <c r="J4" s="702"/>
      <c r="K4" s="820"/>
    </row>
    <row r="5" spans="1:13" ht="15" thickBot="1">
      <c r="C5" s="893" t="str">
        <f>template_label_total_energy_consumption</f>
        <v>Total Energy Consumption</v>
      </c>
      <c r="D5" s="894"/>
      <c r="E5" s="894"/>
      <c r="F5" s="894"/>
      <c r="G5" s="911">
        <v>300000</v>
      </c>
      <c r="H5" s="911"/>
      <c r="I5" s="911"/>
      <c r="J5" s="911"/>
      <c r="K5" s="912"/>
      <c r="L5" s="16" t="str">
        <f>IF(OR(
'Table of Contents &amp; Validation'!D21=TRUE,
'Table of Contents &amp; Validation'!D20=TRUE,
'General Information'!E280&lt;=10
),
IF(AND(OR('General Information'!E125="Option A (Basic Module only)", 'General Information'!E125="Option B (Basic Module and Comprehensive Module)"), G5=""), "", IF('General Information'!E125="", "", template_label_ok)),
IF(AND(OR('General Information'!E125="Option A (Basic Module only)", 'General Information'!E125="Option B (Basic Module and Comprehensive Module)"), G5=""), template_label_missing_value, IF('General Information'!E125="", "", template_label_ok))
)</f>
        <v/>
      </c>
    </row>
    <row r="6" spans="1:13" ht="15" thickBot="1"/>
    <row r="7" spans="1:13" ht="15" thickBot="1">
      <c r="C7" s="709" t="str">
        <f>template_label_b3_breakdown_of_energy_consumption&amp;" "&amp;template_label_from&amp;" "&amp;template_starting_date_display&amp;" "&amp;template_label_to&amp;" "&amp;template_ending_date_display</f>
        <v>B3 - Breakdown of energy consumption (in MWh) from - to -</v>
      </c>
      <c r="D7" s="710"/>
      <c r="E7" s="710"/>
      <c r="F7" s="710"/>
      <c r="G7" s="710"/>
      <c r="H7" s="710"/>
      <c r="I7" s="710"/>
      <c r="J7" s="710"/>
      <c r="K7" s="711"/>
    </row>
    <row r="8" spans="1:13">
      <c r="C8" s="687">
        <v>32</v>
      </c>
      <c r="D8" s="677"/>
      <c r="E8" s="677"/>
      <c r="F8" s="677"/>
      <c r="G8" s="677"/>
      <c r="H8" s="677"/>
      <c r="I8" s="677"/>
      <c r="J8" s="677"/>
      <c r="K8" s="682"/>
    </row>
    <row r="9" spans="1:13">
      <c r="C9" s="865" t="s">
        <v>34</v>
      </c>
      <c r="D9" s="866"/>
      <c r="E9" s="866"/>
      <c r="F9" s="866"/>
      <c r="G9" s="866"/>
      <c r="H9" s="866"/>
      <c r="I9" s="866"/>
      <c r="J9" s="866"/>
      <c r="K9" s="867"/>
    </row>
    <row r="10" spans="1:13">
      <c r="C10" s="841" t="str">
        <f>template_label_has_the_undertaking_obtained_the_necessary_information_to_provide_an_energy_consumption_breakdown</f>
        <v>Voluntary for undertakings with 10 employees or less - Has the undertaking obtained the necessary information to provide an energy consumption breakdown?</v>
      </c>
      <c r="D10" s="842"/>
      <c r="E10" s="842"/>
      <c r="F10" s="842"/>
      <c r="G10" s="910" t="b">
        <v>0</v>
      </c>
      <c r="H10" s="910"/>
      <c r="I10" s="910"/>
      <c r="J10" s="910"/>
      <c r="K10" s="730"/>
    </row>
    <row r="11" spans="1:13" ht="38.9" customHeight="1">
      <c r="C11" s="928"/>
      <c r="D11" s="929"/>
      <c r="E11" s="929"/>
      <c r="F11" s="929"/>
      <c r="G11" s="907" t="str">
        <f>template_label_renewable</f>
        <v>Renewable</v>
      </c>
      <c r="H11" s="908"/>
      <c r="I11" s="908"/>
      <c r="J11" s="81" t="str">
        <f>template_label_non_renewable</f>
        <v>Non-renewable</v>
      </c>
      <c r="K11" s="82" t="str">
        <f>template_label_total_renewable_and_nonrenewable</f>
        <v>Total renewable and non-renewable</v>
      </c>
      <c r="L11" s="16"/>
    </row>
    <row r="12" spans="1:13">
      <c r="C12" s="895" t="str">
        <f>template_label_electricity</f>
        <v>Electricity (as reflected in utility billings)</v>
      </c>
      <c r="D12" s="896"/>
      <c r="E12" s="896"/>
      <c r="F12" s="897"/>
      <c r="G12" s="901">
        <v>101</v>
      </c>
      <c r="H12" s="902"/>
      <c r="I12" s="903"/>
      <c r="J12" s="193">
        <v>3000000</v>
      </c>
      <c r="K12" s="218">
        <f>IF(AND(G12="",J12=""),"-",SUM(G12:J12))</f>
        <v>3000101</v>
      </c>
      <c r="L12" s="862" t="str" cm="1">
        <f t="array" ref="L12">IF(G10=TRUE,
    IF(SUMPRODUCT(--(G12:J14&lt;&gt;"-"), --(G12:J14&lt;&gt;""))&gt;0,
        IF(SUM(G12:J14) &gt; TotalEnergyConsumption, template_label_value_inconsistency, template_label_ok),
        template_label_missing_value),
"")</f>
        <v/>
      </c>
      <c r="M12" s="722" t="str">
        <f>template_label_warning_total_energy_consumption_amount</f>
        <v>ℹ️ The sum of the values in the table must be = or &lt; to the amount in cell G5</v>
      </c>
    </row>
    <row r="13" spans="1:13">
      <c r="C13" s="898" t="str">
        <f>template_label_selfgenerated_electricity</f>
        <v>Self-generated electricity</v>
      </c>
      <c r="D13" s="899"/>
      <c r="E13" s="899"/>
      <c r="F13" s="900"/>
      <c r="G13" s="901">
        <v>200</v>
      </c>
      <c r="H13" s="902"/>
      <c r="I13" s="903"/>
      <c r="J13" s="193">
        <v>2000</v>
      </c>
      <c r="K13" s="218">
        <f>IF(AND(G13="",J13=""),"-",SUM(G13:J13))</f>
        <v>2200</v>
      </c>
      <c r="L13" s="862"/>
      <c r="M13" s="722"/>
    </row>
    <row r="14" spans="1:13" ht="15" thickBot="1">
      <c r="C14" s="935" t="str">
        <f>template_label_fuels</f>
        <v>Fuels (see Fuel Converter on Fuels worksheet)</v>
      </c>
      <c r="D14" s="936"/>
      <c r="E14" s="936"/>
      <c r="F14" s="937"/>
      <c r="G14" s="904" t="str">
        <f>IF('Fuel Converter'!D23=TRUE, 'Fuel Converter'!A32, "-")</f>
        <v>-</v>
      </c>
      <c r="H14" s="905"/>
      <c r="I14" s="906"/>
      <c r="J14" s="194" t="str">
        <f>IF('Fuel Converter'!D23=TRUE, 'Fuel Converter'!B32, "-")</f>
        <v>-</v>
      </c>
      <c r="K14" s="219" t="str">
        <f>IF(AND(G14="-",J14="-"),"-",SUM(G14:J14))</f>
        <v>-</v>
      </c>
      <c r="L14" s="862"/>
      <c r="M14" s="722"/>
    </row>
    <row r="15" spans="1:13" ht="15" thickBot="1"/>
    <row r="16" spans="1:13" ht="28.5" customHeight="1" thickBot="1">
      <c r="C16" s="887" t="str">
        <f>template_label_b3_estimated_absolute_greenhouse_gas_emissions</f>
        <v>B3 - Estimated Absolute Greenhouse Gas Emissions considering the GHG Protocol Corporate Accounting and Reporting  Standard 2004 (in tCO2eq)</v>
      </c>
      <c r="D16" s="888"/>
      <c r="E16" s="888"/>
      <c r="F16" s="889"/>
      <c r="G16" s="890" t="str">
        <f>template_label_c3_ghg_reduction_targets&amp;" "</f>
        <v xml:space="preserve">C3 - GHG reduction targets (in tC02e) </v>
      </c>
      <c r="H16" s="891"/>
      <c r="I16" s="891"/>
      <c r="J16" s="891"/>
      <c r="K16" s="892"/>
    </row>
    <row r="17" spans="1:20">
      <c r="C17" s="687">
        <v>33</v>
      </c>
      <c r="D17" s="677"/>
      <c r="E17" s="677"/>
      <c r="F17" s="682"/>
      <c r="G17" s="909" t="s">
        <v>35</v>
      </c>
      <c r="H17" s="677"/>
      <c r="I17" s="677"/>
      <c r="J17" s="356" t="s">
        <v>36</v>
      </c>
      <c r="K17" s="357" t="s">
        <v>37</v>
      </c>
    </row>
    <row r="18" spans="1:20">
      <c r="C18" s="359" t="s">
        <v>10</v>
      </c>
      <c r="D18" s="702" t="s">
        <v>38</v>
      </c>
      <c r="E18" s="702"/>
      <c r="F18" s="820"/>
      <c r="G18" s="870">
        <v>154</v>
      </c>
      <c r="H18" s="702"/>
      <c r="I18" s="702"/>
      <c r="J18" s="345" t="s">
        <v>39</v>
      </c>
      <c r="K18" s="347">
        <v>149</v>
      </c>
    </row>
    <row r="19" spans="1:20" ht="42.65" customHeight="1">
      <c r="C19" s="938"/>
      <c r="D19" s="939"/>
      <c r="E19" s="939"/>
      <c r="F19" s="940"/>
      <c r="G19" s="868" t="str">
        <f>template_label_has_the_undertaking_has_established_ghg_emission_reduction_targets</f>
        <v>Voluntary for undertakings with 10 employees or less - Has  the undertaking has established GHG emission reduction targets?</v>
      </c>
      <c r="H19" s="869"/>
      <c r="I19" s="869"/>
      <c r="J19" s="128" t="b">
        <v>1</v>
      </c>
      <c r="K19" s="85"/>
    </row>
    <row r="20" spans="1:20" ht="29.15">
      <c r="C20" s="83"/>
      <c r="D20" s="914" t="str">
        <f>template_label_current_reporting_period</f>
        <v>Current Reporting Period</v>
      </c>
      <c r="E20" s="914"/>
      <c r="F20" s="944"/>
      <c r="G20" s="913" t="str">
        <f>template_label_base_year</f>
        <v>Base Year</v>
      </c>
      <c r="H20" s="914"/>
      <c r="I20" s="914"/>
      <c r="J20" s="6" t="str">
        <f>template_label_target_year</f>
        <v>Target Year</v>
      </c>
      <c r="K20" s="46" t="str">
        <f>template_label_percentage_reduction_from_base_year</f>
        <v>Percentage reduction from base year</v>
      </c>
    </row>
    <row r="21" spans="1:20">
      <c r="A21" s="850" t="str">
        <f>template_label_GHG_calculator</f>
        <v>ℹ️ Check EFRAG website for a non-exhaustive list of GHG calculators.</v>
      </c>
      <c r="B21" s="850"/>
      <c r="C21" s="4" t="str">
        <f>template_label_year_date</f>
        <v>Year (date)</v>
      </c>
      <c r="D21" s="945" t="str">
        <f>IF('General Information'!$D$9="", "-", 'General Information'!$D$9) &amp; "  -  " &amp; IF('General Information'!$D$13="", "-", 'General Information'!$D$13)</f>
        <v>-  -  -</v>
      </c>
      <c r="E21" s="945"/>
      <c r="F21" s="946"/>
      <c r="G21" s="915"/>
      <c r="H21" s="916"/>
      <c r="I21" s="916"/>
      <c r="J21" s="111"/>
      <c r="K21" s="85"/>
      <c r="L21" s="16" t="str">
        <f>IF(AND(J19=TRUE, G21&lt;&gt;"", J21&lt;&gt;""), template_label_ok,
IF(AND(J19=TRUE, G21="", J21=""), template_label_missing_value,
IF(AND(J19=FALSE, G21="", J21=""), "",
IF(AND(J19=TRUE, OR(G21="", J21="")), template_label_missing_value, ""))))</f>
        <v>MISSING VALUE</v>
      </c>
    </row>
    <row r="22" spans="1:20">
      <c r="A22" s="850"/>
      <c r="B22" s="850"/>
      <c r="C22" s="4" t="str">
        <f>template_label_gross_scope_1_ghg_emissions</f>
        <v>Gross Scope 1 GHG Emissions</v>
      </c>
      <c r="D22" s="847"/>
      <c r="E22" s="847"/>
      <c r="F22" s="848"/>
      <c r="G22" s="903"/>
      <c r="H22" s="917"/>
      <c r="I22" s="917"/>
      <c r="J22" s="193"/>
      <c r="K22" s="86" t="str">
        <f>IF(AND(G22="", J22=""), "-", IFERROR(-(1 - (J22 / G22)), "-"))</f>
        <v>-</v>
      </c>
      <c r="L22" s="16" t="str">
        <f>IF(OR(
'Table of Contents &amp; Validation'!D23=TRUE,'Table of Contents &amp; Validation'!D20=TRUE,'General Information'!E280&lt;=10),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spans="1:20">
      <c r="A23" s="850"/>
      <c r="B23" s="850"/>
      <c r="C23" s="4" t="str">
        <f>template_label_gross_scope_2_location_based_ghg_emissions</f>
        <v>Gross Scope 2 location-based GHG Emissions</v>
      </c>
      <c r="D23" s="847"/>
      <c r="E23" s="847"/>
      <c r="F23" s="848"/>
      <c r="G23" s="903"/>
      <c r="H23" s="917"/>
      <c r="I23" s="917"/>
      <c r="J23" s="193"/>
      <c r="K23" s="86" t="str">
        <f t="shared" ref="K23:K26" si="0">IF(AND(G23="", J23=""), "-", IFERROR(-(1 - (J23 / G23)), "-"))</f>
        <v>-</v>
      </c>
      <c r="L23" s="16" t="str">
        <f>IF(OR(
'Table of Contents &amp; Validation'!D23=TRUE,'Table of Contents &amp; Validation'!D20=TRUE,'General Information'!E280&lt;=10),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spans="1:20" ht="33" customHeight="1">
      <c r="A24" s="850"/>
      <c r="B24" s="850"/>
      <c r="C24" s="99" t="str">
        <f xml:space="preserve"> template_label_disclosure_part_of_vs_guidance &amp; " " &amp; template_label_gross_scope_2_market_based_ghg_emissions &amp; " - "</f>
        <v xml:space="preserve">[Disclosure stemming from EFRAG non-mandatory guidance] Gross scope 2 market-based GHG Emissions - </v>
      </c>
      <c r="D24" s="847"/>
      <c r="E24" s="847"/>
      <c r="F24" s="848"/>
      <c r="G24" s="903"/>
      <c r="H24" s="917"/>
      <c r="I24" s="917"/>
      <c r="J24" s="193"/>
      <c r="K24" s="86" t="str">
        <f t="shared" si="0"/>
        <v>-</v>
      </c>
      <c r="L24" s="16" t="str">
        <f>IF(D24&lt;&gt;"",
    IF(AND(G24="", J24=""), template_label_ok,
       IF(AND(G24&lt;&gt;"", J24=""), template_label_missing_value, template_label_ok)
    ),
"")</f>
        <v/>
      </c>
    </row>
    <row r="25" spans="1:20">
      <c r="A25" s="850"/>
      <c r="B25" s="850"/>
      <c r="C25" s="4" t="str">
        <f>template_label_total_scope_1_and_scope_2_ghg_emissions_location_based</f>
        <v>Total Scope 1 and Scope 2 GHG Emissions (location-based)</v>
      </c>
      <c r="D25" s="921" t="str">
        <f>IF(AND(D22="",D23=""),"-",SUM(D22,D23))</f>
        <v>-</v>
      </c>
      <c r="E25" s="921"/>
      <c r="F25" s="926"/>
      <c r="G25" s="920" t="str">
        <f>IF(AND(G22="",G23=""),"-",SUM(G22,G23))</f>
        <v>-</v>
      </c>
      <c r="H25" s="921"/>
      <c r="I25" s="921"/>
      <c r="J25" s="358" t="str">
        <f>IF(AND(J22="",J23=""),"-",SUM(J22,J23))</f>
        <v>-</v>
      </c>
      <c r="K25" s="86" t="str">
        <f t="shared" si="0"/>
        <v>-</v>
      </c>
    </row>
    <row r="26" spans="1:20" ht="15" thickBot="1">
      <c r="A26" s="850"/>
      <c r="B26" s="850"/>
      <c r="C26" s="48" t="str">
        <f>template_label_total_scope_1_and_scope_2_ghg_emissions_market_based &amp; " - "</f>
        <v xml:space="preserve">Total Scope 1 and Scope 2 GHG emissions  (market-based) - </v>
      </c>
      <c r="D26" s="923" t="str">
        <f>IF(OR(D22="",D24=""),"-",SUM(D22,D24))</f>
        <v>-</v>
      </c>
      <c r="E26" s="923"/>
      <c r="F26" s="927"/>
      <c r="G26" s="922" t="str">
        <f>IF(OR(G22="",G24=""),"-",SUM(G22,G24))</f>
        <v>-</v>
      </c>
      <c r="H26" s="923"/>
      <c r="I26" s="923"/>
      <c r="J26" s="360" t="str">
        <f>IF(OR(J22="",J24=""),"-",SUM(J22,J24))</f>
        <v>-</v>
      </c>
      <c r="K26" s="361" t="str">
        <f t="shared" si="0"/>
        <v>-</v>
      </c>
    </row>
    <row r="27" spans="1:20">
      <c r="C27" s="871" t="s">
        <v>40</v>
      </c>
      <c r="D27" s="872"/>
      <c r="E27" s="872"/>
      <c r="F27" s="873"/>
      <c r="G27" s="918" t="s">
        <v>37</v>
      </c>
      <c r="H27" s="872"/>
      <c r="I27" s="872"/>
      <c r="J27" s="872"/>
      <c r="K27" s="87"/>
    </row>
    <row r="28" spans="1:20">
      <c r="C28" s="359" t="s">
        <v>10</v>
      </c>
      <c r="D28" s="702">
        <v>147</v>
      </c>
      <c r="E28" s="702"/>
      <c r="F28" s="820"/>
      <c r="G28" s="804" t="s">
        <v>10</v>
      </c>
      <c r="H28" s="805"/>
      <c r="I28" s="805"/>
      <c r="J28" s="806"/>
      <c r="K28" s="362"/>
    </row>
    <row r="29" spans="1:20" ht="22.4" customHeight="1">
      <c r="C29" s="941" t="str">
        <f>template_label_is_the_undertaking_disclosing_entity_specific_information_on_scope_3_emissions</f>
        <v>Voluntary for undertakings with 10 employees or less - Is the undertaking disclosing entity-specific information on Scope 3 emissions (in tCO2eq)?</v>
      </c>
      <c r="D29" s="942"/>
      <c r="E29" s="942"/>
      <c r="F29" s="943"/>
      <c r="G29" s="919" t="b">
        <v>0</v>
      </c>
      <c r="H29" s="910"/>
      <c r="I29" s="910"/>
      <c r="J29" s="910"/>
      <c r="K29" s="730"/>
    </row>
    <row r="30" spans="1:20" ht="14.9" customHeight="1">
      <c r="C30" s="80" t="str">
        <f>template_label_1_purchased_goods_and_services</f>
        <v>1. Purchased Goods and Services</v>
      </c>
      <c r="D30" s="797"/>
      <c r="E30" s="797"/>
      <c r="F30" s="849"/>
      <c r="G30" s="861"/>
      <c r="H30" s="797"/>
      <c r="I30" s="797"/>
      <c r="J30" s="197"/>
      <c r="K30" s="216" t="str">
        <f>IF(OR(G30="", J30=""), "-", IFERROR(-(1 - (J30 / G30)), "-"))</f>
        <v>-</v>
      </c>
      <c r="L30" s="862" t="str" cm="1">
        <f t="array" ref="L30">IF(
   OR(
      SUMPRODUCT((G30:G44&lt;&gt;"")*(J30:J44="")) &gt; 0,
      SUMPRODUCT((J30:J44&lt;&gt;"")*(G30:G44="")) &gt; 0
   ),
   template_label_missing_value,
   IF(
      AND(G29=TRUE, COUNTA(D30:F44)=0),
      template_label_missing_value,
      IF(G29=FALSE, "", template_label_ok)
   )
)</f>
        <v/>
      </c>
      <c r="M30" s="722"/>
      <c r="N30" s="722"/>
      <c r="O30" s="722"/>
      <c r="P30" s="722"/>
      <c r="Q30" s="722"/>
      <c r="R30" s="722"/>
      <c r="S30" s="722"/>
      <c r="T30" s="722"/>
    </row>
    <row r="31" spans="1:20">
      <c r="C31" s="80" t="str">
        <f>template_label_2_capital_goods</f>
        <v>2. Capital Goods</v>
      </c>
      <c r="D31" s="797"/>
      <c r="E31" s="797"/>
      <c r="F31" s="849"/>
      <c r="G31" s="861"/>
      <c r="H31" s="797"/>
      <c r="I31" s="797"/>
      <c r="J31" s="197"/>
      <c r="K31" s="216" t="str">
        <f t="shared" ref="K31:K44" si="1">IF(OR(G31="", J31=""), "-", IFERROR(-(1 - (J31 / G31)), "-"))</f>
        <v>-</v>
      </c>
      <c r="L31" s="862"/>
      <c r="M31" s="722"/>
      <c r="N31" s="722"/>
      <c r="O31" s="722"/>
      <c r="P31" s="722"/>
      <c r="Q31" s="722"/>
      <c r="R31" s="722"/>
      <c r="S31" s="722"/>
      <c r="T31" s="722"/>
    </row>
    <row r="32" spans="1:20">
      <c r="C32" s="80" t="str">
        <f>template_label_3_fuel_and_energy_related_activities</f>
        <v>3. Fuel- and Energy-Related Activities (Not Included in Scope 1 or Scope 2)</v>
      </c>
      <c r="D32" s="797"/>
      <c r="E32" s="797"/>
      <c r="F32" s="849"/>
      <c r="G32" s="861"/>
      <c r="H32" s="797"/>
      <c r="I32" s="797"/>
      <c r="J32" s="197"/>
      <c r="K32" s="216" t="str">
        <f t="shared" si="1"/>
        <v>-</v>
      </c>
      <c r="L32" s="862"/>
      <c r="M32" s="722"/>
      <c r="N32" s="722"/>
      <c r="O32" s="722"/>
      <c r="P32" s="722"/>
      <c r="Q32" s="722"/>
      <c r="R32" s="722"/>
      <c r="S32" s="722"/>
      <c r="T32" s="722"/>
    </row>
    <row r="33" spans="3:20">
      <c r="C33" s="80" t="str">
        <f>template_label_4_upstream_transportation_and_distribution</f>
        <v>4. Upstream Transportation and Distribution</v>
      </c>
      <c r="D33" s="797"/>
      <c r="E33" s="797"/>
      <c r="F33" s="849"/>
      <c r="G33" s="861"/>
      <c r="H33" s="797"/>
      <c r="I33" s="797"/>
      <c r="J33" s="197"/>
      <c r="K33" s="216" t="str">
        <f t="shared" si="1"/>
        <v>-</v>
      </c>
      <c r="L33" s="862"/>
      <c r="M33" s="722"/>
      <c r="N33" s="722"/>
      <c r="O33" s="722"/>
      <c r="P33" s="722"/>
      <c r="Q33" s="722"/>
      <c r="R33" s="722"/>
      <c r="S33" s="722"/>
      <c r="T33" s="722"/>
    </row>
    <row r="34" spans="3:20">
      <c r="C34" s="80" t="str">
        <f>template_label_5_waste_generated_in_operations</f>
        <v>5. Waste Generated in Operations</v>
      </c>
      <c r="D34" s="797"/>
      <c r="E34" s="797"/>
      <c r="F34" s="849"/>
      <c r="G34" s="861"/>
      <c r="H34" s="797"/>
      <c r="I34" s="797"/>
      <c r="J34" s="197"/>
      <c r="K34" s="216" t="str">
        <f t="shared" si="1"/>
        <v>-</v>
      </c>
      <c r="L34" s="862"/>
      <c r="M34" s="722"/>
      <c r="N34" s="722"/>
      <c r="O34" s="722"/>
      <c r="P34" s="722"/>
      <c r="Q34" s="722"/>
      <c r="R34" s="722"/>
      <c r="S34" s="722"/>
      <c r="T34" s="722"/>
    </row>
    <row r="35" spans="3:20">
      <c r="C35" s="80" t="str">
        <f>template_label_6_business_travel</f>
        <v>6. Business Travel</v>
      </c>
      <c r="D35" s="797"/>
      <c r="E35" s="797"/>
      <c r="F35" s="849"/>
      <c r="G35" s="861"/>
      <c r="H35" s="797"/>
      <c r="I35" s="797"/>
      <c r="J35" s="197"/>
      <c r="K35" s="216" t="str">
        <f t="shared" si="1"/>
        <v>-</v>
      </c>
      <c r="L35" s="862"/>
      <c r="M35" s="722"/>
      <c r="N35" s="722"/>
      <c r="O35" s="722"/>
      <c r="P35" s="722"/>
      <c r="Q35" s="722"/>
      <c r="R35" s="722"/>
      <c r="S35" s="722"/>
      <c r="T35" s="722"/>
    </row>
    <row r="36" spans="3:20">
      <c r="C36" s="80" t="str">
        <f>template_label_7_employee_commuting</f>
        <v>7. Employee Commuting</v>
      </c>
      <c r="D36" s="797"/>
      <c r="E36" s="797"/>
      <c r="F36" s="849"/>
      <c r="G36" s="861"/>
      <c r="H36" s="797"/>
      <c r="I36" s="797"/>
      <c r="J36" s="197"/>
      <c r="K36" s="216" t="str">
        <f t="shared" si="1"/>
        <v>-</v>
      </c>
      <c r="L36" s="862"/>
      <c r="M36" s="722"/>
      <c r="N36" s="722"/>
      <c r="O36" s="722"/>
      <c r="P36" s="722"/>
      <c r="Q36" s="722"/>
      <c r="R36" s="722"/>
      <c r="S36" s="722"/>
      <c r="T36" s="722"/>
    </row>
    <row r="37" spans="3:20">
      <c r="C37" s="80" t="str">
        <f>template_label_8_upstream_leased_assets</f>
        <v>8. Upstream Leased Assets</v>
      </c>
      <c r="D37" s="797"/>
      <c r="E37" s="797"/>
      <c r="F37" s="849"/>
      <c r="G37" s="861"/>
      <c r="H37" s="797"/>
      <c r="I37" s="797"/>
      <c r="J37" s="197"/>
      <c r="K37" s="216" t="str">
        <f t="shared" si="1"/>
        <v>-</v>
      </c>
      <c r="L37" s="862"/>
      <c r="M37" s="722"/>
      <c r="N37" s="722"/>
      <c r="O37" s="722"/>
      <c r="P37" s="722"/>
      <c r="Q37" s="722"/>
      <c r="R37" s="722"/>
      <c r="S37" s="722"/>
      <c r="T37" s="722"/>
    </row>
    <row r="38" spans="3:20">
      <c r="C38" s="80" t="str">
        <f>template_label_9_downstream_transportation_and_distribution</f>
        <v>9. Downstream Transportation and Distribution</v>
      </c>
      <c r="D38" s="797"/>
      <c r="E38" s="797"/>
      <c r="F38" s="849"/>
      <c r="G38" s="861"/>
      <c r="H38" s="797"/>
      <c r="I38" s="797"/>
      <c r="J38" s="197"/>
      <c r="K38" s="216" t="str">
        <f t="shared" si="1"/>
        <v>-</v>
      </c>
      <c r="L38" s="862"/>
      <c r="M38" s="722"/>
      <c r="N38" s="722"/>
      <c r="O38" s="722"/>
      <c r="P38" s="722"/>
      <c r="Q38" s="722"/>
      <c r="R38" s="722"/>
      <c r="S38" s="722"/>
      <c r="T38" s="722"/>
    </row>
    <row r="39" spans="3:20">
      <c r="C39" s="80" t="str">
        <f>template_label_10_processing_of_sold_products</f>
        <v>10. Processing of Sold Products</v>
      </c>
      <c r="D39" s="797"/>
      <c r="E39" s="797"/>
      <c r="F39" s="849"/>
      <c r="G39" s="861"/>
      <c r="H39" s="797"/>
      <c r="I39" s="797"/>
      <c r="J39" s="197"/>
      <c r="K39" s="216" t="str">
        <f t="shared" si="1"/>
        <v>-</v>
      </c>
      <c r="L39" s="862"/>
      <c r="M39" s="722"/>
      <c r="N39" s="722"/>
      <c r="O39" s="722"/>
      <c r="P39" s="722"/>
      <c r="Q39" s="722"/>
      <c r="R39" s="722"/>
      <c r="S39" s="722"/>
      <c r="T39" s="722"/>
    </row>
    <row r="40" spans="3:20">
      <c r="C40" s="80" t="str">
        <f>template_label_11_use_of_sold_products</f>
        <v>11. Use of Sold Products</v>
      </c>
      <c r="D40" s="797"/>
      <c r="E40" s="797"/>
      <c r="F40" s="849"/>
      <c r="G40" s="861"/>
      <c r="H40" s="797"/>
      <c r="I40" s="797"/>
      <c r="J40" s="197"/>
      <c r="K40" s="216" t="str">
        <f t="shared" si="1"/>
        <v>-</v>
      </c>
      <c r="L40" s="862"/>
      <c r="M40" s="722"/>
      <c r="N40" s="722"/>
      <c r="O40" s="722"/>
      <c r="P40" s="722"/>
      <c r="Q40" s="722"/>
      <c r="R40" s="722"/>
      <c r="S40" s="722"/>
      <c r="T40" s="722"/>
    </row>
    <row r="41" spans="3:20">
      <c r="C41" s="80" t="str">
        <f>template_label_12_end_of_life_treatment_of_sold_products</f>
        <v>12. End-of-Life Treatment of Sold Products</v>
      </c>
      <c r="D41" s="797"/>
      <c r="E41" s="797"/>
      <c r="F41" s="849"/>
      <c r="G41" s="861"/>
      <c r="H41" s="797"/>
      <c r="I41" s="797"/>
      <c r="J41" s="197"/>
      <c r="K41" s="216" t="str">
        <f t="shared" si="1"/>
        <v>-</v>
      </c>
      <c r="L41" s="862"/>
      <c r="M41" s="722"/>
      <c r="N41" s="722"/>
      <c r="O41" s="722"/>
      <c r="P41" s="722"/>
      <c r="Q41" s="722"/>
      <c r="R41" s="722"/>
      <c r="S41" s="722"/>
      <c r="T41" s="722"/>
    </row>
    <row r="42" spans="3:20">
      <c r="C42" s="80" t="str">
        <f>template_label_13_downstream_leased_assets</f>
        <v>13. Downstream Leased Assets</v>
      </c>
      <c r="D42" s="797"/>
      <c r="E42" s="797"/>
      <c r="F42" s="849"/>
      <c r="G42" s="861"/>
      <c r="H42" s="797"/>
      <c r="I42" s="797"/>
      <c r="J42" s="197"/>
      <c r="K42" s="216" t="str">
        <f t="shared" si="1"/>
        <v>-</v>
      </c>
      <c r="L42" s="862"/>
      <c r="M42" s="722"/>
      <c r="N42" s="722"/>
      <c r="O42" s="722"/>
      <c r="P42" s="722"/>
      <c r="Q42" s="722"/>
      <c r="R42" s="722"/>
      <c r="S42" s="722"/>
      <c r="T42" s="722"/>
    </row>
    <row r="43" spans="3:20">
      <c r="C43" s="80" t="str">
        <f>template_label_14_franchises</f>
        <v>14. Franchises</v>
      </c>
      <c r="D43" s="797"/>
      <c r="E43" s="797"/>
      <c r="F43" s="849"/>
      <c r="G43" s="861"/>
      <c r="H43" s="797"/>
      <c r="I43" s="797"/>
      <c r="J43" s="197"/>
      <c r="K43" s="216" t="str">
        <f t="shared" si="1"/>
        <v>-</v>
      </c>
      <c r="L43" s="862"/>
      <c r="M43" s="722"/>
      <c r="N43" s="722"/>
      <c r="O43" s="722"/>
      <c r="P43" s="722"/>
      <c r="Q43" s="722"/>
      <c r="R43" s="722"/>
      <c r="S43" s="722"/>
      <c r="T43" s="722"/>
    </row>
    <row r="44" spans="3:20">
      <c r="C44" s="80" t="str">
        <f>template_label_15_investments</f>
        <v>15. Investments</v>
      </c>
      <c r="D44" s="797"/>
      <c r="E44" s="797"/>
      <c r="F44" s="849"/>
      <c r="G44" s="861"/>
      <c r="H44" s="797"/>
      <c r="I44" s="797"/>
      <c r="J44" s="197"/>
      <c r="K44" s="216" t="str">
        <f t="shared" si="1"/>
        <v>-</v>
      </c>
      <c r="L44" s="862"/>
      <c r="M44" s="722"/>
      <c r="N44" s="722"/>
      <c r="O44" s="722"/>
      <c r="P44" s="722"/>
      <c r="Q44" s="722"/>
      <c r="R44" s="722"/>
      <c r="S44" s="722"/>
      <c r="T44" s="722"/>
    </row>
    <row r="45" spans="3:20" ht="15" thickBot="1">
      <c r="C45" s="88" t="str">
        <f>template_label_total_scope_3_ghg_emissions</f>
        <v>Total Scope 3 GHG  emissions</v>
      </c>
      <c r="D45" s="864" t="str">
        <f>IF(AND(G29=FALSE, COUNTA(D30:F44)=0), "-", IF(G29=TRUE, IF(SUM(D30:F44)=0, "-", SUM(D30:F44)), "-"))</f>
        <v>-</v>
      </c>
      <c r="E45" s="864"/>
      <c r="F45" s="925"/>
      <c r="G45" s="863" t="str">
        <f>IF(AND(G29=FALSE, COUNTA(G30:I44)=0), "-", IF(G29=TRUE, IF(SUM(G30:I44)=0, "-", SUM(G30:I44)), "-"))</f>
        <v>-</v>
      </c>
      <c r="H45" s="864"/>
      <c r="I45" s="864"/>
      <c r="J45" s="198" t="str">
        <f>IF(AND(G29=FALSE, COUNTA(J30:J44)=0), "-", IF(G29=TRUE, IF(SUM(J30:J44)=0, "-", SUM(J30:J44)), "-"))</f>
        <v>-</v>
      </c>
      <c r="K45" s="171" t="str">
        <f t="shared" ref="K45:K47" si="2">IF(AND(G45="", J45=""), "-", IFERROR(-(1 - (J45 / G45)), "-"))</f>
        <v>-</v>
      </c>
      <c r="L45" s="16"/>
      <c r="M45" s="722"/>
      <c r="N45" s="722"/>
      <c r="O45" s="722"/>
      <c r="P45" s="722"/>
      <c r="Q45" s="722"/>
      <c r="R45" s="722"/>
      <c r="S45" s="722"/>
      <c r="T45" s="722"/>
    </row>
    <row r="46" spans="3:20">
      <c r="C46" s="13" t="str">
        <f>template_label_total_scope_1_scope_2_and_scope_3_ghg_emissions_location_based</f>
        <v>Total Scope 1 Scope 2 and Scope 3 GHG Emissions (location-based)</v>
      </c>
      <c r="D46" s="931" t="str">
        <f>IF(G29=FALSE, "-", IF(AND(D22="", D23="", D45=""), "-", IF(SUM(D22, D23, D45)=0, "-", SUM(D22, D23, D45))))</f>
        <v>-</v>
      </c>
      <c r="E46" s="931"/>
      <c r="F46" s="963"/>
      <c r="G46" s="930" t="str">
        <f>IF(G29=FALSE, "-", IF(AND(G22="", G23="", G45=""), "-", IF(SUM(G22, G23, G45)=0, "-", SUM(G22, G23, G45))))</f>
        <v>-</v>
      </c>
      <c r="H46" s="931"/>
      <c r="I46" s="931"/>
      <c r="J46" s="195" t="str">
        <f>IF(G29=FALSE, "-", IF(AND(J22="", J23="", J45=""), "-", IF(SUM(J22, J23, J45)=0, "-", SUM(J22, J23, J45))))</f>
        <v>-</v>
      </c>
      <c r="K46" s="172" t="str">
        <f t="shared" si="2"/>
        <v>-</v>
      </c>
      <c r="M46" s="312"/>
      <c r="N46" s="312"/>
      <c r="O46" s="312"/>
      <c r="P46" s="312"/>
      <c r="Q46" s="312"/>
      <c r="R46" s="312"/>
      <c r="S46" s="312"/>
    </row>
    <row r="47" spans="3:20" ht="15" thickBot="1">
      <c r="C47" s="89" t="str">
        <f>template_label_total_scope_1_scope_2_and_scope_3_ghg_emissions_market_based &amp; " - "</f>
        <v xml:space="preserve">Total Scope 1 Scope 2 and Scope 3 GHG Emissions (market-based) - </v>
      </c>
      <c r="D47" s="947" t="str">
        <f>IF(G29=FALSE,"-",IF(OR(D22="",D24="",D45=""),"-",SUM(D22,D24,D45)))</f>
        <v>-</v>
      </c>
      <c r="E47" s="933"/>
      <c r="F47" s="948"/>
      <c r="G47" s="932" t="str">
        <f>IF(G29=FALSE, "-", IF(OR(G22="", G24="", G45=""), "-", IF(SUM(G22, G24, G45)=0, "-", SUM(G22, G24, G45))))</f>
        <v>-</v>
      </c>
      <c r="H47" s="933"/>
      <c r="I47" s="934"/>
      <c r="J47" s="196" t="str">
        <f>IF(G29=FALSE, "-", IF(OR(J22="", J24="", J45=""), "-", IF(SUM(J22, J24, J45)=0, "-", SUM(J22, J24, J45))))</f>
        <v>-</v>
      </c>
      <c r="K47" s="171" t="str">
        <f t="shared" si="2"/>
        <v>-</v>
      </c>
      <c r="M47" s="312"/>
      <c r="N47" s="312"/>
      <c r="O47" s="312"/>
      <c r="P47" s="312"/>
      <c r="Q47" s="312"/>
      <c r="R47" s="312"/>
      <c r="S47" s="312"/>
    </row>
    <row r="48" spans="3:20" ht="15" thickBot="1">
      <c r="C48" s="90"/>
      <c r="D48" s="90"/>
      <c r="E48" s="90"/>
      <c r="F48" s="90"/>
      <c r="G48" s="90"/>
      <c r="H48" s="90"/>
      <c r="I48" s="90"/>
      <c r="J48" s="90"/>
      <c r="K48" s="90"/>
    </row>
    <row r="49" spans="1:12" ht="15" thickBot="1">
      <c r="C49" s="957" t="str">
        <f>template_label_c3_disclosure_of_list_of_main_actions_the_entity_seeks_in_order_to_achieve_its_targets&amp;" "&amp;template_label_from&amp;" "&amp;template_starting_date_display&amp;" "&amp;template_label_to&amp;" "&amp;template_ending_date_display&amp;" "</f>
        <v xml:space="preserve">C3 - Disclosure of list of main actions the entity seeks in order to achieve its targets from - to - </v>
      </c>
      <c r="D49" s="958"/>
      <c r="E49" s="958"/>
      <c r="F49" s="958"/>
      <c r="G49" s="958"/>
      <c r="H49" s="958"/>
      <c r="I49" s="958"/>
      <c r="J49" s="958"/>
      <c r="K49" s="959"/>
    </row>
    <row r="50" spans="1:12">
      <c r="C50" s="687" t="s">
        <v>41</v>
      </c>
      <c r="D50" s="677"/>
      <c r="E50" s="677"/>
      <c r="F50" s="677"/>
      <c r="G50" s="677"/>
      <c r="H50" s="677"/>
      <c r="I50" s="677"/>
      <c r="J50" s="677"/>
      <c r="K50" s="682"/>
    </row>
    <row r="51" spans="1:12">
      <c r="C51" s="865" t="s">
        <v>42</v>
      </c>
      <c r="D51" s="866"/>
      <c r="E51" s="866"/>
      <c r="F51" s="866"/>
      <c r="G51" s="866"/>
      <c r="H51" s="866"/>
      <c r="I51" s="866"/>
      <c r="J51" s="866"/>
      <c r="K51" s="867"/>
    </row>
    <row r="52" spans="1:12" ht="15" thickBot="1">
      <c r="C52" s="956"/>
      <c r="D52" s="745"/>
      <c r="E52" s="745"/>
      <c r="F52" s="745"/>
      <c r="G52" s="745"/>
      <c r="H52" s="745"/>
      <c r="I52" s="745"/>
      <c r="J52" s="745"/>
      <c r="K52" s="724"/>
      <c r="L52" s="16" t="str">
        <f>IF(template_checkbox_c3_list_of_main_actions_to_achieve_targets_docx=TRUE,
IF(AND(J19=TRUE, C52&lt;&gt;""), template_label_ok, IF(AND(J19=TRUE, C52=""), "", "")),
IF(AND(J19=TRUE, C52&lt;&gt;""), template_label_ok, IF(AND(J19=TRUE, C52=""), template_label_missing_value, "")))</f>
        <v>MISSING VALUE</v>
      </c>
    </row>
    <row r="54" spans="1:12" ht="15" thickBot="1">
      <c r="C54" s="9"/>
      <c r="D54" s="9"/>
      <c r="E54" s="9"/>
      <c r="F54" s="9"/>
      <c r="G54" s="9"/>
      <c r="H54" s="9"/>
      <c r="I54" s="9"/>
      <c r="J54" s="9"/>
      <c r="K54" s="9"/>
    </row>
    <row r="55" spans="1:12" ht="82.4" customHeight="1" thickBot="1">
      <c r="A55" s="791" t="str">
        <f>template_label_supporting_guidance_c3</f>
        <v>ℹ️ VSME Supporting guide on Disclosure C3 - Comprehensive Module (GHG reduction targets and climate transition)</v>
      </c>
      <c r="B55" s="846"/>
      <c r="C55" s="885" t="str">
        <f>template_label_c3_transition_plan_for_undertakings_operating_in_high_climate_impact_sectors&amp;" "&amp;template_label_from&amp;" "&amp;template_starting_date_display&amp;" "&amp;template_label_to&amp;" "&amp;template_ending_date_display</f>
        <v>C3 - Transition plan for undertakings operating in high climate impact sectors from - to -</v>
      </c>
      <c r="D55" s="885"/>
      <c r="E55" s="885"/>
      <c r="F55" s="885"/>
      <c r="G55" s="885"/>
      <c r="H55" s="885"/>
      <c r="I55" s="885"/>
      <c r="J55" s="885"/>
      <c r="K55" s="886"/>
    </row>
    <row r="56" spans="1:12" ht="38.4" customHeight="1">
      <c r="A56" s="675">
        <v>54</v>
      </c>
      <c r="B56" s="681" t="s">
        <v>43</v>
      </c>
      <c r="C56" s="368" t="str">
        <f>template_label_is_the_undertaking_operating_in_high_impact_sectors</f>
        <v>Is the undertaking operating in high impact sectors?</v>
      </c>
      <c r="D56" s="875" t="b">
        <f>OR(
  ISNUMBER(MATCH('General Information'!E178, 'Enumeration Lists'!A3:A677, 0)),
  ISNUMBER(MATCH('General Information'!E179, 'Enumeration Lists'!A3:A677, 0)),
  ISNUMBER(MATCH('General Information'!E180, 'Enumeration Lists'!A3:A677, 0)),
  ISNUMBER(MATCH('General Information'!E181, 'Enumeration Lists'!A3:A677, 0)),
  ISNUMBER(MATCH('General Information'!E182, 'Enumeration Lists'!A3:A677, 0)),
  ISNUMBER(MATCH('General Information'!E178, 'Enumeration Lists'!A782:A791, 0)),
  ISNUMBER(MATCH('General Information'!E179, 'Enumeration Lists'!A782:A791, 0)),
  ISNUMBER(MATCH('General Information'!E180, 'Enumeration Lists'!A782:A791, 0)),
  ISNUMBER(MATCH('General Information'!E181, 'Enumeration Lists'!A782:A791, 0)),
  ISNUMBER(MATCH('General Information'!E182, 'Enumeration Lists'!A782:A791, 0))
)</f>
        <v>0</v>
      </c>
      <c r="E56" s="876"/>
      <c r="F56" s="876"/>
      <c r="G56" s="876"/>
      <c r="H56" s="876"/>
      <c r="I56" s="876"/>
      <c r="J56" s="876"/>
      <c r="K56" s="877"/>
      <c r="L56" s="16"/>
    </row>
    <row r="57" spans="1:12" ht="14.4" customHeight="1">
      <c r="A57" s="676"/>
      <c r="B57" s="807"/>
      <c r="C57" s="78" t="str">
        <f>template_label_status_of_implementation_of_a_transition_plan_in_relation_to_climate_change_mitigation</f>
        <v>Status of implementation of a transition plan in relation to climate change mitigation</v>
      </c>
      <c r="D57" s="951" t="s">
        <v>44</v>
      </c>
      <c r="E57" s="952"/>
      <c r="F57" s="952"/>
      <c r="G57" s="952"/>
      <c r="H57" s="952"/>
      <c r="I57" s="952"/>
      <c r="J57" s="952"/>
      <c r="K57" s="953"/>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9.15">
      <c r="A58" s="677"/>
      <c r="B58" s="682"/>
      <c r="C58" s="91" t="str">
        <f>template_label_description_of_a_transition_plan_for_climate_change_mitigation</f>
        <v>Description of a transition plan for climate change mitigation including an explanation of how it is contributing to reduce GHG emissions</v>
      </c>
      <c r="D58" s="954"/>
      <c r="E58" s="954"/>
      <c r="F58" s="954"/>
      <c r="G58" s="954"/>
      <c r="H58" s="954"/>
      <c r="I58" s="954"/>
      <c r="J58" s="954"/>
      <c r="K58" s="955"/>
      <c r="L58" s="16" t="str">
        <f>IF(AND(D57="A transition plan has already been adopted", DescriptionOfATransitionPlanForClimateChangeMitigationIncludingAnExplanationOfHowItIsContributingToReduceGhgEmissions&lt;&gt;""), template_label_ok, "")</f>
        <v/>
      </c>
    </row>
    <row r="59" spans="1:12">
      <c r="A59" s="702">
        <v>55</v>
      </c>
      <c r="B59" s="704" t="s">
        <v>43</v>
      </c>
      <c r="C59" s="852" t="str">
        <f>template_label_date_of_foreseen_adoption_of_transition_plan_for_undertaking_not_having_adopted_transition_plan_yet</f>
        <v>Date of foreseen adoption of transition plan for undertaking not having adopted transition plan yet</v>
      </c>
      <c r="D59" s="855" t="str">
        <f>template_label_year</f>
        <v>Year</v>
      </c>
      <c r="E59" s="856"/>
      <c r="F59" s="856"/>
      <c r="G59" s="856"/>
      <c r="H59" s="857"/>
      <c r="I59" s="858"/>
      <c r="J59" s="859"/>
      <c r="K59" s="860"/>
      <c r="L59" s="851" t="str">
        <f>IF(AND(D57="A transition plan has already been adopted",OR(I59="",I60="",I61="")),
"",IF(D57="A transition plan is not in place and it is not planned to be adopted","",
IF(AND(D57="Adoption of a transition plan is planned in the future",OR(I59="",I60="",I61="")),
template_label_missing_value,
IF(AND(D57="",OR(I59="",I60="",I61="")),
"",
IF(OR(
AND(I60=2,I61&gt;29),
AND(I60=2,I61=29,NOT(AND(MOD(I59,4)=0,OR(MOD(I59,100)&lt;&gt;0,MOD(I59,400)=0)))),
AND(OR(I60=4,I60=6,I60=9,I60=11),I61=31)
),
template_label_error,
template_label_ok
)
)
)
))</f>
        <v/>
      </c>
    </row>
    <row r="60" spans="1:12">
      <c r="A60" s="702"/>
      <c r="B60" s="704"/>
      <c r="C60" s="853"/>
      <c r="D60" s="855" t="str">
        <f>template_label_month</f>
        <v>Month</v>
      </c>
      <c r="E60" s="856"/>
      <c r="F60" s="856"/>
      <c r="G60" s="856"/>
      <c r="H60" s="857"/>
      <c r="I60" s="858"/>
      <c r="J60" s="859"/>
      <c r="K60" s="860"/>
      <c r="L60" s="851"/>
    </row>
    <row r="61" spans="1:12">
      <c r="A61" s="702"/>
      <c r="B61" s="704"/>
      <c r="C61" s="853"/>
      <c r="D61" s="855" t="str">
        <f>template_label_day</f>
        <v>Day</v>
      </c>
      <c r="E61" s="856"/>
      <c r="F61" s="856"/>
      <c r="G61" s="856"/>
      <c r="H61" s="857"/>
      <c r="I61" s="858"/>
      <c r="J61" s="859"/>
      <c r="K61" s="860"/>
      <c r="L61" s="851"/>
    </row>
    <row r="62" spans="1:12" ht="15" thickBot="1">
      <c r="A62" s="702"/>
      <c r="B62" s="704"/>
      <c r="C62" s="854"/>
      <c r="D62" s="949" t="str">
        <f>IF(OR(ISBLANK(I59), ISBLANK(I60), ISBLANK(I61)), "-", I59 &amp; "-" &amp; TEXT(I60, "00") &amp; "-" &amp; TEXT(I61, "00"))</f>
        <v>-</v>
      </c>
      <c r="E62" s="949"/>
      <c r="F62" s="949"/>
      <c r="G62" s="949"/>
      <c r="H62" s="949"/>
      <c r="I62" s="949"/>
      <c r="J62" s="949"/>
      <c r="K62" s="950"/>
      <c r="L62" s="279"/>
    </row>
    <row r="64" spans="1:12" ht="15" thickBot="1"/>
    <row r="65" spans="3:12" ht="15" thickBot="1">
      <c r="C65" s="731" t="str">
        <f>template_label_b4_pollution_of_air_water_and_soil&amp;" "&amp;template_label_from&amp;" "&amp;template_starting_date_display&amp;" "&amp;template_label_to&amp;" "&amp;template_ending_date_display</f>
        <v>B4 - Pollution of air water and soil from - to -</v>
      </c>
      <c r="D65" s="827"/>
      <c r="E65" s="827"/>
      <c r="F65" s="827"/>
      <c r="G65" s="827"/>
      <c r="H65" s="827"/>
      <c r="I65" s="827"/>
      <c r="J65" s="827"/>
      <c r="K65" s="828"/>
    </row>
    <row r="66" spans="3:12">
      <c r="C66" s="871">
        <v>34</v>
      </c>
      <c r="D66" s="872"/>
      <c r="E66" s="872"/>
      <c r="F66" s="872"/>
      <c r="G66" s="872"/>
      <c r="H66" s="872"/>
      <c r="I66" s="872"/>
      <c r="J66" s="872"/>
      <c r="K66" s="873"/>
    </row>
    <row r="67" spans="3:12">
      <c r="C67" s="726" t="s">
        <v>45</v>
      </c>
      <c r="D67" s="702"/>
      <c r="E67" s="702"/>
      <c r="F67" s="702"/>
      <c r="G67" s="702"/>
      <c r="H67" s="702"/>
      <c r="I67" s="702"/>
      <c r="J67" s="702"/>
      <c r="K67" s="820"/>
    </row>
    <row r="68" spans="3:12" ht="30" customHeight="1">
      <c r="C68" s="794" t="str">
        <f>template_label_required_to_report_to_competent_authorities_by_EU_or_national_law_its_emissions_to_pollutants</f>
        <v>Is the undertaking already required to report to competent authorities by EU or national law its emissions to pollutants or does it already voluntarily report on them according to an Environmental Management System?</v>
      </c>
      <c r="D68" s="882"/>
      <c r="E68" s="882"/>
      <c r="F68" s="882"/>
      <c r="G68" s="878" t="b">
        <v>0</v>
      </c>
      <c r="H68" s="878"/>
      <c r="I68" s="878"/>
      <c r="J68" s="878"/>
      <c r="K68" s="879"/>
      <c r="L68" s="16"/>
    </row>
    <row r="69" spans="3:12">
      <c r="C69" s="780" t="str">
        <f>template_label_is_this_disclosure_already_publicly_available</f>
        <v>Is this disclosure already publicly available?</v>
      </c>
      <c r="D69" s="874"/>
      <c r="E69" s="874"/>
      <c r="F69" s="874"/>
      <c r="G69" s="1007" t="b">
        <v>0</v>
      </c>
      <c r="H69" s="1008"/>
      <c r="I69" s="1008"/>
      <c r="J69" s="1008"/>
      <c r="K69" s="1009"/>
      <c r="L69" s="16" t="str" cm="1">
        <f t="array" ref="L69">IF(AND(G69=TRUE,D74:K184=""),
template_label_ok,IF(AND(G68=TRUE,G69=""),template_label_missing_value,IF(AND(G68=TRUE,PubliclyAvailableDisclosure=FALSE),template_label_ok,
IF(AND(OR(D74:K184&lt;&gt;""),G69=TRUE),
template_label_value_inconsistency,
""
)
)))</f>
        <v/>
      </c>
    </row>
    <row r="70" spans="3:12">
      <c r="C70" s="780" t="str">
        <f>template_label_please_provide_the_relevant_url_link_or_hyperlink_of_where_this_information_is_reported</f>
        <v>Please provide the relevant URL link or hyperlink of where this information is reported</v>
      </c>
      <c r="D70" s="874"/>
      <c r="E70" s="874"/>
      <c r="F70" s="874"/>
      <c r="G70" s="880"/>
      <c r="H70" s="814"/>
      <c r="I70" s="814"/>
      <c r="J70" s="814"/>
      <c r="K70" s="881"/>
      <c r="L70" s="16" t="str">
        <f>IF(G69=TRUE,
   IF(G70="",
      template_label_missing_value,
      IF(OR(LEFT(G70,7)="http://", LEFT(G70,8)="https://", LEFT(G70,4)="www."),
         template_label_ok,
         template_label_invalid_url
      )
   ),
"")</f>
        <v/>
      </c>
    </row>
    <row r="71" spans="3:12">
      <c r="C71" s="960" t="str">
        <f>template_label_please_select_the_unit_used_for_reporting_the_amount</f>
        <v>Please select the unit used for reporting the amount (i.e. either kg or tonne)</v>
      </c>
      <c r="D71" s="961"/>
      <c r="E71" s="961"/>
      <c r="F71" s="961"/>
      <c r="G71" s="961"/>
      <c r="H71" s="961"/>
      <c r="I71" s="961"/>
      <c r="J71" s="961"/>
      <c r="K71" s="962"/>
    </row>
    <row r="72" spans="3:12">
      <c r="C72" s="1006" t="s">
        <v>46</v>
      </c>
      <c r="D72" s="814"/>
      <c r="E72" s="814"/>
      <c r="F72" s="814"/>
      <c r="G72" s="814"/>
      <c r="H72" s="814"/>
      <c r="I72" s="814"/>
      <c r="J72" s="814"/>
      <c r="K72" s="881"/>
      <c r="L72" s="17" t="str" cm="1">
        <f t="array" ref="L72">IF(PubliclyAvailableDisclosure="","",IF(AND(OR(D74:F184&lt;&gt;"",G74:I184&lt;&gt;"",J74:J184&lt;&gt;"",K74:K184&lt;&gt;""),C72&lt;&gt;"",G68=TRUE,G69=FALSE),
template_label_ok,
IF(AND(OR(D74:F184&lt;&gt;"",G74:I184&lt;&gt;"",J74:J184&lt;&gt;"",K74:K184&lt;&gt;""),C72&lt;&gt;"",G68=TRUE,G69=TRUE),
template_label_value_inconsistency,
IF(AND(OR(D74:D184="",G74:G184="",J74:J184="",K74:K184=""),C72&lt;&gt;"",G68=TRUE,G69=FALSE),
template_label_ok,
IF(AND(OR(D74:D184="",G74:G184="",J74:J184="",K74:K184=""),C72&lt;&gt;"",G68=TRUE,G69=TRUE),
template_label_value_inconsistency,
IF(AND(C72="",G68=TRUE,G69=FALSE),
template_label_missing_value,
""
)
)
)
)
))</f>
        <v/>
      </c>
    </row>
    <row r="73" spans="3:12">
      <c r="C73" s="93" t="str">
        <f>template_label_row_id</f>
        <v>Row ID</v>
      </c>
      <c r="D73" s="914" t="str">
        <f>template_label_pollutant</f>
        <v>Pollutant</v>
      </c>
      <c r="E73" s="914"/>
      <c r="F73" s="914"/>
      <c r="G73" s="914" t="str">
        <f>template_label_emission_to_air</f>
        <v>Emission to air</v>
      </c>
      <c r="H73" s="914"/>
      <c r="I73" s="914"/>
      <c r="J73" s="6" t="str">
        <f>template_label_emission_to_water</f>
        <v>Emission to water</v>
      </c>
      <c r="K73" s="84" t="str">
        <f>template_label_emission_to_soil</f>
        <v>Emission to soil</v>
      </c>
    </row>
    <row r="74" spans="3:12">
      <c r="C74" s="173">
        <v>1</v>
      </c>
      <c r="D74" s="801"/>
      <c r="E74" s="802"/>
      <c r="F74" s="803"/>
      <c r="G74" s="797"/>
      <c r="H74" s="797"/>
      <c r="I74" s="797"/>
      <c r="J74" s="197"/>
      <c r="K74" s="199"/>
      <c r="L74" s="16" t="str">
        <f>IF(PubliclyAvailableDisclosure="","",IF(AND($G$68=TRUE,$G$69=TRUE,OR(D74&lt;&gt;"",G74&lt;&gt;"",J74&lt;&gt;"",K74&lt;&gt;"")),
template_label_value_inconsistency,
IF($G$68&lt;&gt;TRUE,"",
IF(AND(D74="",G74="",J74="",K74="",G68=TRUE,G69=FALSE),template_label_missing_value,
IF(AND(D74="",G74="",J74="",K74="",G68=TRUE,G69=TRUE),"",
IF(AND(D74="",G74="",J74="",K74="",G68=FALSE),"",
IF(AND(D74&lt;&gt;"",G74="",J74="",K74=""),template_label_missing_value,
IF(AND(D74&lt;&gt;"",OR(G74&lt;&gt;"",J74&lt;&gt;"",K74&lt;&gt;"")),
IF(COUNTIF($D$74:$D$184,D74)&gt;1,template_label_value_inconsistency,template_label_ok),
template_label_missing_value))))))))</f>
        <v/>
      </c>
    </row>
    <row r="75" spans="3:12">
      <c r="C75" s="173">
        <v>2</v>
      </c>
      <c r="D75" s="801"/>
      <c r="E75" s="802"/>
      <c r="F75" s="803"/>
      <c r="G75" s="797"/>
      <c r="H75" s="797"/>
      <c r="I75" s="797"/>
      <c r="J75" s="197"/>
      <c r="K75" s="199"/>
      <c r="L75" s="16" t="str">
        <f t="shared" ref="L75:L106" si="3">IF(AND($G$68=TRUE,$G$69=TRUE,OR(D75&lt;&gt;"",G75&lt;&gt;"",J75&lt;&gt;"",K75&lt;&gt;"")),
    template_label_value_inconsistency,
IF($G$68&lt;&gt;TRUE, "",
IF(AND(D75="", G75="", J75="", K75=""), "",
IF(AND(D75&lt;&gt;"", G75="", J75="", K75=""), template_label_missing_value,
IF(AND(D75&lt;&gt;"", OR(G75&lt;&gt;"", J75&lt;&gt;"", K75&lt;&gt;"")),
    IF(COUNTIF($D$74:$D$184, D75)&gt;1, template_label_value_inconsistency, template_label_ok),
template_label_missing_value)))))</f>
        <v/>
      </c>
    </row>
    <row r="76" spans="3:12" ht="15" thickBot="1">
      <c r="C76" s="5">
        <v>3</v>
      </c>
      <c r="D76" s="964"/>
      <c r="E76" s="965"/>
      <c r="F76" s="966"/>
      <c r="G76" s="837"/>
      <c r="H76" s="837"/>
      <c r="I76" s="837"/>
      <c r="J76" s="200"/>
      <c r="K76" s="201"/>
      <c r="L76" s="16" t="str">
        <f t="shared" si="3"/>
        <v/>
      </c>
    </row>
    <row r="77" spans="3:12" outlineLevel="1">
      <c r="C77" s="174">
        <v>4</v>
      </c>
      <c r="D77" s="1010"/>
      <c r="E77" s="1011"/>
      <c r="F77" s="1012"/>
      <c r="G77" s="924"/>
      <c r="H77" s="924"/>
      <c r="I77" s="924"/>
      <c r="J77" s="202"/>
      <c r="K77" s="203"/>
      <c r="L77" s="16" t="str">
        <f t="shared" si="3"/>
        <v/>
      </c>
    </row>
    <row r="78" spans="3:12" outlineLevel="1">
      <c r="C78" s="173">
        <v>5</v>
      </c>
      <c r="D78" s="801"/>
      <c r="E78" s="802"/>
      <c r="F78" s="803"/>
      <c r="G78" s="797"/>
      <c r="H78" s="797"/>
      <c r="I78" s="797"/>
      <c r="J78" s="197"/>
      <c r="K78" s="199"/>
      <c r="L78" s="16" t="str">
        <f t="shared" si="3"/>
        <v/>
      </c>
    </row>
    <row r="79" spans="3:12" outlineLevel="1">
      <c r="C79" s="173">
        <v>6</v>
      </c>
      <c r="D79" s="801"/>
      <c r="E79" s="802"/>
      <c r="F79" s="803"/>
      <c r="G79" s="797"/>
      <c r="H79" s="797"/>
      <c r="I79" s="797"/>
      <c r="J79" s="197"/>
      <c r="K79" s="199"/>
      <c r="L79" s="16" t="str">
        <f t="shared" si="3"/>
        <v/>
      </c>
    </row>
    <row r="80" spans="3:12" outlineLevel="1">
      <c r="C80" s="173">
        <v>7</v>
      </c>
      <c r="D80" s="801"/>
      <c r="E80" s="802"/>
      <c r="F80" s="803"/>
      <c r="G80" s="797"/>
      <c r="H80" s="797"/>
      <c r="I80" s="797"/>
      <c r="J80" s="197"/>
      <c r="K80" s="199"/>
      <c r="L80" s="16" t="str">
        <f t="shared" si="3"/>
        <v/>
      </c>
    </row>
    <row r="81" spans="3:12" outlineLevel="1">
      <c r="C81" s="173">
        <v>8</v>
      </c>
      <c r="D81" s="801"/>
      <c r="E81" s="802"/>
      <c r="F81" s="803"/>
      <c r="G81" s="797"/>
      <c r="H81" s="797"/>
      <c r="I81" s="797"/>
      <c r="J81" s="197"/>
      <c r="K81" s="199"/>
      <c r="L81" s="16" t="str">
        <f t="shared" si="3"/>
        <v/>
      </c>
    </row>
    <row r="82" spans="3:12" outlineLevel="1">
      <c r="C82" s="173">
        <v>9</v>
      </c>
      <c r="D82" s="801"/>
      <c r="E82" s="802"/>
      <c r="F82" s="803"/>
      <c r="G82" s="797"/>
      <c r="H82" s="797"/>
      <c r="I82" s="797"/>
      <c r="J82" s="197"/>
      <c r="K82" s="199"/>
      <c r="L82" s="16" t="str">
        <f t="shared" si="3"/>
        <v/>
      </c>
    </row>
    <row r="83" spans="3:12" outlineLevel="1">
      <c r="C83" s="173">
        <v>10</v>
      </c>
      <c r="D83" s="801"/>
      <c r="E83" s="802"/>
      <c r="F83" s="803"/>
      <c r="G83" s="797"/>
      <c r="H83" s="797"/>
      <c r="I83" s="797"/>
      <c r="J83" s="197"/>
      <c r="K83" s="199"/>
      <c r="L83" s="16" t="str">
        <f t="shared" si="3"/>
        <v/>
      </c>
    </row>
    <row r="84" spans="3:12" outlineLevel="1">
      <c r="C84" s="173">
        <v>11</v>
      </c>
      <c r="D84" s="801"/>
      <c r="E84" s="802"/>
      <c r="F84" s="803"/>
      <c r="G84" s="797"/>
      <c r="H84" s="797"/>
      <c r="I84" s="797"/>
      <c r="J84" s="197"/>
      <c r="K84" s="199"/>
      <c r="L84" s="16" t="str">
        <f t="shared" si="3"/>
        <v/>
      </c>
    </row>
    <row r="85" spans="3:12" outlineLevel="1">
      <c r="C85" s="173">
        <v>12</v>
      </c>
      <c r="D85" s="801"/>
      <c r="E85" s="802"/>
      <c r="F85" s="803"/>
      <c r="G85" s="797"/>
      <c r="H85" s="797"/>
      <c r="I85" s="797"/>
      <c r="J85" s="197"/>
      <c r="K85" s="199"/>
      <c r="L85" s="16" t="str">
        <f t="shared" si="3"/>
        <v/>
      </c>
    </row>
    <row r="86" spans="3:12" outlineLevel="1">
      <c r="C86" s="173">
        <v>13</v>
      </c>
      <c r="D86" s="801"/>
      <c r="E86" s="802"/>
      <c r="F86" s="803"/>
      <c r="G86" s="797"/>
      <c r="H86" s="797"/>
      <c r="I86" s="797"/>
      <c r="J86" s="197"/>
      <c r="K86" s="199"/>
      <c r="L86" s="16" t="str">
        <f t="shared" si="3"/>
        <v/>
      </c>
    </row>
    <row r="87" spans="3:12" outlineLevel="1">
      <c r="C87" s="173">
        <v>14</v>
      </c>
      <c r="D87" s="801"/>
      <c r="E87" s="802"/>
      <c r="F87" s="803"/>
      <c r="G87" s="797"/>
      <c r="H87" s="797"/>
      <c r="I87" s="797"/>
      <c r="J87" s="197"/>
      <c r="K87" s="199"/>
      <c r="L87" s="16" t="str">
        <f t="shared" si="3"/>
        <v/>
      </c>
    </row>
    <row r="88" spans="3:12" outlineLevel="1">
      <c r="C88" s="173">
        <v>15</v>
      </c>
      <c r="D88" s="801"/>
      <c r="E88" s="802"/>
      <c r="F88" s="803"/>
      <c r="G88" s="797"/>
      <c r="H88" s="797"/>
      <c r="I88" s="797"/>
      <c r="J88" s="197"/>
      <c r="K88" s="199"/>
      <c r="L88" s="16" t="str">
        <f t="shared" si="3"/>
        <v/>
      </c>
    </row>
    <row r="89" spans="3:12" outlineLevel="1">
      <c r="C89" s="173">
        <v>16</v>
      </c>
      <c r="D89" s="801"/>
      <c r="E89" s="802"/>
      <c r="F89" s="803"/>
      <c r="G89" s="797"/>
      <c r="H89" s="797"/>
      <c r="I89" s="797"/>
      <c r="J89" s="197"/>
      <c r="K89" s="199"/>
      <c r="L89" s="16" t="str">
        <f t="shared" si="3"/>
        <v/>
      </c>
    </row>
    <row r="90" spans="3:12" outlineLevel="1">
      <c r="C90" s="173">
        <v>17</v>
      </c>
      <c r="D90" s="801"/>
      <c r="E90" s="802"/>
      <c r="F90" s="803"/>
      <c r="G90" s="797"/>
      <c r="H90" s="797"/>
      <c r="I90" s="797"/>
      <c r="J90" s="197"/>
      <c r="K90" s="199"/>
      <c r="L90" s="16" t="str">
        <f t="shared" si="3"/>
        <v/>
      </c>
    </row>
    <row r="91" spans="3:12" outlineLevel="1">
      <c r="C91" s="173">
        <v>18</v>
      </c>
      <c r="D91" s="801"/>
      <c r="E91" s="802"/>
      <c r="F91" s="803"/>
      <c r="G91" s="797"/>
      <c r="H91" s="797"/>
      <c r="I91" s="797"/>
      <c r="J91" s="197"/>
      <c r="K91" s="199"/>
      <c r="L91" s="16" t="str">
        <f t="shared" si="3"/>
        <v/>
      </c>
    </row>
    <row r="92" spans="3:12" outlineLevel="1">
      <c r="C92" s="173">
        <v>19</v>
      </c>
      <c r="D92" s="801"/>
      <c r="E92" s="802"/>
      <c r="F92" s="803"/>
      <c r="G92" s="797"/>
      <c r="H92" s="797"/>
      <c r="I92" s="797"/>
      <c r="J92" s="197"/>
      <c r="K92" s="199"/>
      <c r="L92" s="16" t="str">
        <f t="shared" si="3"/>
        <v/>
      </c>
    </row>
    <row r="93" spans="3:12" outlineLevel="1">
      <c r="C93" s="173">
        <v>20</v>
      </c>
      <c r="D93" s="801"/>
      <c r="E93" s="802"/>
      <c r="F93" s="803"/>
      <c r="G93" s="797"/>
      <c r="H93" s="797"/>
      <c r="I93" s="797"/>
      <c r="J93" s="197"/>
      <c r="K93" s="199"/>
      <c r="L93" s="16" t="str">
        <f t="shared" si="3"/>
        <v/>
      </c>
    </row>
    <row r="94" spans="3:12" outlineLevel="1">
      <c r="C94" s="173">
        <v>21</v>
      </c>
      <c r="D94" s="801"/>
      <c r="E94" s="802"/>
      <c r="F94" s="803"/>
      <c r="G94" s="797"/>
      <c r="H94" s="797"/>
      <c r="I94" s="797"/>
      <c r="J94" s="197"/>
      <c r="K94" s="199"/>
      <c r="L94" s="16" t="str">
        <f t="shared" si="3"/>
        <v/>
      </c>
    </row>
    <row r="95" spans="3:12" outlineLevel="1">
      <c r="C95" s="173">
        <v>22</v>
      </c>
      <c r="D95" s="801"/>
      <c r="E95" s="802"/>
      <c r="F95" s="803"/>
      <c r="G95" s="797"/>
      <c r="H95" s="797"/>
      <c r="I95" s="797"/>
      <c r="J95" s="197"/>
      <c r="K95" s="199"/>
      <c r="L95" s="16" t="str">
        <f t="shared" si="3"/>
        <v/>
      </c>
    </row>
    <row r="96" spans="3:12" outlineLevel="1">
      <c r="C96" s="173">
        <v>23</v>
      </c>
      <c r="D96" s="801"/>
      <c r="E96" s="802"/>
      <c r="F96" s="803"/>
      <c r="G96" s="797"/>
      <c r="H96" s="797"/>
      <c r="I96" s="797"/>
      <c r="J96" s="197"/>
      <c r="K96" s="199"/>
      <c r="L96" s="16" t="str">
        <f t="shared" si="3"/>
        <v/>
      </c>
    </row>
    <row r="97" spans="3:12" outlineLevel="1">
      <c r="C97" s="173">
        <v>24</v>
      </c>
      <c r="D97" s="801"/>
      <c r="E97" s="802"/>
      <c r="F97" s="803"/>
      <c r="G97" s="797"/>
      <c r="H97" s="797"/>
      <c r="I97" s="797"/>
      <c r="J97" s="197"/>
      <c r="K97" s="199"/>
      <c r="L97" s="16" t="str">
        <f t="shared" si="3"/>
        <v/>
      </c>
    </row>
    <row r="98" spans="3:12" outlineLevel="1">
      <c r="C98" s="173">
        <v>25</v>
      </c>
      <c r="D98" s="801"/>
      <c r="E98" s="802"/>
      <c r="F98" s="803"/>
      <c r="G98" s="797"/>
      <c r="H98" s="797"/>
      <c r="I98" s="797"/>
      <c r="J98" s="197"/>
      <c r="K98" s="199"/>
      <c r="L98" s="16" t="str">
        <f t="shared" si="3"/>
        <v/>
      </c>
    </row>
    <row r="99" spans="3:12" outlineLevel="1">
      <c r="C99" s="173">
        <v>26</v>
      </c>
      <c r="D99" s="801"/>
      <c r="E99" s="802"/>
      <c r="F99" s="803"/>
      <c r="G99" s="797"/>
      <c r="H99" s="797"/>
      <c r="I99" s="797"/>
      <c r="J99" s="197"/>
      <c r="K99" s="199"/>
      <c r="L99" s="16" t="str">
        <f t="shared" si="3"/>
        <v/>
      </c>
    </row>
    <row r="100" spans="3:12" outlineLevel="1">
      <c r="C100" s="173">
        <v>27</v>
      </c>
      <c r="D100" s="801"/>
      <c r="E100" s="802"/>
      <c r="F100" s="803"/>
      <c r="G100" s="797"/>
      <c r="H100" s="797"/>
      <c r="I100" s="797"/>
      <c r="J100" s="197"/>
      <c r="K100" s="199"/>
      <c r="L100" s="16" t="str">
        <f t="shared" si="3"/>
        <v/>
      </c>
    </row>
    <row r="101" spans="3:12" outlineLevel="1">
      <c r="C101" s="173">
        <v>28</v>
      </c>
      <c r="D101" s="801"/>
      <c r="E101" s="802"/>
      <c r="F101" s="803"/>
      <c r="G101" s="797"/>
      <c r="H101" s="797"/>
      <c r="I101" s="797"/>
      <c r="J101" s="197"/>
      <c r="K101" s="199"/>
      <c r="L101" s="16" t="str">
        <f t="shared" si="3"/>
        <v/>
      </c>
    </row>
    <row r="102" spans="3:12" outlineLevel="1">
      <c r="C102" s="173">
        <v>29</v>
      </c>
      <c r="D102" s="801"/>
      <c r="E102" s="802"/>
      <c r="F102" s="803"/>
      <c r="G102" s="797"/>
      <c r="H102" s="797"/>
      <c r="I102" s="797"/>
      <c r="J102" s="197"/>
      <c r="K102" s="199"/>
      <c r="L102" s="16" t="str">
        <f t="shared" si="3"/>
        <v/>
      </c>
    </row>
    <row r="103" spans="3:12" outlineLevel="1">
      <c r="C103" s="173">
        <v>30</v>
      </c>
      <c r="D103" s="801"/>
      <c r="E103" s="802"/>
      <c r="F103" s="803"/>
      <c r="G103" s="797"/>
      <c r="H103" s="797"/>
      <c r="I103" s="797"/>
      <c r="J103" s="197"/>
      <c r="K103" s="199"/>
      <c r="L103" s="16" t="str">
        <f t="shared" si="3"/>
        <v/>
      </c>
    </row>
    <row r="104" spans="3:12" outlineLevel="1">
      <c r="C104" s="173">
        <v>31</v>
      </c>
      <c r="D104" s="801"/>
      <c r="E104" s="802"/>
      <c r="F104" s="803"/>
      <c r="G104" s="797"/>
      <c r="H104" s="797"/>
      <c r="I104" s="797"/>
      <c r="J104" s="197"/>
      <c r="K104" s="199"/>
      <c r="L104" s="16" t="str">
        <f t="shared" si="3"/>
        <v/>
      </c>
    </row>
    <row r="105" spans="3:12" outlineLevel="1">
      <c r="C105" s="173">
        <v>32</v>
      </c>
      <c r="D105" s="801"/>
      <c r="E105" s="802"/>
      <c r="F105" s="803"/>
      <c r="G105" s="797"/>
      <c r="H105" s="797"/>
      <c r="I105" s="797"/>
      <c r="J105" s="197"/>
      <c r="K105" s="199"/>
      <c r="L105" s="16" t="str">
        <f t="shared" si="3"/>
        <v/>
      </c>
    </row>
    <row r="106" spans="3:12" outlineLevel="1">
      <c r="C106" s="173">
        <v>33</v>
      </c>
      <c r="D106" s="801"/>
      <c r="E106" s="802"/>
      <c r="F106" s="803"/>
      <c r="G106" s="797"/>
      <c r="H106" s="797"/>
      <c r="I106" s="797"/>
      <c r="J106" s="197"/>
      <c r="K106" s="199"/>
      <c r="L106" s="16" t="str">
        <f t="shared" si="3"/>
        <v/>
      </c>
    </row>
    <row r="107" spans="3:12" outlineLevel="1">
      <c r="C107" s="173">
        <v>34</v>
      </c>
      <c r="D107" s="801"/>
      <c r="E107" s="802"/>
      <c r="F107" s="803"/>
      <c r="G107" s="797"/>
      <c r="H107" s="797"/>
      <c r="I107" s="797"/>
      <c r="J107" s="197"/>
      <c r="K107" s="199"/>
      <c r="L107" s="16" t="str">
        <f t="shared" ref="L107:L138" si="4">IF(AND($G$68=TRUE,$G$69=TRUE,OR(D107&lt;&gt;"",G107&lt;&gt;"",J107&lt;&gt;"",K107&lt;&gt;"")),
    template_label_value_inconsistency,
IF($G$68&lt;&gt;TRUE, "",
IF(AND(D107="", G107="", J107="", K107=""), "",
IF(AND(D107&lt;&gt;"", G107="", J107="", K107=""), template_label_missing_value,
IF(AND(D107&lt;&gt;"", OR(G107&lt;&gt;"", J107&lt;&gt;"", K107&lt;&gt;"")),
    IF(COUNTIF($D$74:$D$184, D107)&gt;1, template_label_value_inconsistency, template_label_ok),
template_label_missing_value)))))</f>
        <v/>
      </c>
    </row>
    <row r="108" spans="3:12" outlineLevel="1">
      <c r="C108" s="173">
        <v>35</v>
      </c>
      <c r="D108" s="801"/>
      <c r="E108" s="802"/>
      <c r="F108" s="803"/>
      <c r="G108" s="797"/>
      <c r="H108" s="797"/>
      <c r="I108" s="797"/>
      <c r="J108" s="197"/>
      <c r="K108" s="199"/>
      <c r="L108" s="16" t="str">
        <f t="shared" si="4"/>
        <v/>
      </c>
    </row>
    <row r="109" spans="3:12" outlineLevel="1">
      <c r="C109" s="173">
        <v>36</v>
      </c>
      <c r="D109" s="801"/>
      <c r="E109" s="802"/>
      <c r="F109" s="803"/>
      <c r="G109" s="797"/>
      <c r="H109" s="797"/>
      <c r="I109" s="797"/>
      <c r="J109" s="197"/>
      <c r="K109" s="199"/>
      <c r="L109" s="16" t="str">
        <f t="shared" si="4"/>
        <v/>
      </c>
    </row>
    <row r="110" spans="3:12" outlineLevel="1">
      <c r="C110" s="173">
        <v>37</v>
      </c>
      <c r="D110" s="801"/>
      <c r="E110" s="802"/>
      <c r="F110" s="803"/>
      <c r="G110" s="797"/>
      <c r="H110" s="797"/>
      <c r="I110" s="797"/>
      <c r="J110" s="197"/>
      <c r="K110" s="199"/>
      <c r="L110" s="16" t="str">
        <f t="shared" si="4"/>
        <v/>
      </c>
    </row>
    <row r="111" spans="3:12" outlineLevel="1">
      <c r="C111" s="173">
        <v>38</v>
      </c>
      <c r="D111" s="801"/>
      <c r="E111" s="802"/>
      <c r="F111" s="803"/>
      <c r="G111" s="797"/>
      <c r="H111" s="797"/>
      <c r="I111" s="797"/>
      <c r="J111" s="197"/>
      <c r="K111" s="199"/>
      <c r="L111" s="16" t="str">
        <f t="shared" si="4"/>
        <v/>
      </c>
    </row>
    <row r="112" spans="3:12" outlineLevel="1">
      <c r="C112" s="173">
        <v>39</v>
      </c>
      <c r="D112" s="801"/>
      <c r="E112" s="802"/>
      <c r="F112" s="803"/>
      <c r="G112" s="797"/>
      <c r="H112" s="797"/>
      <c r="I112" s="797"/>
      <c r="J112" s="197"/>
      <c r="K112" s="199"/>
      <c r="L112" s="16" t="str">
        <f t="shared" si="4"/>
        <v/>
      </c>
    </row>
    <row r="113" spans="3:12" outlineLevel="1">
      <c r="C113" s="173">
        <v>40</v>
      </c>
      <c r="D113" s="801"/>
      <c r="E113" s="802"/>
      <c r="F113" s="803"/>
      <c r="G113" s="797"/>
      <c r="H113" s="797"/>
      <c r="I113" s="797"/>
      <c r="J113" s="197"/>
      <c r="K113" s="199"/>
      <c r="L113" s="16" t="str">
        <f t="shared" si="4"/>
        <v/>
      </c>
    </row>
    <row r="114" spans="3:12" outlineLevel="1">
      <c r="C114" s="173">
        <v>41</v>
      </c>
      <c r="D114" s="801"/>
      <c r="E114" s="802"/>
      <c r="F114" s="803"/>
      <c r="G114" s="797"/>
      <c r="H114" s="797"/>
      <c r="I114" s="797"/>
      <c r="J114" s="197"/>
      <c r="K114" s="199"/>
      <c r="L114" s="16" t="str">
        <f t="shared" si="4"/>
        <v/>
      </c>
    </row>
    <row r="115" spans="3:12" outlineLevel="1">
      <c r="C115" s="173">
        <v>42</v>
      </c>
      <c r="D115" s="801"/>
      <c r="E115" s="802"/>
      <c r="F115" s="803"/>
      <c r="G115" s="797"/>
      <c r="H115" s="797"/>
      <c r="I115" s="797"/>
      <c r="J115" s="197"/>
      <c r="K115" s="199"/>
      <c r="L115" s="16" t="str">
        <f t="shared" si="4"/>
        <v/>
      </c>
    </row>
    <row r="116" spans="3:12" outlineLevel="1">
      <c r="C116" s="173">
        <v>43</v>
      </c>
      <c r="D116" s="801"/>
      <c r="E116" s="802"/>
      <c r="F116" s="803"/>
      <c r="G116" s="797"/>
      <c r="H116" s="797"/>
      <c r="I116" s="797"/>
      <c r="J116" s="197"/>
      <c r="K116" s="199"/>
      <c r="L116" s="16" t="str">
        <f t="shared" si="4"/>
        <v/>
      </c>
    </row>
    <row r="117" spans="3:12" outlineLevel="1">
      <c r="C117" s="173">
        <v>44</v>
      </c>
      <c r="D117" s="801"/>
      <c r="E117" s="802"/>
      <c r="F117" s="803"/>
      <c r="G117" s="797"/>
      <c r="H117" s="797"/>
      <c r="I117" s="797"/>
      <c r="J117" s="197"/>
      <c r="K117" s="199"/>
      <c r="L117" s="16" t="str">
        <f t="shared" si="4"/>
        <v/>
      </c>
    </row>
    <row r="118" spans="3:12" outlineLevel="1">
      <c r="C118" s="173">
        <v>45</v>
      </c>
      <c r="D118" s="801"/>
      <c r="E118" s="802"/>
      <c r="F118" s="803"/>
      <c r="G118" s="797"/>
      <c r="H118" s="797"/>
      <c r="I118" s="797"/>
      <c r="J118" s="197"/>
      <c r="K118" s="199"/>
      <c r="L118" s="16" t="str">
        <f t="shared" si="4"/>
        <v/>
      </c>
    </row>
    <row r="119" spans="3:12" outlineLevel="1">
      <c r="C119" s="173">
        <v>46</v>
      </c>
      <c r="D119" s="801"/>
      <c r="E119" s="802"/>
      <c r="F119" s="803"/>
      <c r="G119" s="797"/>
      <c r="H119" s="797"/>
      <c r="I119" s="797"/>
      <c r="J119" s="197"/>
      <c r="K119" s="199"/>
      <c r="L119" s="16" t="str">
        <f t="shared" si="4"/>
        <v/>
      </c>
    </row>
    <row r="120" spans="3:12" outlineLevel="1">
      <c r="C120" s="173">
        <v>47</v>
      </c>
      <c r="D120" s="801"/>
      <c r="E120" s="802"/>
      <c r="F120" s="803"/>
      <c r="G120" s="797"/>
      <c r="H120" s="797"/>
      <c r="I120" s="797"/>
      <c r="J120" s="197"/>
      <c r="K120" s="199"/>
      <c r="L120" s="16" t="str">
        <f t="shared" si="4"/>
        <v/>
      </c>
    </row>
    <row r="121" spans="3:12" outlineLevel="1">
      <c r="C121" s="173">
        <v>48</v>
      </c>
      <c r="D121" s="801"/>
      <c r="E121" s="802"/>
      <c r="F121" s="803"/>
      <c r="G121" s="797"/>
      <c r="H121" s="797"/>
      <c r="I121" s="797"/>
      <c r="J121" s="197"/>
      <c r="K121" s="199"/>
      <c r="L121" s="16" t="str">
        <f t="shared" si="4"/>
        <v/>
      </c>
    </row>
    <row r="122" spans="3:12" outlineLevel="1">
      <c r="C122" s="173">
        <v>49</v>
      </c>
      <c r="D122" s="801"/>
      <c r="E122" s="802"/>
      <c r="F122" s="803"/>
      <c r="G122" s="797"/>
      <c r="H122" s="797"/>
      <c r="I122" s="797"/>
      <c r="J122" s="197"/>
      <c r="K122" s="199"/>
      <c r="L122" s="16" t="str">
        <f t="shared" si="4"/>
        <v/>
      </c>
    </row>
    <row r="123" spans="3:12" outlineLevel="1">
      <c r="C123" s="173">
        <v>50</v>
      </c>
      <c r="D123" s="801"/>
      <c r="E123" s="802"/>
      <c r="F123" s="803"/>
      <c r="G123" s="797"/>
      <c r="H123" s="797"/>
      <c r="I123" s="797"/>
      <c r="J123" s="197"/>
      <c r="K123" s="199"/>
      <c r="L123" s="16" t="str">
        <f t="shared" si="4"/>
        <v/>
      </c>
    </row>
    <row r="124" spans="3:12" outlineLevel="1">
      <c r="C124" s="173">
        <v>51</v>
      </c>
      <c r="D124" s="801"/>
      <c r="E124" s="802"/>
      <c r="F124" s="803"/>
      <c r="G124" s="797"/>
      <c r="H124" s="797"/>
      <c r="I124" s="797"/>
      <c r="J124" s="197"/>
      <c r="K124" s="199"/>
      <c r="L124" s="16" t="str">
        <f t="shared" si="4"/>
        <v/>
      </c>
    </row>
    <row r="125" spans="3:12" outlineLevel="1">
      <c r="C125" s="173">
        <v>52</v>
      </c>
      <c r="D125" s="801"/>
      <c r="E125" s="802"/>
      <c r="F125" s="803"/>
      <c r="G125" s="797"/>
      <c r="H125" s="797"/>
      <c r="I125" s="797"/>
      <c r="J125" s="197"/>
      <c r="K125" s="199"/>
      <c r="L125" s="16" t="str">
        <f t="shared" si="4"/>
        <v/>
      </c>
    </row>
    <row r="126" spans="3:12" outlineLevel="1">
      <c r="C126" s="173">
        <v>53</v>
      </c>
      <c r="D126" s="801"/>
      <c r="E126" s="802"/>
      <c r="F126" s="803"/>
      <c r="G126" s="797"/>
      <c r="H126" s="797"/>
      <c r="I126" s="797"/>
      <c r="J126" s="197"/>
      <c r="K126" s="199"/>
      <c r="L126" s="16" t="str">
        <f t="shared" si="4"/>
        <v/>
      </c>
    </row>
    <row r="127" spans="3:12" outlineLevel="1">
      <c r="C127" s="173">
        <v>54</v>
      </c>
      <c r="D127" s="801"/>
      <c r="E127" s="802"/>
      <c r="F127" s="803"/>
      <c r="G127" s="797"/>
      <c r="H127" s="797"/>
      <c r="I127" s="797"/>
      <c r="J127" s="197"/>
      <c r="K127" s="199"/>
      <c r="L127" s="16" t="str">
        <f t="shared" si="4"/>
        <v/>
      </c>
    </row>
    <row r="128" spans="3:12" outlineLevel="1">
      <c r="C128" s="173">
        <v>55</v>
      </c>
      <c r="D128" s="801"/>
      <c r="E128" s="802"/>
      <c r="F128" s="803"/>
      <c r="G128" s="797"/>
      <c r="H128" s="797"/>
      <c r="I128" s="797"/>
      <c r="J128" s="197"/>
      <c r="K128" s="199"/>
      <c r="L128" s="16" t="str">
        <f t="shared" si="4"/>
        <v/>
      </c>
    </row>
    <row r="129" spans="3:12" outlineLevel="1">
      <c r="C129" s="173">
        <v>56</v>
      </c>
      <c r="D129" s="801"/>
      <c r="E129" s="802"/>
      <c r="F129" s="803"/>
      <c r="G129" s="797"/>
      <c r="H129" s="797"/>
      <c r="I129" s="797"/>
      <c r="J129" s="197"/>
      <c r="K129" s="199"/>
      <c r="L129" s="16" t="str">
        <f t="shared" si="4"/>
        <v/>
      </c>
    </row>
    <row r="130" spans="3:12" outlineLevel="1">
      <c r="C130" s="173">
        <v>57</v>
      </c>
      <c r="D130" s="801"/>
      <c r="E130" s="802"/>
      <c r="F130" s="803"/>
      <c r="G130" s="797"/>
      <c r="H130" s="797"/>
      <c r="I130" s="797"/>
      <c r="J130" s="197"/>
      <c r="K130" s="199"/>
      <c r="L130" s="16" t="str">
        <f t="shared" si="4"/>
        <v/>
      </c>
    </row>
    <row r="131" spans="3:12" outlineLevel="1">
      <c r="C131" s="173">
        <v>58</v>
      </c>
      <c r="D131" s="801"/>
      <c r="E131" s="802"/>
      <c r="F131" s="803"/>
      <c r="G131" s="797"/>
      <c r="H131" s="797"/>
      <c r="I131" s="797"/>
      <c r="J131" s="197"/>
      <c r="K131" s="199"/>
      <c r="L131" s="16" t="str">
        <f t="shared" si="4"/>
        <v/>
      </c>
    </row>
    <row r="132" spans="3:12" outlineLevel="1">
      <c r="C132" s="173">
        <v>59</v>
      </c>
      <c r="D132" s="801"/>
      <c r="E132" s="802"/>
      <c r="F132" s="803"/>
      <c r="G132" s="797"/>
      <c r="H132" s="797"/>
      <c r="I132" s="797"/>
      <c r="J132" s="197"/>
      <c r="K132" s="199"/>
      <c r="L132" s="16" t="str">
        <f t="shared" si="4"/>
        <v/>
      </c>
    </row>
    <row r="133" spans="3:12" outlineLevel="1">
      <c r="C133" s="173">
        <v>60</v>
      </c>
      <c r="D133" s="801"/>
      <c r="E133" s="802"/>
      <c r="F133" s="803"/>
      <c r="G133" s="797"/>
      <c r="H133" s="797"/>
      <c r="I133" s="797"/>
      <c r="J133" s="197"/>
      <c r="K133" s="199"/>
      <c r="L133" s="16" t="str">
        <f t="shared" si="4"/>
        <v/>
      </c>
    </row>
    <row r="134" spans="3:12" outlineLevel="1">
      <c r="C134" s="173">
        <v>61</v>
      </c>
      <c r="D134" s="801"/>
      <c r="E134" s="802"/>
      <c r="F134" s="803"/>
      <c r="G134" s="797"/>
      <c r="H134" s="797"/>
      <c r="I134" s="797"/>
      <c r="J134" s="197"/>
      <c r="K134" s="199"/>
      <c r="L134" s="16" t="str">
        <f t="shared" si="4"/>
        <v/>
      </c>
    </row>
    <row r="135" spans="3:12" outlineLevel="1">
      <c r="C135" s="173">
        <v>62</v>
      </c>
      <c r="D135" s="801"/>
      <c r="E135" s="802"/>
      <c r="F135" s="803"/>
      <c r="G135" s="797"/>
      <c r="H135" s="797"/>
      <c r="I135" s="797"/>
      <c r="J135" s="197"/>
      <c r="K135" s="199"/>
      <c r="L135" s="16" t="str">
        <f t="shared" si="4"/>
        <v/>
      </c>
    </row>
    <row r="136" spans="3:12" outlineLevel="1">
      <c r="C136" s="173">
        <v>63</v>
      </c>
      <c r="D136" s="801"/>
      <c r="E136" s="802"/>
      <c r="F136" s="803"/>
      <c r="G136" s="797"/>
      <c r="H136" s="797"/>
      <c r="I136" s="797"/>
      <c r="J136" s="197"/>
      <c r="K136" s="199"/>
      <c r="L136" s="16" t="str">
        <f t="shared" si="4"/>
        <v/>
      </c>
    </row>
    <row r="137" spans="3:12" outlineLevel="1">
      <c r="C137" s="173">
        <v>64</v>
      </c>
      <c r="D137" s="801"/>
      <c r="E137" s="802"/>
      <c r="F137" s="803"/>
      <c r="G137" s="797"/>
      <c r="H137" s="797"/>
      <c r="I137" s="797"/>
      <c r="J137" s="197"/>
      <c r="K137" s="199"/>
      <c r="L137" s="16" t="str">
        <f t="shared" si="4"/>
        <v/>
      </c>
    </row>
    <row r="138" spans="3:12" outlineLevel="1">
      <c r="C138" s="173">
        <v>65</v>
      </c>
      <c r="D138" s="801"/>
      <c r="E138" s="802"/>
      <c r="F138" s="803"/>
      <c r="G138" s="797"/>
      <c r="H138" s="797"/>
      <c r="I138" s="797"/>
      <c r="J138" s="197"/>
      <c r="K138" s="199"/>
      <c r="L138" s="16" t="str">
        <f t="shared" si="4"/>
        <v/>
      </c>
    </row>
    <row r="139" spans="3:12" outlineLevel="1">
      <c r="C139" s="173">
        <v>66</v>
      </c>
      <c r="D139" s="801"/>
      <c r="E139" s="802"/>
      <c r="F139" s="803"/>
      <c r="G139" s="797"/>
      <c r="H139" s="797"/>
      <c r="I139" s="797"/>
      <c r="J139" s="197"/>
      <c r="K139" s="199"/>
      <c r="L139" s="16" t="str">
        <f t="shared" ref="L139:L162" si="5">IF(AND($G$68=TRUE,$G$69=TRUE,OR(D139&lt;&gt;"",G139&lt;&gt;"",J139&lt;&gt;"",K139&lt;&gt;"")),
    template_label_value_inconsistency,
IF($G$68&lt;&gt;TRUE, "",
IF(AND(D139="", G139="", J139="", K139=""), "",
IF(AND(D139&lt;&gt;"", G139="", J139="", K139=""), template_label_missing_value,
IF(AND(D139&lt;&gt;"", OR(G139&lt;&gt;"", J139&lt;&gt;"", K139&lt;&gt;"")),
    IF(COUNTIF($D$74:$D$184, D139)&gt;1, template_label_value_inconsistency, template_label_ok),
template_label_missing_value)))))</f>
        <v/>
      </c>
    </row>
    <row r="140" spans="3:12" outlineLevel="1">
      <c r="C140" s="173">
        <v>67</v>
      </c>
      <c r="D140" s="801"/>
      <c r="E140" s="802"/>
      <c r="F140" s="803"/>
      <c r="G140" s="797"/>
      <c r="H140" s="797"/>
      <c r="I140" s="797"/>
      <c r="J140" s="197"/>
      <c r="K140" s="199"/>
      <c r="L140" s="16" t="str">
        <f t="shared" si="5"/>
        <v/>
      </c>
    </row>
    <row r="141" spans="3:12" outlineLevel="1">
      <c r="C141" s="173">
        <v>68</v>
      </c>
      <c r="D141" s="801"/>
      <c r="E141" s="802"/>
      <c r="F141" s="803"/>
      <c r="G141" s="797"/>
      <c r="H141" s="797"/>
      <c r="I141" s="797"/>
      <c r="J141" s="197"/>
      <c r="K141" s="199"/>
      <c r="L141" s="16" t="str">
        <f t="shared" si="5"/>
        <v/>
      </c>
    </row>
    <row r="142" spans="3:12" outlineLevel="1">
      <c r="C142" s="173">
        <v>69</v>
      </c>
      <c r="D142" s="801"/>
      <c r="E142" s="802"/>
      <c r="F142" s="803"/>
      <c r="G142" s="797"/>
      <c r="H142" s="797"/>
      <c r="I142" s="797"/>
      <c r="J142" s="197"/>
      <c r="K142" s="199"/>
      <c r="L142" s="16" t="str">
        <f t="shared" si="5"/>
        <v/>
      </c>
    </row>
    <row r="143" spans="3:12" outlineLevel="1">
      <c r="C143" s="173">
        <v>70</v>
      </c>
      <c r="D143" s="801"/>
      <c r="E143" s="802"/>
      <c r="F143" s="803"/>
      <c r="G143" s="797"/>
      <c r="H143" s="797"/>
      <c r="I143" s="797"/>
      <c r="J143" s="197"/>
      <c r="K143" s="199"/>
      <c r="L143" s="16" t="str">
        <f t="shared" si="5"/>
        <v/>
      </c>
    </row>
    <row r="144" spans="3:12" outlineLevel="1">
      <c r="C144" s="173">
        <v>71</v>
      </c>
      <c r="D144" s="801"/>
      <c r="E144" s="802"/>
      <c r="F144" s="803"/>
      <c r="G144" s="797"/>
      <c r="H144" s="797"/>
      <c r="I144" s="797"/>
      <c r="J144" s="197"/>
      <c r="K144" s="199"/>
      <c r="L144" s="16" t="str">
        <f t="shared" si="5"/>
        <v/>
      </c>
    </row>
    <row r="145" spans="3:12" outlineLevel="1">
      <c r="C145" s="173">
        <v>72</v>
      </c>
      <c r="D145" s="801"/>
      <c r="E145" s="802"/>
      <c r="F145" s="803"/>
      <c r="G145" s="797"/>
      <c r="H145" s="797"/>
      <c r="I145" s="797"/>
      <c r="J145" s="197"/>
      <c r="K145" s="199"/>
      <c r="L145" s="16" t="str">
        <f t="shared" si="5"/>
        <v/>
      </c>
    </row>
    <row r="146" spans="3:12" outlineLevel="1">
      <c r="C146" s="173">
        <v>73</v>
      </c>
      <c r="D146" s="801"/>
      <c r="E146" s="802"/>
      <c r="F146" s="803"/>
      <c r="G146" s="797"/>
      <c r="H146" s="797"/>
      <c r="I146" s="797"/>
      <c r="J146" s="197"/>
      <c r="K146" s="199"/>
      <c r="L146" s="16" t="str">
        <f t="shared" si="5"/>
        <v/>
      </c>
    </row>
    <row r="147" spans="3:12" outlineLevel="1">
      <c r="C147" s="173">
        <v>74</v>
      </c>
      <c r="D147" s="801"/>
      <c r="E147" s="802"/>
      <c r="F147" s="803"/>
      <c r="G147" s="797"/>
      <c r="H147" s="797"/>
      <c r="I147" s="797"/>
      <c r="J147" s="197"/>
      <c r="K147" s="199"/>
      <c r="L147" s="16" t="str">
        <f t="shared" si="5"/>
        <v/>
      </c>
    </row>
    <row r="148" spans="3:12" outlineLevel="1">
      <c r="C148" s="173">
        <v>75</v>
      </c>
      <c r="D148" s="801"/>
      <c r="E148" s="802"/>
      <c r="F148" s="803"/>
      <c r="G148" s="797"/>
      <c r="H148" s="797"/>
      <c r="I148" s="797"/>
      <c r="J148" s="197"/>
      <c r="K148" s="199"/>
      <c r="L148" s="16" t="str">
        <f t="shared" si="5"/>
        <v/>
      </c>
    </row>
    <row r="149" spans="3:12" outlineLevel="1">
      <c r="C149" s="173">
        <v>76</v>
      </c>
      <c r="D149" s="801"/>
      <c r="E149" s="802"/>
      <c r="F149" s="803"/>
      <c r="G149" s="797"/>
      <c r="H149" s="797"/>
      <c r="I149" s="797"/>
      <c r="J149" s="197"/>
      <c r="K149" s="199"/>
      <c r="L149" s="16" t="str">
        <f t="shared" si="5"/>
        <v/>
      </c>
    </row>
    <row r="150" spans="3:12" outlineLevel="1">
      <c r="C150" s="173">
        <v>77</v>
      </c>
      <c r="D150" s="801"/>
      <c r="E150" s="802"/>
      <c r="F150" s="803"/>
      <c r="G150" s="797"/>
      <c r="H150" s="797"/>
      <c r="I150" s="797"/>
      <c r="J150" s="197"/>
      <c r="K150" s="199"/>
      <c r="L150" s="16" t="str">
        <f t="shared" si="5"/>
        <v/>
      </c>
    </row>
    <row r="151" spans="3:12" outlineLevel="1">
      <c r="C151" s="173">
        <v>78</v>
      </c>
      <c r="D151" s="801"/>
      <c r="E151" s="802"/>
      <c r="F151" s="803"/>
      <c r="G151" s="797"/>
      <c r="H151" s="797"/>
      <c r="I151" s="797"/>
      <c r="J151" s="197"/>
      <c r="K151" s="199"/>
      <c r="L151" s="16" t="str">
        <f t="shared" si="5"/>
        <v/>
      </c>
    </row>
    <row r="152" spans="3:12" outlineLevel="1">
      <c r="C152" s="173">
        <v>79</v>
      </c>
      <c r="D152" s="801"/>
      <c r="E152" s="802"/>
      <c r="F152" s="803"/>
      <c r="G152" s="797"/>
      <c r="H152" s="797"/>
      <c r="I152" s="797"/>
      <c r="J152" s="197"/>
      <c r="K152" s="199"/>
      <c r="L152" s="16" t="str">
        <f t="shared" si="5"/>
        <v/>
      </c>
    </row>
    <row r="153" spans="3:12" outlineLevel="1">
      <c r="C153" s="173">
        <v>80</v>
      </c>
      <c r="D153" s="801"/>
      <c r="E153" s="802"/>
      <c r="F153" s="803"/>
      <c r="G153" s="797"/>
      <c r="H153" s="797"/>
      <c r="I153" s="797"/>
      <c r="J153" s="197"/>
      <c r="K153" s="199"/>
      <c r="L153" s="16" t="str">
        <f t="shared" si="5"/>
        <v/>
      </c>
    </row>
    <row r="154" spans="3:12" outlineLevel="1">
      <c r="C154" s="173">
        <v>81</v>
      </c>
      <c r="D154" s="801"/>
      <c r="E154" s="802"/>
      <c r="F154" s="803"/>
      <c r="G154" s="797"/>
      <c r="H154" s="797"/>
      <c r="I154" s="797"/>
      <c r="J154" s="197"/>
      <c r="K154" s="199"/>
      <c r="L154" s="16" t="str">
        <f t="shared" si="5"/>
        <v/>
      </c>
    </row>
    <row r="155" spans="3:12" outlineLevel="1">
      <c r="C155" s="173">
        <v>82</v>
      </c>
      <c r="D155" s="801"/>
      <c r="E155" s="802"/>
      <c r="F155" s="803"/>
      <c r="G155" s="797"/>
      <c r="H155" s="797"/>
      <c r="I155" s="797"/>
      <c r="J155" s="197"/>
      <c r="K155" s="199"/>
      <c r="L155" s="16" t="str">
        <f t="shared" si="5"/>
        <v/>
      </c>
    </row>
    <row r="156" spans="3:12" outlineLevel="1">
      <c r="C156" s="173">
        <v>83</v>
      </c>
      <c r="D156" s="801"/>
      <c r="E156" s="802"/>
      <c r="F156" s="803"/>
      <c r="G156" s="797"/>
      <c r="H156" s="797"/>
      <c r="I156" s="797"/>
      <c r="J156" s="197"/>
      <c r="K156" s="199"/>
      <c r="L156" s="16" t="str">
        <f t="shared" si="5"/>
        <v/>
      </c>
    </row>
    <row r="157" spans="3:12" outlineLevel="1">
      <c r="C157" s="173">
        <v>84</v>
      </c>
      <c r="D157" s="801"/>
      <c r="E157" s="802"/>
      <c r="F157" s="803"/>
      <c r="G157" s="797"/>
      <c r="H157" s="797"/>
      <c r="I157" s="797"/>
      <c r="J157" s="197"/>
      <c r="K157" s="199"/>
      <c r="L157" s="16" t="str">
        <f t="shared" si="5"/>
        <v/>
      </c>
    </row>
    <row r="158" spans="3:12" outlineLevel="1">
      <c r="C158" s="173">
        <v>85</v>
      </c>
      <c r="D158" s="801"/>
      <c r="E158" s="802"/>
      <c r="F158" s="803"/>
      <c r="G158" s="797"/>
      <c r="H158" s="797"/>
      <c r="I158" s="797"/>
      <c r="J158" s="197"/>
      <c r="K158" s="199"/>
      <c r="L158" s="16" t="str">
        <f t="shared" si="5"/>
        <v/>
      </c>
    </row>
    <row r="159" spans="3:12" outlineLevel="1">
      <c r="C159" s="173">
        <v>86</v>
      </c>
      <c r="D159" s="801"/>
      <c r="E159" s="802"/>
      <c r="F159" s="803"/>
      <c r="G159" s="797"/>
      <c r="H159" s="797"/>
      <c r="I159" s="797"/>
      <c r="J159" s="197"/>
      <c r="K159" s="199"/>
      <c r="L159" s="16" t="str">
        <f t="shared" si="5"/>
        <v/>
      </c>
    </row>
    <row r="160" spans="3:12" outlineLevel="1">
      <c r="C160" s="173">
        <v>87</v>
      </c>
      <c r="D160" s="801"/>
      <c r="E160" s="802"/>
      <c r="F160" s="803"/>
      <c r="G160" s="797"/>
      <c r="H160" s="797"/>
      <c r="I160" s="797"/>
      <c r="J160" s="197"/>
      <c r="K160" s="199"/>
      <c r="L160" s="16" t="str">
        <f t="shared" si="5"/>
        <v/>
      </c>
    </row>
    <row r="161" spans="3:13" outlineLevel="1">
      <c r="C161" s="173">
        <v>88</v>
      </c>
      <c r="D161" s="801"/>
      <c r="E161" s="802"/>
      <c r="F161" s="803"/>
      <c r="G161" s="797"/>
      <c r="H161" s="797"/>
      <c r="I161" s="797"/>
      <c r="J161" s="197"/>
      <c r="K161" s="199"/>
      <c r="L161" s="16" t="str">
        <f t="shared" si="5"/>
        <v/>
      </c>
    </row>
    <row r="162" spans="3:13" outlineLevel="1">
      <c r="C162" s="173">
        <v>89</v>
      </c>
      <c r="D162" s="801"/>
      <c r="E162" s="802"/>
      <c r="F162" s="803"/>
      <c r="G162" s="797"/>
      <c r="H162" s="797"/>
      <c r="I162" s="797"/>
      <c r="J162" s="197"/>
      <c r="K162" s="199"/>
      <c r="L162" s="16" t="str">
        <f t="shared" si="5"/>
        <v/>
      </c>
    </row>
    <row r="163" spans="3:13" outlineLevel="1">
      <c r="C163" s="173">
        <v>90</v>
      </c>
      <c r="D163" s="801"/>
      <c r="E163" s="802"/>
      <c r="F163" s="803"/>
      <c r="G163" s="797"/>
      <c r="H163" s="797"/>
      <c r="I163" s="797"/>
      <c r="J163" s="197"/>
      <c r="K163" s="199"/>
      <c r="L163" s="16"/>
    </row>
    <row r="164" spans="3:13" outlineLevel="1">
      <c r="C164" s="173">
        <v>91</v>
      </c>
      <c r="D164" s="801"/>
      <c r="E164" s="802"/>
      <c r="F164" s="803"/>
      <c r="G164" s="797"/>
      <c r="H164" s="797"/>
      <c r="I164" s="797"/>
      <c r="J164" s="197"/>
      <c r="K164" s="199"/>
      <c r="L164" s="16"/>
    </row>
    <row r="165" spans="3:13" outlineLevel="1">
      <c r="C165" s="173">
        <v>92</v>
      </c>
      <c r="D165" s="801"/>
      <c r="E165" s="802"/>
      <c r="F165" s="803"/>
      <c r="G165" s="797"/>
      <c r="H165" s="797"/>
      <c r="I165" s="797"/>
      <c r="J165" s="197"/>
      <c r="K165" s="199"/>
      <c r="L165" s="16"/>
    </row>
    <row r="166" spans="3:13" outlineLevel="1">
      <c r="C166" s="173">
        <v>93</v>
      </c>
      <c r="D166" s="801"/>
      <c r="E166" s="802"/>
      <c r="F166" s="803"/>
      <c r="G166" s="797"/>
      <c r="H166" s="797"/>
      <c r="I166" s="797"/>
      <c r="J166" s="197"/>
      <c r="K166" s="199"/>
      <c r="L166" s="16"/>
    </row>
    <row r="167" spans="3:13" outlineLevel="1">
      <c r="C167" s="173">
        <v>94</v>
      </c>
      <c r="D167" s="801"/>
      <c r="E167" s="802"/>
      <c r="F167" s="803"/>
      <c r="G167" s="797"/>
      <c r="H167" s="797"/>
      <c r="I167" s="797"/>
      <c r="J167" s="197"/>
      <c r="K167" s="199"/>
      <c r="L167" s="16"/>
    </row>
    <row r="168" spans="3:13" outlineLevel="1">
      <c r="C168" s="173">
        <v>95</v>
      </c>
      <c r="D168" s="801"/>
      <c r="E168" s="802"/>
      <c r="F168" s="803"/>
      <c r="G168" s="797"/>
      <c r="H168" s="797"/>
      <c r="I168" s="797"/>
      <c r="J168" s="197"/>
      <c r="K168" s="199"/>
      <c r="L168" s="16"/>
    </row>
    <row r="169" spans="3:13" outlineLevel="1">
      <c r="C169" s="173">
        <v>96</v>
      </c>
      <c r="D169" s="801"/>
      <c r="E169" s="802"/>
      <c r="F169" s="803"/>
      <c r="G169" s="797"/>
      <c r="H169" s="797"/>
      <c r="I169" s="797"/>
      <c r="J169" s="197"/>
      <c r="K169" s="199"/>
      <c r="L169" s="16"/>
    </row>
    <row r="170" spans="3:13" outlineLevel="1">
      <c r="C170" s="173">
        <v>97</v>
      </c>
      <c r="D170" s="801"/>
      <c r="E170" s="802"/>
      <c r="F170" s="803"/>
      <c r="G170" s="797"/>
      <c r="H170" s="797"/>
      <c r="I170" s="797"/>
      <c r="J170" s="197"/>
      <c r="K170" s="199"/>
      <c r="L170" s="16"/>
    </row>
    <row r="171" spans="3:13" outlineLevel="1">
      <c r="C171" s="173">
        <v>98</v>
      </c>
      <c r="D171" s="801"/>
      <c r="E171" s="802"/>
      <c r="F171" s="803"/>
      <c r="G171" s="797"/>
      <c r="H171" s="797"/>
      <c r="I171" s="797"/>
      <c r="J171" s="197"/>
      <c r="K171" s="199"/>
      <c r="L171" s="16"/>
    </row>
    <row r="172" spans="3:13" outlineLevel="1">
      <c r="C172" s="173">
        <v>99</v>
      </c>
      <c r="D172" s="801"/>
      <c r="E172" s="802"/>
      <c r="F172" s="803"/>
      <c r="G172" s="797"/>
      <c r="H172" s="797"/>
      <c r="I172" s="797"/>
      <c r="J172" s="197"/>
      <c r="K172" s="199"/>
      <c r="L172" s="16"/>
    </row>
    <row r="173" spans="3:13" outlineLevel="1">
      <c r="C173" s="173">
        <v>100</v>
      </c>
      <c r="D173" s="801"/>
      <c r="E173" s="802"/>
      <c r="F173" s="803"/>
      <c r="G173" s="797"/>
      <c r="H173" s="797"/>
      <c r="I173" s="797"/>
      <c r="J173" s="197"/>
      <c r="K173" s="199"/>
      <c r="L173" s="16"/>
    </row>
    <row r="174" spans="3:13">
      <c r="C174" s="798" t="str">
        <f>template_label_other_pollutants</f>
        <v>Other pollutants than those listed in theRegulation (EU) 2024/1244 of the European Parliament and of the Council</v>
      </c>
      <c r="D174" s="801"/>
      <c r="E174" s="802"/>
      <c r="F174" s="803"/>
      <c r="G174" s="797"/>
      <c r="H174" s="797"/>
      <c r="I174" s="797"/>
      <c r="J174" s="197"/>
      <c r="K174" s="199"/>
      <c r="L174" s="16" t="str">
        <f t="shared" ref="L174:L184" si="6">IF(AND($G$68=TRUE,$G$69=TRUE,OR(D174&lt;&gt;"",G174&lt;&gt;"",J174&lt;&gt;"",K174&lt;&gt;"")),
    template_label_value_inconsistency,
IF($G$68&lt;&gt;TRUE, "",
IF(AND(D174="", G174="", J174="", K174=""), "",
IF(AND(D174&lt;&gt;"", G174="", J174="", K174=""), template_label_missing_value,
IF(AND(D174&lt;&gt;"", OR(G174&lt;&gt;"", J174&lt;&gt;"", K174&lt;&gt;"")),
    IF(COUNTIF($D$74:$D$184, D174)&gt;1, template_label_value_inconsistency, template_label_ok),
template_label_missing_value)))))</f>
        <v/>
      </c>
      <c r="M174" s="722" t="str">
        <f>template_label_other_pollutants_message</f>
        <v>ℹ️ The cells of column D to K (from row 174 to 184) associated to "Other pollutants than those listed in the Regulation (EU) 2024/1244 of the European Parliament and of the Council" enable the possibility of inserting amounts and names of the other pollutants, not included in the list above</v>
      </c>
    </row>
    <row r="175" spans="3:13" ht="14.4" customHeight="1" outlineLevel="1">
      <c r="C175" s="799"/>
      <c r="D175" s="801"/>
      <c r="E175" s="802"/>
      <c r="F175" s="803"/>
      <c r="G175" s="797"/>
      <c r="H175" s="797"/>
      <c r="I175" s="797"/>
      <c r="J175" s="197"/>
      <c r="K175" s="199"/>
      <c r="L175" s="16" t="str">
        <f t="shared" si="6"/>
        <v/>
      </c>
      <c r="M175" s="722"/>
    </row>
    <row r="176" spans="3:13" ht="14.4" customHeight="1" outlineLevel="1">
      <c r="C176" s="799"/>
      <c r="D176" s="801"/>
      <c r="E176" s="802"/>
      <c r="F176" s="803"/>
      <c r="G176" s="797"/>
      <c r="H176" s="797"/>
      <c r="I176" s="797"/>
      <c r="J176" s="197"/>
      <c r="K176" s="199"/>
      <c r="L176" s="16" t="str">
        <f t="shared" si="6"/>
        <v/>
      </c>
      <c r="M176" s="722"/>
    </row>
    <row r="177" spans="3:13" ht="14.4" customHeight="1" outlineLevel="1">
      <c r="C177" s="799"/>
      <c r="D177" s="801"/>
      <c r="E177" s="802"/>
      <c r="F177" s="803"/>
      <c r="G177" s="797"/>
      <c r="H177" s="797"/>
      <c r="I177" s="797"/>
      <c r="J177" s="197"/>
      <c r="K177" s="199"/>
      <c r="L177" s="16" t="str">
        <f t="shared" si="6"/>
        <v/>
      </c>
      <c r="M177" s="722"/>
    </row>
    <row r="178" spans="3:13" ht="14.4" customHeight="1" outlineLevel="1">
      <c r="C178" s="799"/>
      <c r="D178" s="801"/>
      <c r="E178" s="802"/>
      <c r="F178" s="803"/>
      <c r="G178" s="797"/>
      <c r="H178" s="797"/>
      <c r="I178" s="797"/>
      <c r="J178" s="197"/>
      <c r="K178" s="199"/>
      <c r="L178" s="16" t="str">
        <f t="shared" si="6"/>
        <v/>
      </c>
      <c r="M178" s="722"/>
    </row>
    <row r="179" spans="3:13" ht="14.4" customHeight="1" outlineLevel="1">
      <c r="C179" s="799"/>
      <c r="D179" s="801"/>
      <c r="E179" s="802"/>
      <c r="F179" s="803"/>
      <c r="G179" s="797"/>
      <c r="H179" s="797"/>
      <c r="I179" s="797"/>
      <c r="J179" s="197"/>
      <c r="K179" s="199"/>
      <c r="L179" s="16" t="str">
        <f t="shared" si="6"/>
        <v/>
      </c>
      <c r="M179" s="722"/>
    </row>
    <row r="180" spans="3:13" ht="14.4" customHeight="1" outlineLevel="1">
      <c r="C180" s="799"/>
      <c r="D180" s="801"/>
      <c r="E180" s="802"/>
      <c r="F180" s="803"/>
      <c r="G180" s="797"/>
      <c r="H180" s="797"/>
      <c r="I180" s="797"/>
      <c r="J180" s="197"/>
      <c r="K180" s="199"/>
      <c r="L180" s="16" t="str">
        <f t="shared" si="6"/>
        <v/>
      </c>
      <c r="M180" s="722"/>
    </row>
    <row r="181" spans="3:13" ht="14.4" customHeight="1" outlineLevel="1">
      <c r="C181" s="799"/>
      <c r="D181" s="801"/>
      <c r="E181" s="802"/>
      <c r="F181" s="803"/>
      <c r="G181" s="797"/>
      <c r="H181" s="797"/>
      <c r="I181" s="797"/>
      <c r="J181" s="197"/>
      <c r="K181" s="199"/>
      <c r="L181" s="16" t="str">
        <f t="shared" si="6"/>
        <v/>
      </c>
      <c r="M181" s="722"/>
    </row>
    <row r="182" spans="3:13" ht="14.4" customHeight="1" outlineLevel="1">
      <c r="C182" s="799"/>
      <c r="D182" s="801"/>
      <c r="E182" s="802"/>
      <c r="F182" s="803"/>
      <c r="G182" s="797"/>
      <c r="H182" s="797"/>
      <c r="I182" s="797"/>
      <c r="J182" s="197"/>
      <c r="K182" s="199"/>
      <c r="L182" s="16" t="str">
        <f t="shared" si="6"/>
        <v/>
      </c>
      <c r="M182" s="722"/>
    </row>
    <row r="183" spans="3:13" ht="14.4" customHeight="1" outlineLevel="1">
      <c r="C183" s="799"/>
      <c r="D183" s="801"/>
      <c r="E183" s="802"/>
      <c r="F183" s="803"/>
      <c r="G183" s="797"/>
      <c r="H183" s="797"/>
      <c r="I183" s="797"/>
      <c r="J183" s="197"/>
      <c r="K183" s="199"/>
      <c r="L183" s="16" t="str">
        <f t="shared" si="6"/>
        <v/>
      </c>
      <c r="M183" s="722"/>
    </row>
    <row r="184" spans="3:13" ht="15" customHeight="1" outlineLevel="1" thickBot="1">
      <c r="C184" s="800"/>
      <c r="D184" s="964"/>
      <c r="E184" s="965"/>
      <c r="F184" s="966"/>
      <c r="G184" s="837"/>
      <c r="H184" s="837"/>
      <c r="I184" s="837"/>
      <c r="J184" s="200"/>
      <c r="K184" s="204"/>
      <c r="L184" s="16" t="str">
        <f t="shared" si="6"/>
        <v/>
      </c>
      <c r="M184" s="722"/>
    </row>
    <row r="185" spans="3:13" ht="15" thickBot="1">
      <c r="C185" s="14"/>
      <c r="D185" s="14"/>
      <c r="E185" s="14"/>
      <c r="F185" s="14"/>
      <c r="G185" s="14"/>
      <c r="H185" s="14"/>
      <c r="I185" s="14"/>
      <c r="J185" s="14"/>
      <c r="K185" s="14"/>
    </row>
    <row r="186" spans="3:13" ht="15" thickBot="1">
      <c r="C186" s="731" t="str">
        <f>template_label_b5_sites_in_biodiversity_sensitive_areas&amp;" "&amp;template_label_from&amp;" "&amp;template_starting_date_display&amp;" "&amp;template_label_to&amp;" "&amp;template_ending_date_display&amp;""</f>
        <v>B5 - Sites in biodiversity sensitive areas from - to -</v>
      </c>
      <c r="D186" s="827"/>
      <c r="E186" s="827"/>
      <c r="F186" s="827"/>
      <c r="G186" s="827"/>
      <c r="H186" s="827"/>
      <c r="I186" s="827"/>
      <c r="J186" s="827"/>
      <c r="K186" s="828"/>
    </row>
    <row r="187" spans="3:13">
      <c r="C187" s="687">
        <v>35</v>
      </c>
      <c r="D187" s="677"/>
      <c r="E187" s="677"/>
      <c r="F187" s="677"/>
      <c r="G187" s="677"/>
      <c r="H187" s="677"/>
      <c r="I187" s="677"/>
      <c r="J187" s="677"/>
      <c r="K187" s="682"/>
    </row>
    <row r="188" spans="3:13">
      <c r="C188" s="726" t="s">
        <v>47</v>
      </c>
      <c r="D188" s="702"/>
      <c r="E188" s="702"/>
      <c r="F188" s="702"/>
      <c r="G188" s="702"/>
      <c r="H188" s="702"/>
      <c r="I188" s="702"/>
      <c r="J188" s="702"/>
      <c r="K188" s="820"/>
    </row>
    <row r="189" spans="3:13">
      <c r="C189" s="841" t="str">
        <f>template_label_does_the_undertaking_have_sites_that_are_located_in_or_near_biodiversity_sensitive_areas</f>
        <v>Does the undertaking have sites that are located in or near biodiversity sensitive areas?</v>
      </c>
      <c r="D189" s="842"/>
      <c r="E189" s="842"/>
      <c r="F189" s="842"/>
      <c r="G189" s="1016" t="b">
        <v>0</v>
      </c>
      <c r="H189" s="1016"/>
      <c r="I189" s="1016"/>
      <c r="J189" s="1016"/>
      <c r="K189" s="1017"/>
    </row>
    <row r="190" spans="3:13" ht="57.65" customHeight="1">
      <c r="C190" s="363" t="str">
        <f>template_label_related_site_id</f>
        <v>Related Site ID (select an ID from a site location reported in B1)</v>
      </c>
      <c r="D190" s="834" t="str">
        <f>template_label_site_location_in_near_a_biodiversity_area</f>
        <v>Site Location in near a biodiversity area - auto filled from B1</v>
      </c>
      <c r="E190" s="835"/>
      <c r="F190" s="836"/>
      <c r="G190" s="834" t="str">
        <f>template_label_name_of_biodiversity_sensitive_area</f>
        <v>Name of biodiversity sensitive area</v>
      </c>
      <c r="H190" s="835"/>
      <c r="I190" s="836"/>
      <c r="J190" s="240" t="str">
        <f>template_label_site_located_in_a_biodiversity_sensitive_area</f>
        <v>Site located in a biodiversity sensitive area</v>
      </c>
      <c r="K190" s="364" t="str">
        <f>template_label_site_located_near_a_biodiversity_sensitive_area</f>
        <v>Site located near a biodiversity sensitive area</v>
      </c>
    </row>
    <row r="191" spans="3:13">
      <c r="C191" s="173"/>
      <c r="D191" s="838" t="str">
        <f>IF(C191 = "", "",
IF(AND(COUNTIF('General Information'!C402:C501, C191),
        INDEX('General Information'!D402:D501, MATCH(C191, 'General Information'!C402:C501, 0)) = ""),
   "VALUE INCONSISTENCY",
IFERROR(VLOOKUP(C191, ListOfSitesTable, 5, FALSE),"") &amp; " " &amp;
IFERROR(VLOOKUP(C191, ListOfSitesTable, 4, FALSE),"") &amp; " " &amp;
IFERROR(VLOOKUP(C191, ListOfSitesTable, 2, FALSE),"")))</f>
        <v/>
      </c>
      <c r="E191" s="839"/>
      <c r="F191" s="840"/>
      <c r="G191" s="808"/>
      <c r="H191" s="809"/>
      <c r="I191" s="809"/>
      <c r="J191" s="180" t="b">
        <v>0</v>
      </c>
      <c r="K191" s="178" t="b">
        <v>0</v>
      </c>
      <c r="L191" s="17" t="str">
        <f t="shared" ref="L191:L289" si="7">IF($G$189=FALSE, "",
    IF(AND($G$189=TRUE, TRIM(D191)&lt;&gt;"", TRIM(G191)&lt;&gt;"", OR(J191=TRUE, K191=TRUE)), template_label_ok,
        IF(AND($G$189=TRUE, TRIM(D191)&lt;&gt;"", TRIM(G191)&lt;&gt;"", J191=FALSE, K191=FALSE), template_label_missing_value,
            IF(AND($G$189=TRUE, TRIM(D191)&lt;&gt;"", TRIM(G191)="", J191=FALSE, K191=FALSE), template_label_missing_value,
                IF(AND($G$189=TRUE, TRIM(D191)&lt;&gt;"", TRIM(G191)="", OR(J191=TRUE, K191=TRUE)), template_label_missing_value,
                    IF(AND($G$189=TRUE, TRIM(D191)="", TRIM(G191)&lt;&gt;"", J191=FALSE, K191=FALSE), template_label_missing_value,
                        IF(AND($G$189=TRUE, TRIM(D191)="", TRIM(G191)="", OR(J191=TRUE, K191=TRUE)), template_label_missing_value,
                            IF(AND($G$189=TRUE, TRIM(D191)="", TRIM(G191)&lt;&gt;"", OR(J191=TRUE, K191=TRUE)), template_label_missing_value,
                                ""
                            )
                        )
                    )
                )
            )
        )
    )
)</f>
        <v/>
      </c>
    </row>
    <row r="192" spans="3:13">
      <c r="C192" s="173"/>
      <c r="D192" s="831" t="str">
        <f>IF(C192 = "", "",
IF(COUNTIF($C$191:C191, C192), "VALUE INCONSISTENCY",
IF(AND(COUNTIF('General Information'!$C$402:$C$501, C192),
       INDEX('General Information'!$D$402:$D$501, MATCH(C192, 'General Information'!$C$402:$C$501, 0)) = ""),
   "VALUE INCONSISTENCY",
IFERROR(VLOOKUP(C192, ListOfSitesTable, 5, FALSE), "") &amp; " " &amp;
IFERROR(VLOOKUP(C192, ListOfSitesTable, 4, FALSE), "") &amp; " " &amp;
IFERROR(VLOOKUP(C192, ListOfSitesTable, 2, FALSE), ""))))</f>
        <v/>
      </c>
      <c r="E192" s="832"/>
      <c r="F192" s="833"/>
      <c r="G192" s="808"/>
      <c r="H192" s="809"/>
      <c r="I192" s="809"/>
      <c r="J192" s="180" t="b">
        <v>0</v>
      </c>
      <c r="K192" s="178" t="b">
        <v>0</v>
      </c>
      <c r="L192" s="17" t="str">
        <f t="shared" si="7"/>
        <v/>
      </c>
    </row>
    <row r="193" spans="3:16" ht="15" thickBot="1">
      <c r="C193" s="175"/>
      <c r="D193" s="985" t="str">
        <f>IF(C193 = "", "",
IF(COUNTIF($C$191:C192, C193), "VALUE INCONSISTENCY",
IF(AND(COUNTIF('General Information'!$C$402:$C$501, C193),
       INDEX('General Information'!$D$402:$D$501, MATCH(C193, 'General Information'!$C$402:$C$501, 0)) = ""),
   "VALUE INCONSISTENCY",
IFERROR(VLOOKUP(C193, ListOfSitesTable, 5, FALSE), "") &amp; " " &amp;
IFERROR(VLOOKUP(C193, ListOfSitesTable, 4, FALSE), "") &amp; " " &amp;
IFERROR(VLOOKUP(C193, ListOfSitesTable, 2, FALSE), ""))))</f>
        <v/>
      </c>
      <c r="E193" s="986"/>
      <c r="F193" s="987"/>
      <c r="G193" s="999"/>
      <c r="H193" s="999"/>
      <c r="I193" s="999"/>
      <c r="J193" s="181" t="b">
        <v>0</v>
      </c>
      <c r="K193" s="179" t="b">
        <v>0</v>
      </c>
      <c r="L193" s="17" t="str">
        <f t="shared" si="7"/>
        <v/>
      </c>
    </row>
    <row r="194" spans="3:16" outlineLevel="1">
      <c r="C194" s="174"/>
      <c r="D194" s="843" t="str">
        <f>IF(C194 = "", "",
IF(COUNTIF($C$191:C193, C194), "VALUE INCONSISTENCY",
IF(AND(COUNTIF('General Information'!$C$402:$C$501, C194),
       INDEX('General Information'!$D$402:$D$501, MATCH(C194, 'General Information'!$C$402:$C$501, 0)) = ""),
   "VALUE INCONSISTENCY",
IFERROR(VLOOKUP(C194, ListOfSitesTable, 5, FALSE), "") &amp; " " &amp;
IFERROR(VLOOKUP(C194, ListOfSitesTable, 4, FALSE), "") &amp; " " &amp;
IFERROR(VLOOKUP(C194, ListOfSitesTable, 2, FALSE), ""))))</f>
        <v/>
      </c>
      <c r="E194" s="844"/>
      <c r="F194" s="845"/>
      <c r="G194" s="1013"/>
      <c r="H194" s="1014"/>
      <c r="I194" s="1015"/>
      <c r="J194" s="182" t="b">
        <v>0</v>
      </c>
      <c r="K194" s="177" t="b">
        <v>0</v>
      </c>
      <c r="L194" s="17" t="str">
        <f t="shared" si="7"/>
        <v/>
      </c>
      <c r="M194" s="10"/>
      <c r="N194" s="10"/>
      <c r="O194" s="10"/>
      <c r="P194" s="10"/>
    </row>
    <row r="195" spans="3:16" outlineLevel="1">
      <c r="C195" s="174"/>
      <c r="D195" s="831" t="str">
        <f>IF(C195 = "", "",
IF(COUNTIF($C$191:C194, C195), "VALUE INCONSISTENCY",
IF(AND(COUNTIF('General Information'!$C$402:$C$501, C195),
       INDEX('General Information'!$D$402:$D$501, MATCH(C195, 'General Information'!$C$402:$C$501, 0)) = ""),
   "VALUE INCONSISTENCY",
IFERROR(VLOOKUP(C195, ListOfSitesTable, 5, FALSE), "") &amp; " " &amp;
IFERROR(VLOOKUP(C195, ListOfSitesTable, 4, FALSE), "") &amp; " " &amp;
IFERROR(VLOOKUP(C195, ListOfSitesTable, 2, FALSE), ""))))</f>
        <v/>
      </c>
      <c r="E195" s="832"/>
      <c r="F195" s="833"/>
      <c r="G195" s="808"/>
      <c r="H195" s="809"/>
      <c r="I195" s="810"/>
      <c r="J195" s="183" t="b">
        <v>0</v>
      </c>
      <c r="K195" s="178" t="b">
        <v>0</v>
      </c>
      <c r="L195" s="17" t="str">
        <f t="shared" si="7"/>
        <v/>
      </c>
      <c r="M195" s="10"/>
      <c r="N195" s="10"/>
      <c r="O195" s="10"/>
      <c r="P195" s="10"/>
    </row>
    <row r="196" spans="3:16" outlineLevel="1">
      <c r="C196" s="173"/>
      <c r="D196" s="831" t="str">
        <f>IF(C196 = "", "",
IF(COUNTIF($C$191:C195, C196), "VALUE INCONSISTENCY",
IF(AND(COUNTIF('General Information'!$C$402:$C$501, C196),
       INDEX('General Information'!$D$402:$D$501, MATCH(C196, 'General Information'!$C$402:$C$501, 0)) = ""),
   "VALUE INCONSISTENCY",
IFERROR(VLOOKUP(C196, ListOfSitesTable, 5, FALSE), "") &amp; " " &amp;
IFERROR(VLOOKUP(C196, ListOfSitesTable, 4, FALSE), "") &amp; " " &amp;
IFERROR(VLOOKUP(C196, ListOfSitesTable, 2, FALSE), ""))))</f>
        <v/>
      </c>
      <c r="E196" s="832"/>
      <c r="F196" s="833"/>
      <c r="G196" s="808"/>
      <c r="H196" s="809"/>
      <c r="I196" s="810"/>
      <c r="J196" s="183" t="b">
        <v>0</v>
      </c>
      <c r="K196" s="178" t="b">
        <v>0</v>
      </c>
      <c r="L196" s="17" t="str">
        <f t="shared" si="7"/>
        <v/>
      </c>
      <c r="M196" s="10"/>
      <c r="N196" s="10"/>
      <c r="O196" s="10"/>
      <c r="P196" s="10"/>
    </row>
    <row r="197" spans="3:16" outlineLevel="1">
      <c r="C197" s="173"/>
      <c r="D197" s="831" t="str">
        <f>IF(C197 = "", "",
IF(COUNTIF($C$191:C196, C197), "VALUE INCONSISTENCY",
IF(AND(COUNTIF('General Information'!$C$402:$C$501, C197),
       INDEX('General Information'!$D$402:$D$501, MATCH(C197, 'General Information'!$C$402:$C$501, 0)) = ""),
   "VALUE INCONSISTENCY",
IFERROR(VLOOKUP(C197, ListOfSitesTable, 5, FALSE), "") &amp; " " &amp;
IFERROR(VLOOKUP(C197, ListOfSitesTable, 4, FALSE), "") &amp; " " &amp;
IFERROR(VLOOKUP(C197, ListOfSitesTable, 2, FALSE), ""))))</f>
        <v/>
      </c>
      <c r="E197" s="832"/>
      <c r="F197" s="833"/>
      <c r="G197" s="808"/>
      <c r="H197" s="809"/>
      <c r="I197" s="810"/>
      <c r="J197" s="183" t="b">
        <v>0</v>
      </c>
      <c r="K197" s="178" t="b">
        <v>0</v>
      </c>
      <c r="L197" s="17" t="str">
        <f t="shared" si="7"/>
        <v/>
      </c>
      <c r="M197" s="10"/>
      <c r="N197" s="10"/>
      <c r="O197" s="10"/>
      <c r="P197" s="10"/>
    </row>
    <row r="198" spans="3:16" outlineLevel="1">
      <c r="C198" s="173"/>
      <c r="D198" s="831" t="str">
        <f>IF(C198 = "", "",
IF(COUNTIF($C$191:C197, C198), "VALUE INCONSISTENCY",
IF(AND(COUNTIF('General Information'!$C$402:$C$501, C198),
       INDEX('General Information'!$D$402:$D$501, MATCH(C198, 'General Information'!$C$402:$C$501, 0)) = ""),
   "VALUE INCONSISTENCY",
IFERROR(VLOOKUP(C198, ListOfSitesTable, 5, FALSE), "") &amp; " " &amp;
IFERROR(VLOOKUP(C198, ListOfSitesTable, 4, FALSE), "") &amp; " " &amp;
IFERROR(VLOOKUP(C198, ListOfSitesTable, 2, FALSE), ""))))</f>
        <v/>
      </c>
      <c r="E198" s="832"/>
      <c r="F198" s="833"/>
      <c r="G198" s="808"/>
      <c r="H198" s="809"/>
      <c r="I198" s="810"/>
      <c r="J198" s="183" t="b">
        <v>0</v>
      </c>
      <c r="K198" s="178" t="b">
        <v>0</v>
      </c>
      <c r="L198" s="17" t="str">
        <f t="shared" si="7"/>
        <v/>
      </c>
      <c r="M198" s="10"/>
      <c r="N198" s="10"/>
      <c r="O198" s="10"/>
      <c r="P198" s="10"/>
    </row>
    <row r="199" spans="3:16" outlineLevel="1">
      <c r="C199" s="173"/>
      <c r="D199" s="831" t="str">
        <f>IF(C199 = "", "",
IF(COUNTIF($C$191:C198, C199), "VALUE INCONSISTENCY",
IF(AND(COUNTIF('General Information'!$C$402:$C$501, C199),
       INDEX('General Information'!$D$402:$D$501, MATCH(C199, 'General Information'!$C$402:$C$501, 0)) = ""),
   "VALUE INCONSISTENCY",
IFERROR(VLOOKUP(C199, ListOfSitesTable, 5, FALSE), "") &amp; " " &amp;
IFERROR(VLOOKUP(C199, ListOfSitesTable, 4, FALSE), "") &amp; " " &amp;
IFERROR(VLOOKUP(C199, ListOfSitesTable, 2, FALSE), ""))))</f>
        <v/>
      </c>
      <c r="E199" s="832"/>
      <c r="F199" s="833"/>
      <c r="G199" s="808"/>
      <c r="H199" s="809"/>
      <c r="I199" s="810"/>
      <c r="J199" s="183" t="b">
        <v>0</v>
      </c>
      <c r="K199" s="178" t="b">
        <v>0</v>
      </c>
      <c r="L199" s="17" t="str">
        <f t="shared" si="7"/>
        <v/>
      </c>
      <c r="M199" s="10"/>
      <c r="N199" s="10"/>
      <c r="O199" s="10"/>
      <c r="P199" s="10"/>
    </row>
    <row r="200" spans="3:16" outlineLevel="1">
      <c r="C200" s="173"/>
      <c r="D200" s="831" t="str">
        <f>IF(C200 = "", "",
IF(COUNTIF($C$191:C199, C200), "VALUE INCONSISTENCY",
IF(AND(COUNTIF('General Information'!$C$402:$C$501, C200),
       INDEX('General Information'!$D$402:$D$501, MATCH(C200, 'General Information'!$C$402:$C$501, 0)) = ""),
   "VALUE INCONSISTENCY",
IFERROR(VLOOKUP(C200, ListOfSitesTable, 5, FALSE), "") &amp; " " &amp;
IFERROR(VLOOKUP(C200, ListOfSitesTable, 4, FALSE), "") &amp; " " &amp;
IFERROR(VLOOKUP(C200, ListOfSitesTable, 2, FALSE), ""))))</f>
        <v/>
      </c>
      <c r="E200" s="832"/>
      <c r="F200" s="833"/>
      <c r="G200" s="808"/>
      <c r="H200" s="809"/>
      <c r="I200" s="810"/>
      <c r="J200" s="183" t="b">
        <v>0</v>
      </c>
      <c r="K200" s="178" t="b">
        <v>0</v>
      </c>
      <c r="L200" s="17" t="str">
        <f t="shared" si="7"/>
        <v/>
      </c>
      <c r="M200" s="10"/>
      <c r="N200" s="10"/>
      <c r="O200" s="10"/>
      <c r="P200" s="10"/>
    </row>
    <row r="201" spans="3:16" outlineLevel="1">
      <c r="C201" s="173"/>
      <c r="D201" s="831" t="str">
        <f>IF(C201 = "", "",
IF(COUNTIF($C$191:C200, C201), "VALUE INCONSISTENCY",
IF(AND(COUNTIF('General Information'!$C$402:$C$501, C201),
       INDEX('General Information'!$D$402:$D$501, MATCH(C201, 'General Information'!$C$402:$C$501, 0)) = ""),
   "VALUE INCONSISTENCY",
IFERROR(VLOOKUP(C201, ListOfSitesTable, 5, FALSE), "") &amp; " " &amp;
IFERROR(VLOOKUP(C201, ListOfSitesTable, 4, FALSE), "") &amp; " " &amp;
IFERROR(VLOOKUP(C201, ListOfSitesTable, 2, FALSE), ""))))</f>
        <v/>
      </c>
      <c r="E201" s="832"/>
      <c r="F201" s="833"/>
      <c r="G201" s="808"/>
      <c r="H201" s="809"/>
      <c r="I201" s="810"/>
      <c r="J201" s="183" t="b">
        <v>0</v>
      </c>
      <c r="K201" s="178" t="b">
        <v>0</v>
      </c>
      <c r="L201" s="17" t="str">
        <f t="shared" si="7"/>
        <v/>
      </c>
      <c r="M201" s="10"/>
      <c r="N201" s="10"/>
      <c r="O201" s="10"/>
      <c r="P201" s="10"/>
    </row>
    <row r="202" spans="3:16" outlineLevel="1">
      <c r="C202" s="173"/>
      <c r="D202" s="831" t="str">
        <f>IF(C202 = "", "",
IF(COUNTIF($C$191:C201, C202), "VALUE INCONSISTENCY",
IF(AND(COUNTIF('General Information'!$C$402:$C$501, C202),
       INDEX('General Information'!$D$402:$D$501, MATCH(C202, 'General Information'!$C$402:$C$501, 0)) = ""),
   "VALUE INCONSISTENCY",
IFERROR(VLOOKUP(C202, ListOfSitesTable, 5, FALSE), "") &amp; " " &amp;
IFERROR(VLOOKUP(C202, ListOfSitesTable, 4, FALSE), "") &amp; " " &amp;
IFERROR(VLOOKUP(C202, ListOfSitesTable, 2, FALSE), ""))))</f>
        <v/>
      </c>
      <c r="E202" s="832"/>
      <c r="F202" s="833"/>
      <c r="G202" s="808"/>
      <c r="H202" s="809"/>
      <c r="I202" s="810"/>
      <c r="J202" s="183" t="b">
        <v>0</v>
      </c>
      <c r="K202" s="178" t="b">
        <v>0</v>
      </c>
      <c r="L202" s="17" t="str">
        <f t="shared" si="7"/>
        <v/>
      </c>
      <c r="M202" s="10"/>
      <c r="N202" s="10"/>
      <c r="O202" s="10"/>
      <c r="P202" s="10"/>
    </row>
    <row r="203" spans="3:16" outlineLevel="1">
      <c r="C203" s="173"/>
      <c r="D203" s="831" t="str">
        <f>IF(C203 = "", "",
IF(COUNTIF($C$191:C202, C203), "VALUE INCONSISTENCY",
IF(AND(COUNTIF('General Information'!$C$402:$C$501, C203),
       INDEX('General Information'!$D$402:$D$501, MATCH(C203, 'General Information'!$C$402:$C$501, 0)) = ""),
   "VALUE INCONSISTENCY",
IFERROR(VLOOKUP(C203, ListOfSitesTable, 5, FALSE), "") &amp; " " &amp;
IFERROR(VLOOKUP(C203, ListOfSitesTable, 4, FALSE), "") &amp; " " &amp;
IFERROR(VLOOKUP(C203, ListOfSitesTable, 2, FALSE), ""))))</f>
        <v/>
      </c>
      <c r="E203" s="832"/>
      <c r="F203" s="833"/>
      <c r="G203" s="808"/>
      <c r="H203" s="809"/>
      <c r="I203" s="810"/>
      <c r="J203" s="183" t="b">
        <v>0</v>
      </c>
      <c r="K203" s="178" t="b">
        <v>0</v>
      </c>
      <c r="L203" s="17" t="str">
        <f t="shared" si="7"/>
        <v/>
      </c>
      <c r="M203" s="10"/>
      <c r="N203" s="10"/>
      <c r="O203" s="10"/>
      <c r="P203" s="10"/>
    </row>
    <row r="204" spans="3:16" outlineLevel="1">
      <c r="C204" s="173"/>
      <c r="D204" s="831" t="str">
        <f>IF(C204 = "", "",
IF(COUNTIF($C$191:C203, C204), "VALUE INCONSISTENCY",
IF(AND(COUNTIF('General Information'!$C$402:$C$501, C204),
       INDEX('General Information'!$D$402:$D$501, MATCH(C204, 'General Information'!$C$402:$C$501, 0)) = ""),
   "VALUE INCONSISTENCY",
IFERROR(VLOOKUP(C204, ListOfSitesTable, 5, FALSE), "") &amp; " " &amp;
IFERROR(VLOOKUP(C204, ListOfSitesTable, 4, FALSE), "") &amp; " " &amp;
IFERROR(VLOOKUP(C204, ListOfSitesTable, 2, FALSE), ""))))</f>
        <v/>
      </c>
      <c r="E204" s="832"/>
      <c r="F204" s="833"/>
      <c r="G204" s="808"/>
      <c r="H204" s="809"/>
      <c r="I204" s="810"/>
      <c r="J204" s="183" t="b">
        <v>0</v>
      </c>
      <c r="K204" s="178" t="b">
        <v>0</v>
      </c>
      <c r="L204" s="17" t="str">
        <f t="shared" si="7"/>
        <v/>
      </c>
      <c r="M204" s="10"/>
      <c r="N204" s="10"/>
      <c r="O204" s="10"/>
      <c r="P204" s="10"/>
    </row>
    <row r="205" spans="3:16" outlineLevel="1">
      <c r="C205" s="173"/>
      <c r="D205" s="831" t="str">
        <f>IF(C205 = "", "",
IF(COUNTIF($C$191:C204, C205), "VALUE INCONSISTENCY",
IF(AND(COUNTIF('General Information'!$C$402:$C$501, C205),
       INDEX('General Information'!$D$402:$D$501, MATCH(C205, 'General Information'!$C$402:$C$501, 0)) = ""),
   "VALUE INCONSISTENCY",
IFERROR(VLOOKUP(C205, ListOfSitesTable, 5, FALSE), "") &amp; " " &amp;
IFERROR(VLOOKUP(C205, ListOfSitesTable, 4, FALSE), "") &amp; " " &amp;
IFERROR(VLOOKUP(C205, ListOfSitesTable, 2, FALSE), ""))))</f>
        <v/>
      </c>
      <c r="E205" s="832"/>
      <c r="F205" s="833"/>
      <c r="G205" s="808"/>
      <c r="H205" s="809"/>
      <c r="I205" s="810"/>
      <c r="J205" s="183" t="b">
        <v>0</v>
      </c>
      <c r="K205" s="178" t="b">
        <v>0</v>
      </c>
      <c r="L205" s="17" t="str">
        <f t="shared" si="7"/>
        <v/>
      </c>
      <c r="M205" s="10"/>
      <c r="N205" s="10"/>
      <c r="O205" s="10"/>
      <c r="P205" s="10"/>
    </row>
    <row r="206" spans="3:16" outlineLevel="1">
      <c r="C206" s="173"/>
      <c r="D206" s="831" t="str">
        <f>IF(C206 = "", "",
IF(COUNTIF($C$191:C205, C206), "VALUE INCONSISTENCY",
IF(AND(COUNTIF('General Information'!$C$402:$C$501, C206),
       INDEX('General Information'!$D$402:$D$501, MATCH(C206, 'General Information'!$C$402:$C$501, 0)) = ""),
   "VALUE INCONSISTENCY",
IFERROR(VLOOKUP(C206, ListOfSitesTable, 5, FALSE), "") &amp; " " &amp;
IFERROR(VLOOKUP(C206, ListOfSitesTable, 4, FALSE), "") &amp; " " &amp;
IFERROR(VLOOKUP(C206, ListOfSitesTable, 2, FALSE), ""))))</f>
        <v/>
      </c>
      <c r="E206" s="832"/>
      <c r="F206" s="833"/>
      <c r="G206" s="808"/>
      <c r="H206" s="809"/>
      <c r="I206" s="810"/>
      <c r="J206" s="183" t="b">
        <v>0</v>
      </c>
      <c r="K206" s="178" t="b">
        <v>0</v>
      </c>
      <c r="L206" s="17" t="str">
        <f t="shared" si="7"/>
        <v/>
      </c>
      <c r="M206" s="10"/>
      <c r="N206" s="10"/>
      <c r="O206" s="10"/>
      <c r="P206" s="10"/>
    </row>
    <row r="207" spans="3:16" outlineLevel="1">
      <c r="C207" s="173"/>
      <c r="D207" s="831" t="str">
        <f>IF(C207 = "", "",
IF(COUNTIF($C$191:C206, C207), "VALUE INCONSISTENCY",
IF(AND(COUNTIF('General Information'!$C$402:$C$501, C207),
       INDEX('General Information'!$D$402:$D$501, MATCH(C207, 'General Information'!$C$402:$C$501, 0)) = ""),
   "VALUE INCONSISTENCY",
IFERROR(VLOOKUP(C207, ListOfSitesTable, 5, FALSE), "") &amp; " " &amp;
IFERROR(VLOOKUP(C207, ListOfSitesTable, 4, FALSE), "") &amp; " " &amp;
IFERROR(VLOOKUP(C207, ListOfSitesTable, 2, FALSE), ""))))</f>
        <v/>
      </c>
      <c r="E207" s="832"/>
      <c r="F207" s="833"/>
      <c r="G207" s="808"/>
      <c r="H207" s="809"/>
      <c r="I207" s="810"/>
      <c r="J207" s="183" t="b">
        <v>0</v>
      </c>
      <c r="K207" s="178" t="b">
        <v>0</v>
      </c>
      <c r="L207" s="17" t="str">
        <f t="shared" si="7"/>
        <v/>
      </c>
      <c r="M207" s="10"/>
      <c r="N207" s="10"/>
      <c r="O207" s="10"/>
      <c r="P207" s="10"/>
    </row>
    <row r="208" spans="3:16" outlineLevel="1">
      <c r="C208" s="173"/>
      <c r="D208" s="831" t="str">
        <f>IF(C208 = "", "",
IF(COUNTIF($C$191:C207, C208), "VALUE INCONSISTENCY",
IF(AND(COUNTIF('General Information'!$C$402:$C$501, C208),
       INDEX('General Information'!$D$402:$D$501, MATCH(C208, 'General Information'!$C$402:$C$501, 0)) = ""),
   "VALUE INCONSISTENCY",
IFERROR(VLOOKUP(C208, ListOfSitesTable, 5, FALSE), "") &amp; " " &amp;
IFERROR(VLOOKUP(C208, ListOfSitesTable, 4, FALSE), "") &amp; " " &amp;
IFERROR(VLOOKUP(C208, ListOfSitesTable, 2, FALSE), ""))))</f>
        <v/>
      </c>
      <c r="E208" s="832"/>
      <c r="F208" s="833"/>
      <c r="G208" s="808"/>
      <c r="H208" s="809"/>
      <c r="I208" s="810"/>
      <c r="J208" s="183" t="b">
        <v>0</v>
      </c>
      <c r="K208" s="178" t="b">
        <v>0</v>
      </c>
      <c r="L208" s="17" t="str">
        <f t="shared" si="7"/>
        <v/>
      </c>
      <c r="M208" s="10"/>
      <c r="N208" s="10"/>
      <c r="O208" s="10"/>
      <c r="P208" s="10"/>
    </row>
    <row r="209" spans="3:16" outlineLevel="1">
      <c r="C209" s="173"/>
      <c r="D209" s="831" t="str">
        <f>IF(C209 = "", "",
IF(COUNTIF($C$191:C208, C209), "VALUE INCONSISTENCY",
IF(AND(COUNTIF('General Information'!$C$402:$C$501, C209),
       INDEX('General Information'!$D$402:$D$501, MATCH(C209, 'General Information'!$C$402:$C$501, 0)) = ""),
   "VALUE INCONSISTENCY",
IFERROR(VLOOKUP(C209, ListOfSitesTable, 5, FALSE), "") &amp; " " &amp;
IFERROR(VLOOKUP(C209, ListOfSitesTable, 4, FALSE), "") &amp; " " &amp;
IFERROR(VLOOKUP(C209, ListOfSitesTable, 2, FALSE), ""))))</f>
        <v/>
      </c>
      <c r="E209" s="832"/>
      <c r="F209" s="833"/>
      <c r="G209" s="808"/>
      <c r="H209" s="809"/>
      <c r="I209" s="810"/>
      <c r="J209" s="183" t="b">
        <v>0</v>
      </c>
      <c r="K209" s="178" t="b">
        <v>0</v>
      </c>
      <c r="L209" s="17" t="str">
        <f t="shared" si="7"/>
        <v/>
      </c>
      <c r="M209" s="10"/>
      <c r="N209" s="10"/>
      <c r="O209" s="10"/>
      <c r="P209" s="10"/>
    </row>
    <row r="210" spans="3:16" outlineLevel="1">
      <c r="C210" s="173"/>
      <c r="D210" s="831" t="str">
        <f>IF(C210 = "", "",
IF(COUNTIF($C$191:C209, C210), "VALUE INCONSISTENCY",
IF(AND(COUNTIF('General Information'!$C$402:$C$501, C210),
       INDEX('General Information'!$D$402:$D$501, MATCH(C210, 'General Information'!$C$402:$C$501, 0)) = ""),
   "VALUE INCONSISTENCY",
IFERROR(VLOOKUP(C210, ListOfSitesTable, 5, FALSE), "") &amp; " " &amp;
IFERROR(VLOOKUP(C210, ListOfSitesTable, 4, FALSE), "") &amp; " " &amp;
IFERROR(VLOOKUP(C210, ListOfSitesTable, 2, FALSE), ""))))</f>
        <v/>
      </c>
      <c r="E210" s="832"/>
      <c r="F210" s="833"/>
      <c r="G210" s="808"/>
      <c r="H210" s="809"/>
      <c r="I210" s="810"/>
      <c r="J210" s="183" t="b">
        <v>0</v>
      </c>
      <c r="K210" s="178" t="b">
        <v>0</v>
      </c>
      <c r="L210" s="17" t="str">
        <f t="shared" si="7"/>
        <v/>
      </c>
      <c r="M210" s="10"/>
      <c r="N210" s="10"/>
      <c r="O210" s="10"/>
      <c r="P210" s="10"/>
    </row>
    <row r="211" spans="3:16" outlineLevel="1">
      <c r="C211" s="173"/>
      <c r="D211" s="831" t="str">
        <f>IF(C211 = "", "",
IF(COUNTIF($C$191:C210, C211), "VALUE INCONSISTENCY",
IF(AND(COUNTIF('General Information'!$C$402:$C$501, C211),
       INDEX('General Information'!$D$402:$D$501, MATCH(C211, 'General Information'!$C$402:$C$501, 0)) = ""),
   "VALUE INCONSISTENCY",
IFERROR(VLOOKUP(C211, ListOfSitesTable, 5, FALSE), "") &amp; " " &amp;
IFERROR(VLOOKUP(C211, ListOfSitesTable, 4, FALSE), "") &amp; " " &amp;
IFERROR(VLOOKUP(C211, ListOfSitesTable, 2, FALSE), ""))))</f>
        <v/>
      </c>
      <c r="E211" s="832"/>
      <c r="F211" s="833"/>
      <c r="G211" s="808"/>
      <c r="H211" s="809"/>
      <c r="I211" s="810"/>
      <c r="J211" s="183" t="b">
        <v>0</v>
      </c>
      <c r="K211" s="178" t="b">
        <v>0</v>
      </c>
      <c r="L211" s="17" t="str">
        <f t="shared" si="7"/>
        <v/>
      </c>
      <c r="M211" s="10"/>
      <c r="N211" s="10"/>
      <c r="O211" s="10"/>
      <c r="P211" s="10"/>
    </row>
    <row r="212" spans="3:16" outlineLevel="1">
      <c r="C212" s="173"/>
      <c r="D212" s="831" t="str">
        <f>IF(C212 = "", "",
IF(COUNTIF($C$191:C211, C212), "VALUE INCONSISTENCY",
IF(AND(COUNTIF('General Information'!$C$402:$C$501, C212),
       INDEX('General Information'!$D$402:$D$501, MATCH(C212, 'General Information'!$C$402:$C$501, 0)) = ""),
   "VALUE INCONSISTENCY",
IFERROR(VLOOKUP(C212, ListOfSitesTable, 5, FALSE), "") &amp; " " &amp;
IFERROR(VLOOKUP(C212, ListOfSitesTable, 4, FALSE), "") &amp; " " &amp;
IFERROR(VLOOKUP(C212, ListOfSitesTable, 2, FALSE), ""))))</f>
        <v/>
      </c>
      <c r="E212" s="832"/>
      <c r="F212" s="833"/>
      <c r="G212" s="808"/>
      <c r="H212" s="809"/>
      <c r="I212" s="810"/>
      <c r="J212" s="183" t="b">
        <v>0</v>
      </c>
      <c r="K212" s="178" t="b">
        <v>0</v>
      </c>
      <c r="L212" s="17" t="str">
        <f t="shared" si="7"/>
        <v/>
      </c>
      <c r="M212" s="10"/>
      <c r="N212" s="10"/>
      <c r="O212" s="10"/>
      <c r="P212" s="10"/>
    </row>
    <row r="213" spans="3:16" outlineLevel="1">
      <c r="C213" s="173"/>
      <c r="D213" s="831" t="str">
        <f>IF(C213 = "", "",
IF(COUNTIF($C$191:C212, C213), "VALUE INCONSISTENCY",
IF(AND(COUNTIF('General Information'!$C$402:$C$501, C213),
       INDEX('General Information'!$D$402:$D$501, MATCH(C213, 'General Information'!$C$402:$C$501, 0)) = ""),
   "VALUE INCONSISTENCY",
IFERROR(VLOOKUP(C213, ListOfSitesTable, 5, FALSE), "") &amp; " " &amp;
IFERROR(VLOOKUP(C213, ListOfSitesTable, 4, FALSE), "") &amp; " " &amp;
IFERROR(VLOOKUP(C213, ListOfSitesTable, 2, FALSE), ""))))</f>
        <v/>
      </c>
      <c r="E213" s="832"/>
      <c r="F213" s="833"/>
      <c r="G213" s="808"/>
      <c r="H213" s="809"/>
      <c r="I213" s="810"/>
      <c r="J213" s="183" t="b">
        <v>0</v>
      </c>
      <c r="K213" s="178" t="b">
        <v>0</v>
      </c>
      <c r="L213" s="17" t="str">
        <f t="shared" si="7"/>
        <v/>
      </c>
      <c r="M213" s="10"/>
      <c r="N213" s="10"/>
      <c r="O213" s="10"/>
      <c r="P213" s="10"/>
    </row>
    <row r="214" spans="3:16" outlineLevel="1">
      <c r="C214" s="173"/>
      <c r="D214" s="831" t="str">
        <f>IF(C214 = "", "",
IF(COUNTIF($C$191:C213, C214), "VALUE INCONSISTENCY",
IF(AND(COUNTIF('General Information'!$C$402:$C$501, C214),
       INDEX('General Information'!$D$402:$D$501, MATCH(C214, 'General Information'!$C$402:$C$501, 0)) = ""),
   "VALUE INCONSISTENCY",
IFERROR(VLOOKUP(C214, ListOfSitesTable, 5, FALSE), "") &amp; " " &amp;
IFERROR(VLOOKUP(C214, ListOfSitesTable, 4, FALSE), "") &amp; " " &amp;
IFERROR(VLOOKUP(C214, ListOfSitesTable, 2, FALSE), ""))))</f>
        <v/>
      </c>
      <c r="E214" s="832"/>
      <c r="F214" s="833"/>
      <c r="G214" s="808"/>
      <c r="H214" s="809"/>
      <c r="I214" s="810"/>
      <c r="J214" s="183" t="b">
        <v>0</v>
      </c>
      <c r="K214" s="178" t="b">
        <v>0</v>
      </c>
      <c r="L214" s="17" t="str">
        <f t="shared" si="7"/>
        <v/>
      </c>
      <c r="M214" s="10"/>
      <c r="N214" s="10"/>
      <c r="O214" s="10"/>
      <c r="P214" s="10"/>
    </row>
    <row r="215" spans="3:16" outlineLevel="1">
      <c r="C215" s="173"/>
      <c r="D215" s="831" t="str">
        <f>IF(C215 = "", "",
IF(COUNTIF($C$191:C214, C215), "VALUE INCONSISTENCY",
IF(AND(COUNTIF('General Information'!$C$402:$C$501, C215),
       INDEX('General Information'!$D$402:$D$501, MATCH(C215, 'General Information'!$C$402:$C$501, 0)) = ""),
   "VALUE INCONSISTENCY",
IFERROR(VLOOKUP(C215, ListOfSitesTable, 5, FALSE), "") &amp; " " &amp;
IFERROR(VLOOKUP(C215, ListOfSitesTable, 4, FALSE), "") &amp; " " &amp;
IFERROR(VLOOKUP(C215, ListOfSitesTable, 2, FALSE), ""))))</f>
        <v/>
      </c>
      <c r="E215" s="832"/>
      <c r="F215" s="833"/>
      <c r="G215" s="808"/>
      <c r="H215" s="809"/>
      <c r="I215" s="810"/>
      <c r="J215" s="183" t="b">
        <v>0</v>
      </c>
      <c r="K215" s="178" t="b">
        <v>0</v>
      </c>
      <c r="L215" s="17" t="str">
        <f t="shared" si="7"/>
        <v/>
      </c>
      <c r="M215" s="10"/>
      <c r="N215" s="10"/>
      <c r="O215" s="10"/>
      <c r="P215" s="10"/>
    </row>
    <row r="216" spans="3:16" outlineLevel="1">
      <c r="C216" s="173"/>
      <c r="D216" s="831" t="str">
        <f>IF(C216 = "", "",
IF(COUNTIF($C$191:C215, C216), "VALUE INCONSISTENCY",
IF(AND(COUNTIF('General Information'!$C$402:$C$501, C216),
       INDEX('General Information'!$D$402:$D$501, MATCH(C216, 'General Information'!$C$402:$C$501, 0)) = ""),
   "VALUE INCONSISTENCY",
IFERROR(VLOOKUP(C216, ListOfSitesTable, 5, FALSE), "") &amp; " " &amp;
IFERROR(VLOOKUP(C216, ListOfSitesTable, 4, FALSE), "") &amp; " " &amp;
IFERROR(VLOOKUP(C216, ListOfSitesTable, 2, FALSE), ""))))</f>
        <v/>
      </c>
      <c r="E216" s="832"/>
      <c r="F216" s="833"/>
      <c r="G216" s="808"/>
      <c r="H216" s="809"/>
      <c r="I216" s="810"/>
      <c r="J216" s="183" t="b">
        <v>0</v>
      </c>
      <c r="K216" s="178" t="b">
        <v>0</v>
      </c>
      <c r="L216" s="17" t="str">
        <f t="shared" si="7"/>
        <v/>
      </c>
      <c r="M216" s="10"/>
      <c r="N216" s="10"/>
      <c r="O216" s="10"/>
      <c r="P216" s="10"/>
    </row>
    <row r="217" spans="3:16" outlineLevel="1">
      <c r="C217" s="173"/>
      <c r="D217" s="831" t="str">
        <f>IF(C217 = "", "",
IF(COUNTIF($C$191:C216, C217), "VALUE INCONSISTENCY",
IF(AND(COUNTIF('General Information'!$C$402:$C$501, C217),
       INDEX('General Information'!$D$402:$D$501, MATCH(C217, 'General Information'!$C$402:$C$501, 0)) = ""),
   "VALUE INCONSISTENCY",
IFERROR(VLOOKUP(C217, ListOfSitesTable, 5, FALSE), "") &amp; " " &amp;
IFERROR(VLOOKUP(C217, ListOfSitesTable, 4, FALSE), "") &amp; " " &amp;
IFERROR(VLOOKUP(C217, ListOfSitesTable, 2, FALSE), ""))))</f>
        <v/>
      </c>
      <c r="E217" s="832"/>
      <c r="F217" s="833"/>
      <c r="G217" s="808"/>
      <c r="H217" s="809"/>
      <c r="I217" s="810"/>
      <c r="J217" s="183" t="b">
        <v>0</v>
      </c>
      <c r="K217" s="178" t="b">
        <v>0</v>
      </c>
      <c r="L217" s="17" t="str">
        <f t="shared" si="7"/>
        <v/>
      </c>
      <c r="M217" s="10"/>
      <c r="N217" s="10"/>
      <c r="O217" s="10"/>
      <c r="P217" s="10"/>
    </row>
    <row r="218" spans="3:16" outlineLevel="1">
      <c r="C218" s="173"/>
      <c r="D218" s="831" t="str">
        <f>IF(C218 = "", "",
IF(COUNTIF($C$191:C217, C218), "VALUE INCONSISTENCY",
IF(AND(COUNTIF('General Information'!$C$402:$C$501, C218),
       INDEX('General Information'!$D$402:$D$501, MATCH(C218, 'General Information'!$C$402:$C$501, 0)) = ""),
   "VALUE INCONSISTENCY",
IFERROR(VLOOKUP(C218, ListOfSitesTable, 5, FALSE), "") &amp; " " &amp;
IFERROR(VLOOKUP(C218, ListOfSitesTable, 4, FALSE), "") &amp; " " &amp;
IFERROR(VLOOKUP(C218, ListOfSitesTable, 2, FALSE), ""))))</f>
        <v/>
      </c>
      <c r="E218" s="832"/>
      <c r="F218" s="833"/>
      <c r="G218" s="808"/>
      <c r="H218" s="809"/>
      <c r="I218" s="810"/>
      <c r="J218" s="183" t="b">
        <v>0</v>
      </c>
      <c r="K218" s="178" t="b">
        <v>0</v>
      </c>
      <c r="L218" s="17" t="str">
        <f t="shared" si="7"/>
        <v/>
      </c>
      <c r="M218" s="10"/>
      <c r="N218" s="10"/>
      <c r="O218" s="10"/>
      <c r="P218" s="10"/>
    </row>
    <row r="219" spans="3:16" outlineLevel="1">
      <c r="C219" s="173"/>
      <c r="D219" s="831" t="str">
        <f>IF(C219 = "", "",
IF(COUNTIF($C$191:C218, C219), "VALUE INCONSISTENCY",
IF(AND(COUNTIF('General Information'!$C$402:$C$501, C219),
       INDEX('General Information'!$D$402:$D$501, MATCH(C219, 'General Information'!$C$402:$C$501, 0)) = ""),
   "VALUE INCONSISTENCY",
IFERROR(VLOOKUP(C219, ListOfSitesTable, 5, FALSE), "") &amp; " " &amp;
IFERROR(VLOOKUP(C219, ListOfSitesTable, 4, FALSE), "") &amp; " " &amp;
IFERROR(VLOOKUP(C219, ListOfSitesTable, 2, FALSE), ""))))</f>
        <v/>
      </c>
      <c r="E219" s="832"/>
      <c r="F219" s="833"/>
      <c r="G219" s="808"/>
      <c r="H219" s="809"/>
      <c r="I219" s="810"/>
      <c r="J219" s="183" t="b">
        <v>0</v>
      </c>
      <c r="K219" s="178" t="b">
        <v>0</v>
      </c>
      <c r="L219" s="17" t="str">
        <f t="shared" si="7"/>
        <v/>
      </c>
      <c r="M219" s="10"/>
      <c r="N219" s="10"/>
      <c r="O219" s="10"/>
      <c r="P219" s="10"/>
    </row>
    <row r="220" spans="3:16" outlineLevel="1">
      <c r="C220" s="173"/>
      <c r="D220" s="831" t="str">
        <f>IF(C220 = "", "",
IF(COUNTIF($C$191:C219, C220), "VALUE INCONSISTENCY",
IF(AND(COUNTIF('General Information'!$C$402:$C$501, C220),
       INDEX('General Information'!$D$402:$D$501, MATCH(C220, 'General Information'!$C$402:$C$501, 0)) = ""),
   "VALUE INCONSISTENCY",
IFERROR(VLOOKUP(C220, ListOfSitesTable, 5, FALSE), "") &amp; " " &amp;
IFERROR(VLOOKUP(C220, ListOfSitesTable, 4, FALSE), "") &amp; " " &amp;
IFERROR(VLOOKUP(C220, ListOfSitesTable, 2, FALSE), ""))))</f>
        <v/>
      </c>
      <c r="E220" s="832"/>
      <c r="F220" s="833"/>
      <c r="G220" s="808"/>
      <c r="H220" s="809"/>
      <c r="I220" s="810"/>
      <c r="J220" s="183" t="b">
        <v>0</v>
      </c>
      <c r="K220" s="178" t="b">
        <v>0</v>
      </c>
      <c r="L220" s="17" t="str">
        <f t="shared" si="7"/>
        <v/>
      </c>
      <c r="M220" s="10"/>
      <c r="N220" s="10"/>
      <c r="O220" s="10"/>
      <c r="P220" s="10"/>
    </row>
    <row r="221" spans="3:16" outlineLevel="1">
      <c r="C221" s="173"/>
      <c r="D221" s="831" t="str">
        <f>IF(C221 = "", "",
IF(COUNTIF($C$191:C220, C221), "VALUE INCONSISTENCY",
IF(AND(COUNTIF('General Information'!$C$402:$C$501, C221),
       INDEX('General Information'!$D$402:$D$501, MATCH(C221, 'General Information'!$C$402:$C$501, 0)) = ""),
   "VALUE INCONSISTENCY",
IFERROR(VLOOKUP(C221, ListOfSitesTable, 5, FALSE), "") &amp; " " &amp;
IFERROR(VLOOKUP(C221, ListOfSitesTable, 4, FALSE), "") &amp; " " &amp;
IFERROR(VLOOKUP(C221, ListOfSitesTable, 2, FALSE), ""))))</f>
        <v/>
      </c>
      <c r="E221" s="832"/>
      <c r="F221" s="833"/>
      <c r="G221" s="808"/>
      <c r="H221" s="809"/>
      <c r="I221" s="810"/>
      <c r="J221" s="183" t="b">
        <v>0</v>
      </c>
      <c r="K221" s="178" t="b">
        <v>0</v>
      </c>
      <c r="L221" s="17" t="str">
        <f t="shared" si="7"/>
        <v/>
      </c>
      <c r="M221" s="10"/>
      <c r="N221" s="10"/>
      <c r="O221" s="10"/>
      <c r="P221" s="10"/>
    </row>
    <row r="222" spans="3:16" outlineLevel="1">
      <c r="C222" s="173"/>
      <c r="D222" s="831" t="str">
        <f>IF(C222 = "", "",
IF(COUNTIF($C$191:C221, C222), "VALUE INCONSISTENCY",
IF(AND(COUNTIF('General Information'!$C$402:$C$501, C222),
       INDEX('General Information'!$D$402:$D$501, MATCH(C222, 'General Information'!$C$402:$C$501, 0)) = ""),
   "VALUE INCONSISTENCY",
IFERROR(VLOOKUP(C222, ListOfSitesTable, 5, FALSE), "") &amp; " " &amp;
IFERROR(VLOOKUP(C222, ListOfSitesTable, 4, FALSE), "") &amp; " " &amp;
IFERROR(VLOOKUP(C222, ListOfSitesTable, 2, FALSE), ""))))</f>
        <v/>
      </c>
      <c r="E222" s="832"/>
      <c r="F222" s="833"/>
      <c r="G222" s="808"/>
      <c r="H222" s="809"/>
      <c r="I222" s="810"/>
      <c r="J222" s="183" t="b">
        <v>0</v>
      </c>
      <c r="K222" s="178" t="b">
        <v>0</v>
      </c>
      <c r="L222" s="17" t="str">
        <f t="shared" si="7"/>
        <v/>
      </c>
      <c r="M222" s="10"/>
      <c r="N222" s="10"/>
      <c r="O222" s="10"/>
      <c r="P222" s="10"/>
    </row>
    <row r="223" spans="3:16" outlineLevel="1">
      <c r="C223" s="173"/>
      <c r="D223" s="831" t="str">
        <f>IF(C223 = "", "",
IF(COUNTIF($C$191:C222, C223), "VALUE INCONSISTENCY",
IF(AND(COUNTIF('General Information'!$C$402:$C$501, C223),
       INDEX('General Information'!$D$402:$D$501, MATCH(C223, 'General Information'!$C$402:$C$501, 0)) = ""),
   "VALUE INCONSISTENCY",
IFERROR(VLOOKUP(C223, ListOfSitesTable, 5, FALSE), "") &amp; " " &amp;
IFERROR(VLOOKUP(C223, ListOfSitesTable, 4, FALSE), "") &amp; " " &amp;
IFERROR(VLOOKUP(C223, ListOfSitesTable, 2, FALSE), ""))))</f>
        <v/>
      </c>
      <c r="E223" s="832"/>
      <c r="F223" s="833"/>
      <c r="G223" s="808"/>
      <c r="H223" s="809"/>
      <c r="I223" s="810"/>
      <c r="J223" s="183" t="b">
        <v>0</v>
      </c>
      <c r="K223" s="178" t="b">
        <v>0</v>
      </c>
      <c r="L223" s="17" t="str">
        <f t="shared" si="7"/>
        <v/>
      </c>
      <c r="M223" s="10"/>
      <c r="N223" s="10"/>
      <c r="O223" s="10"/>
      <c r="P223" s="10"/>
    </row>
    <row r="224" spans="3:16" outlineLevel="1">
      <c r="C224" s="173"/>
      <c r="D224" s="831" t="str">
        <f>IF(C224 = "", "",
IF(COUNTIF($C$191:C223, C224), "VALUE INCONSISTENCY",
IF(AND(COUNTIF('General Information'!$C$402:$C$501, C224),
       INDEX('General Information'!$D$402:$D$501, MATCH(C224, 'General Information'!$C$402:$C$501, 0)) = ""),
   "VALUE INCONSISTENCY",
IFERROR(VLOOKUP(C224, ListOfSitesTable, 5, FALSE), "") &amp; " " &amp;
IFERROR(VLOOKUP(C224, ListOfSitesTable, 4, FALSE), "") &amp; " " &amp;
IFERROR(VLOOKUP(C224, ListOfSitesTable, 2, FALSE), ""))))</f>
        <v/>
      </c>
      <c r="E224" s="832"/>
      <c r="F224" s="833"/>
      <c r="G224" s="808"/>
      <c r="H224" s="809"/>
      <c r="I224" s="810"/>
      <c r="J224" s="183" t="b">
        <v>0</v>
      </c>
      <c r="K224" s="178" t="b">
        <v>0</v>
      </c>
      <c r="L224" s="17" t="str">
        <f t="shared" si="7"/>
        <v/>
      </c>
      <c r="M224" s="10"/>
      <c r="N224" s="10"/>
      <c r="O224" s="10"/>
      <c r="P224" s="10"/>
    </row>
    <row r="225" spans="3:16" outlineLevel="1">
      <c r="C225" s="173"/>
      <c r="D225" s="831" t="str">
        <f>IF(C225 = "", "",
IF(COUNTIF($C$191:C224, C225), "VALUE INCONSISTENCY",
IF(AND(COUNTIF('General Information'!$C$402:$C$501, C225),
       INDEX('General Information'!$D$402:$D$501, MATCH(C225, 'General Information'!$C$402:$C$501, 0)) = ""),
   "VALUE INCONSISTENCY",
IFERROR(VLOOKUP(C225, ListOfSitesTable, 5, FALSE), "") &amp; " " &amp;
IFERROR(VLOOKUP(C225, ListOfSitesTable, 4, FALSE), "") &amp; " " &amp;
IFERROR(VLOOKUP(C225, ListOfSitesTable, 2, FALSE), ""))))</f>
        <v/>
      </c>
      <c r="E225" s="832"/>
      <c r="F225" s="833"/>
      <c r="G225" s="808"/>
      <c r="H225" s="809"/>
      <c r="I225" s="810"/>
      <c r="J225" s="183" t="b">
        <v>0</v>
      </c>
      <c r="K225" s="178" t="b">
        <v>0</v>
      </c>
      <c r="L225" s="17" t="str">
        <f t="shared" si="7"/>
        <v/>
      </c>
      <c r="M225" s="10"/>
      <c r="N225" s="10"/>
      <c r="O225" s="10"/>
      <c r="P225" s="10"/>
    </row>
    <row r="226" spans="3:16" outlineLevel="1">
      <c r="C226" s="173"/>
      <c r="D226" s="831" t="str">
        <f>IF(C226 = "", "",
IF(COUNTIF($C$191:C225, C226), "VALUE INCONSISTENCY",
IF(AND(COUNTIF('General Information'!$C$402:$C$501, C226),
       INDEX('General Information'!$D$402:$D$501, MATCH(C226, 'General Information'!$C$402:$C$501, 0)) = ""),
   "VALUE INCONSISTENCY",
IFERROR(VLOOKUP(C226, ListOfSitesTable, 5, FALSE), "") &amp; " " &amp;
IFERROR(VLOOKUP(C226, ListOfSitesTable, 4, FALSE), "") &amp; " " &amp;
IFERROR(VLOOKUP(C226, ListOfSitesTable, 2, FALSE), ""))))</f>
        <v/>
      </c>
      <c r="E226" s="832"/>
      <c r="F226" s="833"/>
      <c r="G226" s="808"/>
      <c r="H226" s="809"/>
      <c r="I226" s="810"/>
      <c r="J226" s="183" t="b">
        <v>0</v>
      </c>
      <c r="K226" s="178" t="b">
        <v>0</v>
      </c>
      <c r="L226" s="17" t="str">
        <f t="shared" si="7"/>
        <v/>
      </c>
      <c r="M226" s="10"/>
      <c r="N226" s="10"/>
      <c r="O226" s="10"/>
      <c r="P226" s="10"/>
    </row>
    <row r="227" spans="3:16" outlineLevel="1">
      <c r="C227" s="173"/>
      <c r="D227" s="831" t="str">
        <f>IF(C227 = "", "",
IF(COUNTIF($C$191:C226, C227), "VALUE INCONSISTENCY",
IF(AND(COUNTIF('General Information'!$C$402:$C$501, C227),
       INDEX('General Information'!$D$402:$D$501, MATCH(C227, 'General Information'!$C$402:$C$501, 0)) = ""),
   "VALUE INCONSISTENCY",
IFERROR(VLOOKUP(C227, ListOfSitesTable, 5, FALSE), "") &amp; " " &amp;
IFERROR(VLOOKUP(C227, ListOfSitesTable, 4, FALSE), "") &amp; " " &amp;
IFERROR(VLOOKUP(C227, ListOfSitesTable, 2, FALSE), ""))))</f>
        <v/>
      </c>
      <c r="E227" s="832"/>
      <c r="F227" s="833"/>
      <c r="G227" s="808"/>
      <c r="H227" s="809"/>
      <c r="I227" s="810"/>
      <c r="J227" s="183" t="b">
        <v>0</v>
      </c>
      <c r="K227" s="178" t="b">
        <v>0</v>
      </c>
      <c r="L227" s="17" t="str">
        <f t="shared" si="7"/>
        <v/>
      </c>
      <c r="M227" s="10"/>
      <c r="N227" s="10"/>
      <c r="O227" s="10"/>
      <c r="P227" s="10"/>
    </row>
    <row r="228" spans="3:16" outlineLevel="1">
      <c r="C228" s="173"/>
      <c r="D228" s="831" t="str">
        <f>IF(C228 = "", "",
IF(COUNTIF($C$191:C227, C228), "VALUE INCONSISTENCY",
IF(AND(COUNTIF('General Information'!$C$402:$C$501, C228),
       INDEX('General Information'!$D$402:$D$501, MATCH(C228, 'General Information'!$C$402:$C$501, 0)) = ""),
   "VALUE INCONSISTENCY",
IFERROR(VLOOKUP(C228, ListOfSitesTable, 5, FALSE), "") &amp; " " &amp;
IFERROR(VLOOKUP(C228, ListOfSitesTable, 4, FALSE), "") &amp; " " &amp;
IFERROR(VLOOKUP(C228, ListOfSitesTable, 2, FALSE), ""))))</f>
        <v/>
      </c>
      <c r="E228" s="832"/>
      <c r="F228" s="833"/>
      <c r="G228" s="808"/>
      <c r="H228" s="809"/>
      <c r="I228" s="810"/>
      <c r="J228" s="183" t="b">
        <v>0</v>
      </c>
      <c r="K228" s="178" t="b">
        <v>0</v>
      </c>
      <c r="L228" s="17" t="str">
        <f t="shared" si="7"/>
        <v/>
      </c>
      <c r="M228" s="10"/>
      <c r="N228" s="10"/>
      <c r="O228" s="10"/>
      <c r="P228" s="10"/>
    </row>
    <row r="229" spans="3:16" outlineLevel="1">
      <c r="C229" s="173"/>
      <c r="D229" s="831" t="str">
        <f>IF(C229 = "", "",
IF(COUNTIF($C$191:C228, C229), "VALUE INCONSISTENCY",
IF(AND(COUNTIF('General Information'!$C$402:$C$501, C229),
       INDEX('General Information'!$D$402:$D$501, MATCH(C229, 'General Information'!$C$402:$C$501, 0)) = ""),
   "VALUE INCONSISTENCY",
IFERROR(VLOOKUP(C229, ListOfSitesTable, 5, FALSE), "") &amp; " " &amp;
IFERROR(VLOOKUP(C229, ListOfSitesTable, 4, FALSE), "") &amp; " " &amp;
IFERROR(VLOOKUP(C229, ListOfSitesTable, 2, FALSE), ""))))</f>
        <v/>
      </c>
      <c r="E229" s="832"/>
      <c r="F229" s="833"/>
      <c r="G229" s="808"/>
      <c r="H229" s="809"/>
      <c r="I229" s="810"/>
      <c r="J229" s="183" t="b">
        <v>0</v>
      </c>
      <c r="K229" s="178" t="b">
        <v>0</v>
      </c>
      <c r="L229" s="17" t="str">
        <f t="shared" si="7"/>
        <v/>
      </c>
      <c r="M229" s="10"/>
      <c r="N229" s="10"/>
      <c r="O229" s="10"/>
      <c r="P229" s="10"/>
    </row>
    <row r="230" spans="3:16" outlineLevel="1">
      <c r="C230" s="173"/>
      <c r="D230" s="831" t="str">
        <f>IF(C230 = "", "",
IF(COUNTIF($C$191:C229, C230), "VALUE INCONSISTENCY",
IF(AND(COUNTIF('General Information'!$C$402:$C$501, C230),
       INDEX('General Information'!$D$402:$D$501, MATCH(C230, 'General Information'!$C$402:$C$501, 0)) = ""),
   "VALUE INCONSISTENCY",
IFERROR(VLOOKUP(C230, ListOfSitesTable, 5, FALSE), "") &amp; " " &amp;
IFERROR(VLOOKUP(C230, ListOfSitesTable, 4, FALSE), "") &amp; " " &amp;
IFERROR(VLOOKUP(C230, ListOfSitesTable, 2, FALSE), ""))))</f>
        <v/>
      </c>
      <c r="E230" s="832"/>
      <c r="F230" s="833"/>
      <c r="G230" s="808"/>
      <c r="H230" s="809"/>
      <c r="I230" s="810"/>
      <c r="J230" s="183" t="b">
        <v>0</v>
      </c>
      <c r="K230" s="178" t="b">
        <v>0</v>
      </c>
      <c r="L230" s="17" t="str">
        <f t="shared" si="7"/>
        <v/>
      </c>
      <c r="M230" s="10"/>
      <c r="N230" s="10"/>
      <c r="O230" s="10"/>
      <c r="P230" s="10"/>
    </row>
    <row r="231" spans="3:16" outlineLevel="1">
      <c r="C231" s="173"/>
      <c r="D231" s="831" t="str">
        <f>IF(C231 = "", "",
IF(COUNTIF($C$191:C230, C231), "VALUE INCONSISTENCY",
IF(AND(COUNTIF('General Information'!$C$402:$C$501, C231),
       INDEX('General Information'!$D$402:$D$501, MATCH(C231, 'General Information'!$C$402:$C$501, 0)) = ""),
   "VALUE INCONSISTENCY",
IFERROR(VLOOKUP(C231, ListOfSitesTable, 5, FALSE), "") &amp; " " &amp;
IFERROR(VLOOKUP(C231, ListOfSitesTable, 4, FALSE), "") &amp; " " &amp;
IFERROR(VLOOKUP(C231, ListOfSitesTable, 2, FALSE), ""))))</f>
        <v/>
      </c>
      <c r="E231" s="832"/>
      <c r="F231" s="833"/>
      <c r="G231" s="808"/>
      <c r="H231" s="809"/>
      <c r="I231" s="810"/>
      <c r="J231" s="183" t="b">
        <v>0</v>
      </c>
      <c r="K231" s="178" t="b">
        <v>0</v>
      </c>
      <c r="L231" s="17" t="str">
        <f t="shared" si="7"/>
        <v/>
      </c>
      <c r="M231" s="10"/>
      <c r="N231" s="10"/>
      <c r="O231" s="10"/>
      <c r="P231" s="10"/>
    </row>
    <row r="232" spans="3:16" outlineLevel="1">
      <c r="C232" s="173"/>
      <c r="D232" s="831" t="str">
        <f>IF(C232 = "", "",
IF(COUNTIF($C$191:C231, C232), "VALUE INCONSISTENCY",
IF(AND(COUNTIF('General Information'!$C$402:$C$501, C232),
       INDEX('General Information'!$D$402:$D$501, MATCH(C232, 'General Information'!$C$402:$C$501, 0)) = ""),
   "VALUE INCONSISTENCY",
IFERROR(VLOOKUP(C232, ListOfSitesTable, 5, FALSE), "") &amp; " " &amp;
IFERROR(VLOOKUP(C232, ListOfSitesTable, 4, FALSE), "") &amp; " " &amp;
IFERROR(VLOOKUP(C232, ListOfSitesTable, 2, FALSE), ""))))</f>
        <v/>
      </c>
      <c r="E232" s="832"/>
      <c r="F232" s="833"/>
      <c r="G232" s="808"/>
      <c r="H232" s="809"/>
      <c r="I232" s="810"/>
      <c r="J232" s="183" t="b">
        <v>0</v>
      </c>
      <c r="K232" s="178" t="b">
        <v>0</v>
      </c>
      <c r="L232" s="17" t="str">
        <f t="shared" si="7"/>
        <v/>
      </c>
      <c r="M232" s="10"/>
      <c r="N232" s="10"/>
      <c r="O232" s="10"/>
      <c r="P232" s="10"/>
    </row>
    <row r="233" spans="3:16" outlineLevel="1">
      <c r="C233" s="173"/>
      <c r="D233" s="831" t="str">
        <f>IF(C233 = "", "",
IF(COUNTIF($C$191:C232, C233), "VALUE INCONSISTENCY",
IF(AND(COUNTIF('General Information'!$C$402:$C$501, C233),
       INDEX('General Information'!$D$402:$D$501, MATCH(C233, 'General Information'!$C$402:$C$501, 0)) = ""),
   "VALUE INCONSISTENCY",
IFERROR(VLOOKUP(C233, ListOfSitesTable, 5, FALSE), "") &amp; " " &amp;
IFERROR(VLOOKUP(C233, ListOfSitesTable, 4, FALSE), "") &amp; " " &amp;
IFERROR(VLOOKUP(C233, ListOfSitesTable, 2, FALSE), ""))))</f>
        <v/>
      </c>
      <c r="E233" s="832"/>
      <c r="F233" s="833"/>
      <c r="G233" s="808"/>
      <c r="H233" s="809"/>
      <c r="I233" s="810"/>
      <c r="J233" s="183" t="b">
        <v>0</v>
      </c>
      <c r="K233" s="178" t="b">
        <v>0</v>
      </c>
      <c r="L233" s="17" t="str">
        <f t="shared" si="7"/>
        <v/>
      </c>
      <c r="M233" s="10"/>
      <c r="N233" s="10"/>
      <c r="O233" s="10"/>
      <c r="P233" s="10"/>
    </row>
    <row r="234" spans="3:16" outlineLevel="1">
      <c r="C234" s="173"/>
      <c r="D234" s="831" t="str">
        <f>IF(C234 = "", "",
IF(COUNTIF($C$191:C233, C234), "VALUE INCONSISTENCY",
IF(AND(COUNTIF('General Information'!$C$402:$C$501, C234),
       INDEX('General Information'!$D$402:$D$501, MATCH(C234, 'General Information'!$C$402:$C$501, 0)) = ""),
   "VALUE INCONSISTENCY",
IFERROR(VLOOKUP(C234, ListOfSitesTable, 5, FALSE), "") &amp; " " &amp;
IFERROR(VLOOKUP(C234, ListOfSitesTable, 4, FALSE), "") &amp; " " &amp;
IFERROR(VLOOKUP(C234, ListOfSitesTable, 2, FALSE), ""))))</f>
        <v/>
      </c>
      <c r="E234" s="832"/>
      <c r="F234" s="833"/>
      <c r="G234" s="808"/>
      <c r="H234" s="809"/>
      <c r="I234" s="810"/>
      <c r="J234" s="183" t="b">
        <v>0</v>
      </c>
      <c r="K234" s="178" t="b">
        <v>0</v>
      </c>
      <c r="L234" s="17" t="str">
        <f t="shared" si="7"/>
        <v/>
      </c>
      <c r="M234" s="10"/>
      <c r="N234" s="10"/>
      <c r="O234" s="10"/>
      <c r="P234" s="10"/>
    </row>
    <row r="235" spans="3:16" outlineLevel="1">
      <c r="C235" s="173"/>
      <c r="D235" s="831" t="str">
        <f>IF(C235 = "", "",
IF(COUNTIF($C$191:C234, C235), "VALUE INCONSISTENCY",
IF(AND(COUNTIF('General Information'!$C$402:$C$501, C235),
       INDEX('General Information'!$D$402:$D$501, MATCH(C235, 'General Information'!$C$402:$C$501, 0)) = ""),
   "VALUE INCONSISTENCY",
IFERROR(VLOOKUP(C235, ListOfSitesTable, 5, FALSE), "") &amp; " " &amp;
IFERROR(VLOOKUP(C235, ListOfSitesTable, 4, FALSE), "") &amp; " " &amp;
IFERROR(VLOOKUP(C235, ListOfSitesTable, 2, FALSE), ""))))</f>
        <v/>
      </c>
      <c r="E235" s="832"/>
      <c r="F235" s="833"/>
      <c r="G235" s="808"/>
      <c r="H235" s="809"/>
      <c r="I235" s="810"/>
      <c r="J235" s="183" t="b">
        <v>0</v>
      </c>
      <c r="K235" s="178" t="b">
        <v>0</v>
      </c>
      <c r="L235" s="17" t="str">
        <f t="shared" si="7"/>
        <v/>
      </c>
      <c r="M235" s="10"/>
      <c r="N235" s="10"/>
      <c r="O235" s="10"/>
      <c r="P235" s="10"/>
    </row>
    <row r="236" spans="3:16" outlineLevel="1">
      <c r="C236" s="173"/>
      <c r="D236" s="831" t="str">
        <f>IF(C236 = "", "",
IF(COUNTIF($C$191:C235, C236), "VALUE INCONSISTENCY",
IF(AND(COUNTIF('General Information'!$C$402:$C$501, C236),
       INDEX('General Information'!$D$402:$D$501, MATCH(C236, 'General Information'!$C$402:$C$501, 0)) = ""),
   "VALUE INCONSISTENCY",
IFERROR(VLOOKUP(C236, ListOfSitesTable, 5, FALSE), "") &amp; " " &amp;
IFERROR(VLOOKUP(C236, ListOfSitesTable, 4, FALSE), "") &amp; " " &amp;
IFERROR(VLOOKUP(C236, ListOfSitesTable, 2, FALSE), ""))))</f>
        <v/>
      </c>
      <c r="E236" s="832"/>
      <c r="F236" s="833"/>
      <c r="G236" s="808"/>
      <c r="H236" s="809"/>
      <c r="I236" s="810"/>
      <c r="J236" s="183" t="b">
        <v>0</v>
      </c>
      <c r="K236" s="178" t="b">
        <v>0</v>
      </c>
      <c r="L236" s="17" t="str">
        <f t="shared" si="7"/>
        <v/>
      </c>
      <c r="M236" s="10"/>
      <c r="N236" s="10"/>
      <c r="O236" s="10"/>
      <c r="P236" s="10"/>
    </row>
    <row r="237" spans="3:16" outlineLevel="1">
      <c r="C237" s="173"/>
      <c r="D237" s="831" t="str">
        <f>IF(C237 = "", "",
IF(COUNTIF($C$191:C236, C237), "VALUE INCONSISTENCY",
IF(AND(COUNTIF('General Information'!$C$402:$C$501, C237),
       INDEX('General Information'!$D$402:$D$501, MATCH(C237, 'General Information'!$C$402:$C$501, 0)) = ""),
   "VALUE INCONSISTENCY",
IFERROR(VLOOKUP(C237, ListOfSitesTable, 5, FALSE), "") &amp; " " &amp;
IFERROR(VLOOKUP(C237, ListOfSitesTable, 4, FALSE), "") &amp; " " &amp;
IFERROR(VLOOKUP(C237, ListOfSitesTable, 2, FALSE), ""))))</f>
        <v/>
      </c>
      <c r="E237" s="832"/>
      <c r="F237" s="833"/>
      <c r="G237" s="808"/>
      <c r="H237" s="809"/>
      <c r="I237" s="810"/>
      <c r="J237" s="183" t="b">
        <v>0</v>
      </c>
      <c r="K237" s="178" t="b">
        <v>0</v>
      </c>
      <c r="L237" s="17" t="str">
        <f t="shared" si="7"/>
        <v/>
      </c>
      <c r="M237" s="10"/>
      <c r="N237" s="10"/>
      <c r="O237" s="10"/>
      <c r="P237" s="10"/>
    </row>
    <row r="238" spans="3:16" outlineLevel="1">
      <c r="C238" s="173"/>
      <c r="D238" s="831" t="str">
        <f>IF(C238 = "", "",
IF(COUNTIF($C$191:C237, C238), "VALUE INCONSISTENCY",
IF(AND(COUNTIF('General Information'!$C$402:$C$501, C238),
       INDEX('General Information'!$D$402:$D$501, MATCH(C238, 'General Information'!$C$402:$C$501, 0)) = ""),
   "VALUE INCONSISTENCY",
IFERROR(VLOOKUP(C238, ListOfSitesTable, 5, FALSE), "") &amp; " " &amp;
IFERROR(VLOOKUP(C238, ListOfSitesTable, 4, FALSE), "") &amp; " " &amp;
IFERROR(VLOOKUP(C238, ListOfSitesTable, 2, FALSE), ""))))</f>
        <v/>
      </c>
      <c r="E238" s="832"/>
      <c r="F238" s="833"/>
      <c r="G238" s="808"/>
      <c r="H238" s="809"/>
      <c r="I238" s="810"/>
      <c r="J238" s="183" t="b">
        <v>0</v>
      </c>
      <c r="K238" s="178" t="b">
        <v>0</v>
      </c>
      <c r="L238" s="17" t="str">
        <f t="shared" si="7"/>
        <v/>
      </c>
      <c r="M238" s="10"/>
      <c r="N238" s="10"/>
      <c r="O238" s="10"/>
      <c r="P238" s="10"/>
    </row>
    <row r="239" spans="3:16" outlineLevel="1">
      <c r="C239" s="173"/>
      <c r="D239" s="831" t="str">
        <f>IF(C239 = "", "",
IF(COUNTIF($C$191:C238, C239), "VALUE INCONSISTENCY",
IF(AND(COUNTIF('General Information'!$C$402:$C$501, C239),
       INDEX('General Information'!$D$402:$D$501, MATCH(C239, 'General Information'!$C$402:$C$501, 0)) = ""),
   "VALUE INCONSISTENCY",
IFERROR(VLOOKUP(C239, ListOfSitesTable, 5, FALSE), "") &amp; " " &amp;
IFERROR(VLOOKUP(C239, ListOfSitesTable, 4, FALSE), "") &amp; " " &amp;
IFERROR(VLOOKUP(C239, ListOfSitesTable, 2, FALSE), ""))))</f>
        <v/>
      </c>
      <c r="E239" s="832"/>
      <c r="F239" s="833"/>
      <c r="G239" s="808"/>
      <c r="H239" s="809"/>
      <c r="I239" s="810"/>
      <c r="J239" s="183" t="b">
        <v>0</v>
      </c>
      <c r="K239" s="178" t="b">
        <v>0</v>
      </c>
      <c r="L239" s="17" t="str">
        <f t="shared" si="7"/>
        <v/>
      </c>
      <c r="M239" s="10"/>
      <c r="N239" s="10"/>
      <c r="O239" s="10"/>
      <c r="P239" s="10"/>
    </row>
    <row r="240" spans="3:16" outlineLevel="1">
      <c r="C240" s="173"/>
      <c r="D240" s="831" t="str">
        <f>IF(C240 = "", "",
IF(COUNTIF($C$191:C239, C240), "VALUE INCONSISTENCY",
IF(AND(COUNTIF('General Information'!$C$402:$C$501, C240),
       INDEX('General Information'!$D$402:$D$501, MATCH(C240, 'General Information'!$C$402:$C$501, 0)) = ""),
   "VALUE INCONSISTENCY",
IFERROR(VLOOKUP(C240, ListOfSitesTable, 5, FALSE), "") &amp; " " &amp;
IFERROR(VLOOKUP(C240, ListOfSitesTable, 4, FALSE), "") &amp; " " &amp;
IFERROR(VLOOKUP(C240, ListOfSitesTable, 2, FALSE), ""))))</f>
        <v/>
      </c>
      <c r="E240" s="832"/>
      <c r="F240" s="833"/>
      <c r="G240" s="808"/>
      <c r="H240" s="809"/>
      <c r="I240" s="810"/>
      <c r="J240" s="183" t="b">
        <v>0</v>
      </c>
      <c r="K240" s="178" t="b">
        <v>0</v>
      </c>
      <c r="L240" s="17" t="str">
        <f t="shared" si="7"/>
        <v/>
      </c>
      <c r="M240" s="10"/>
      <c r="N240" s="10"/>
      <c r="O240" s="10"/>
      <c r="P240" s="10"/>
    </row>
    <row r="241" spans="3:16" outlineLevel="1">
      <c r="C241" s="173"/>
      <c r="D241" s="831" t="str">
        <f>IF(C241 = "", "",
IF(COUNTIF($C$191:C240, C241), "VALUE INCONSISTENCY",
IF(AND(COUNTIF('General Information'!$C$402:$C$501, C241),
       INDEX('General Information'!$D$402:$D$501, MATCH(C241, 'General Information'!$C$402:$C$501, 0)) = ""),
   "VALUE INCONSISTENCY",
IFERROR(VLOOKUP(C241, ListOfSitesTable, 5, FALSE), "") &amp; " " &amp;
IFERROR(VLOOKUP(C241, ListOfSitesTable, 4, FALSE), "") &amp; " " &amp;
IFERROR(VLOOKUP(C241, ListOfSitesTable, 2, FALSE), ""))))</f>
        <v/>
      </c>
      <c r="E241" s="832"/>
      <c r="F241" s="833"/>
      <c r="G241" s="808"/>
      <c r="H241" s="809"/>
      <c r="I241" s="810"/>
      <c r="J241" s="183" t="b">
        <v>0</v>
      </c>
      <c r="K241" s="178" t="b">
        <v>0</v>
      </c>
      <c r="L241" s="17" t="str">
        <f t="shared" si="7"/>
        <v/>
      </c>
      <c r="M241" s="10"/>
      <c r="N241" s="10"/>
      <c r="O241" s="10"/>
      <c r="P241" s="10"/>
    </row>
    <row r="242" spans="3:16" outlineLevel="1">
      <c r="C242" s="173"/>
      <c r="D242" s="831" t="str">
        <f>IF(C242 = "", "",
IF(COUNTIF($C$191:C241, C242), "VALUE INCONSISTENCY",
IF(AND(COUNTIF('General Information'!$C$402:$C$501, C242),
       INDEX('General Information'!$D$402:$D$501, MATCH(C242, 'General Information'!$C$402:$C$501, 0)) = ""),
   "VALUE INCONSISTENCY",
IFERROR(VLOOKUP(C242, ListOfSitesTable, 5, FALSE), "") &amp; " " &amp;
IFERROR(VLOOKUP(C242, ListOfSitesTable, 4, FALSE), "") &amp; " " &amp;
IFERROR(VLOOKUP(C242, ListOfSitesTable, 2, FALSE), ""))))</f>
        <v/>
      </c>
      <c r="E242" s="832"/>
      <c r="F242" s="833"/>
      <c r="G242" s="808"/>
      <c r="H242" s="809"/>
      <c r="I242" s="810"/>
      <c r="J242" s="183" t="b">
        <v>0</v>
      </c>
      <c r="K242" s="178" t="b">
        <v>0</v>
      </c>
      <c r="L242" s="17" t="str">
        <f t="shared" si="7"/>
        <v/>
      </c>
      <c r="M242" s="10"/>
      <c r="N242" s="10"/>
      <c r="O242" s="10"/>
      <c r="P242" s="10"/>
    </row>
    <row r="243" spans="3:16" outlineLevel="1">
      <c r="C243" s="173"/>
      <c r="D243" s="831" t="str">
        <f>IF(C243 = "", "",
IF(COUNTIF($C$191:C242, C243), "VALUE INCONSISTENCY",
IF(AND(COUNTIF('General Information'!$C$402:$C$501, C243),
       INDEX('General Information'!$D$402:$D$501, MATCH(C243, 'General Information'!$C$402:$C$501, 0)) = ""),
   "VALUE INCONSISTENCY",
IFERROR(VLOOKUP(C243, ListOfSitesTable, 5, FALSE), "") &amp; " " &amp;
IFERROR(VLOOKUP(C243, ListOfSitesTable, 4, FALSE), "") &amp; " " &amp;
IFERROR(VLOOKUP(C243, ListOfSitesTable, 2, FALSE), ""))))</f>
        <v/>
      </c>
      <c r="E243" s="832"/>
      <c r="F243" s="833"/>
      <c r="G243" s="808"/>
      <c r="H243" s="809"/>
      <c r="I243" s="810"/>
      <c r="J243" s="183" t="b">
        <v>0</v>
      </c>
      <c r="K243" s="178" t="b">
        <v>0</v>
      </c>
      <c r="L243" s="17" t="str">
        <f t="shared" si="7"/>
        <v/>
      </c>
      <c r="M243" s="10"/>
      <c r="N243" s="10"/>
      <c r="O243" s="10"/>
      <c r="P243" s="10"/>
    </row>
    <row r="244" spans="3:16" outlineLevel="1">
      <c r="C244" s="173"/>
      <c r="D244" s="831" t="str">
        <f>IF(C244 = "", "",
IF(COUNTIF($C$191:C243, C244), "VALUE INCONSISTENCY",
IF(AND(COUNTIF('General Information'!$C$402:$C$501, C244),
       INDEX('General Information'!$D$402:$D$501, MATCH(C244, 'General Information'!$C$402:$C$501, 0)) = ""),
   "VALUE INCONSISTENCY",
IFERROR(VLOOKUP(C244, ListOfSitesTable, 5, FALSE), "") &amp; " " &amp;
IFERROR(VLOOKUP(C244, ListOfSitesTable, 4, FALSE), "") &amp; " " &amp;
IFERROR(VLOOKUP(C244, ListOfSitesTable, 2, FALSE), ""))))</f>
        <v/>
      </c>
      <c r="E244" s="832"/>
      <c r="F244" s="833"/>
      <c r="G244" s="808"/>
      <c r="H244" s="809"/>
      <c r="I244" s="810"/>
      <c r="J244" s="183" t="b">
        <v>0</v>
      </c>
      <c r="K244" s="178" t="b">
        <v>0</v>
      </c>
      <c r="L244" s="17" t="str">
        <f t="shared" si="7"/>
        <v/>
      </c>
      <c r="M244" s="10"/>
      <c r="N244" s="10"/>
      <c r="O244" s="10"/>
      <c r="P244" s="10"/>
    </row>
    <row r="245" spans="3:16" outlineLevel="1">
      <c r="C245" s="173"/>
      <c r="D245" s="831" t="str">
        <f>IF(C245 = "", "",
IF(COUNTIF($C$191:C244, C245), "VALUE INCONSISTENCY",
IF(AND(COUNTIF('General Information'!$C$402:$C$501, C245),
       INDEX('General Information'!$D$402:$D$501, MATCH(C245, 'General Information'!$C$402:$C$501, 0)) = ""),
   "VALUE INCONSISTENCY",
IFERROR(VLOOKUP(C245, ListOfSitesTable, 5, FALSE), "") &amp; " " &amp;
IFERROR(VLOOKUP(C245, ListOfSitesTable, 4, FALSE), "") &amp; " " &amp;
IFERROR(VLOOKUP(C245, ListOfSitesTable, 2, FALSE), ""))))</f>
        <v/>
      </c>
      <c r="E245" s="832"/>
      <c r="F245" s="833"/>
      <c r="G245" s="808"/>
      <c r="H245" s="809"/>
      <c r="I245" s="810"/>
      <c r="J245" s="183" t="b">
        <v>0</v>
      </c>
      <c r="K245" s="178" t="b">
        <v>0</v>
      </c>
      <c r="L245" s="17" t="str">
        <f t="shared" si="7"/>
        <v/>
      </c>
      <c r="M245" s="10"/>
      <c r="N245" s="10"/>
      <c r="O245" s="10"/>
      <c r="P245" s="10"/>
    </row>
    <row r="246" spans="3:16" outlineLevel="1">
      <c r="C246" s="173"/>
      <c r="D246" s="831" t="str">
        <f>IF(C246 = "", "",
IF(COUNTIF($C$191:C245, C246), "VALUE INCONSISTENCY",
IF(AND(COUNTIF('General Information'!$C$402:$C$501, C246),
       INDEX('General Information'!$D$402:$D$501, MATCH(C246, 'General Information'!$C$402:$C$501, 0)) = ""),
   "VALUE INCONSISTENCY",
IFERROR(VLOOKUP(C246, ListOfSitesTable, 5, FALSE), "") &amp; " " &amp;
IFERROR(VLOOKUP(C246, ListOfSitesTable, 4, FALSE), "") &amp; " " &amp;
IFERROR(VLOOKUP(C246, ListOfSitesTable, 2, FALSE), ""))))</f>
        <v/>
      </c>
      <c r="E246" s="832"/>
      <c r="F246" s="833"/>
      <c r="G246" s="808"/>
      <c r="H246" s="809"/>
      <c r="I246" s="810"/>
      <c r="J246" s="183" t="b">
        <v>0</v>
      </c>
      <c r="K246" s="178" t="b">
        <v>0</v>
      </c>
      <c r="L246" s="17" t="str">
        <f t="shared" si="7"/>
        <v/>
      </c>
      <c r="M246" s="10"/>
      <c r="N246" s="10"/>
      <c r="O246" s="10"/>
      <c r="P246" s="10"/>
    </row>
    <row r="247" spans="3:16" outlineLevel="1">
      <c r="C247" s="173"/>
      <c r="D247" s="831" t="str">
        <f>IF(C247 = "", "",
IF(COUNTIF($C$191:C246, C247), "VALUE INCONSISTENCY",
IF(AND(COUNTIF('General Information'!$C$402:$C$501, C247),
       INDEX('General Information'!$D$402:$D$501, MATCH(C247, 'General Information'!$C$402:$C$501, 0)) = ""),
   "VALUE INCONSISTENCY",
IFERROR(VLOOKUP(C247, ListOfSitesTable, 5, FALSE), "") &amp; " " &amp;
IFERROR(VLOOKUP(C247, ListOfSitesTable, 4, FALSE), "") &amp; " " &amp;
IFERROR(VLOOKUP(C247, ListOfSitesTable, 2, FALSE), ""))))</f>
        <v/>
      </c>
      <c r="E247" s="832"/>
      <c r="F247" s="833"/>
      <c r="G247" s="808"/>
      <c r="H247" s="809"/>
      <c r="I247" s="810"/>
      <c r="J247" s="183" t="b">
        <v>0</v>
      </c>
      <c r="K247" s="178" t="b">
        <v>0</v>
      </c>
      <c r="L247" s="17" t="str">
        <f t="shared" si="7"/>
        <v/>
      </c>
      <c r="M247" s="10"/>
      <c r="N247" s="10"/>
      <c r="O247" s="10"/>
      <c r="P247" s="10"/>
    </row>
    <row r="248" spans="3:16" outlineLevel="1">
      <c r="C248" s="173"/>
      <c r="D248" s="831" t="str">
        <f>IF(C248 = "", "",
IF(COUNTIF($C$191:C247, C248), "VALUE INCONSISTENCY",
IF(AND(COUNTIF('General Information'!$C$402:$C$501, C248),
       INDEX('General Information'!$D$402:$D$501, MATCH(C248, 'General Information'!$C$402:$C$501, 0)) = ""),
   "VALUE INCONSISTENCY",
IFERROR(VLOOKUP(C248, ListOfSitesTable, 5, FALSE), "") &amp; " " &amp;
IFERROR(VLOOKUP(C248, ListOfSitesTable, 4, FALSE), "") &amp; " " &amp;
IFERROR(VLOOKUP(C248, ListOfSitesTable, 2, FALSE), ""))))</f>
        <v/>
      </c>
      <c r="E248" s="832"/>
      <c r="F248" s="833"/>
      <c r="G248" s="808"/>
      <c r="H248" s="809"/>
      <c r="I248" s="810"/>
      <c r="J248" s="183" t="b">
        <v>0</v>
      </c>
      <c r="K248" s="178" t="b">
        <v>0</v>
      </c>
      <c r="L248" s="17" t="str">
        <f t="shared" si="7"/>
        <v/>
      </c>
      <c r="M248" s="10"/>
      <c r="N248" s="10"/>
      <c r="O248" s="10"/>
      <c r="P248" s="10"/>
    </row>
    <row r="249" spans="3:16" outlineLevel="1">
      <c r="C249" s="173"/>
      <c r="D249" s="831" t="str">
        <f>IF(C249 = "", "",
IF(COUNTIF($C$191:C248, C249), "VALUE INCONSISTENCY",
IF(AND(COUNTIF('General Information'!$C$402:$C$501, C249),
       INDEX('General Information'!$D$402:$D$501, MATCH(C249, 'General Information'!$C$402:$C$501, 0)) = ""),
   "VALUE INCONSISTENCY",
IFERROR(VLOOKUP(C249, ListOfSitesTable, 5, FALSE), "") &amp; " " &amp;
IFERROR(VLOOKUP(C249, ListOfSitesTable, 4, FALSE), "") &amp; " " &amp;
IFERROR(VLOOKUP(C249, ListOfSitesTable, 2, FALSE), ""))))</f>
        <v/>
      </c>
      <c r="E249" s="832"/>
      <c r="F249" s="833"/>
      <c r="G249" s="808"/>
      <c r="H249" s="809"/>
      <c r="I249" s="810"/>
      <c r="J249" s="183" t="b">
        <v>0</v>
      </c>
      <c r="K249" s="178" t="b">
        <v>0</v>
      </c>
      <c r="L249" s="17" t="str">
        <f t="shared" si="7"/>
        <v/>
      </c>
      <c r="M249" s="10"/>
      <c r="N249" s="10"/>
      <c r="O249" s="10"/>
      <c r="P249" s="10"/>
    </row>
    <row r="250" spans="3:16" outlineLevel="1">
      <c r="C250" s="173"/>
      <c r="D250" s="831" t="str">
        <f>IF(C250 = "", "",
IF(COUNTIF($C$191:C249, C250), "VALUE INCONSISTENCY",
IF(AND(COUNTIF('General Information'!$C$402:$C$501, C250),
       INDEX('General Information'!$D$402:$D$501, MATCH(C250, 'General Information'!$C$402:$C$501, 0)) = ""),
   "VALUE INCONSISTENCY",
IFERROR(VLOOKUP(C250, ListOfSitesTable, 5, FALSE), "") &amp; " " &amp;
IFERROR(VLOOKUP(C250, ListOfSitesTable, 4, FALSE), "") &amp; " " &amp;
IFERROR(VLOOKUP(C250, ListOfSitesTable, 2, FALSE), ""))))</f>
        <v/>
      </c>
      <c r="E250" s="832"/>
      <c r="F250" s="833"/>
      <c r="G250" s="808"/>
      <c r="H250" s="809"/>
      <c r="I250" s="810"/>
      <c r="J250" s="183" t="b">
        <v>0</v>
      </c>
      <c r="K250" s="178" t="b">
        <v>0</v>
      </c>
      <c r="L250" s="17" t="str">
        <f t="shared" si="7"/>
        <v/>
      </c>
      <c r="M250" s="10"/>
      <c r="N250" s="10"/>
      <c r="O250" s="10"/>
      <c r="P250" s="10"/>
    </row>
    <row r="251" spans="3:16" outlineLevel="1">
      <c r="C251" s="173"/>
      <c r="D251" s="831" t="str">
        <f>IF(C251 = "", "",
IF(COUNTIF($C$191:C250, C251), "VALUE INCONSISTENCY",
IF(AND(COUNTIF('General Information'!$C$402:$C$501, C251),
       INDEX('General Information'!$D$402:$D$501, MATCH(C251, 'General Information'!$C$402:$C$501, 0)) = ""),
   "VALUE INCONSISTENCY",
IFERROR(VLOOKUP(C251, ListOfSitesTable, 5, FALSE), "") &amp; " " &amp;
IFERROR(VLOOKUP(C251, ListOfSitesTable, 4, FALSE), "") &amp; " " &amp;
IFERROR(VLOOKUP(C251, ListOfSitesTable, 2, FALSE), ""))))</f>
        <v/>
      </c>
      <c r="E251" s="832"/>
      <c r="F251" s="833"/>
      <c r="G251" s="808"/>
      <c r="H251" s="809"/>
      <c r="I251" s="810"/>
      <c r="J251" s="183" t="b">
        <v>0</v>
      </c>
      <c r="K251" s="178" t="b">
        <v>0</v>
      </c>
      <c r="L251" s="17" t="str">
        <f t="shared" si="7"/>
        <v/>
      </c>
      <c r="M251" s="10"/>
      <c r="N251" s="10"/>
      <c r="O251" s="10"/>
      <c r="P251" s="10"/>
    </row>
    <row r="252" spans="3:16" outlineLevel="1">
      <c r="C252" s="173"/>
      <c r="D252" s="831" t="str">
        <f>IF(C252 = "", "",
IF(COUNTIF($C$191:C251, C252), "VALUE INCONSISTENCY",
IF(AND(COUNTIF('General Information'!$C$402:$C$501, C252),
       INDEX('General Information'!$D$402:$D$501, MATCH(C252, 'General Information'!$C$402:$C$501, 0)) = ""),
   "VALUE INCONSISTENCY",
IFERROR(VLOOKUP(C252, ListOfSitesTable, 5, FALSE), "") &amp; " " &amp;
IFERROR(VLOOKUP(C252, ListOfSitesTable, 4, FALSE), "") &amp; " " &amp;
IFERROR(VLOOKUP(C252, ListOfSitesTable, 2, FALSE), ""))))</f>
        <v/>
      </c>
      <c r="E252" s="832"/>
      <c r="F252" s="833"/>
      <c r="G252" s="808"/>
      <c r="H252" s="809"/>
      <c r="I252" s="810"/>
      <c r="J252" s="183" t="b">
        <v>0</v>
      </c>
      <c r="K252" s="178" t="b">
        <v>0</v>
      </c>
      <c r="L252" s="17" t="str">
        <f t="shared" si="7"/>
        <v/>
      </c>
      <c r="M252" s="10"/>
      <c r="N252" s="10"/>
      <c r="O252" s="10"/>
      <c r="P252" s="10"/>
    </row>
    <row r="253" spans="3:16" outlineLevel="1">
      <c r="C253" s="173"/>
      <c r="D253" s="831" t="str">
        <f>IF(C253 = "", "",
IF(COUNTIF($C$191:C252, C253), "VALUE INCONSISTENCY",
IF(AND(COUNTIF('General Information'!$C$402:$C$501, C253),
       INDEX('General Information'!$D$402:$D$501, MATCH(C253, 'General Information'!$C$402:$C$501, 0)) = ""),
   "VALUE INCONSISTENCY",
IFERROR(VLOOKUP(C253, ListOfSitesTable, 5, FALSE), "") &amp; " " &amp;
IFERROR(VLOOKUP(C253, ListOfSitesTable, 4, FALSE), "") &amp; " " &amp;
IFERROR(VLOOKUP(C253, ListOfSitesTable, 2, FALSE), ""))))</f>
        <v/>
      </c>
      <c r="E253" s="832"/>
      <c r="F253" s="833"/>
      <c r="G253" s="808"/>
      <c r="H253" s="809"/>
      <c r="I253" s="810"/>
      <c r="J253" s="183" t="b">
        <v>0</v>
      </c>
      <c r="K253" s="178" t="b">
        <v>0</v>
      </c>
      <c r="L253" s="17" t="str">
        <f t="shared" si="7"/>
        <v/>
      </c>
      <c r="M253" s="10"/>
      <c r="N253" s="10"/>
      <c r="O253" s="10"/>
      <c r="P253" s="10"/>
    </row>
    <row r="254" spans="3:16" outlineLevel="1">
      <c r="C254" s="173"/>
      <c r="D254" s="831" t="str">
        <f>IF(C254 = "", "",
IF(COUNTIF($C$191:C253, C254), "VALUE INCONSISTENCY",
IF(AND(COUNTIF('General Information'!$C$402:$C$501, C254),
       INDEX('General Information'!$D$402:$D$501, MATCH(C254, 'General Information'!$C$402:$C$501, 0)) = ""),
   "VALUE INCONSISTENCY",
IFERROR(VLOOKUP(C254, ListOfSitesTable, 5, FALSE), "") &amp; " " &amp;
IFERROR(VLOOKUP(C254, ListOfSitesTable, 4, FALSE), "") &amp; " " &amp;
IFERROR(VLOOKUP(C254, ListOfSitesTable, 2, FALSE), ""))))</f>
        <v/>
      </c>
      <c r="E254" s="832"/>
      <c r="F254" s="833"/>
      <c r="G254" s="808"/>
      <c r="H254" s="809"/>
      <c r="I254" s="810"/>
      <c r="J254" s="183" t="b">
        <v>0</v>
      </c>
      <c r="K254" s="178" t="b">
        <v>0</v>
      </c>
      <c r="L254" s="17" t="str">
        <f t="shared" si="7"/>
        <v/>
      </c>
      <c r="M254" s="10"/>
      <c r="N254" s="10"/>
      <c r="O254" s="10"/>
      <c r="P254" s="10"/>
    </row>
    <row r="255" spans="3:16" outlineLevel="1">
      <c r="C255" s="173"/>
      <c r="D255" s="831" t="str">
        <f>IF(C255 = "", "",
IF(COUNTIF($C$191:C254, C255), "VALUE INCONSISTENCY",
IF(AND(COUNTIF('General Information'!$C$402:$C$501, C255),
       INDEX('General Information'!$D$402:$D$501, MATCH(C255, 'General Information'!$C$402:$C$501, 0)) = ""),
   "VALUE INCONSISTENCY",
IFERROR(VLOOKUP(C255, ListOfSitesTable, 5, FALSE), "") &amp; " " &amp;
IFERROR(VLOOKUP(C255, ListOfSitesTable, 4, FALSE), "") &amp; " " &amp;
IFERROR(VLOOKUP(C255, ListOfSitesTable, 2, FALSE), ""))))</f>
        <v/>
      </c>
      <c r="E255" s="832"/>
      <c r="F255" s="833"/>
      <c r="G255" s="808"/>
      <c r="H255" s="809"/>
      <c r="I255" s="810"/>
      <c r="J255" s="183" t="b">
        <v>0</v>
      </c>
      <c r="K255" s="178" t="b">
        <v>0</v>
      </c>
      <c r="L255" s="17" t="str">
        <f t="shared" si="7"/>
        <v/>
      </c>
      <c r="M255" s="10"/>
      <c r="N255" s="10"/>
      <c r="O255" s="10"/>
      <c r="P255" s="10"/>
    </row>
    <row r="256" spans="3:16" outlineLevel="1">
      <c r="C256" s="173"/>
      <c r="D256" s="831" t="str">
        <f>IF(C256 = "", "",
IF(COUNTIF($C$191:C255, C256), "VALUE INCONSISTENCY",
IF(AND(COUNTIF('General Information'!$C$402:$C$501, C256),
       INDEX('General Information'!$D$402:$D$501, MATCH(C256, 'General Information'!$C$402:$C$501, 0)) = ""),
   "VALUE INCONSISTENCY",
IFERROR(VLOOKUP(C256, ListOfSitesTable, 5, FALSE), "") &amp; " " &amp;
IFERROR(VLOOKUP(C256, ListOfSitesTable, 4, FALSE), "") &amp; " " &amp;
IFERROR(VLOOKUP(C256, ListOfSitesTable, 2, FALSE), ""))))</f>
        <v/>
      </c>
      <c r="E256" s="832"/>
      <c r="F256" s="833"/>
      <c r="G256" s="808"/>
      <c r="H256" s="809"/>
      <c r="I256" s="810"/>
      <c r="J256" s="183" t="b">
        <v>0</v>
      </c>
      <c r="K256" s="178" t="b">
        <v>0</v>
      </c>
      <c r="L256" s="17" t="str">
        <f t="shared" si="7"/>
        <v/>
      </c>
      <c r="M256" s="10"/>
      <c r="N256" s="10"/>
      <c r="O256" s="10"/>
      <c r="P256" s="10"/>
    </row>
    <row r="257" spans="3:16" outlineLevel="1">
      <c r="C257" s="173"/>
      <c r="D257" s="831" t="str">
        <f>IF(C257 = "", "",
IF(COUNTIF($C$191:C256, C257), "VALUE INCONSISTENCY",
IF(AND(COUNTIF('General Information'!$C$402:$C$501, C257),
       INDEX('General Information'!$D$402:$D$501, MATCH(C257, 'General Information'!$C$402:$C$501, 0)) = ""),
   "VALUE INCONSISTENCY",
IFERROR(VLOOKUP(C257, ListOfSitesTable, 5, FALSE), "") &amp; " " &amp;
IFERROR(VLOOKUP(C257, ListOfSitesTable, 4, FALSE), "") &amp; " " &amp;
IFERROR(VLOOKUP(C257, ListOfSitesTable, 2, FALSE), ""))))</f>
        <v/>
      </c>
      <c r="E257" s="832"/>
      <c r="F257" s="833"/>
      <c r="G257" s="808"/>
      <c r="H257" s="809"/>
      <c r="I257" s="810"/>
      <c r="J257" s="183" t="b">
        <v>0</v>
      </c>
      <c r="K257" s="178" t="b">
        <v>0</v>
      </c>
      <c r="L257" s="17" t="str">
        <f t="shared" si="7"/>
        <v/>
      </c>
      <c r="M257" s="10"/>
      <c r="N257" s="10"/>
      <c r="O257" s="10"/>
      <c r="P257" s="10"/>
    </row>
    <row r="258" spans="3:16" outlineLevel="1">
      <c r="C258" s="173"/>
      <c r="D258" s="831" t="str">
        <f>IF(C258 = "", "",
IF(COUNTIF($C$191:C257, C258), "VALUE INCONSISTENCY",
IF(AND(COUNTIF('General Information'!$C$402:$C$501, C258),
       INDEX('General Information'!$D$402:$D$501, MATCH(C258, 'General Information'!$C$402:$C$501, 0)) = ""),
   "VALUE INCONSISTENCY",
IFERROR(VLOOKUP(C258, ListOfSitesTable, 5, FALSE), "") &amp; " " &amp;
IFERROR(VLOOKUP(C258, ListOfSitesTable, 4, FALSE), "") &amp; " " &amp;
IFERROR(VLOOKUP(C258, ListOfSitesTable, 2, FALSE), ""))))</f>
        <v/>
      </c>
      <c r="E258" s="832"/>
      <c r="F258" s="833"/>
      <c r="G258" s="808"/>
      <c r="H258" s="809"/>
      <c r="I258" s="810"/>
      <c r="J258" s="183" t="b">
        <v>0</v>
      </c>
      <c r="K258" s="178" t="b">
        <v>0</v>
      </c>
      <c r="L258" s="17" t="str">
        <f t="shared" si="7"/>
        <v/>
      </c>
      <c r="M258" s="10"/>
      <c r="N258" s="10"/>
      <c r="O258" s="10"/>
      <c r="P258" s="10"/>
    </row>
    <row r="259" spans="3:16" outlineLevel="1">
      <c r="C259" s="173"/>
      <c r="D259" s="831" t="str">
        <f>IF(C259 = "", "",
IF(COUNTIF($C$191:C258, C259), "VALUE INCONSISTENCY",
IF(AND(COUNTIF('General Information'!$C$402:$C$501, C259),
       INDEX('General Information'!$D$402:$D$501, MATCH(C259, 'General Information'!$C$402:$C$501, 0)) = ""),
   "VALUE INCONSISTENCY",
IFERROR(VLOOKUP(C259, ListOfSitesTable, 5, FALSE), "") &amp; " " &amp;
IFERROR(VLOOKUP(C259, ListOfSitesTable, 4, FALSE), "") &amp; " " &amp;
IFERROR(VLOOKUP(C259, ListOfSitesTable, 2, FALSE), ""))))</f>
        <v/>
      </c>
      <c r="E259" s="832"/>
      <c r="F259" s="833"/>
      <c r="G259" s="808"/>
      <c r="H259" s="809"/>
      <c r="I259" s="810"/>
      <c r="J259" s="183" t="b">
        <v>0</v>
      </c>
      <c r="K259" s="178" t="b">
        <v>0</v>
      </c>
      <c r="L259" s="17" t="str">
        <f t="shared" si="7"/>
        <v/>
      </c>
      <c r="M259" s="10"/>
      <c r="N259" s="10"/>
      <c r="O259" s="10"/>
      <c r="P259" s="10"/>
    </row>
    <row r="260" spans="3:16" outlineLevel="1">
      <c r="C260" s="173"/>
      <c r="D260" s="831" t="str">
        <f>IF(C260 = "", "",
IF(COUNTIF($C$191:C259, C260), "VALUE INCONSISTENCY",
IF(AND(COUNTIF('General Information'!$C$402:$C$501, C260),
       INDEX('General Information'!$D$402:$D$501, MATCH(C260, 'General Information'!$C$402:$C$501, 0)) = ""),
   "VALUE INCONSISTENCY",
IFERROR(VLOOKUP(C260, ListOfSitesTable, 5, FALSE), "") &amp; " " &amp;
IFERROR(VLOOKUP(C260, ListOfSitesTable, 4, FALSE), "") &amp; " " &amp;
IFERROR(VLOOKUP(C260, ListOfSitesTable, 2, FALSE), ""))))</f>
        <v/>
      </c>
      <c r="E260" s="832"/>
      <c r="F260" s="833"/>
      <c r="G260" s="808"/>
      <c r="H260" s="809"/>
      <c r="I260" s="810"/>
      <c r="J260" s="183" t="b">
        <v>0</v>
      </c>
      <c r="K260" s="178" t="b">
        <v>0</v>
      </c>
      <c r="L260" s="17" t="str">
        <f t="shared" si="7"/>
        <v/>
      </c>
      <c r="M260" s="10"/>
      <c r="N260" s="10"/>
      <c r="O260" s="10"/>
      <c r="P260" s="10"/>
    </row>
    <row r="261" spans="3:16" outlineLevel="1">
      <c r="C261" s="173"/>
      <c r="D261" s="831" t="str">
        <f>IF(C261 = "", "",
IF(COUNTIF($C$191:C260, C261), "VALUE INCONSISTENCY",
IF(AND(COUNTIF('General Information'!$C$402:$C$501, C261),
       INDEX('General Information'!$D$402:$D$501, MATCH(C261, 'General Information'!$C$402:$C$501, 0)) = ""),
   "VALUE INCONSISTENCY",
IFERROR(VLOOKUP(C261, ListOfSitesTable, 5, FALSE), "") &amp; " " &amp;
IFERROR(VLOOKUP(C261, ListOfSitesTable, 4, FALSE), "") &amp; " " &amp;
IFERROR(VLOOKUP(C261, ListOfSitesTable, 2, FALSE), ""))))</f>
        <v/>
      </c>
      <c r="E261" s="832"/>
      <c r="F261" s="833"/>
      <c r="G261" s="808"/>
      <c r="H261" s="809"/>
      <c r="I261" s="810"/>
      <c r="J261" s="183" t="b">
        <v>0</v>
      </c>
      <c r="K261" s="178" t="b">
        <v>0</v>
      </c>
      <c r="L261" s="17" t="str">
        <f t="shared" si="7"/>
        <v/>
      </c>
      <c r="M261" s="10"/>
      <c r="N261" s="10"/>
      <c r="O261" s="10"/>
      <c r="P261" s="10"/>
    </row>
    <row r="262" spans="3:16" outlineLevel="1">
      <c r="C262" s="173"/>
      <c r="D262" s="831" t="str">
        <f>IF(C262 = "", "",
IF(COUNTIF($C$191:C261, C262), "VALUE INCONSISTENCY",
IF(AND(COUNTIF('General Information'!$C$402:$C$501, C262),
       INDEX('General Information'!$D$402:$D$501, MATCH(C262, 'General Information'!$C$402:$C$501, 0)) = ""),
   "VALUE INCONSISTENCY",
IFERROR(VLOOKUP(C262, ListOfSitesTable, 5, FALSE), "") &amp; " " &amp;
IFERROR(VLOOKUP(C262, ListOfSitesTable, 4, FALSE), "") &amp; " " &amp;
IFERROR(VLOOKUP(C262, ListOfSitesTable, 2, FALSE), ""))))</f>
        <v/>
      </c>
      <c r="E262" s="832"/>
      <c r="F262" s="833"/>
      <c r="G262" s="808"/>
      <c r="H262" s="809"/>
      <c r="I262" s="810"/>
      <c r="J262" s="183" t="b">
        <v>0</v>
      </c>
      <c r="K262" s="178" t="b">
        <v>0</v>
      </c>
      <c r="L262" s="17" t="str">
        <f t="shared" si="7"/>
        <v/>
      </c>
      <c r="M262" s="10"/>
      <c r="N262" s="10"/>
      <c r="O262" s="10"/>
      <c r="P262" s="10"/>
    </row>
    <row r="263" spans="3:16" outlineLevel="1">
      <c r="C263" s="173"/>
      <c r="D263" s="831" t="str">
        <f>IF(C263 = "", "",
IF(COUNTIF($C$191:C262, C263), "VALUE INCONSISTENCY",
IF(AND(COUNTIF('General Information'!$C$402:$C$501, C263),
       INDEX('General Information'!$D$402:$D$501, MATCH(C263, 'General Information'!$C$402:$C$501, 0)) = ""),
   "VALUE INCONSISTENCY",
IFERROR(VLOOKUP(C263, ListOfSitesTable, 5, FALSE), "") &amp; " " &amp;
IFERROR(VLOOKUP(C263, ListOfSitesTable, 4, FALSE), "") &amp; " " &amp;
IFERROR(VLOOKUP(C263, ListOfSitesTable, 2, FALSE), ""))))</f>
        <v/>
      </c>
      <c r="E263" s="832"/>
      <c r="F263" s="833"/>
      <c r="G263" s="808"/>
      <c r="H263" s="809"/>
      <c r="I263" s="810"/>
      <c r="J263" s="183" t="b">
        <v>0</v>
      </c>
      <c r="K263" s="178" t="b">
        <v>0</v>
      </c>
      <c r="L263" s="17" t="str">
        <f t="shared" si="7"/>
        <v/>
      </c>
      <c r="M263" s="10"/>
      <c r="N263" s="10"/>
      <c r="O263" s="10"/>
      <c r="P263" s="10"/>
    </row>
    <row r="264" spans="3:16" outlineLevel="1">
      <c r="C264" s="173"/>
      <c r="D264" s="831" t="str">
        <f>IF(C264 = "", "",
IF(COUNTIF($C$191:C263, C264), "VALUE INCONSISTENCY",
IF(AND(COUNTIF('General Information'!$C$402:$C$501, C264),
       INDEX('General Information'!$D$402:$D$501, MATCH(C264, 'General Information'!$C$402:$C$501, 0)) = ""),
   "VALUE INCONSISTENCY",
IFERROR(VLOOKUP(C264, ListOfSitesTable, 5, FALSE), "") &amp; " " &amp;
IFERROR(VLOOKUP(C264, ListOfSitesTable, 4, FALSE), "") &amp; " " &amp;
IFERROR(VLOOKUP(C264, ListOfSitesTable, 2, FALSE), ""))))</f>
        <v/>
      </c>
      <c r="E264" s="832"/>
      <c r="F264" s="833"/>
      <c r="G264" s="808"/>
      <c r="H264" s="809"/>
      <c r="I264" s="810"/>
      <c r="J264" s="183" t="b">
        <v>0</v>
      </c>
      <c r="K264" s="178" t="b">
        <v>0</v>
      </c>
      <c r="L264" s="17" t="str">
        <f t="shared" si="7"/>
        <v/>
      </c>
      <c r="M264" s="10"/>
      <c r="N264" s="10"/>
      <c r="O264" s="10"/>
      <c r="P264" s="10"/>
    </row>
    <row r="265" spans="3:16" outlineLevel="1">
      <c r="C265" s="173"/>
      <c r="D265" s="831" t="str">
        <f>IF(C265 = "", "",
IF(COUNTIF($C$191:C264, C265), "VALUE INCONSISTENCY",
IF(AND(COUNTIF('General Information'!$C$402:$C$501, C265),
       INDEX('General Information'!$D$402:$D$501, MATCH(C265, 'General Information'!$C$402:$C$501, 0)) = ""),
   "VALUE INCONSISTENCY",
IFERROR(VLOOKUP(C265, ListOfSitesTable, 5, FALSE), "") &amp; " " &amp;
IFERROR(VLOOKUP(C265, ListOfSitesTable, 4, FALSE), "") &amp; " " &amp;
IFERROR(VLOOKUP(C265, ListOfSitesTable, 2, FALSE), ""))))</f>
        <v/>
      </c>
      <c r="E265" s="832"/>
      <c r="F265" s="833"/>
      <c r="G265" s="808"/>
      <c r="H265" s="809"/>
      <c r="I265" s="810"/>
      <c r="J265" s="183" t="b">
        <v>0</v>
      </c>
      <c r="K265" s="178" t="b">
        <v>0</v>
      </c>
      <c r="L265" s="17" t="str">
        <f t="shared" si="7"/>
        <v/>
      </c>
      <c r="M265" s="10"/>
      <c r="N265" s="10"/>
      <c r="O265" s="10"/>
      <c r="P265" s="10"/>
    </row>
    <row r="266" spans="3:16" outlineLevel="1">
      <c r="C266" s="173"/>
      <c r="D266" s="831" t="str">
        <f>IF(C266 = "", "",
IF(COUNTIF($C$191:C265, C266), "VALUE INCONSISTENCY",
IF(AND(COUNTIF('General Information'!$C$402:$C$501, C266),
       INDEX('General Information'!$D$402:$D$501, MATCH(C266, 'General Information'!$C$402:$C$501, 0)) = ""),
   "VALUE INCONSISTENCY",
IFERROR(VLOOKUP(C266, ListOfSitesTable, 5, FALSE), "") &amp; " " &amp;
IFERROR(VLOOKUP(C266, ListOfSitesTable, 4, FALSE), "") &amp; " " &amp;
IFERROR(VLOOKUP(C266, ListOfSitesTable, 2, FALSE), ""))))</f>
        <v/>
      </c>
      <c r="E266" s="832"/>
      <c r="F266" s="833"/>
      <c r="G266" s="808"/>
      <c r="H266" s="809"/>
      <c r="I266" s="810"/>
      <c r="J266" s="183" t="b">
        <v>0</v>
      </c>
      <c r="K266" s="178" t="b">
        <v>0</v>
      </c>
      <c r="L266" s="17" t="str">
        <f t="shared" si="7"/>
        <v/>
      </c>
      <c r="M266" s="10"/>
      <c r="N266" s="10"/>
      <c r="O266" s="10"/>
      <c r="P266" s="10"/>
    </row>
    <row r="267" spans="3:16" outlineLevel="1">
      <c r="C267" s="173"/>
      <c r="D267" s="831" t="str">
        <f>IF(C267 = "", "",
IF(COUNTIF($C$191:C266, C267), "VALUE INCONSISTENCY",
IF(AND(COUNTIF('General Information'!$C$402:$C$501, C267),
       INDEX('General Information'!$D$402:$D$501, MATCH(C267, 'General Information'!$C$402:$C$501, 0)) = ""),
   "VALUE INCONSISTENCY",
IFERROR(VLOOKUP(C267, ListOfSitesTable, 5, FALSE), "") &amp; " " &amp;
IFERROR(VLOOKUP(C267, ListOfSitesTable, 4, FALSE), "") &amp; " " &amp;
IFERROR(VLOOKUP(C267, ListOfSitesTable, 2, FALSE), ""))))</f>
        <v/>
      </c>
      <c r="E267" s="832"/>
      <c r="F267" s="833"/>
      <c r="G267" s="808"/>
      <c r="H267" s="809"/>
      <c r="I267" s="810"/>
      <c r="J267" s="183" t="b">
        <v>0</v>
      </c>
      <c r="K267" s="178" t="b">
        <v>0</v>
      </c>
      <c r="L267" s="17" t="str">
        <f t="shared" si="7"/>
        <v/>
      </c>
      <c r="M267" s="10"/>
      <c r="N267" s="10"/>
      <c r="O267" s="10"/>
      <c r="P267" s="10"/>
    </row>
    <row r="268" spans="3:16" outlineLevel="1">
      <c r="C268" s="173"/>
      <c r="D268" s="831" t="str">
        <f>IF(C268 = "", "",
IF(COUNTIF($C$191:C267, C268), "VALUE INCONSISTENCY",
IF(AND(COUNTIF('General Information'!$C$402:$C$501, C268),
       INDEX('General Information'!$D$402:$D$501, MATCH(C268, 'General Information'!$C$402:$C$501, 0)) = ""),
   "VALUE INCONSISTENCY",
IFERROR(VLOOKUP(C268, ListOfSitesTable, 5, FALSE), "") &amp; " " &amp;
IFERROR(VLOOKUP(C268, ListOfSitesTable, 4, FALSE), "") &amp; " " &amp;
IFERROR(VLOOKUP(C268, ListOfSitesTable, 2, FALSE), ""))))</f>
        <v/>
      </c>
      <c r="E268" s="832"/>
      <c r="F268" s="833"/>
      <c r="G268" s="808"/>
      <c r="H268" s="809"/>
      <c r="I268" s="810"/>
      <c r="J268" s="183" t="b">
        <v>0</v>
      </c>
      <c r="K268" s="178" t="b">
        <v>0</v>
      </c>
      <c r="L268" s="17" t="str">
        <f t="shared" si="7"/>
        <v/>
      </c>
      <c r="M268" s="10"/>
      <c r="N268" s="10"/>
      <c r="O268" s="10"/>
      <c r="P268" s="10"/>
    </row>
    <row r="269" spans="3:16" outlineLevel="1">
      <c r="C269" s="173"/>
      <c r="D269" s="831" t="str">
        <f>IF(C269 = "", "",
IF(COUNTIF($C$191:C268, C269), "VALUE INCONSISTENCY",
IF(AND(COUNTIF('General Information'!$C$402:$C$501, C269),
       INDEX('General Information'!$D$402:$D$501, MATCH(C269, 'General Information'!$C$402:$C$501, 0)) = ""),
   "VALUE INCONSISTENCY",
IFERROR(VLOOKUP(C269, ListOfSitesTable, 5, FALSE), "") &amp; " " &amp;
IFERROR(VLOOKUP(C269, ListOfSitesTable, 4, FALSE), "") &amp; " " &amp;
IFERROR(VLOOKUP(C269, ListOfSitesTable, 2, FALSE), ""))))</f>
        <v/>
      </c>
      <c r="E269" s="832"/>
      <c r="F269" s="833"/>
      <c r="G269" s="808"/>
      <c r="H269" s="809"/>
      <c r="I269" s="810"/>
      <c r="J269" s="183" t="b">
        <v>0</v>
      </c>
      <c r="K269" s="178" t="b">
        <v>0</v>
      </c>
      <c r="L269" s="17" t="str">
        <f t="shared" si="7"/>
        <v/>
      </c>
      <c r="M269" s="10"/>
      <c r="N269" s="10"/>
      <c r="O269" s="10"/>
      <c r="P269" s="10"/>
    </row>
    <row r="270" spans="3:16" outlineLevel="1">
      <c r="C270" s="173"/>
      <c r="D270" s="831" t="str">
        <f>IF(C270 = "", "",
IF(COUNTIF($C$191:C269, C270), "VALUE INCONSISTENCY",
IF(AND(COUNTIF('General Information'!$C$402:$C$501, C270),
       INDEX('General Information'!$D$402:$D$501, MATCH(C270, 'General Information'!$C$402:$C$501, 0)) = ""),
   "VALUE INCONSISTENCY",
IFERROR(VLOOKUP(C270, ListOfSitesTable, 5, FALSE), "") &amp; " " &amp;
IFERROR(VLOOKUP(C270, ListOfSitesTable, 4, FALSE), "") &amp; " " &amp;
IFERROR(VLOOKUP(C270, ListOfSitesTable, 2, FALSE), ""))))</f>
        <v/>
      </c>
      <c r="E270" s="832"/>
      <c r="F270" s="833"/>
      <c r="G270" s="808"/>
      <c r="H270" s="809"/>
      <c r="I270" s="810"/>
      <c r="J270" s="183" t="b">
        <v>0</v>
      </c>
      <c r="K270" s="178" t="b">
        <v>0</v>
      </c>
      <c r="L270" s="17" t="str">
        <f t="shared" si="7"/>
        <v/>
      </c>
      <c r="M270" s="10"/>
      <c r="N270" s="10"/>
      <c r="O270" s="10"/>
      <c r="P270" s="10"/>
    </row>
    <row r="271" spans="3:16" outlineLevel="1">
      <c r="C271" s="173"/>
      <c r="D271" s="831" t="str">
        <f>IF(C271 = "", "",
IF(COUNTIF($C$191:C270, C271), "VALUE INCONSISTENCY",
IF(AND(COUNTIF('General Information'!$C$402:$C$501, C271),
       INDEX('General Information'!$D$402:$D$501, MATCH(C271, 'General Information'!$C$402:$C$501, 0)) = ""),
   "VALUE INCONSISTENCY",
IFERROR(VLOOKUP(C271, ListOfSitesTable, 5, FALSE), "") &amp; " " &amp;
IFERROR(VLOOKUP(C271, ListOfSitesTable, 4, FALSE), "") &amp; " " &amp;
IFERROR(VLOOKUP(C271, ListOfSitesTable, 2, FALSE), ""))))</f>
        <v/>
      </c>
      <c r="E271" s="832"/>
      <c r="F271" s="833"/>
      <c r="G271" s="808"/>
      <c r="H271" s="809"/>
      <c r="I271" s="810"/>
      <c r="J271" s="183" t="b">
        <v>0</v>
      </c>
      <c r="K271" s="178" t="b">
        <v>0</v>
      </c>
      <c r="L271" s="17" t="str">
        <f t="shared" si="7"/>
        <v/>
      </c>
      <c r="M271" s="10"/>
      <c r="N271" s="10"/>
      <c r="O271" s="10"/>
      <c r="P271" s="10"/>
    </row>
    <row r="272" spans="3:16" outlineLevel="1">
      <c r="C272" s="173"/>
      <c r="D272" s="831" t="str">
        <f>IF(C272 = "", "",
IF(COUNTIF($C$191:C271, C272), "VALUE INCONSISTENCY",
IF(AND(COUNTIF('General Information'!$C$402:$C$501, C272),
       INDEX('General Information'!$D$402:$D$501, MATCH(C272, 'General Information'!$C$402:$C$501, 0)) = ""),
   "VALUE INCONSISTENCY",
IFERROR(VLOOKUP(C272, ListOfSitesTable, 5, FALSE), "") &amp; " " &amp;
IFERROR(VLOOKUP(C272, ListOfSitesTable, 4, FALSE), "") &amp; " " &amp;
IFERROR(VLOOKUP(C272, ListOfSitesTable, 2, FALSE), ""))))</f>
        <v/>
      </c>
      <c r="E272" s="832"/>
      <c r="F272" s="833"/>
      <c r="G272" s="808"/>
      <c r="H272" s="809"/>
      <c r="I272" s="810"/>
      <c r="J272" s="183" t="b">
        <v>0</v>
      </c>
      <c r="K272" s="178" t="b">
        <v>0</v>
      </c>
      <c r="L272" s="17" t="str">
        <f t="shared" si="7"/>
        <v/>
      </c>
      <c r="M272" s="10"/>
      <c r="N272" s="10"/>
      <c r="O272" s="10"/>
      <c r="P272" s="10"/>
    </row>
    <row r="273" spans="3:16" outlineLevel="1">
      <c r="C273" s="173"/>
      <c r="D273" s="831" t="str">
        <f>IF(C273 = "", "",
IF(COUNTIF($C$191:C272, C273), "VALUE INCONSISTENCY",
IF(AND(COUNTIF('General Information'!$C$402:$C$501, C273),
       INDEX('General Information'!$D$402:$D$501, MATCH(C273, 'General Information'!$C$402:$C$501, 0)) = ""),
   "VALUE INCONSISTENCY",
IFERROR(VLOOKUP(C273, ListOfSitesTable, 5, FALSE), "") &amp; " " &amp;
IFERROR(VLOOKUP(C273, ListOfSitesTable, 4, FALSE), "") &amp; " " &amp;
IFERROR(VLOOKUP(C273, ListOfSitesTable, 2, FALSE), ""))))</f>
        <v/>
      </c>
      <c r="E273" s="832"/>
      <c r="F273" s="833"/>
      <c r="G273" s="808"/>
      <c r="H273" s="809"/>
      <c r="I273" s="810"/>
      <c r="J273" s="183" t="b">
        <v>0</v>
      </c>
      <c r="K273" s="178" t="b">
        <v>0</v>
      </c>
      <c r="L273" s="17" t="str">
        <f t="shared" si="7"/>
        <v/>
      </c>
      <c r="M273" s="10"/>
      <c r="N273" s="10"/>
      <c r="O273" s="10"/>
      <c r="P273" s="10"/>
    </row>
    <row r="274" spans="3:16" outlineLevel="1">
      <c r="C274" s="173"/>
      <c r="D274" s="831" t="str">
        <f>IF(C274 = "", "",
IF(COUNTIF($C$191:C273, C274), "VALUE INCONSISTENCY",
IF(AND(COUNTIF('General Information'!$C$402:$C$501, C274),
       INDEX('General Information'!$D$402:$D$501, MATCH(C274, 'General Information'!$C$402:$C$501, 0)) = ""),
   "VALUE INCONSISTENCY",
IFERROR(VLOOKUP(C274, ListOfSitesTable, 5, FALSE), "") &amp; " " &amp;
IFERROR(VLOOKUP(C274, ListOfSitesTable, 4, FALSE), "") &amp; " " &amp;
IFERROR(VLOOKUP(C274, ListOfSitesTable, 2, FALSE), ""))))</f>
        <v/>
      </c>
      <c r="E274" s="832"/>
      <c r="F274" s="833"/>
      <c r="G274" s="808"/>
      <c r="H274" s="809"/>
      <c r="I274" s="810"/>
      <c r="J274" s="183" t="b">
        <v>0</v>
      </c>
      <c r="K274" s="178" t="b">
        <v>0</v>
      </c>
      <c r="L274" s="17" t="str">
        <f t="shared" si="7"/>
        <v/>
      </c>
      <c r="M274" s="10"/>
      <c r="N274" s="10"/>
      <c r="O274" s="10"/>
      <c r="P274" s="10"/>
    </row>
    <row r="275" spans="3:16" outlineLevel="1">
      <c r="C275" s="173"/>
      <c r="D275" s="831" t="str">
        <f>IF(C275 = "", "",
IF(COUNTIF($C$191:C274, C275), "VALUE INCONSISTENCY",
IF(AND(COUNTIF('General Information'!$C$402:$C$501, C275),
       INDEX('General Information'!$D$402:$D$501, MATCH(C275, 'General Information'!$C$402:$C$501, 0)) = ""),
   "VALUE INCONSISTENCY",
IFERROR(VLOOKUP(C275, ListOfSitesTable, 5, FALSE), "") &amp; " " &amp;
IFERROR(VLOOKUP(C275, ListOfSitesTable, 4, FALSE), "") &amp; " " &amp;
IFERROR(VLOOKUP(C275, ListOfSitesTable, 2, FALSE), ""))))</f>
        <v/>
      </c>
      <c r="E275" s="832"/>
      <c r="F275" s="833"/>
      <c r="G275" s="808"/>
      <c r="H275" s="809"/>
      <c r="I275" s="810"/>
      <c r="J275" s="183" t="b">
        <v>0</v>
      </c>
      <c r="K275" s="178" t="b">
        <v>0</v>
      </c>
      <c r="L275" s="17" t="str">
        <f t="shared" si="7"/>
        <v/>
      </c>
      <c r="M275" s="10"/>
      <c r="N275" s="10"/>
      <c r="O275" s="10"/>
      <c r="P275" s="10"/>
    </row>
    <row r="276" spans="3:16" outlineLevel="1">
      <c r="C276" s="173"/>
      <c r="D276" s="831" t="str">
        <f>IF(C276 = "", "",
IF(COUNTIF($C$191:C275, C276), "VALUE INCONSISTENCY",
IF(AND(COUNTIF('General Information'!$C$402:$C$501, C276),
       INDEX('General Information'!$D$402:$D$501, MATCH(C276, 'General Information'!$C$402:$C$501, 0)) = ""),
   "VALUE INCONSISTENCY",
IFERROR(VLOOKUP(C276, ListOfSitesTable, 5, FALSE), "") &amp; " " &amp;
IFERROR(VLOOKUP(C276, ListOfSitesTable, 4, FALSE), "") &amp; " " &amp;
IFERROR(VLOOKUP(C276, ListOfSitesTable, 2, FALSE), ""))))</f>
        <v/>
      </c>
      <c r="E276" s="832"/>
      <c r="F276" s="833"/>
      <c r="G276" s="808"/>
      <c r="H276" s="809"/>
      <c r="I276" s="810"/>
      <c r="J276" s="183" t="b">
        <v>0</v>
      </c>
      <c r="K276" s="178" t="b">
        <v>0</v>
      </c>
      <c r="L276" s="17" t="str">
        <f t="shared" si="7"/>
        <v/>
      </c>
      <c r="M276" s="10"/>
      <c r="N276" s="10"/>
      <c r="O276" s="10"/>
      <c r="P276" s="10"/>
    </row>
    <row r="277" spans="3:16" outlineLevel="1">
      <c r="C277" s="173"/>
      <c r="D277" s="831" t="str">
        <f>IF(C277 = "", "",
IF(COUNTIF($C$191:C276, C277), "VALUE INCONSISTENCY",
IF(AND(COUNTIF('General Information'!$C$402:$C$501, C277),
       INDEX('General Information'!$D$402:$D$501, MATCH(C277, 'General Information'!$C$402:$C$501, 0)) = ""),
   "VALUE INCONSISTENCY",
IFERROR(VLOOKUP(C277, ListOfSitesTable, 5, FALSE), "") &amp; " " &amp;
IFERROR(VLOOKUP(C277, ListOfSitesTable, 4, FALSE), "") &amp; " " &amp;
IFERROR(VLOOKUP(C277, ListOfSitesTable, 2, FALSE), ""))))</f>
        <v/>
      </c>
      <c r="E277" s="832"/>
      <c r="F277" s="833"/>
      <c r="G277" s="808"/>
      <c r="H277" s="809"/>
      <c r="I277" s="810"/>
      <c r="J277" s="183" t="b">
        <v>0</v>
      </c>
      <c r="K277" s="178" t="b">
        <v>0</v>
      </c>
      <c r="L277" s="17" t="str">
        <f t="shared" si="7"/>
        <v/>
      </c>
      <c r="M277" s="10"/>
      <c r="N277" s="10"/>
      <c r="O277" s="10"/>
      <c r="P277" s="10"/>
    </row>
    <row r="278" spans="3:16" outlineLevel="1">
      <c r="C278" s="173"/>
      <c r="D278" s="831" t="str">
        <f>IF(C278 = "", "",
IF(COUNTIF($C$191:C277, C278), "VALUE INCONSISTENCY",
IF(AND(COUNTIF('General Information'!$C$402:$C$501, C278),
       INDEX('General Information'!$D$402:$D$501, MATCH(C278, 'General Information'!$C$402:$C$501, 0)) = ""),
   "VALUE INCONSISTENCY",
IFERROR(VLOOKUP(C278, ListOfSitesTable, 5, FALSE), "") &amp; " " &amp;
IFERROR(VLOOKUP(C278, ListOfSitesTable, 4, FALSE), "") &amp; " " &amp;
IFERROR(VLOOKUP(C278, ListOfSitesTable, 2, FALSE), ""))))</f>
        <v/>
      </c>
      <c r="E278" s="832"/>
      <c r="F278" s="833"/>
      <c r="G278" s="808"/>
      <c r="H278" s="809"/>
      <c r="I278" s="810"/>
      <c r="J278" s="183" t="b">
        <v>0</v>
      </c>
      <c r="K278" s="178" t="b">
        <v>0</v>
      </c>
      <c r="L278" s="17" t="str">
        <f t="shared" si="7"/>
        <v/>
      </c>
      <c r="M278" s="10"/>
      <c r="N278" s="10"/>
      <c r="O278" s="10"/>
      <c r="P278" s="10"/>
    </row>
    <row r="279" spans="3:16" outlineLevel="1">
      <c r="C279" s="173"/>
      <c r="D279" s="831" t="str">
        <f>IF(C279 = "", "",
IF(COUNTIF($C$191:C278, C279), "VALUE INCONSISTENCY",
IF(AND(COUNTIF('General Information'!$C$402:$C$501, C279),
       INDEX('General Information'!$D$402:$D$501, MATCH(C279, 'General Information'!$C$402:$C$501, 0)) = ""),
   "VALUE INCONSISTENCY",
IFERROR(VLOOKUP(C279, ListOfSitesTable, 5, FALSE), "") &amp; " " &amp;
IFERROR(VLOOKUP(C279, ListOfSitesTable, 4, FALSE), "") &amp; " " &amp;
IFERROR(VLOOKUP(C279, ListOfSitesTable, 2, FALSE), ""))))</f>
        <v/>
      </c>
      <c r="E279" s="832"/>
      <c r="F279" s="833"/>
      <c r="G279" s="808"/>
      <c r="H279" s="809"/>
      <c r="I279" s="810"/>
      <c r="J279" s="183" t="b">
        <v>0</v>
      </c>
      <c r="K279" s="178" t="b">
        <v>0</v>
      </c>
      <c r="L279" s="17" t="str">
        <f t="shared" si="7"/>
        <v/>
      </c>
      <c r="M279" s="10"/>
      <c r="N279" s="10"/>
      <c r="O279" s="10"/>
      <c r="P279" s="10"/>
    </row>
    <row r="280" spans="3:16" outlineLevel="1">
      <c r="C280" s="173"/>
      <c r="D280" s="831" t="str">
        <f>IF(C280 = "", "",
IF(COUNTIF($C$191:C279, C280), "VALUE INCONSISTENCY",
IF(AND(COUNTIF('General Information'!$C$402:$C$501, C280),
       INDEX('General Information'!$D$402:$D$501, MATCH(C280, 'General Information'!$C$402:$C$501, 0)) = ""),
   "VALUE INCONSISTENCY",
IFERROR(VLOOKUP(C280, ListOfSitesTable, 5, FALSE), "") &amp; " " &amp;
IFERROR(VLOOKUP(C280, ListOfSitesTable, 4, FALSE), "") &amp; " " &amp;
IFERROR(VLOOKUP(C280, ListOfSitesTable, 2, FALSE), ""))))</f>
        <v/>
      </c>
      <c r="E280" s="832"/>
      <c r="F280" s="833"/>
      <c r="G280" s="808"/>
      <c r="H280" s="809"/>
      <c r="I280" s="810"/>
      <c r="J280" s="183" t="b">
        <v>0</v>
      </c>
      <c r="K280" s="178" t="b">
        <v>0</v>
      </c>
      <c r="L280" s="17" t="str">
        <f t="shared" si="7"/>
        <v/>
      </c>
      <c r="M280" s="10"/>
      <c r="N280" s="10"/>
      <c r="O280" s="10"/>
      <c r="P280" s="10"/>
    </row>
    <row r="281" spans="3:16" outlineLevel="1">
      <c r="C281" s="173"/>
      <c r="D281" s="831" t="str">
        <f>IF(C281 = "", "",
IF(COUNTIF($C$191:C280, C281), "VALUE INCONSISTENCY",
IF(AND(COUNTIF('General Information'!$C$402:$C$501, C281),
       INDEX('General Information'!$D$402:$D$501, MATCH(C281, 'General Information'!$C$402:$C$501, 0)) = ""),
   "VALUE INCONSISTENCY",
IFERROR(VLOOKUP(C281, ListOfSitesTable, 5, FALSE), "") &amp; " " &amp;
IFERROR(VLOOKUP(C281, ListOfSitesTable, 4, FALSE), "") &amp; " " &amp;
IFERROR(VLOOKUP(C281, ListOfSitesTable, 2, FALSE), ""))))</f>
        <v/>
      </c>
      <c r="E281" s="832"/>
      <c r="F281" s="833"/>
      <c r="G281" s="808"/>
      <c r="H281" s="809"/>
      <c r="I281" s="810"/>
      <c r="J281" s="183" t="b">
        <v>0</v>
      </c>
      <c r="K281" s="178" t="b">
        <v>0</v>
      </c>
      <c r="L281" s="17" t="str">
        <f t="shared" si="7"/>
        <v/>
      </c>
      <c r="M281" s="10"/>
      <c r="N281" s="10"/>
      <c r="O281" s="10"/>
      <c r="P281" s="10"/>
    </row>
    <row r="282" spans="3:16" outlineLevel="1">
      <c r="C282" s="173"/>
      <c r="D282" s="831" t="str">
        <f>IF(C282 = "", "",
IF(COUNTIF($C$191:C281, C282), "VALUE INCONSISTENCY",
IF(AND(COUNTIF('General Information'!$C$402:$C$501, C282),
       INDEX('General Information'!$D$402:$D$501, MATCH(C282, 'General Information'!$C$402:$C$501, 0)) = ""),
   "VALUE INCONSISTENCY",
IFERROR(VLOOKUP(C282, ListOfSitesTable, 5, FALSE), "") &amp; " " &amp;
IFERROR(VLOOKUP(C282, ListOfSitesTable, 4, FALSE), "") &amp; " " &amp;
IFERROR(VLOOKUP(C282, ListOfSitesTable, 2, FALSE), ""))))</f>
        <v/>
      </c>
      <c r="E282" s="832"/>
      <c r="F282" s="833"/>
      <c r="G282" s="808"/>
      <c r="H282" s="809"/>
      <c r="I282" s="810"/>
      <c r="J282" s="183" t="b">
        <v>0</v>
      </c>
      <c r="K282" s="178" t="b">
        <v>0</v>
      </c>
      <c r="L282" s="17" t="str">
        <f t="shared" si="7"/>
        <v/>
      </c>
      <c r="M282" s="10"/>
      <c r="N282" s="10"/>
      <c r="O282" s="10"/>
      <c r="P282" s="10"/>
    </row>
    <row r="283" spans="3:16" outlineLevel="1">
      <c r="C283" s="173"/>
      <c r="D283" s="831" t="str">
        <f>IF(C283 = "", "",
IF(COUNTIF($C$191:C282, C283), "VALUE INCONSISTENCY",
IF(AND(COUNTIF('General Information'!$C$402:$C$501, C283),
       INDEX('General Information'!$D$402:$D$501, MATCH(C283, 'General Information'!$C$402:$C$501, 0)) = ""),
   "VALUE INCONSISTENCY",
IFERROR(VLOOKUP(C283, ListOfSitesTable, 5, FALSE), "") &amp; " " &amp;
IFERROR(VLOOKUP(C283, ListOfSitesTable, 4, FALSE), "") &amp; " " &amp;
IFERROR(VLOOKUP(C283, ListOfSitesTable, 2, FALSE), ""))))</f>
        <v/>
      </c>
      <c r="E283" s="832"/>
      <c r="F283" s="833"/>
      <c r="G283" s="808"/>
      <c r="H283" s="809"/>
      <c r="I283" s="810"/>
      <c r="J283" s="183" t="b">
        <v>0</v>
      </c>
      <c r="K283" s="178" t="b">
        <v>0</v>
      </c>
      <c r="L283" s="17" t="str">
        <f t="shared" si="7"/>
        <v/>
      </c>
      <c r="M283" s="10"/>
      <c r="N283" s="10"/>
      <c r="O283" s="10"/>
      <c r="P283" s="10"/>
    </row>
    <row r="284" spans="3:16" outlineLevel="1">
      <c r="C284" s="173"/>
      <c r="D284" s="831" t="str">
        <f>IF(C284 = "", "",
IF(COUNTIF($C$191:C283, C284), "VALUE INCONSISTENCY",
IF(AND(COUNTIF('General Information'!$C$402:$C$501, C284),
       INDEX('General Information'!$D$402:$D$501, MATCH(C284, 'General Information'!$C$402:$C$501, 0)) = ""),
   "VALUE INCONSISTENCY",
IFERROR(VLOOKUP(C284, ListOfSitesTable, 5, FALSE), "") &amp; " " &amp;
IFERROR(VLOOKUP(C284, ListOfSitesTable, 4, FALSE), "") &amp; " " &amp;
IFERROR(VLOOKUP(C284, ListOfSitesTable, 2, FALSE), ""))))</f>
        <v/>
      </c>
      <c r="E284" s="832"/>
      <c r="F284" s="833"/>
      <c r="G284" s="808"/>
      <c r="H284" s="809"/>
      <c r="I284" s="810"/>
      <c r="J284" s="183" t="b">
        <v>0</v>
      </c>
      <c r="K284" s="178" t="b">
        <v>0</v>
      </c>
      <c r="L284" s="17" t="str">
        <f t="shared" si="7"/>
        <v/>
      </c>
      <c r="M284" s="10"/>
      <c r="N284" s="10"/>
      <c r="O284" s="10"/>
      <c r="P284" s="10"/>
    </row>
    <row r="285" spans="3:16" outlineLevel="1">
      <c r="C285" s="173"/>
      <c r="D285" s="831" t="str">
        <f>IF(C285 = "", "",
IF(COUNTIF($C$191:C284, C285), "VALUE INCONSISTENCY",
IF(AND(COUNTIF('General Information'!$C$402:$C$501, C285),
       INDEX('General Information'!$D$402:$D$501, MATCH(C285, 'General Information'!$C$402:$C$501, 0)) = ""),
   "VALUE INCONSISTENCY",
IFERROR(VLOOKUP(C285, ListOfSitesTable, 5, FALSE), "") &amp; " " &amp;
IFERROR(VLOOKUP(C285, ListOfSitesTable, 4, FALSE), "") &amp; " " &amp;
IFERROR(VLOOKUP(C285, ListOfSitesTable, 2, FALSE), ""))))</f>
        <v/>
      </c>
      <c r="E285" s="832"/>
      <c r="F285" s="833"/>
      <c r="G285" s="808"/>
      <c r="H285" s="809"/>
      <c r="I285" s="810"/>
      <c r="J285" s="183" t="b">
        <v>0</v>
      </c>
      <c r="K285" s="178" t="b">
        <v>0</v>
      </c>
      <c r="L285" s="17" t="str">
        <f t="shared" si="7"/>
        <v/>
      </c>
      <c r="M285" s="10"/>
      <c r="N285" s="10"/>
      <c r="O285" s="10"/>
      <c r="P285" s="10"/>
    </row>
    <row r="286" spans="3:16" outlineLevel="1">
      <c r="C286" s="173"/>
      <c r="D286" s="831" t="str">
        <f>IF(C286 = "", "",
IF(COUNTIF($C$191:C285, C286), "VALUE INCONSISTENCY",
IF(AND(COUNTIF('General Information'!$C$402:$C$501, C286),
       INDEX('General Information'!$D$402:$D$501, MATCH(C286, 'General Information'!$C$402:$C$501, 0)) = ""),
   "VALUE INCONSISTENCY",
IFERROR(VLOOKUP(C286, ListOfSitesTable, 5, FALSE), "") &amp; " " &amp;
IFERROR(VLOOKUP(C286, ListOfSitesTable, 4, FALSE), "") &amp; " " &amp;
IFERROR(VLOOKUP(C286, ListOfSitesTable, 2, FALSE), ""))))</f>
        <v/>
      </c>
      <c r="E286" s="832"/>
      <c r="F286" s="833"/>
      <c r="G286" s="808"/>
      <c r="H286" s="809"/>
      <c r="I286" s="810"/>
      <c r="J286" s="183" t="b">
        <v>0</v>
      </c>
      <c r="K286" s="178" t="b">
        <v>0</v>
      </c>
      <c r="L286" s="17" t="str">
        <f t="shared" si="7"/>
        <v/>
      </c>
      <c r="M286" s="10"/>
      <c r="N286" s="10"/>
      <c r="O286" s="10"/>
      <c r="P286" s="10"/>
    </row>
    <row r="287" spans="3:16" outlineLevel="1">
      <c r="C287" s="173"/>
      <c r="D287" s="831" t="str">
        <f>IF(C287 = "", "",
IF(COUNTIF($C$191:C286, C287), "VALUE INCONSISTENCY",
IF(AND(COUNTIF('General Information'!$C$402:$C$501, C287),
       INDEX('General Information'!$D$402:$D$501, MATCH(C287, 'General Information'!$C$402:$C$501, 0)) = ""),
   "VALUE INCONSISTENCY",
IFERROR(VLOOKUP(C287, ListOfSitesTable, 5, FALSE), "") &amp; " " &amp;
IFERROR(VLOOKUP(C287, ListOfSitesTable, 4, FALSE), "") &amp; " " &amp;
IFERROR(VLOOKUP(C287, ListOfSitesTable, 2, FALSE), ""))))</f>
        <v/>
      </c>
      <c r="E287" s="832"/>
      <c r="F287" s="833"/>
      <c r="G287" s="808"/>
      <c r="H287" s="809"/>
      <c r="I287" s="810"/>
      <c r="J287" s="183" t="b">
        <v>0</v>
      </c>
      <c r="K287" s="178" t="b">
        <v>0</v>
      </c>
      <c r="L287" s="17" t="str">
        <f t="shared" si="7"/>
        <v/>
      </c>
      <c r="M287" s="10"/>
      <c r="N287" s="10"/>
      <c r="O287" s="10"/>
      <c r="P287" s="10"/>
    </row>
    <row r="288" spans="3:16" outlineLevel="1">
      <c r="C288" s="173"/>
      <c r="D288" s="831" t="str">
        <f>IF(C288 = "", "",
IF(COUNTIF($C$191:C287, C288), "VALUE INCONSISTENCY",
IF(AND(COUNTIF('General Information'!$C$402:$C$501, C288),
       INDEX('General Information'!$D$402:$D$501, MATCH(C288, 'General Information'!$C$402:$C$501, 0)) = ""),
   "VALUE INCONSISTENCY",
IFERROR(VLOOKUP(C288, ListOfSitesTable, 5, FALSE), "") &amp; " " &amp;
IFERROR(VLOOKUP(C288, ListOfSitesTable, 4, FALSE), "") &amp; " " &amp;
IFERROR(VLOOKUP(C288, ListOfSitesTable, 2, FALSE), ""))))</f>
        <v/>
      </c>
      <c r="E288" s="832"/>
      <c r="F288" s="833"/>
      <c r="G288" s="808"/>
      <c r="H288" s="809"/>
      <c r="I288" s="810"/>
      <c r="J288" s="183" t="b">
        <v>0</v>
      </c>
      <c r="K288" s="178" t="b">
        <v>0</v>
      </c>
      <c r="L288" s="17" t="str">
        <f t="shared" si="7"/>
        <v/>
      </c>
      <c r="M288" s="10"/>
      <c r="N288" s="10"/>
      <c r="O288" s="10"/>
      <c r="P288" s="10"/>
    </row>
    <row r="289" spans="3:16" outlineLevel="1">
      <c r="C289" s="173"/>
      <c r="D289" s="831" t="str">
        <f>IF(C289 = "", "",
IF(COUNTIF($C$191:C214, C289), "VALUE INCONSISTENCY",
IF(AND(COUNTIF('General Information'!$C$402:$C$501, C289),
       INDEX('General Information'!$D$402:$D$501, MATCH(C289, 'General Information'!$C$402:$C$501, 0)) = ""),
   "VALUE INCONSISTENCY",
IFERROR(VLOOKUP(C289, ListOfSitesTable, 5, FALSE), "") &amp; " " &amp;
IFERROR(VLOOKUP(C289, ListOfSitesTable, 4, FALSE), "") &amp; " " &amp;
IFERROR(VLOOKUP(C289, ListOfSitesTable, 2, FALSE), ""))))</f>
        <v/>
      </c>
      <c r="E289" s="832"/>
      <c r="F289" s="833"/>
      <c r="G289" s="1025"/>
      <c r="H289" s="809"/>
      <c r="I289" s="810"/>
      <c r="J289" s="183" t="b">
        <v>0</v>
      </c>
      <c r="K289" s="178" t="b">
        <v>0</v>
      </c>
      <c r="L289" s="17" t="str">
        <f t="shared" si="7"/>
        <v/>
      </c>
      <c r="M289" s="10"/>
      <c r="N289" s="10"/>
      <c r="O289" s="10"/>
      <c r="P289" s="10"/>
    </row>
    <row r="290" spans="3:16" ht="15" outlineLevel="1" thickBot="1">
      <c r="C290" s="176"/>
      <c r="D290" s="831" t="str">
        <f>IF(C290 = "", "",
IF(COUNTIF($C$191:C289, C290), "VALUE INCONSISTENCY",
IF(AND(COUNTIF('General Information'!$C$402:$C$501, C290),
       INDEX('General Information'!$D$402:$D$501, MATCH(C290, 'General Information'!$C$402:$C$501, 0)) = ""),
   "VALUE INCONSISTENCY",
IFERROR(VLOOKUP(C290, ListOfSitesTable, 5, FALSE), "") &amp; " " &amp;
IFERROR(VLOOKUP(C290, ListOfSitesTable, 4, FALSE), "") &amp; " " &amp;
IFERROR(VLOOKUP(C290, ListOfSitesTable, 2, FALSE), ""))))</f>
        <v/>
      </c>
      <c r="E290" s="832"/>
      <c r="F290" s="833"/>
      <c r="G290" s="998"/>
      <c r="H290" s="999"/>
      <c r="I290" s="1000"/>
      <c r="J290" s="184" t="b">
        <v>0</v>
      </c>
      <c r="K290" s="179" t="b">
        <v>0</v>
      </c>
      <c r="L290" s="17" t="str">
        <f>IF($G$189=FALSE, "",
    IF(AND($G$189=TRUE, TRIM(D290)&lt;&gt;"", TRIM(G290)&lt;&gt;"", OR(J290=TRUE, K290=TRUE)), template_label_ok,
        IF(AND($G$189=TRUE, TRIM(D290)&lt;&gt;"", TRIM(G290)&lt;&gt;"", J290=FALSE, K290=FALSE), template_label_missing_value,
            IF(AND($G$189=TRUE, TRIM(D290)&lt;&gt;"", TRIM(G290)="", J290=FALSE, K290=FALSE), template_label_missing_value,
                IF(AND($G$189=TRUE, TRIM(D290)&lt;&gt;"", TRIM(G290)="", OR(J290=TRUE, K290=TRUE)), template_label_missing_value,
                    IF(AND($G$189=TRUE, TRIM(D290)="", TRIM(G290)&lt;&gt;"", J290=FALSE, K290=FALSE), template_label_missing_value,
                        IF(AND($G$189=TRUE, TRIM(D290)="", TRIM(G290)="", OR(J290=TRUE, K290=TRUE)), template_label_missing_value,
                            IF(AND($G$189=TRUE, TRIM(D290)="", TRIM(G290)&lt;&gt;"", OR(J290=TRUE, K290=TRUE)), template_label_missing_value,
                                ""
                            )
                        )
                    )
                )
            )
        )
    )
)</f>
        <v/>
      </c>
      <c r="M290" s="10"/>
      <c r="N290" s="10"/>
      <c r="O290" s="10"/>
      <c r="P290" s="10"/>
    </row>
    <row r="291" spans="3:16">
      <c r="D291" s="14"/>
      <c r="E291" s="14"/>
      <c r="F291" s="14"/>
      <c r="H291" s="14"/>
      <c r="I291" s="14"/>
      <c r="J291" s="14"/>
    </row>
    <row r="292" spans="3:16" ht="15" thickBot="1"/>
    <row r="293" spans="3:16">
      <c r="C293" s="1018" t="str">
        <f>template_label_b6_water_withdrawal&amp;" "&amp;template_label_from&amp;" "&amp;template_starting_date_display&amp;" "&amp;template_label_to&amp;" "&amp;template_ending_date_display&amp;" "</f>
        <v xml:space="preserve">B6 - Water Withdrawal from - to - </v>
      </c>
      <c r="D293" s="1019"/>
      <c r="E293" s="15"/>
      <c r="F293" s="15"/>
      <c r="G293" s="16"/>
      <c r="H293" s="16"/>
      <c r="I293" s="16"/>
      <c r="K293" s="16"/>
    </row>
    <row r="294" spans="3:16">
      <c r="C294" s="726">
        <v>36</v>
      </c>
      <c r="D294" s="820"/>
      <c r="E294" s="100"/>
      <c r="F294" s="100"/>
      <c r="G294" s="16"/>
      <c r="H294" s="16"/>
      <c r="I294" s="16"/>
    </row>
    <row r="295" spans="3:16">
      <c r="C295" s="726" t="s">
        <v>48</v>
      </c>
      <c r="D295" s="820"/>
      <c r="E295" s="101"/>
      <c r="F295" s="101"/>
      <c r="G295" s="16"/>
      <c r="H295" s="16"/>
      <c r="I295" s="16"/>
      <c r="K295" s="45"/>
      <c r="L295" s="45"/>
    </row>
    <row r="296" spans="3:16" ht="22.4" customHeight="1">
      <c r="C296" s="78" t="str">
        <f>template_label_total_amount_of_water_withdrawn_from_all_sites</f>
        <v>Total amount of water withdrawn from all sites (cubic meters m³)</v>
      </c>
      <c r="D296" s="205"/>
      <c r="E296" s="862" t="str">
        <f>IF(OR(
'Table of Contents &amp; Validation'!D28=TRUE,'Table of Contents &amp; Validation'!D27=TRUE,'General Information'!E280&lt;=10),
IF(
    AND(
        OR(
            'General Information'!E125="Option A (Basic Module only)",
            'General Information'!E125="Option B (Basic Module and Comprehensive Module)"
        ),
        TotalAmountOfWaterWithdrawnFromAllSites=""
    ),
    "",
    IF('General Information'!E125="", "", template_label_ok)
),
IF(
    AND(
        OR(
            'General Information'!E125="Option A (Basic Module only)",
            'General Information'!E125="Option B (Basic Module and Comprehensive Module)"
        ),
        TotalAmountOfWaterWithdrawnFromAllSites=""
    ),
    template_label_missing_value,
    IF('General Information'!E125="", "", template_label_ok)
)
)</f>
        <v/>
      </c>
      <c r="F296" s="862"/>
      <c r="G296" s="16"/>
      <c r="H296" s="16"/>
      <c r="I296" s="16"/>
    </row>
    <row r="297" spans="3:16" ht="15" thickBot="1">
      <c r="K297" s="33"/>
    </row>
    <row r="298" spans="3:16" ht="15" thickBot="1">
      <c r="C298" s="731" t="str">
        <f>template_label_b6_water_consumption&amp;" "&amp;template_label_from&amp;" "&amp;template_starting_date_display&amp;" "&amp;template_label_to&amp;" "&amp;template_ending_date_display&amp;" "</f>
        <v xml:space="preserve">B6 - Water Consumption from - to - </v>
      </c>
      <c r="D298" s="828"/>
      <c r="E298" s="15"/>
      <c r="F298" s="15"/>
    </row>
    <row r="299" spans="3:16">
      <c r="C299" s="687">
        <v>37</v>
      </c>
      <c r="D299" s="682"/>
      <c r="E299" s="100"/>
      <c r="F299" s="100"/>
    </row>
    <row r="300" spans="3:16">
      <c r="C300" s="726" t="s">
        <v>49</v>
      </c>
      <c r="D300" s="820"/>
      <c r="E300" s="101"/>
      <c r="F300" s="101"/>
    </row>
    <row r="301" spans="3:16" ht="50.9" customHeight="1">
      <c r="C301" s="103" t="str">
        <f>template_label_does_the_undertaking_have_production_processes_in_place_which_significantly_consume_water</f>
        <v>Voluntary for undertakings with 10 employees or less - Does the undertaking have production processes in place which significantly consume water (e.g. thermal energy processes like drying or power production production of goods agricultural irrigation etc.)?</v>
      </c>
      <c r="D301" s="127" t="b">
        <v>0</v>
      </c>
      <c r="E301" s="102"/>
      <c r="F301" s="102"/>
      <c r="G301" s="16"/>
      <c r="H301" s="16"/>
      <c r="I301" s="16"/>
    </row>
    <row r="302" spans="3:16">
      <c r="C302" s="78" t="str">
        <f>template_label_water_discharge_from_undertaking_production_processes</f>
        <v>Water discharge from undertaking production processes (m³)</v>
      </c>
      <c r="D302" s="211"/>
      <c r="E302" s="1005" t="str">
        <f>IF(
    AND(D301=TRUE, D302=""),
    template_label_missing_value,
    IF(AND(D301=TRUE, D302&lt;&gt;""),
        template_label_ok,
        ""
    )
)</f>
        <v/>
      </c>
      <c r="F302" s="1005"/>
      <c r="G302" s="16"/>
      <c r="H302" s="16"/>
      <c r="I302" s="16"/>
    </row>
    <row r="303" spans="3:16" ht="21" customHeight="1" thickBot="1">
      <c r="C303" s="339" t="str">
        <f>template_label_total_water_consumption</f>
        <v>Total water consumption (m³)</v>
      </c>
      <c r="D303" s="365" t="str">
        <f>IF(D302&lt;&gt;"",$D$296-$D$302,"-")</f>
        <v>-</v>
      </c>
      <c r="E303" s="104"/>
      <c r="F303" s="104"/>
    </row>
    <row r="304" spans="3:16" ht="33.65" customHeight="1" thickBot="1">
      <c r="C304" s="339" t="str">
        <f>template_label_amount_of_water_consumed_at_sites_located_in_areas_with_water_stress</f>
        <v>Amount of water consumed at sites located in areas with water-stress (cubic meters m³)</v>
      </c>
      <c r="D304" s="588"/>
      <c r="E304" s="1005" t="str">
        <f>IF(
    OR(
        'Table of Contents &amp; Validation'!D28=TRUE,
        'Table of Contents &amp; Validation'!D27=TRUE,
        'General Information'!E280&lt;=10
    ),
    IF(
        AND(
            OR(
                'General Information'!E125="Option A (Basic Module only)",
                'General Information'!E125="Option B (Basic Module and Comprehensive Module)"
            ),
            AmountOfWaterConsumedAtSitesLocatedInAreasWithWaterStress=""
        ),
        "",
        IF(
            AND(D301=TRUE,'General Information'!E125&lt;&gt;""),
            template_label_ok,
            ""
        )
    ),
    IF(
        AND(
            D301=TRUE,
            OR(
                'General Information'!E125="Option A (Basic Module only)",
                'General Information'!E125="Option B (Basic Module and Comprehensive Module)"
            ),
            AmountOfWaterConsumedAtSitesLocatedInAreasWithWaterStress=""
        ),
        template_label_missing_value,
        IF(
            AND(D301=TRUE,'General Information'!E125&lt;&gt;""),
            template_label_ok,
            ""
        )
    )
)</f>
        <v/>
      </c>
      <c r="F304" s="1005"/>
      <c r="G304" s="16"/>
      <c r="H304" s="16"/>
      <c r="I304" s="16"/>
    </row>
    <row r="305" spans="3:14" ht="15" thickBot="1"/>
    <row r="306" spans="3:14" ht="15" thickBot="1">
      <c r="C306" s="731" t="str">
        <f>template_label_b7_description_of_circular_economy_principles&amp;" "&amp;template_label_from&amp;" "&amp;template_starting_date_display&amp;" "&amp;template_label_to&amp;" "&amp;template_ending_date_display&amp;" "</f>
        <v xml:space="preserve">B7 - Description of circular economy principles from - to - </v>
      </c>
      <c r="D306" s="827"/>
      <c r="E306" s="827"/>
      <c r="F306" s="827"/>
      <c r="G306" s="828"/>
      <c r="H306" s="16"/>
      <c r="I306" s="16"/>
    </row>
    <row r="307" spans="3:14">
      <c r="C307" s="687">
        <v>38</v>
      </c>
      <c r="D307" s="677"/>
      <c r="E307" s="677"/>
      <c r="F307" s="677"/>
      <c r="G307" s="682"/>
      <c r="H307" s="105"/>
      <c r="I307" s="105"/>
    </row>
    <row r="308" spans="3:14">
      <c r="C308" s="726">
        <v>92</v>
      </c>
      <c r="D308" s="702"/>
      <c r="E308" s="702"/>
      <c r="F308" s="702"/>
      <c r="G308" s="820"/>
      <c r="H308" s="106"/>
      <c r="I308" s="106"/>
    </row>
    <row r="309" spans="3:14">
      <c r="C309" s="77" t="str">
        <f>template_label_undertaking_applies_circular_economy_principles</f>
        <v>Undertaking applies circular economy principles</v>
      </c>
      <c r="D309" s="1021"/>
      <c r="E309" s="1021"/>
      <c r="F309" s="1021"/>
      <c r="G309" s="1022"/>
      <c r="H309" s="1020" t="str">
        <f>IF(OR(
'Table of Contents &amp; Validation'!D31=TRUE,'Table of Contents &amp; Validation'!D30=TRUE,'General Information'!E280&lt;=10),
IF(
    AND(
        OR(
            'General Information'!E125="Option A (Basic Module only)",
            'General Information'!E125="Option B (Basic Module and Comprehensive Module)"
        ),
        UndertakingAppliesCircularEconomyPrinciples=""
    ),
    "",
    IF('General Information'!E125="", "", template_label_ok)
),
IF(
    AND(
        OR(
            'General Information'!E125="Option A (Basic Module only)",
            'General Information'!E125="Option B (Basic Module and Comprehensive Module)"
        ),
        UndertakingAppliesCircularEconomyPrinciples=""
    ),
    template_label_missing_value,
    IF('General Information'!E125="", "", template_label_ok)
)
)</f>
        <v/>
      </c>
      <c r="I309" s="1020"/>
      <c r="J309" s="16"/>
    </row>
    <row r="310" spans="3:14" ht="15" thickBot="1">
      <c r="C310" s="92" t="str">
        <f>template_label_description_of_how_it_applies_these_principles</f>
        <v>Description of how it applies these principles</v>
      </c>
      <c r="D310" s="745"/>
      <c r="E310" s="745"/>
      <c r="F310" s="745"/>
      <c r="G310" s="724"/>
      <c r="H310" s="1020" t="str">
        <f>IF('Table of Contents &amp; Validation'!E31=TRUE,
IF(
    AND(D309="YES", D310=""),
    "",
    IF(
        AND(D309="YES", D310&lt;&gt;""),
        template_label_ok,
        IF(
            AND(D309="NO", D310&lt;&gt;""),
            template_label_value_inconsistency,
            ""
        )
    )
),
IF(
    AND(D309="YES", D310=""),
    template_label_missing_value,
    IF(
        AND(D309="YES", D310&lt;&gt;""),
        template_label_ok,
        IF(
            AND(D309="NO", D310&lt;&gt;""),
            template_label_value_inconsistency,
            ""
        )
    )
)
)</f>
        <v/>
      </c>
      <c r="I310" s="1020"/>
      <c r="J310" s="16"/>
    </row>
    <row r="311" spans="3:14" ht="15" thickBot="1"/>
    <row r="312" spans="3:14">
      <c r="C312" s="1018" t="str">
        <f>template_label_b7_waste_generated&amp;" "&amp;template_label_from&amp;" "&amp;template_starting_date_display&amp;" "&amp;template_label_to&amp;" "&amp;template_ending_date_display&amp;" "</f>
        <v xml:space="preserve">B7 - Waste generated from - to - </v>
      </c>
      <c r="D312" s="1024"/>
      <c r="E312" s="1024"/>
      <c r="F312" s="1024"/>
      <c r="G312" s="1024"/>
      <c r="H312" s="1024"/>
      <c r="I312" s="1024"/>
      <c r="J312" s="1024"/>
      <c r="K312" s="1024"/>
      <c r="L312" s="1019"/>
    </row>
    <row r="313" spans="3:14">
      <c r="C313" s="726" t="s">
        <v>50</v>
      </c>
      <c r="D313" s="702"/>
      <c r="E313" s="702"/>
      <c r="F313" s="702"/>
      <c r="G313" s="702"/>
      <c r="H313" s="702"/>
      <c r="I313" s="702"/>
      <c r="J313" s="702"/>
      <c r="K313" s="702"/>
      <c r="L313" s="820"/>
    </row>
    <row r="314" spans="3:14">
      <c r="C314" s="726" t="s">
        <v>51</v>
      </c>
      <c r="D314" s="702"/>
      <c r="E314" s="702"/>
      <c r="F314" s="702"/>
      <c r="G314" s="702"/>
      <c r="H314" s="702"/>
      <c r="I314" s="702"/>
      <c r="J314" s="702"/>
      <c r="K314" s="702"/>
      <c r="L314" s="820"/>
    </row>
    <row r="315" spans="3:14" ht="49.4" customHeight="1">
      <c r="C315" s="109" t="str">
        <f>template_label_row_id</f>
        <v>Row ID</v>
      </c>
      <c r="D315" s="813" t="str">
        <f>template_label_type_of_waste</f>
        <v>Type of waste</v>
      </c>
      <c r="E315" s="813"/>
      <c r="F315" s="813"/>
      <c r="G315" s="914" t="str">
        <f>template_label_unit_of_measurement</f>
        <v>Unit of measurement</v>
      </c>
      <c r="H315" s="914"/>
      <c r="I315" s="914"/>
      <c r="J315" s="217" t="str">
        <f>template_label_weight_or_volume_of_waste_generated</f>
        <v>Total weight or volume of waste generated</v>
      </c>
      <c r="K315" s="217" t="str">
        <f>template_label_proportion_of_waste_diverted_to_recycling</f>
        <v xml:space="preserve">Percentage of waste diverted to recycling </v>
      </c>
      <c r="L315" s="46" t="str">
        <f>template_label_proportion_of_waste_diverted_to_preparation_for_reuse</f>
        <v>Percentage of waste diverted to preparation for reuse</v>
      </c>
    </row>
    <row r="316" spans="3:14">
      <c r="C316" s="173">
        <v>1</v>
      </c>
      <c r="D316" s="818"/>
      <c r="E316" s="818"/>
      <c r="F316" s="818"/>
      <c r="G316" s="816"/>
      <c r="H316" s="816"/>
      <c r="I316" s="816"/>
      <c r="J316" s="206"/>
      <c r="K316" s="578"/>
      <c r="L316" s="590"/>
      <c r="M316" s="16" t="str">
        <f>IF(OR(
'Table of Contents &amp; Validation'!D32=TRUE,'Table of Contents &amp; Validation'!D30=TRUE,'General Information'!E280&lt;=10),
IF(
AND(
    COUNTBLANK(D316:D415)=ROWS(D316:D415),
    OR(
        'General Information'!E125="Option A (Basic Module only)",
        'General Information'!E125="Option B (Basic Module and Comprehensive Module)"
    )
),
"",
IF(D316&lt;&gt;"",
    IF(
        IFERROR(LEN(LEFT(D316,FIND("-",D316)-1)),0)=13,
        IF(
            OR(
                'General Information'!E125="Option A (Basic Module only)",
                'General Information'!E125="Option B (Basic Module and Comprehensive Module)"
            ),
            IF(
                COUNTIF(enum_ListWasteCategories,D316)&gt;0,
                template_label_error,
                IF(
                    OR(D316="",G316="",J316="",K316="",L316=""),
                    template_label_missing_value,
                    IF(
                        COUNTIF(D316:D415,D316)&gt;1,
                        template_label_value_inconsistency,
                        template_label_ok
                    )
                )
            ),
            ""
        ),
        template_label_error
    ),
""
)),
IF(
AND(
    COUNTBLANK(D316:D415)=ROWS(D316:D415),
    OR(
        'General Information'!E125="Option A (Basic Module only)",
        'General Information'!E125="Option B (Basic Module and Comprehensive Module)"
    )
),
template_label_missing_value,
IF(D316&lt;&gt;"",
    IF(
        IFERROR(LEN(LEFT(D316,FIND("-",D316)-1)),0)=13,
        IF(
            OR(
                'General Information'!E125="Option A (Basic Module only)",
                'General Information'!E125="Option B (Basic Module and Comprehensive Module)"
            ),
            IF(
                COUNTIF(enum_ListWasteCategories,D316)&gt;0,
                template_label_error,
                IF(
                    OR(D316="",G316="",J316="",K316="",L316=""),
                    template_label_missing_value,
                    IF(
                        COUNTIF(D316:D415,D316)&gt;1,
                        template_label_value_inconsistency,
                        template_label_ok
                    )
                )
            ),
            ""
        ),
        template_label_error
    ),
""
))
)</f>
        <v/>
      </c>
      <c r="N316" t="str">
        <f>template_label_type_of_waste_warning</f>
        <v>ℹ️  Please select a Type of waste (Hazardous or Non-Hazardous) rather than a category else an ERROR message will appear.</v>
      </c>
    </row>
    <row r="317" spans="3:14">
      <c r="C317" s="173">
        <v>2</v>
      </c>
      <c r="D317" s="818"/>
      <c r="E317" s="818"/>
      <c r="F317" s="818"/>
      <c r="G317" s="816"/>
      <c r="H317" s="816"/>
      <c r="I317" s="816"/>
      <c r="J317" s="207"/>
      <c r="K317" s="578"/>
      <c r="L317" s="590"/>
      <c r="M317" s="11" t="str">
        <f t="shared" ref="M317:M348" si="8">IF(
    AND(D317="",G317="",J317="",K317="",L317=""),
    "",
    IF(
        IFERROR(LEN(LEFT(D317,FIND("-",D317)-1)),0)=13,
        IF(
            COUNTIF(enum_ListWasteCategories,D317)&gt;0,
            template_label_error,
            IF(
                AND(D317&lt;&gt;"",G317&lt;&gt;"",J317&lt;&gt;"",K317&lt;&gt;"",L317&lt;&gt;""),
                IF(
                    COUNTIF($D$316:$D$415,D317)&gt;1,
                    template_label_value_inconsistency,
                    template_label_ok
                ),
                template_label_missing_value
            )
        ),
        template_label_error
    )
)</f>
        <v/>
      </c>
    </row>
    <row r="318" spans="3:14" ht="15" thickBot="1">
      <c r="C318" s="175">
        <v>3</v>
      </c>
      <c r="D318" s="1002"/>
      <c r="E318" s="1002"/>
      <c r="F318" s="1002"/>
      <c r="G318" s="1023"/>
      <c r="H318" s="1023"/>
      <c r="I318" s="1023"/>
      <c r="J318" s="208"/>
      <c r="K318" s="592"/>
      <c r="L318" s="591"/>
      <c r="M318" s="11" t="str">
        <f t="shared" si="8"/>
        <v/>
      </c>
      <c r="N318" t="str">
        <f>template_label_additional_rows_warning</f>
        <v>ℹ️  Lists can be expanded using the little [+] button on the left.  If the number of rows is not sufficient, those can be added by right clicking the second row and selecting "Insert row".</v>
      </c>
    </row>
    <row r="319" spans="3:14" ht="14.4" customHeight="1" outlineLevel="1">
      <c r="C319" s="280">
        <v>4</v>
      </c>
      <c r="D319" s="1004"/>
      <c r="E319" s="1004"/>
      <c r="F319" s="1004"/>
      <c r="G319" s="1026"/>
      <c r="H319" s="1026"/>
      <c r="I319" s="1027"/>
      <c r="J319" s="210"/>
      <c r="K319" s="589"/>
      <c r="L319" s="593"/>
      <c r="M319" s="11" t="str">
        <f t="shared" si="8"/>
        <v/>
      </c>
    </row>
    <row r="320" spans="3:14" ht="14.4" customHeight="1" outlineLevel="1">
      <c r="C320" s="281">
        <v>5</v>
      </c>
      <c r="D320" s="818"/>
      <c r="E320" s="818"/>
      <c r="F320" s="818"/>
      <c r="G320" s="816"/>
      <c r="H320" s="816"/>
      <c r="I320" s="817"/>
      <c r="J320" s="207"/>
      <c r="K320" s="578"/>
      <c r="L320" s="590"/>
      <c r="M320" s="11" t="str">
        <f t="shared" si="8"/>
        <v/>
      </c>
    </row>
    <row r="321" spans="3:13" ht="14.4" customHeight="1" outlineLevel="1">
      <c r="C321" s="281">
        <v>6</v>
      </c>
      <c r="D321" s="818"/>
      <c r="E321" s="818"/>
      <c r="F321" s="818"/>
      <c r="G321" s="816"/>
      <c r="H321" s="816"/>
      <c r="I321" s="817"/>
      <c r="J321" s="207"/>
      <c r="K321" s="578"/>
      <c r="L321" s="590"/>
      <c r="M321" s="11" t="str">
        <f t="shared" si="8"/>
        <v/>
      </c>
    </row>
    <row r="322" spans="3:13" ht="14.4" customHeight="1" outlineLevel="1">
      <c r="C322" s="281">
        <v>7</v>
      </c>
      <c r="D322" s="818"/>
      <c r="E322" s="818"/>
      <c r="F322" s="818"/>
      <c r="G322" s="816"/>
      <c r="H322" s="816"/>
      <c r="I322" s="817"/>
      <c r="J322" s="207"/>
      <c r="K322" s="578"/>
      <c r="L322" s="590"/>
      <c r="M322" s="11" t="str">
        <f t="shared" si="8"/>
        <v/>
      </c>
    </row>
    <row r="323" spans="3:13" ht="14.4" customHeight="1" outlineLevel="1">
      <c r="C323" s="281">
        <v>8</v>
      </c>
      <c r="D323" s="818"/>
      <c r="E323" s="818"/>
      <c r="F323" s="818"/>
      <c r="G323" s="816"/>
      <c r="H323" s="816"/>
      <c r="I323" s="817"/>
      <c r="J323" s="207"/>
      <c r="K323" s="578"/>
      <c r="L323" s="590"/>
      <c r="M323" s="11" t="str">
        <f t="shared" si="8"/>
        <v/>
      </c>
    </row>
    <row r="324" spans="3:13" ht="14.4" customHeight="1" outlineLevel="1">
      <c r="C324" s="281">
        <v>9</v>
      </c>
      <c r="D324" s="818"/>
      <c r="E324" s="818"/>
      <c r="F324" s="818"/>
      <c r="G324" s="816"/>
      <c r="H324" s="816"/>
      <c r="I324" s="817"/>
      <c r="J324" s="207"/>
      <c r="K324" s="578"/>
      <c r="L324" s="590"/>
      <c r="M324" s="11" t="str">
        <f t="shared" si="8"/>
        <v/>
      </c>
    </row>
    <row r="325" spans="3:13" ht="14.4" customHeight="1" outlineLevel="1">
      <c r="C325" s="281">
        <v>10</v>
      </c>
      <c r="D325" s="818"/>
      <c r="E325" s="818"/>
      <c r="F325" s="818"/>
      <c r="G325" s="816"/>
      <c r="H325" s="816"/>
      <c r="I325" s="817"/>
      <c r="J325" s="207"/>
      <c r="K325" s="578"/>
      <c r="L325" s="590"/>
      <c r="M325" s="11" t="str">
        <f t="shared" si="8"/>
        <v/>
      </c>
    </row>
    <row r="326" spans="3:13" ht="14.4" customHeight="1" outlineLevel="1">
      <c r="C326" s="281">
        <v>11</v>
      </c>
      <c r="D326" s="818"/>
      <c r="E326" s="818"/>
      <c r="F326" s="818"/>
      <c r="G326" s="816"/>
      <c r="H326" s="816"/>
      <c r="I326" s="817"/>
      <c r="J326" s="207"/>
      <c r="K326" s="578"/>
      <c r="L326" s="590"/>
      <c r="M326" s="11" t="str">
        <f t="shared" si="8"/>
        <v/>
      </c>
    </row>
    <row r="327" spans="3:13" ht="14.4" customHeight="1" outlineLevel="1">
      <c r="C327" s="281">
        <v>12</v>
      </c>
      <c r="D327" s="818"/>
      <c r="E327" s="818"/>
      <c r="F327" s="818"/>
      <c r="G327" s="816"/>
      <c r="H327" s="816"/>
      <c r="I327" s="817"/>
      <c r="J327" s="207"/>
      <c r="K327" s="578"/>
      <c r="L327" s="590"/>
      <c r="M327" s="11" t="str">
        <f t="shared" si="8"/>
        <v/>
      </c>
    </row>
    <row r="328" spans="3:13" ht="14.4" customHeight="1" outlineLevel="1">
      <c r="C328" s="281">
        <v>13</v>
      </c>
      <c r="D328" s="818"/>
      <c r="E328" s="818"/>
      <c r="F328" s="818"/>
      <c r="G328" s="816"/>
      <c r="H328" s="816"/>
      <c r="I328" s="817"/>
      <c r="J328" s="207"/>
      <c r="K328" s="578"/>
      <c r="L328" s="590"/>
      <c r="M328" s="11" t="str">
        <f t="shared" si="8"/>
        <v/>
      </c>
    </row>
    <row r="329" spans="3:13" ht="14.4" customHeight="1" outlineLevel="1">
      <c r="C329" s="281">
        <v>14</v>
      </c>
      <c r="D329" s="818"/>
      <c r="E329" s="818"/>
      <c r="F329" s="818"/>
      <c r="G329" s="816"/>
      <c r="H329" s="816"/>
      <c r="I329" s="817"/>
      <c r="J329" s="207"/>
      <c r="K329" s="578"/>
      <c r="L329" s="590"/>
      <c r="M329" s="11" t="str">
        <f t="shared" si="8"/>
        <v/>
      </c>
    </row>
    <row r="330" spans="3:13" ht="14.4" customHeight="1" outlineLevel="1">
      <c r="C330" s="281">
        <v>15</v>
      </c>
      <c r="D330" s="818"/>
      <c r="E330" s="818"/>
      <c r="F330" s="818"/>
      <c r="G330" s="816"/>
      <c r="H330" s="816"/>
      <c r="I330" s="817"/>
      <c r="J330" s="316"/>
      <c r="K330" s="578"/>
      <c r="L330" s="590"/>
      <c r="M330" s="11" t="str">
        <f t="shared" si="8"/>
        <v/>
      </c>
    </row>
    <row r="331" spans="3:13" ht="14.4" customHeight="1" outlineLevel="1">
      <c r="C331" s="281">
        <v>16</v>
      </c>
      <c r="D331" s="818"/>
      <c r="E331" s="818"/>
      <c r="F331" s="818"/>
      <c r="G331" s="816"/>
      <c r="H331" s="816"/>
      <c r="I331" s="817"/>
      <c r="J331" s="316"/>
      <c r="K331" s="578"/>
      <c r="L331" s="590"/>
      <c r="M331" s="11" t="str">
        <f t="shared" si="8"/>
        <v/>
      </c>
    </row>
    <row r="332" spans="3:13" ht="14.4" customHeight="1" outlineLevel="1">
      <c r="C332" s="281">
        <v>17</v>
      </c>
      <c r="D332" s="818"/>
      <c r="E332" s="818"/>
      <c r="F332" s="818"/>
      <c r="G332" s="816"/>
      <c r="H332" s="816"/>
      <c r="I332" s="817"/>
      <c r="J332" s="316"/>
      <c r="K332" s="578"/>
      <c r="L332" s="590"/>
      <c r="M332" s="11" t="str">
        <f t="shared" si="8"/>
        <v/>
      </c>
    </row>
    <row r="333" spans="3:13" ht="14.4" customHeight="1" outlineLevel="1">
      <c r="C333" s="281">
        <v>18</v>
      </c>
      <c r="D333" s="818"/>
      <c r="E333" s="818"/>
      <c r="F333" s="818"/>
      <c r="G333" s="816"/>
      <c r="H333" s="816"/>
      <c r="I333" s="817"/>
      <c r="J333" s="316"/>
      <c r="K333" s="578"/>
      <c r="L333" s="590"/>
      <c r="M333" s="11" t="str">
        <f t="shared" si="8"/>
        <v/>
      </c>
    </row>
    <row r="334" spans="3:13" ht="14.4" customHeight="1" outlineLevel="1">
      <c r="C334" s="281">
        <v>19</v>
      </c>
      <c r="D334" s="818"/>
      <c r="E334" s="818"/>
      <c r="F334" s="818"/>
      <c r="G334" s="816"/>
      <c r="H334" s="816"/>
      <c r="I334" s="817"/>
      <c r="J334" s="316"/>
      <c r="K334" s="578"/>
      <c r="L334" s="590"/>
      <c r="M334" s="11" t="str">
        <f t="shared" si="8"/>
        <v/>
      </c>
    </row>
    <row r="335" spans="3:13" ht="14.4" customHeight="1" outlineLevel="1">
      <c r="C335" s="281">
        <v>20</v>
      </c>
      <c r="D335" s="818"/>
      <c r="E335" s="818"/>
      <c r="F335" s="818"/>
      <c r="G335" s="816"/>
      <c r="H335" s="816"/>
      <c r="I335" s="817"/>
      <c r="J335" s="316"/>
      <c r="K335" s="578"/>
      <c r="L335" s="590"/>
      <c r="M335" s="11" t="str">
        <f t="shared" si="8"/>
        <v/>
      </c>
    </row>
    <row r="336" spans="3:13" ht="14.4" customHeight="1" outlineLevel="1">
      <c r="C336" s="281">
        <v>21</v>
      </c>
      <c r="D336" s="818"/>
      <c r="E336" s="818"/>
      <c r="F336" s="818"/>
      <c r="G336" s="816"/>
      <c r="H336" s="816"/>
      <c r="I336" s="817"/>
      <c r="J336" s="316"/>
      <c r="K336" s="578"/>
      <c r="L336" s="590"/>
      <c r="M336" s="11" t="str">
        <f t="shared" si="8"/>
        <v/>
      </c>
    </row>
    <row r="337" spans="3:13" ht="14.4" customHeight="1" outlineLevel="1">
      <c r="C337" s="281">
        <v>22</v>
      </c>
      <c r="D337" s="818"/>
      <c r="E337" s="818"/>
      <c r="F337" s="818"/>
      <c r="G337" s="816"/>
      <c r="H337" s="816"/>
      <c r="I337" s="817"/>
      <c r="J337" s="316"/>
      <c r="K337" s="578"/>
      <c r="L337" s="590"/>
      <c r="M337" s="11" t="str">
        <f t="shared" si="8"/>
        <v/>
      </c>
    </row>
    <row r="338" spans="3:13" ht="14.4" customHeight="1" outlineLevel="1">
      <c r="C338" s="281">
        <v>23</v>
      </c>
      <c r="D338" s="818"/>
      <c r="E338" s="818"/>
      <c r="F338" s="818"/>
      <c r="G338" s="816"/>
      <c r="H338" s="816"/>
      <c r="I338" s="817"/>
      <c r="J338" s="316"/>
      <c r="K338" s="578"/>
      <c r="L338" s="590"/>
      <c r="M338" s="11" t="str">
        <f t="shared" si="8"/>
        <v/>
      </c>
    </row>
    <row r="339" spans="3:13" ht="14.4" customHeight="1" outlineLevel="1">
      <c r="C339" s="281">
        <v>24</v>
      </c>
      <c r="D339" s="818"/>
      <c r="E339" s="818"/>
      <c r="F339" s="818"/>
      <c r="G339" s="816"/>
      <c r="H339" s="816"/>
      <c r="I339" s="817"/>
      <c r="J339" s="316"/>
      <c r="K339" s="578"/>
      <c r="L339" s="590"/>
      <c r="M339" s="11" t="str">
        <f t="shared" si="8"/>
        <v/>
      </c>
    </row>
    <row r="340" spans="3:13" ht="14.4" customHeight="1" outlineLevel="1">
      <c r="C340" s="281">
        <v>25</v>
      </c>
      <c r="D340" s="818"/>
      <c r="E340" s="818"/>
      <c r="F340" s="818"/>
      <c r="G340" s="816"/>
      <c r="H340" s="816"/>
      <c r="I340" s="817"/>
      <c r="J340" s="316"/>
      <c r="K340" s="578"/>
      <c r="L340" s="590"/>
      <c r="M340" s="11" t="str">
        <f t="shared" si="8"/>
        <v/>
      </c>
    </row>
    <row r="341" spans="3:13" ht="14.4" customHeight="1" outlineLevel="1">
      <c r="C341" s="281">
        <v>26</v>
      </c>
      <c r="D341" s="818"/>
      <c r="E341" s="818"/>
      <c r="F341" s="818"/>
      <c r="G341" s="816"/>
      <c r="H341" s="816"/>
      <c r="I341" s="817"/>
      <c r="J341" s="316"/>
      <c r="K341" s="578"/>
      <c r="L341" s="590"/>
      <c r="M341" s="11" t="str">
        <f t="shared" si="8"/>
        <v/>
      </c>
    </row>
    <row r="342" spans="3:13" ht="14.4" customHeight="1" outlineLevel="1">
      <c r="C342" s="281">
        <v>27</v>
      </c>
      <c r="D342" s="818"/>
      <c r="E342" s="818"/>
      <c r="F342" s="818"/>
      <c r="G342" s="816"/>
      <c r="H342" s="816"/>
      <c r="I342" s="817"/>
      <c r="J342" s="316"/>
      <c r="K342" s="578"/>
      <c r="L342" s="590"/>
      <c r="M342" s="11" t="str">
        <f t="shared" si="8"/>
        <v/>
      </c>
    </row>
    <row r="343" spans="3:13" ht="14.4" customHeight="1" outlineLevel="1">
      <c r="C343" s="281">
        <v>28</v>
      </c>
      <c r="D343" s="818"/>
      <c r="E343" s="818"/>
      <c r="F343" s="818"/>
      <c r="G343" s="816"/>
      <c r="H343" s="816"/>
      <c r="I343" s="817"/>
      <c r="J343" s="316"/>
      <c r="K343" s="578"/>
      <c r="L343" s="590"/>
      <c r="M343" s="11" t="str">
        <f t="shared" si="8"/>
        <v/>
      </c>
    </row>
    <row r="344" spans="3:13" ht="14.4" customHeight="1" outlineLevel="1">
      <c r="C344" s="281">
        <v>29</v>
      </c>
      <c r="D344" s="818"/>
      <c r="E344" s="818"/>
      <c r="F344" s="818"/>
      <c r="G344" s="816"/>
      <c r="H344" s="816"/>
      <c r="I344" s="817"/>
      <c r="J344" s="316"/>
      <c r="K344" s="578"/>
      <c r="L344" s="590"/>
      <c r="M344" s="11" t="str">
        <f t="shared" si="8"/>
        <v/>
      </c>
    </row>
    <row r="345" spans="3:13" ht="14.4" customHeight="1" outlineLevel="1">
      <c r="C345" s="281">
        <v>30</v>
      </c>
      <c r="D345" s="818"/>
      <c r="E345" s="818"/>
      <c r="F345" s="818"/>
      <c r="G345" s="816"/>
      <c r="H345" s="816"/>
      <c r="I345" s="817"/>
      <c r="J345" s="316"/>
      <c r="K345" s="578"/>
      <c r="L345" s="590"/>
      <c r="M345" s="11" t="str">
        <f t="shared" si="8"/>
        <v/>
      </c>
    </row>
    <row r="346" spans="3:13" ht="14.4" customHeight="1" outlineLevel="1">
      <c r="C346" s="281">
        <v>31</v>
      </c>
      <c r="D346" s="818"/>
      <c r="E346" s="818"/>
      <c r="F346" s="818"/>
      <c r="G346" s="816"/>
      <c r="H346" s="816"/>
      <c r="I346" s="817"/>
      <c r="J346" s="316"/>
      <c r="K346" s="578"/>
      <c r="L346" s="590"/>
      <c r="M346" s="11" t="str">
        <f t="shared" si="8"/>
        <v/>
      </c>
    </row>
    <row r="347" spans="3:13" ht="14.4" customHeight="1" outlineLevel="1">
      <c r="C347" s="281">
        <v>32</v>
      </c>
      <c r="D347" s="818"/>
      <c r="E347" s="818"/>
      <c r="F347" s="818"/>
      <c r="G347" s="816"/>
      <c r="H347" s="816"/>
      <c r="I347" s="817"/>
      <c r="J347" s="316"/>
      <c r="K347" s="578"/>
      <c r="L347" s="590"/>
      <c r="M347" s="11" t="str">
        <f t="shared" si="8"/>
        <v/>
      </c>
    </row>
    <row r="348" spans="3:13" ht="14.4" customHeight="1" outlineLevel="1">
      <c r="C348" s="281">
        <v>33</v>
      </c>
      <c r="D348" s="818"/>
      <c r="E348" s="818"/>
      <c r="F348" s="818"/>
      <c r="G348" s="816"/>
      <c r="H348" s="816"/>
      <c r="I348" s="817"/>
      <c r="J348" s="316"/>
      <c r="K348" s="578"/>
      <c r="L348" s="590"/>
      <c r="M348" s="11" t="str">
        <f t="shared" si="8"/>
        <v/>
      </c>
    </row>
    <row r="349" spans="3:13" ht="14.4" customHeight="1" outlineLevel="1">
      <c r="C349" s="281">
        <v>34</v>
      </c>
      <c r="D349" s="818"/>
      <c r="E349" s="818"/>
      <c r="F349" s="818"/>
      <c r="G349" s="816"/>
      <c r="H349" s="816"/>
      <c r="I349" s="817"/>
      <c r="J349" s="316"/>
      <c r="K349" s="578"/>
      <c r="L349" s="590"/>
      <c r="M349" s="11" t="str">
        <f t="shared" ref="M349:M380" si="9">IF(
    AND(D349="",G349="",J349="",K349="",L349=""),
    "",
    IF(
        IFERROR(LEN(LEFT(D349,FIND("-",D349)-1)),0)=13,
        IF(
            COUNTIF(enum_ListWasteCategories,D349)&gt;0,
            template_label_error,
            IF(
                AND(D349&lt;&gt;"",G349&lt;&gt;"",J349&lt;&gt;"",K349&lt;&gt;"",L349&lt;&gt;""),
                IF(
                    COUNTIF($D$316:$D$415,D349)&gt;1,
                    template_label_value_inconsistency,
                    template_label_ok
                ),
                template_label_missing_value
            )
        ),
        template_label_error
    )
)</f>
        <v/>
      </c>
    </row>
    <row r="350" spans="3:13" ht="14.4" customHeight="1" outlineLevel="1">
      <c r="C350" s="281">
        <v>35</v>
      </c>
      <c r="D350" s="818"/>
      <c r="E350" s="818"/>
      <c r="F350" s="818"/>
      <c r="G350" s="816"/>
      <c r="H350" s="816"/>
      <c r="I350" s="817"/>
      <c r="J350" s="316"/>
      <c r="K350" s="578"/>
      <c r="L350" s="590"/>
      <c r="M350" s="11" t="str">
        <f t="shared" si="9"/>
        <v/>
      </c>
    </row>
    <row r="351" spans="3:13" ht="14.4" customHeight="1" outlineLevel="1">
      <c r="C351" s="281">
        <v>36</v>
      </c>
      <c r="D351" s="818"/>
      <c r="E351" s="818"/>
      <c r="F351" s="818"/>
      <c r="G351" s="816"/>
      <c r="H351" s="816"/>
      <c r="I351" s="817"/>
      <c r="J351" s="316"/>
      <c r="K351" s="578"/>
      <c r="L351" s="590"/>
      <c r="M351" s="11" t="str">
        <f t="shared" si="9"/>
        <v/>
      </c>
    </row>
    <row r="352" spans="3:13" ht="14.4" customHeight="1" outlineLevel="1">
      <c r="C352" s="281">
        <v>37</v>
      </c>
      <c r="D352" s="818"/>
      <c r="E352" s="818"/>
      <c r="F352" s="818"/>
      <c r="G352" s="816"/>
      <c r="H352" s="816"/>
      <c r="I352" s="817"/>
      <c r="J352" s="316"/>
      <c r="K352" s="578"/>
      <c r="L352" s="590"/>
      <c r="M352" s="11" t="str">
        <f t="shared" si="9"/>
        <v/>
      </c>
    </row>
    <row r="353" spans="3:13" ht="14.4" customHeight="1" outlineLevel="1">
      <c r="C353" s="281">
        <v>38</v>
      </c>
      <c r="D353" s="818"/>
      <c r="E353" s="818"/>
      <c r="F353" s="818"/>
      <c r="G353" s="816"/>
      <c r="H353" s="816"/>
      <c r="I353" s="817"/>
      <c r="J353" s="316"/>
      <c r="K353" s="578"/>
      <c r="L353" s="590"/>
      <c r="M353" s="11" t="str">
        <f t="shared" si="9"/>
        <v/>
      </c>
    </row>
    <row r="354" spans="3:13" ht="14.4" customHeight="1" outlineLevel="1">
      <c r="C354" s="281">
        <v>39</v>
      </c>
      <c r="D354" s="818"/>
      <c r="E354" s="818"/>
      <c r="F354" s="818"/>
      <c r="G354" s="816"/>
      <c r="H354" s="816"/>
      <c r="I354" s="817"/>
      <c r="J354" s="316"/>
      <c r="K354" s="578"/>
      <c r="L354" s="590"/>
      <c r="M354" s="11" t="str">
        <f t="shared" si="9"/>
        <v/>
      </c>
    </row>
    <row r="355" spans="3:13" ht="14.4" customHeight="1" outlineLevel="1">
      <c r="C355" s="281">
        <v>40</v>
      </c>
      <c r="D355" s="818"/>
      <c r="E355" s="818"/>
      <c r="F355" s="818"/>
      <c r="G355" s="816"/>
      <c r="H355" s="816"/>
      <c r="I355" s="817"/>
      <c r="J355" s="316"/>
      <c r="K355" s="578"/>
      <c r="L355" s="590"/>
      <c r="M355" s="11" t="str">
        <f t="shared" si="9"/>
        <v/>
      </c>
    </row>
    <row r="356" spans="3:13" ht="14.4" customHeight="1" outlineLevel="1">
      <c r="C356" s="281">
        <v>41</v>
      </c>
      <c r="D356" s="818"/>
      <c r="E356" s="818"/>
      <c r="F356" s="818"/>
      <c r="G356" s="816"/>
      <c r="H356" s="816"/>
      <c r="I356" s="817"/>
      <c r="J356" s="316"/>
      <c r="K356" s="578"/>
      <c r="L356" s="590"/>
      <c r="M356" s="11" t="str">
        <f t="shared" si="9"/>
        <v/>
      </c>
    </row>
    <row r="357" spans="3:13" ht="14.4" customHeight="1" outlineLevel="1">
      <c r="C357" s="281">
        <v>42</v>
      </c>
      <c r="D357" s="818"/>
      <c r="E357" s="818"/>
      <c r="F357" s="818"/>
      <c r="G357" s="816"/>
      <c r="H357" s="816"/>
      <c r="I357" s="817"/>
      <c r="J357" s="316"/>
      <c r="K357" s="578"/>
      <c r="L357" s="590"/>
      <c r="M357" s="11" t="str">
        <f t="shared" si="9"/>
        <v/>
      </c>
    </row>
    <row r="358" spans="3:13" ht="14.4" customHeight="1" outlineLevel="1">
      <c r="C358" s="281">
        <v>43</v>
      </c>
      <c r="D358" s="818"/>
      <c r="E358" s="818"/>
      <c r="F358" s="818"/>
      <c r="G358" s="816"/>
      <c r="H358" s="816"/>
      <c r="I358" s="817"/>
      <c r="J358" s="316"/>
      <c r="K358" s="578"/>
      <c r="L358" s="590"/>
      <c r="M358" s="11" t="str">
        <f t="shared" si="9"/>
        <v/>
      </c>
    </row>
    <row r="359" spans="3:13" ht="14.4" customHeight="1" outlineLevel="1">
      <c r="C359" s="281">
        <v>44</v>
      </c>
      <c r="D359" s="818"/>
      <c r="E359" s="818"/>
      <c r="F359" s="818"/>
      <c r="G359" s="816"/>
      <c r="H359" s="816"/>
      <c r="I359" s="817"/>
      <c r="J359" s="316"/>
      <c r="K359" s="578"/>
      <c r="L359" s="590"/>
      <c r="M359" s="11" t="str">
        <f t="shared" si="9"/>
        <v/>
      </c>
    </row>
    <row r="360" spans="3:13" ht="14.4" customHeight="1" outlineLevel="1">
      <c r="C360" s="281">
        <v>45</v>
      </c>
      <c r="D360" s="818"/>
      <c r="E360" s="818"/>
      <c r="F360" s="818"/>
      <c r="G360" s="816"/>
      <c r="H360" s="816"/>
      <c r="I360" s="817"/>
      <c r="J360" s="316"/>
      <c r="K360" s="578"/>
      <c r="L360" s="590"/>
      <c r="M360" s="11" t="str">
        <f t="shared" si="9"/>
        <v/>
      </c>
    </row>
    <row r="361" spans="3:13" ht="14.4" customHeight="1" outlineLevel="1">
      <c r="C361" s="281">
        <v>46</v>
      </c>
      <c r="D361" s="818"/>
      <c r="E361" s="818"/>
      <c r="F361" s="818"/>
      <c r="G361" s="816"/>
      <c r="H361" s="816"/>
      <c r="I361" s="817"/>
      <c r="J361" s="316"/>
      <c r="K361" s="578"/>
      <c r="L361" s="590"/>
      <c r="M361" s="11" t="str">
        <f t="shared" si="9"/>
        <v/>
      </c>
    </row>
    <row r="362" spans="3:13" ht="14.4" customHeight="1" outlineLevel="1">
      <c r="C362" s="281">
        <v>47</v>
      </c>
      <c r="D362" s="818"/>
      <c r="E362" s="818"/>
      <c r="F362" s="818"/>
      <c r="G362" s="816"/>
      <c r="H362" s="816"/>
      <c r="I362" s="817"/>
      <c r="J362" s="316"/>
      <c r="K362" s="578"/>
      <c r="L362" s="590"/>
      <c r="M362" s="11" t="str">
        <f t="shared" si="9"/>
        <v/>
      </c>
    </row>
    <row r="363" spans="3:13" ht="14.4" customHeight="1" outlineLevel="1">
      <c r="C363" s="281">
        <v>48</v>
      </c>
      <c r="D363" s="818"/>
      <c r="E363" s="818"/>
      <c r="F363" s="818"/>
      <c r="G363" s="816"/>
      <c r="H363" s="816"/>
      <c r="I363" s="817"/>
      <c r="J363" s="316"/>
      <c r="K363" s="578"/>
      <c r="L363" s="590"/>
      <c r="M363" s="11" t="str">
        <f t="shared" si="9"/>
        <v/>
      </c>
    </row>
    <row r="364" spans="3:13" ht="14.4" customHeight="1" outlineLevel="1">
      <c r="C364" s="281">
        <v>49</v>
      </c>
      <c r="D364" s="818"/>
      <c r="E364" s="818"/>
      <c r="F364" s="818"/>
      <c r="G364" s="816"/>
      <c r="H364" s="816"/>
      <c r="I364" s="817"/>
      <c r="J364" s="316"/>
      <c r="K364" s="578"/>
      <c r="L364" s="590"/>
      <c r="M364" s="11" t="str">
        <f t="shared" si="9"/>
        <v/>
      </c>
    </row>
    <row r="365" spans="3:13" ht="14.4" customHeight="1" outlineLevel="1">
      <c r="C365" s="281">
        <v>50</v>
      </c>
      <c r="D365" s="818"/>
      <c r="E365" s="818"/>
      <c r="F365" s="818"/>
      <c r="G365" s="816"/>
      <c r="H365" s="816"/>
      <c r="I365" s="817"/>
      <c r="J365" s="316"/>
      <c r="K365" s="578"/>
      <c r="L365" s="590"/>
      <c r="M365" s="11" t="str">
        <f t="shared" si="9"/>
        <v/>
      </c>
    </row>
    <row r="366" spans="3:13" ht="14.4" customHeight="1" outlineLevel="1">
      <c r="C366" s="281">
        <v>51</v>
      </c>
      <c r="D366" s="818"/>
      <c r="E366" s="818"/>
      <c r="F366" s="818"/>
      <c r="G366" s="816"/>
      <c r="H366" s="816"/>
      <c r="I366" s="817"/>
      <c r="J366" s="316"/>
      <c r="K366" s="578"/>
      <c r="L366" s="590"/>
      <c r="M366" s="11" t="str">
        <f t="shared" si="9"/>
        <v/>
      </c>
    </row>
    <row r="367" spans="3:13" ht="14.4" customHeight="1" outlineLevel="1">
      <c r="C367" s="281">
        <v>52</v>
      </c>
      <c r="D367" s="818"/>
      <c r="E367" s="818"/>
      <c r="F367" s="818"/>
      <c r="G367" s="816"/>
      <c r="H367" s="816"/>
      <c r="I367" s="817"/>
      <c r="J367" s="316"/>
      <c r="K367" s="578"/>
      <c r="L367" s="590"/>
      <c r="M367" s="11" t="str">
        <f t="shared" si="9"/>
        <v/>
      </c>
    </row>
    <row r="368" spans="3:13" ht="14.4" customHeight="1" outlineLevel="1">
      <c r="C368" s="281">
        <v>53</v>
      </c>
      <c r="D368" s="818"/>
      <c r="E368" s="818"/>
      <c r="F368" s="818"/>
      <c r="G368" s="816"/>
      <c r="H368" s="816"/>
      <c r="I368" s="817"/>
      <c r="J368" s="316"/>
      <c r="K368" s="578"/>
      <c r="L368" s="590"/>
      <c r="M368" s="11" t="str">
        <f t="shared" si="9"/>
        <v/>
      </c>
    </row>
    <row r="369" spans="3:13" ht="14.4" customHeight="1" outlineLevel="1">
      <c r="C369" s="281">
        <v>54</v>
      </c>
      <c r="D369" s="818"/>
      <c r="E369" s="818"/>
      <c r="F369" s="818"/>
      <c r="G369" s="816"/>
      <c r="H369" s="816"/>
      <c r="I369" s="817"/>
      <c r="J369" s="316"/>
      <c r="K369" s="578"/>
      <c r="L369" s="590"/>
      <c r="M369" s="11" t="str">
        <f t="shared" si="9"/>
        <v/>
      </c>
    </row>
    <row r="370" spans="3:13" ht="14.4" customHeight="1" outlineLevel="1">
      <c r="C370" s="281">
        <v>55</v>
      </c>
      <c r="D370" s="818"/>
      <c r="E370" s="818"/>
      <c r="F370" s="818"/>
      <c r="G370" s="816"/>
      <c r="H370" s="816"/>
      <c r="I370" s="817"/>
      <c r="J370" s="316"/>
      <c r="K370" s="578"/>
      <c r="L370" s="590"/>
      <c r="M370" s="11" t="str">
        <f t="shared" si="9"/>
        <v/>
      </c>
    </row>
    <row r="371" spans="3:13" ht="14.4" customHeight="1" outlineLevel="1">
      <c r="C371" s="281">
        <v>56</v>
      </c>
      <c r="D371" s="818"/>
      <c r="E371" s="818"/>
      <c r="F371" s="818"/>
      <c r="G371" s="816"/>
      <c r="H371" s="816"/>
      <c r="I371" s="817"/>
      <c r="J371" s="316"/>
      <c r="K371" s="578"/>
      <c r="L371" s="590"/>
      <c r="M371" s="11" t="str">
        <f t="shared" si="9"/>
        <v/>
      </c>
    </row>
    <row r="372" spans="3:13" ht="14.4" customHeight="1" outlineLevel="1">
      <c r="C372" s="281">
        <v>57</v>
      </c>
      <c r="D372" s="818"/>
      <c r="E372" s="818"/>
      <c r="F372" s="818"/>
      <c r="G372" s="816"/>
      <c r="H372" s="816"/>
      <c r="I372" s="817"/>
      <c r="J372" s="316"/>
      <c r="K372" s="578"/>
      <c r="L372" s="590"/>
      <c r="M372" s="11" t="str">
        <f t="shared" si="9"/>
        <v/>
      </c>
    </row>
    <row r="373" spans="3:13" ht="14.4" customHeight="1" outlineLevel="1">
      <c r="C373" s="281">
        <v>58</v>
      </c>
      <c r="D373" s="818"/>
      <c r="E373" s="818"/>
      <c r="F373" s="818"/>
      <c r="G373" s="816"/>
      <c r="H373" s="816"/>
      <c r="I373" s="817"/>
      <c r="J373" s="316"/>
      <c r="K373" s="578"/>
      <c r="L373" s="590"/>
      <c r="M373" s="11" t="str">
        <f t="shared" si="9"/>
        <v/>
      </c>
    </row>
    <row r="374" spans="3:13" ht="14.4" customHeight="1" outlineLevel="1">
      <c r="C374" s="281">
        <v>59</v>
      </c>
      <c r="D374" s="818"/>
      <c r="E374" s="818"/>
      <c r="F374" s="818"/>
      <c r="G374" s="816"/>
      <c r="H374" s="816"/>
      <c r="I374" s="817"/>
      <c r="J374" s="316"/>
      <c r="K374" s="578"/>
      <c r="L374" s="590"/>
      <c r="M374" s="11" t="str">
        <f t="shared" si="9"/>
        <v/>
      </c>
    </row>
    <row r="375" spans="3:13" ht="14.4" customHeight="1" outlineLevel="1">
      <c r="C375" s="281">
        <v>60</v>
      </c>
      <c r="D375" s="818"/>
      <c r="E375" s="818"/>
      <c r="F375" s="818"/>
      <c r="G375" s="816"/>
      <c r="H375" s="816"/>
      <c r="I375" s="817"/>
      <c r="J375" s="316"/>
      <c r="K375" s="578"/>
      <c r="L375" s="590"/>
      <c r="M375" s="11" t="str">
        <f t="shared" si="9"/>
        <v/>
      </c>
    </row>
    <row r="376" spans="3:13" ht="14.4" customHeight="1" outlineLevel="1">
      <c r="C376" s="281">
        <v>61</v>
      </c>
      <c r="D376" s="818"/>
      <c r="E376" s="818"/>
      <c r="F376" s="818"/>
      <c r="G376" s="816"/>
      <c r="H376" s="816"/>
      <c r="I376" s="817"/>
      <c r="J376" s="316"/>
      <c r="K376" s="578"/>
      <c r="L376" s="590"/>
      <c r="M376" s="11" t="str">
        <f t="shared" si="9"/>
        <v/>
      </c>
    </row>
    <row r="377" spans="3:13" ht="14.4" customHeight="1" outlineLevel="1">
      <c r="C377" s="281">
        <v>62</v>
      </c>
      <c r="D377" s="818"/>
      <c r="E377" s="818"/>
      <c r="F377" s="818"/>
      <c r="G377" s="816"/>
      <c r="H377" s="816"/>
      <c r="I377" s="817"/>
      <c r="J377" s="316"/>
      <c r="K377" s="578"/>
      <c r="L377" s="590"/>
      <c r="M377" s="11" t="str">
        <f t="shared" si="9"/>
        <v/>
      </c>
    </row>
    <row r="378" spans="3:13" ht="14.4" customHeight="1" outlineLevel="1">
      <c r="C378" s="281">
        <v>63</v>
      </c>
      <c r="D378" s="818"/>
      <c r="E378" s="818"/>
      <c r="F378" s="818"/>
      <c r="G378" s="816"/>
      <c r="H378" s="816"/>
      <c r="I378" s="817"/>
      <c r="J378" s="316"/>
      <c r="K378" s="578"/>
      <c r="L378" s="590"/>
      <c r="M378" s="11" t="str">
        <f t="shared" si="9"/>
        <v/>
      </c>
    </row>
    <row r="379" spans="3:13" ht="14.4" customHeight="1" outlineLevel="1">
      <c r="C379" s="281">
        <v>64</v>
      </c>
      <c r="D379" s="818"/>
      <c r="E379" s="818"/>
      <c r="F379" s="818"/>
      <c r="G379" s="816"/>
      <c r="H379" s="816"/>
      <c r="I379" s="817"/>
      <c r="J379" s="316"/>
      <c r="K379" s="578"/>
      <c r="L379" s="590"/>
      <c r="M379" s="11" t="str">
        <f t="shared" si="9"/>
        <v/>
      </c>
    </row>
    <row r="380" spans="3:13" ht="14.4" customHeight="1" outlineLevel="1">
      <c r="C380" s="281">
        <v>65</v>
      </c>
      <c r="D380" s="818"/>
      <c r="E380" s="818"/>
      <c r="F380" s="818"/>
      <c r="G380" s="816"/>
      <c r="H380" s="816"/>
      <c r="I380" s="817"/>
      <c r="J380" s="316"/>
      <c r="K380" s="578"/>
      <c r="L380" s="590"/>
      <c r="M380" s="11" t="str">
        <f t="shared" si="9"/>
        <v/>
      </c>
    </row>
    <row r="381" spans="3:13" ht="14.4" customHeight="1" outlineLevel="1">
      <c r="C381" s="281">
        <v>66</v>
      </c>
      <c r="D381" s="818"/>
      <c r="E381" s="818"/>
      <c r="F381" s="818"/>
      <c r="G381" s="816"/>
      <c r="H381" s="816"/>
      <c r="I381" s="817"/>
      <c r="J381" s="316"/>
      <c r="K381" s="578"/>
      <c r="L381" s="590"/>
      <c r="M381" s="11" t="str">
        <f t="shared" ref="M381:M412" si="10">IF(
    AND(D381="",G381="",J381="",K381="",L381=""),
    "",
    IF(
        IFERROR(LEN(LEFT(D381,FIND("-",D381)-1)),0)=13,
        IF(
            COUNTIF(enum_ListWasteCategories,D381)&gt;0,
            template_label_error,
            IF(
                AND(D381&lt;&gt;"",G381&lt;&gt;"",J381&lt;&gt;"",K381&lt;&gt;"",L381&lt;&gt;""),
                IF(
                    COUNTIF($D$316:$D$415,D381)&gt;1,
                    template_label_value_inconsistency,
                    template_label_ok
                ),
                template_label_missing_value
            )
        ),
        template_label_error
    )
)</f>
        <v/>
      </c>
    </row>
    <row r="382" spans="3:13" ht="14.4" customHeight="1" outlineLevel="1">
      <c r="C382" s="281">
        <v>67</v>
      </c>
      <c r="D382" s="818"/>
      <c r="E382" s="818"/>
      <c r="F382" s="818"/>
      <c r="G382" s="816"/>
      <c r="H382" s="816"/>
      <c r="I382" s="817"/>
      <c r="J382" s="316"/>
      <c r="K382" s="578"/>
      <c r="L382" s="590"/>
      <c r="M382" s="11" t="str">
        <f t="shared" si="10"/>
        <v/>
      </c>
    </row>
    <row r="383" spans="3:13" ht="14.4" customHeight="1" outlineLevel="1">
      <c r="C383" s="281">
        <v>68</v>
      </c>
      <c r="D383" s="818"/>
      <c r="E383" s="818"/>
      <c r="F383" s="818"/>
      <c r="G383" s="816"/>
      <c r="H383" s="816"/>
      <c r="I383" s="817"/>
      <c r="J383" s="316"/>
      <c r="K383" s="578"/>
      <c r="L383" s="590"/>
      <c r="M383" s="11" t="str">
        <f t="shared" si="10"/>
        <v/>
      </c>
    </row>
    <row r="384" spans="3:13" ht="14.4" customHeight="1" outlineLevel="1">
      <c r="C384" s="281">
        <v>69</v>
      </c>
      <c r="D384" s="818"/>
      <c r="E384" s="818"/>
      <c r="F384" s="818"/>
      <c r="G384" s="816"/>
      <c r="H384" s="816"/>
      <c r="I384" s="817"/>
      <c r="J384" s="316"/>
      <c r="K384" s="578"/>
      <c r="L384" s="590"/>
      <c r="M384" s="11" t="str">
        <f t="shared" si="10"/>
        <v/>
      </c>
    </row>
    <row r="385" spans="3:13" ht="14.4" customHeight="1" outlineLevel="1">
      <c r="C385" s="281">
        <v>70</v>
      </c>
      <c r="D385" s="818"/>
      <c r="E385" s="818"/>
      <c r="F385" s="818"/>
      <c r="G385" s="816"/>
      <c r="H385" s="816"/>
      <c r="I385" s="817"/>
      <c r="J385" s="316"/>
      <c r="K385" s="578"/>
      <c r="L385" s="590"/>
      <c r="M385" s="11" t="str">
        <f t="shared" si="10"/>
        <v/>
      </c>
    </row>
    <row r="386" spans="3:13" ht="14.4" customHeight="1" outlineLevel="1">
      <c r="C386" s="281">
        <v>71</v>
      </c>
      <c r="D386" s="818"/>
      <c r="E386" s="818"/>
      <c r="F386" s="818"/>
      <c r="G386" s="816"/>
      <c r="H386" s="816"/>
      <c r="I386" s="817"/>
      <c r="J386" s="316"/>
      <c r="K386" s="578"/>
      <c r="L386" s="590"/>
      <c r="M386" s="11" t="str">
        <f t="shared" si="10"/>
        <v/>
      </c>
    </row>
    <row r="387" spans="3:13" ht="14.4" customHeight="1" outlineLevel="1">
      <c r="C387" s="281">
        <v>72</v>
      </c>
      <c r="D387" s="818"/>
      <c r="E387" s="818"/>
      <c r="F387" s="818"/>
      <c r="G387" s="816"/>
      <c r="H387" s="816"/>
      <c r="I387" s="817"/>
      <c r="J387" s="316"/>
      <c r="K387" s="578"/>
      <c r="L387" s="590"/>
      <c r="M387" s="11" t="str">
        <f t="shared" si="10"/>
        <v/>
      </c>
    </row>
    <row r="388" spans="3:13" ht="14.4" customHeight="1" outlineLevel="1">
      <c r="C388" s="281">
        <v>73</v>
      </c>
      <c r="D388" s="818"/>
      <c r="E388" s="818"/>
      <c r="F388" s="818"/>
      <c r="G388" s="816"/>
      <c r="H388" s="816"/>
      <c r="I388" s="817"/>
      <c r="J388" s="316"/>
      <c r="K388" s="578"/>
      <c r="L388" s="590"/>
      <c r="M388" s="11" t="str">
        <f t="shared" si="10"/>
        <v/>
      </c>
    </row>
    <row r="389" spans="3:13" ht="14.4" customHeight="1" outlineLevel="1">
      <c r="C389" s="281">
        <v>74</v>
      </c>
      <c r="D389" s="818"/>
      <c r="E389" s="818"/>
      <c r="F389" s="818"/>
      <c r="G389" s="816"/>
      <c r="H389" s="816"/>
      <c r="I389" s="817"/>
      <c r="J389" s="316"/>
      <c r="K389" s="578"/>
      <c r="L389" s="590"/>
      <c r="M389" s="11" t="str">
        <f t="shared" si="10"/>
        <v/>
      </c>
    </row>
    <row r="390" spans="3:13" ht="14.4" customHeight="1" outlineLevel="1">
      <c r="C390" s="281">
        <v>75</v>
      </c>
      <c r="D390" s="818"/>
      <c r="E390" s="818"/>
      <c r="F390" s="818"/>
      <c r="G390" s="816"/>
      <c r="H390" s="816"/>
      <c r="I390" s="817"/>
      <c r="J390" s="316"/>
      <c r="K390" s="578"/>
      <c r="L390" s="590"/>
      <c r="M390" s="11" t="str">
        <f t="shared" si="10"/>
        <v/>
      </c>
    </row>
    <row r="391" spans="3:13" ht="14.4" customHeight="1" outlineLevel="1">
      <c r="C391" s="281">
        <v>76</v>
      </c>
      <c r="D391" s="818"/>
      <c r="E391" s="818"/>
      <c r="F391" s="818"/>
      <c r="G391" s="816"/>
      <c r="H391" s="816"/>
      <c r="I391" s="817"/>
      <c r="J391" s="316"/>
      <c r="K391" s="578"/>
      <c r="L391" s="590"/>
      <c r="M391" s="11" t="str">
        <f t="shared" si="10"/>
        <v/>
      </c>
    </row>
    <row r="392" spans="3:13" ht="14.4" customHeight="1" outlineLevel="1">
      <c r="C392" s="281">
        <v>77</v>
      </c>
      <c r="D392" s="818"/>
      <c r="E392" s="818"/>
      <c r="F392" s="818"/>
      <c r="G392" s="816"/>
      <c r="H392" s="816"/>
      <c r="I392" s="817"/>
      <c r="J392" s="316"/>
      <c r="K392" s="578"/>
      <c r="L392" s="590"/>
      <c r="M392" s="11" t="str">
        <f t="shared" si="10"/>
        <v/>
      </c>
    </row>
    <row r="393" spans="3:13" ht="14.4" customHeight="1" outlineLevel="1">
      <c r="C393" s="281">
        <v>78</v>
      </c>
      <c r="D393" s="818"/>
      <c r="E393" s="818"/>
      <c r="F393" s="818"/>
      <c r="G393" s="816"/>
      <c r="H393" s="816"/>
      <c r="I393" s="817"/>
      <c r="J393" s="316"/>
      <c r="K393" s="578"/>
      <c r="L393" s="590"/>
      <c r="M393" s="11" t="str">
        <f t="shared" si="10"/>
        <v/>
      </c>
    </row>
    <row r="394" spans="3:13" ht="14.4" customHeight="1" outlineLevel="1">
      <c r="C394" s="281">
        <v>79</v>
      </c>
      <c r="D394" s="818"/>
      <c r="E394" s="818"/>
      <c r="F394" s="818"/>
      <c r="G394" s="816"/>
      <c r="H394" s="816"/>
      <c r="I394" s="817"/>
      <c r="J394" s="316"/>
      <c r="K394" s="578"/>
      <c r="L394" s="590"/>
      <c r="M394" s="11" t="str">
        <f t="shared" si="10"/>
        <v/>
      </c>
    </row>
    <row r="395" spans="3:13" ht="14.4" customHeight="1" outlineLevel="1">
      <c r="C395" s="281">
        <v>80</v>
      </c>
      <c r="D395" s="818"/>
      <c r="E395" s="818"/>
      <c r="F395" s="818"/>
      <c r="G395" s="816"/>
      <c r="H395" s="816"/>
      <c r="I395" s="817"/>
      <c r="J395" s="316"/>
      <c r="K395" s="578"/>
      <c r="L395" s="590"/>
      <c r="M395" s="11" t="str">
        <f t="shared" si="10"/>
        <v/>
      </c>
    </row>
    <row r="396" spans="3:13" ht="14.4" customHeight="1" outlineLevel="1">
      <c r="C396" s="281">
        <v>81</v>
      </c>
      <c r="D396" s="818"/>
      <c r="E396" s="818"/>
      <c r="F396" s="818"/>
      <c r="G396" s="816"/>
      <c r="H396" s="816"/>
      <c r="I396" s="817"/>
      <c r="J396" s="316"/>
      <c r="K396" s="578"/>
      <c r="L396" s="590"/>
      <c r="M396" s="11" t="str">
        <f t="shared" si="10"/>
        <v/>
      </c>
    </row>
    <row r="397" spans="3:13" ht="14.4" customHeight="1" outlineLevel="1">
      <c r="C397" s="281">
        <v>82</v>
      </c>
      <c r="D397" s="818"/>
      <c r="E397" s="818"/>
      <c r="F397" s="818"/>
      <c r="G397" s="816"/>
      <c r="H397" s="816"/>
      <c r="I397" s="817"/>
      <c r="J397" s="316"/>
      <c r="K397" s="578"/>
      <c r="L397" s="590"/>
      <c r="M397" s="11" t="str">
        <f t="shared" si="10"/>
        <v/>
      </c>
    </row>
    <row r="398" spans="3:13" ht="14.4" customHeight="1" outlineLevel="1">
      <c r="C398" s="281">
        <v>83</v>
      </c>
      <c r="D398" s="818"/>
      <c r="E398" s="818"/>
      <c r="F398" s="818"/>
      <c r="G398" s="816"/>
      <c r="H398" s="816"/>
      <c r="I398" s="816"/>
      <c r="J398" s="207"/>
      <c r="K398" s="578"/>
      <c r="L398" s="590"/>
      <c r="M398" s="11" t="str">
        <f t="shared" si="10"/>
        <v/>
      </c>
    </row>
    <row r="399" spans="3:13" ht="14.4" customHeight="1" outlineLevel="1">
      <c r="C399" s="281">
        <v>84</v>
      </c>
      <c r="D399" s="818"/>
      <c r="E399" s="818"/>
      <c r="F399" s="818"/>
      <c r="G399" s="816"/>
      <c r="H399" s="816"/>
      <c r="I399" s="816"/>
      <c r="J399" s="207"/>
      <c r="K399" s="578"/>
      <c r="L399" s="590"/>
      <c r="M399" s="11" t="str">
        <f t="shared" si="10"/>
        <v/>
      </c>
    </row>
    <row r="400" spans="3:13" ht="14.4" customHeight="1" outlineLevel="1">
      <c r="C400" s="281">
        <v>85</v>
      </c>
      <c r="D400" s="818"/>
      <c r="E400" s="818"/>
      <c r="F400" s="818"/>
      <c r="G400" s="816"/>
      <c r="H400" s="816"/>
      <c r="I400" s="816"/>
      <c r="J400" s="207"/>
      <c r="K400" s="578"/>
      <c r="L400" s="590"/>
      <c r="M400" s="11" t="str">
        <f t="shared" si="10"/>
        <v/>
      </c>
    </row>
    <row r="401" spans="3:13" ht="14.4" customHeight="1" outlineLevel="1">
      <c r="C401" s="281">
        <v>86</v>
      </c>
      <c r="D401" s="818"/>
      <c r="E401" s="818"/>
      <c r="F401" s="818"/>
      <c r="G401" s="816"/>
      <c r="H401" s="816"/>
      <c r="I401" s="816"/>
      <c r="J401" s="207"/>
      <c r="K401" s="578"/>
      <c r="L401" s="590"/>
      <c r="M401" s="11" t="str">
        <f t="shared" si="10"/>
        <v/>
      </c>
    </row>
    <row r="402" spans="3:13" ht="14.4" customHeight="1" outlineLevel="1">
      <c r="C402" s="281">
        <v>87</v>
      </c>
      <c r="D402" s="818"/>
      <c r="E402" s="818"/>
      <c r="F402" s="818"/>
      <c r="G402" s="816"/>
      <c r="H402" s="816"/>
      <c r="I402" s="816"/>
      <c r="J402" s="207"/>
      <c r="K402" s="578"/>
      <c r="L402" s="590"/>
      <c r="M402" s="11" t="str">
        <f t="shared" si="10"/>
        <v/>
      </c>
    </row>
    <row r="403" spans="3:13" ht="14.4" customHeight="1" outlineLevel="1">
      <c r="C403" s="281">
        <v>88</v>
      </c>
      <c r="D403" s="818"/>
      <c r="E403" s="818"/>
      <c r="F403" s="818"/>
      <c r="G403" s="816"/>
      <c r="H403" s="816"/>
      <c r="I403" s="816"/>
      <c r="J403" s="207"/>
      <c r="K403" s="578"/>
      <c r="L403" s="590"/>
      <c r="M403" s="11" t="str">
        <f t="shared" si="10"/>
        <v/>
      </c>
    </row>
    <row r="404" spans="3:13" ht="14.4" customHeight="1" outlineLevel="1">
      <c r="C404" s="281">
        <v>89</v>
      </c>
      <c r="D404" s="818"/>
      <c r="E404" s="818"/>
      <c r="F404" s="818"/>
      <c r="G404" s="816"/>
      <c r="H404" s="816"/>
      <c r="I404" s="816"/>
      <c r="J404" s="207"/>
      <c r="K404" s="578"/>
      <c r="L404" s="590"/>
      <c r="M404" s="11" t="str">
        <f t="shared" si="10"/>
        <v/>
      </c>
    </row>
    <row r="405" spans="3:13" ht="14.4" customHeight="1" outlineLevel="1">
      <c r="C405" s="281">
        <v>90</v>
      </c>
      <c r="D405" s="818"/>
      <c r="E405" s="818"/>
      <c r="F405" s="818"/>
      <c r="G405" s="816"/>
      <c r="H405" s="816"/>
      <c r="I405" s="816"/>
      <c r="J405" s="207"/>
      <c r="K405" s="578"/>
      <c r="L405" s="590"/>
      <c r="M405" s="11" t="str">
        <f t="shared" si="10"/>
        <v/>
      </c>
    </row>
    <row r="406" spans="3:13" ht="14.4" customHeight="1" outlineLevel="1">
      <c r="C406" s="281">
        <v>91</v>
      </c>
      <c r="D406" s="818"/>
      <c r="E406" s="818"/>
      <c r="F406" s="818"/>
      <c r="G406" s="816"/>
      <c r="H406" s="816"/>
      <c r="I406" s="816"/>
      <c r="J406" s="207"/>
      <c r="K406" s="578"/>
      <c r="L406" s="590"/>
      <c r="M406" s="11" t="str">
        <f t="shared" si="10"/>
        <v/>
      </c>
    </row>
    <row r="407" spans="3:13" ht="14.4" customHeight="1" outlineLevel="1">
      <c r="C407" s="281">
        <v>92</v>
      </c>
      <c r="D407" s="818"/>
      <c r="E407" s="818"/>
      <c r="F407" s="818"/>
      <c r="G407" s="816"/>
      <c r="H407" s="816"/>
      <c r="I407" s="816"/>
      <c r="J407" s="207"/>
      <c r="K407" s="578"/>
      <c r="L407" s="590"/>
      <c r="M407" s="11" t="str">
        <f t="shared" si="10"/>
        <v/>
      </c>
    </row>
    <row r="408" spans="3:13" ht="14.4" customHeight="1" outlineLevel="1">
      <c r="C408" s="281">
        <v>93</v>
      </c>
      <c r="D408" s="818"/>
      <c r="E408" s="818"/>
      <c r="F408" s="818"/>
      <c r="G408" s="816"/>
      <c r="H408" s="816"/>
      <c r="I408" s="816"/>
      <c r="J408" s="207"/>
      <c r="K408" s="578"/>
      <c r="L408" s="590"/>
      <c r="M408" s="11" t="str">
        <f t="shared" si="10"/>
        <v/>
      </c>
    </row>
    <row r="409" spans="3:13" ht="14.4" customHeight="1" outlineLevel="1">
      <c r="C409" s="281">
        <v>94</v>
      </c>
      <c r="D409" s="818"/>
      <c r="E409" s="818"/>
      <c r="F409" s="818"/>
      <c r="G409" s="816"/>
      <c r="H409" s="816"/>
      <c r="I409" s="816"/>
      <c r="J409" s="207"/>
      <c r="K409" s="578"/>
      <c r="L409" s="590"/>
      <c r="M409" s="11" t="str">
        <f t="shared" si="10"/>
        <v/>
      </c>
    </row>
    <row r="410" spans="3:13" ht="14.4" customHeight="1" outlineLevel="1">
      <c r="C410" s="281">
        <v>95</v>
      </c>
      <c r="D410" s="818"/>
      <c r="E410" s="818"/>
      <c r="F410" s="818"/>
      <c r="G410" s="816"/>
      <c r="H410" s="816"/>
      <c r="I410" s="816"/>
      <c r="J410" s="207"/>
      <c r="K410" s="578"/>
      <c r="L410" s="590"/>
      <c r="M410" s="11" t="str">
        <f t="shared" si="10"/>
        <v/>
      </c>
    </row>
    <row r="411" spans="3:13" ht="14.4" customHeight="1" outlineLevel="1">
      <c r="C411" s="281">
        <v>96</v>
      </c>
      <c r="D411" s="818"/>
      <c r="E411" s="818"/>
      <c r="F411" s="818"/>
      <c r="G411" s="816"/>
      <c r="H411" s="816"/>
      <c r="I411" s="816"/>
      <c r="J411" s="207"/>
      <c r="K411" s="578"/>
      <c r="L411" s="590"/>
      <c r="M411" s="11" t="str">
        <f t="shared" si="10"/>
        <v/>
      </c>
    </row>
    <row r="412" spans="3:13" ht="14.4" customHeight="1" outlineLevel="1">
      <c r="C412" s="281">
        <v>97</v>
      </c>
      <c r="D412" s="818"/>
      <c r="E412" s="818"/>
      <c r="F412" s="818"/>
      <c r="G412" s="816"/>
      <c r="H412" s="816"/>
      <c r="I412" s="816"/>
      <c r="J412" s="207"/>
      <c r="K412" s="578"/>
      <c r="L412" s="590"/>
      <c r="M412" s="11" t="str">
        <f t="shared" si="10"/>
        <v/>
      </c>
    </row>
    <row r="413" spans="3:13" ht="14.4" customHeight="1" outlineLevel="1">
      <c r="C413" s="281">
        <v>98</v>
      </c>
      <c r="D413" s="818"/>
      <c r="E413" s="818"/>
      <c r="F413" s="818"/>
      <c r="G413" s="816"/>
      <c r="H413" s="816"/>
      <c r="I413" s="816"/>
      <c r="J413" s="207"/>
      <c r="K413" s="578"/>
      <c r="L413" s="590"/>
      <c r="M413" s="11" t="str">
        <f t="shared" ref="M413:M415" si="11">IF(
    AND(D413="",G413="",J413="",K413="",L413=""),
    "",
    IF(
        IFERROR(LEN(LEFT(D413,FIND("-",D413)-1)),0)=13,
        IF(
            COUNTIF(enum_ListWasteCategories,D413)&gt;0,
            template_label_error,
            IF(
                AND(D413&lt;&gt;"",G413&lt;&gt;"",J413&lt;&gt;"",K413&lt;&gt;"",L413&lt;&gt;""),
                IF(
                    COUNTIF($D$316:$D$415,D413)&gt;1,
                    template_label_value_inconsistency,
                    template_label_ok
                ),
                template_label_missing_value
            )
        ),
        template_label_error
    )
)</f>
        <v/>
      </c>
    </row>
    <row r="414" spans="3:13" ht="14.4" customHeight="1" outlineLevel="1">
      <c r="C414" s="281">
        <v>99</v>
      </c>
      <c r="D414" s="818"/>
      <c r="E414" s="818"/>
      <c r="F414" s="818"/>
      <c r="G414" s="816"/>
      <c r="H414" s="816"/>
      <c r="I414" s="816"/>
      <c r="J414" s="207"/>
      <c r="K414" s="578"/>
      <c r="L414" s="590"/>
      <c r="M414" s="11" t="str">
        <f t="shared" si="11"/>
        <v/>
      </c>
    </row>
    <row r="415" spans="3:13" ht="15" customHeight="1" outlineLevel="1" thickBot="1">
      <c r="C415" s="281">
        <v>100</v>
      </c>
      <c r="D415" s="1001"/>
      <c r="E415" s="1001"/>
      <c r="F415" s="1001"/>
      <c r="G415" s="1003"/>
      <c r="H415" s="1003"/>
      <c r="I415" s="1003"/>
      <c r="J415" s="316"/>
      <c r="K415" s="578"/>
      <c r="L415" s="590"/>
      <c r="M415" s="11" t="str">
        <f t="shared" si="11"/>
        <v/>
      </c>
    </row>
    <row r="416" spans="3:13">
      <c r="C416" s="1043" t="str">
        <f>template_label_total_amount_of_waste_generated</f>
        <v>Total amount of waste generated</v>
      </c>
      <c r="D416" s="995" t="str">
        <f>template_label_total_hazardous_waste_generated_mass</f>
        <v>Total Hazardous waste generated (mass)</v>
      </c>
      <c r="E416" s="996"/>
      <c r="F416" s="997"/>
      <c r="G416" s="990"/>
      <c r="H416" s="991"/>
      <c r="I416" s="991"/>
      <c r="J416" s="1028" t="str">
        <f>IF(
OR(
COUNTIF(M316:M415,template_label_missing_value)&gt;0,
G416="",
(
COUNTA(D316:D415)=0*
COUNTA(J316:J415)=0*
COUNTA(K316:K415)=0
)
),
"-",
IF(
G438="metric tonnes (t)",
SUMIFS(J316:J415,D316:D415,"* Hazardous *",G316:G415,"kilograms (kg)")/1000+
SUMIFS(J316:J415,D316:D415,"* Hazardous *",G316:G415,"metric tonnes (t)"),
SUMIFS(J316:J415,D316:D415,"* Hazardous *",G316:G415,"kilograms (kg)")+
SUMIFS(J316:J415,D316:D415,"* Hazardous *",G316:G415,"metric tonnes (t)")*1000
)
)</f>
        <v>-</v>
      </c>
      <c r="K416" s="1029"/>
      <c r="L416" s="1030"/>
      <c r="M416" s="16" t="str" cm="1">
        <f t="array" ref="M416">IF(G416="",
    IF(SUMPRODUCT(--((G316:G415="metric tonnes (t)")+(G316:G415="kilograms (kg)")))&gt;0,
        template_label_missing_value,
        ""
    ),
    IF(SUMPRODUCT(--((G316:G415="metric tonnes (t)")+(G316:G415="kilograms (kg)")))&gt;0,
        template_label_ok,
        ""
    )
)</f>
        <v/>
      </c>
    </row>
    <row r="417" spans="3:16">
      <c r="C417" s="1044"/>
      <c r="D417" s="824" t="str">
        <f>template_label_total_non_hazardous_waste_generated_mass</f>
        <v>Total Non-Hazardous waste generated (mass)</v>
      </c>
      <c r="E417" s="825"/>
      <c r="F417" s="826"/>
      <c r="G417" s="1051" t="str">
        <f>IF($G$416="", "-", $G$416)</f>
        <v>-</v>
      </c>
      <c r="H417" s="1049"/>
      <c r="I417" s="1049"/>
      <c r="J417" s="1031" t="str">
        <f>IF(
OR(
COUNTIF(M316:M415,template_label_missing_value)&gt;0,
G416="",
(
COUNTA(D316:D415)=0*
COUNTA(J316:J415)=0*
COUNTA(K316:K415)=0
)
),
"-",
IF(
G438="metric tonnes (t)",
SUMIFS(J316:J415,D316:D415,"* Non-Hazardous *",G316:G415,"kilograms (kg)")/1000+
SUMIFS(J316:J415,D316:D415,"* Non-Hazardous *",G316:G415,"metric tonnes (t)"),
SUMIFS(J316:J415,D316:D415,"* Non-Hazardous *",G316:G415,"kilograms (kg)")+
SUMIFS(J316:J415,D316:D415,"* Non-Hazardous *",G316:G415,"metric tonnes (t)")*1000
)
)</f>
        <v>-</v>
      </c>
      <c r="K417" s="1032"/>
      <c r="L417" s="1033"/>
    </row>
    <row r="418" spans="3:16" ht="15" thickBot="1">
      <c r="C418" s="1044"/>
      <c r="D418" s="992" t="str">
        <f>template_label_total_waste_generated_mass</f>
        <v>Total waste generated (mass)</v>
      </c>
      <c r="E418" s="993"/>
      <c r="F418" s="994"/>
      <c r="G418" s="988" t="str">
        <f>IF($G$416="", "-", $G$416)</f>
        <v>-</v>
      </c>
      <c r="H418" s="989"/>
      <c r="I418" s="989"/>
      <c r="J418" s="1034" t="str">
        <f>IF(AND(J416="-",J417="-"),"-",SUM(J416:J417))</f>
        <v>-</v>
      </c>
      <c r="K418" s="1035"/>
      <c r="L418" s="1036"/>
    </row>
    <row r="419" spans="3:16">
      <c r="C419" s="1044"/>
      <c r="D419" s="821" t="str">
        <f>template_label_total_hazardous_waste_generated_volume</f>
        <v>Total Hazardous waste generated (volume)</v>
      </c>
      <c r="E419" s="822"/>
      <c r="F419" s="823"/>
      <c r="G419" s="819" t="str">
        <f>template_label_cubic_meters</f>
        <v>cubic meters (m³)</v>
      </c>
      <c r="H419" s="819"/>
      <c r="I419" s="819"/>
      <c r="J419" s="1028" t="str">
        <f>IF(
OR(
COUNTIF(M316:M415,template_label_missing_value)&gt;0,
AND(
COUNTA(D316:D415)=0,
COUNTA(J316:J415)=0,
COUNTA(K316:K415)=0
)
),
"-",
SUMIFS(J316:J415,D316:D415,"* Hazardous *",G316:G415,"*cubic meters (m3)*")
)</f>
        <v>-</v>
      </c>
      <c r="K419" s="1029"/>
      <c r="L419" s="1030"/>
    </row>
    <row r="420" spans="3:16">
      <c r="C420" s="1044"/>
      <c r="D420" s="824" t="str">
        <f>template_label_total_non_hazardous_waste_generated_volume</f>
        <v>Total Non-Hazardous waste generated (volume)</v>
      </c>
      <c r="E420" s="825"/>
      <c r="F420" s="826"/>
      <c r="G420" s="1049" t="str">
        <f>template_label_cubic_meters</f>
        <v>cubic meters (m³)</v>
      </c>
      <c r="H420" s="1049"/>
      <c r="I420" s="1049"/>
      <c r="J420" s="1031" t="str">
        <f>IF(
OR(
COUNTIF(M316:M415,template_label_missing_value)&gt;0,
AND(
COUNTA(D316:D415)=0,
COUNTA(J316:J415)=0,
COUNTA(K316:K415)=0
)
),
"-",
SUMIFS(J316:J415,D316:D415,"* Non-Hazardous *",G316:G415,"*cubic meters (m3)*")
)</f>
        <v>-</v>
      </c>
      <c r="K420" s="1032"/>
      <c r="L420" s="1033"/>
    </row>
    <row r="421" spans="3:16" ht="15" thickBot="1">
      <c r="C421" s="1044"/>
      <c r="D421" s="1052" t="str">
        <f>template_label_total_waste_generated_volume</f>
        <v>Total waste generated (volume)</v>
      </c>
      <c r="E421" s="1053"/>
      <c r="F421" s="1054"/>
      <c r="G421" s="1050" t="str">
        <f>template_label_cubic_meters</f>
        <v>cubic meters (m³)</v>
      </c>
      <c r="H421" s="1050"/>
      <c r="I421" s="1050"/>
      <c r="J421" s="1034" t="str">
        <f>IF(AND(J419="-",J420="-"),"-",SUM(J419:J420))</f>
        <v>-</v>
      </c>
      <c r="K421" s="1035"/>
      <c r="L421" s="1036"/>
      <c r="P421" s="579"/>
    </row>
    <row r="422" spans="3:16">
      <c r="C422" s="851"/>
      <c r="D422" s="995" t="str">
        <f>template_label_total_waste_percentage_recycling_mass</f>
        <v>Overall percentage of waste diverted to recycling (mass)</v>
      </c>
      <c r="E422" s="996"/>
      <c r="F422" s="997"/>
      <c r="G422" s="1028" t="str">
        <f>template_label_total_waste_generated_percent</f>
        <v>Percent (%)</v>
      </c>
      <c r="H422" s="1029"/>
      <c r="I422" s="1030"/>
      <c r="J422" s="1037" t="str" cm="1">
        <f t="array" ref="J422">IF(
COUNTIF(M316:M415,template_label_missing_value)&gt;0,
"-",
IFERROR(
SUMPRODUCT(K316:K415,IF(G316:G415="metric tonnes (t)",J316:J415*1000,IF(G316:G415="kilograms (kg)",J316:J415,0)))/
SUMPRODUCT(IF(G316:G415="metric tonnes (t)",J316:J415*1000,IF(G316:G415="kilograms (kg)",J316:J415,0))),
"-"
)
)</f>
        <v>-</v>
      </c>
      <c r="K422" s="1038"/>
      <c r="L422" s="1039"/>
    </row>
    <row r="423" spans="3:16" ht="15" thickBot="1">
      <c r="C423" s="851"/>
      <c r="D423" s="992" t="str">
        <f>template_label_total_waste_percentage_preparation_mass</f>
        <v>Overall percentage of waste diverted to preparation for reuse (mass)</v>
      </c>
      <c r="E423" s="993"/>
      <c r="F423" s="994"/>
      <c r="G423" s="1034" t="str">
        <f>template_label_total_waste_generated_percent</f>
        <v>Percent (%)</v>
      </c>
      <c r="H423" s="1035"/>
      <c r="I423" s="1036"/>
      <c r="J423" s="1040" t="str">
        <f>IFERROR(IF(J422&lt;&gt;"",1-J422,""),"-")</f>
        <v>-</v>
      </c>
      <c r="K423" s="1041"/>
      <c r="L423" s="1042"/>
    </row>
    <row r="424" spans="3:16">
      <c r="C424" s="851"/>
      <c r="D424" s="995" t="str">
        <f>template_label_total_waste_percentage_recycling_volume</f>
        <v>Overall percentage of waste diverted to recycling (volume)</v>
      </c>
      <c r="E424" s="996"/>
      <c r="F424" s="997"/>
      <c r="G424" s="1028" t="str">
        <f>template_label_total_waste_generated_percent</f>
        <v>Percent (%)</v>
      </c>
      <c r="H424" s="1029"/>
      <c r="I424" s="1030"/>
      <c r="J424" s="1037" t="str" cm="1">
        <f t="array" ref="J424">IF(
COUNTIF(M316:M415,template_label_missing_value)&gt;0,
"-",
IFERROR(
SUMPRODUCT((G316:G415="cubic meters (m3)")*J316:J415*K316:K415)/
SUMPRODUCT((G316:G415="cubic meters (m3)")*J316:J415),
"-"
)
)</f>
        <v>-</v>
      </c>
      <c r="K424" s="1038"/>
      <c r="L424" s="1039"/>
    </row>
    <row r="425" spans="3:16" ht="15" thickBot="1">
      <c r="C425" s="1045"/>
      <c r="D425" s="992" t="str">
        <f>template_label_total_waste_percentage_preparation_volume</f>
        <v>Overall percentage of waste diverted to preparation for reuse (volume)</v>
      </c>
      <c r="E425" s="993"/>
      <c r="F425" s="994"/>
      <c r="G425" s="1034" t="str">
        <f>template_label_total_waste_generated_percent</f>
        <v>Percent (%)</v>
      </c>
      <c r="H425" s="1035"/>
      <c r="I425" s="1036"/>
      <c r="J425" s="1046" t="str">
        <f>IFERROR(IF(J424&lt;&gt;"",1-J424,""),"-")</f>
        <v>-</v>
      </c>
      <c r="K425" s="1047"/>
      <c r="L425" s="1048"/>
    </row>
    <row r="426" spans="3:16" ht="15" thickBot="1"/>
    <row r="427" spans="3:16" ht="15" thickBot="1">
      <c r="C427" s="731" t="str">
        <f>template_label_b7_annual_mass_flow_of_relevant_materials_used&amp;" "&amp;template_label_from&amp;" "&amp;template_starting_date_display&amp;" "&amp;template_label_to&amp;" "&amp;template_ending_date_display&amp;" "</f>
        <v xml:space="preserve">B7 - Annual mass-flow of relevant materials used from - to - </v>
      </c>
      <c r="D427" s="827"/>
      <c r="E427" s="827"/>
      <c r="F427" s="827"/>
      <c r="G427" s="827"/>
      <c r="H427" s="827"/>
      <c r="I427" s="827"/>
      <c r="J427" s="828"/>
    </row>
    <row r="428" spans="3:16">
      <c r="C428" s="687" t="s">
        <v>52</v>
      </c>
      <c r="D428" s="677"/>
      <c r="E428" s="677"/>
      <c r="F428" s="677"/>
      <c r="G428" s="677"/>
      <c r="H428" s="677"/>
      <c r="I428" s="677"/>
      <c r="J428" s="682"/>
    </row>
    <row r="429" spans="3:16">
      <c r="C429" s="726" t="s">
        <v>53</v>
      </c>
      <c r="D429" s="702"/>
      <c r="E429" s="702"/>
      <c r="F429" s="702"/>
      <c r="G429" s="702"/>
      <c r="H429" s="702"/>
      <c r="I429" s="702"/>
      <c r="J429" s="820"/>
      <c r="K429" s="11"/>
      <c r="L429" s="11"/>
    </row>
    <row r="430" spans="3:16" ht="30" customHeight="1">
      <c r="C430" s="728" t="str">
        <f>template_label_does_the_undertaking_operate_in_a_sector_using_significant_material_flows</f>
        <v>Voluntary for undertakings with 10 employees or less - Does the undertaking the undertaking operate in a sector using significant material flows (for example manufacturing construction packaging or others)?</v>
      </c>
      <c r="D430" s="829"/>
      <c r="E430" s="829"/>
      <c r="F430" s="830"/>
      <c r="G430" s="729" t="b">
        <v>0</v>
      </c>
      <c r="H430" s="811"/>
      <c r="I430" s="811"/>
      <c r="J430" s="812"/>
    </row>
    <row r="431" spans="3:16" ht="43.5" customHeight="1">
      <c r="C431" s="109" t="str">
        <f>template_label_row_id</f>
        <v>Row ID</v>
      </c>
      <c r="D431" s="813" t="str">
        <f>template_label_name_of_the_key_material</f>
        <v>Name of the key material</v>
      </c>
      <c r="E431" s="813"/>
      <c r="F431" s="813"/>
      <c r="G431" s="813" t="str">
        <f>template_label_mass_volume</f>
        <v>Mass / Volume</v>
      </c>
      <c r="H431" s="813"/>
      <c r="I431" s="813"/>
      <c r="J431" s="84" t="str">
        <f>template_label_unit_of_measurement</f>
        <v>Unit of measurement</v>
      </c>
    </row>
    <row r="432" spans="3:16">
      <c r="C432" s="173">
        <v>1</v>
      </c>
      <c r="D432" s="814"/>
      <c r="E432" s="814"/>
      <c r="F432" s="814"/>
      <c r="G432" s="797"/>
      <c r="H432" s="797"/>
      <c r="I432" s="797"/>
      <c r="J432" s="112"/>
      <c r="K432" s="17" t="str">
        <f>IF(AND(G430=TRUE,D432&lt;&gt;"",G432&lt;&gt;"",J432&lt;&gt;""),
    template_label_ok,
    IF(AND(G430=TRUE,OR(D432="",G432="",J432="")),
        template_label_missing_value,
        ""
    )
)</f>
        <v/>
      </c>
    </row>
    <row r="433" spans="3:12">
      <c r="C433" s="173">
        <v>2</v>
      </c>
      <c r="D433" s="815"/>
      <c r="E433" s="815"/>
      <c r="F433" s="815"/>
      <c r="G433" s="797"/>
      <c r="H433" s="797"/>
      <c r="I433" s="797"/>
      <c r="J433" s="112"/>
      <c r="K433" s="17" t="str">
        <f t="shared" ref="K433:K531" si="12">IF(AND(D433&lt;&gt;"",G433&lt;&gt;"",J433&lt;&gt;""),
    template_label_ok,
    IF(AND(D433&lt;&gt;"",G433&lt;&gt;"",J433=""),
        template_label_missing_value,
        IF(AND(D433&lt;&gt;"",G433="",J433&lt;&gt;""),
            template_label_missing_value,
            IF(AND(D433&lt;&gt;"",G433="",J433=""),
                template_label_missing_value,
                IF(AND(D433="",G433="",J433=""),
                    "",
                    template_label_missing_value
                )
            )
        )
    )
)</f>
        <v/>
      </c>
    </row>
    <row r="434" spans="3:12">
      <c r="C434" s="173">
        <v>3</v>
      </c>
      <c r="D434" s="815"/>
      <c r="E434" s="815"/>
      <c r="F434" s="815"/>
      <c r="G434" s="797"/>
      <c r="H434" s="797"/>
      <c r="I434" s="797"/>
      <c r="J434" s="112"/>
      <c r="K434" s="17" t="str">
        <f t="shared" si="12"/>
        <v/>
      </c>
      <c r="L434" t="str">
        <f>template_label_additional_rows_warning</f>
        <v>ℹ️  Lists can be expanded using the little [+] button on the left.  If the number of rows is not sufficient, those can be added by right clicking the second row and selecting "Insert row".</v>
      </c>
    </row>
    <row r="435" spans="3:12" hidden="1" outlineLevel="2">
      <c r="C435" s="173">
        <v>4</v>
      </c>
      <c r="D435" s="815"/>
      <c r="E435" s="815"/>
      <c r="F435" s="815"/>
      <c r="G435" s="797"/>
      <c r="H435" s="797"/>
      <c r="I435" s="797"/>
      <c r="J435" s="112"/>
      <c r="K435" s="17" t="str">
        <f t="shared" si="12"/>
        <v/>
      </c>
    </row>
    <row r="436" spans="3:12" hidden="1" outlineLevel="2">
      <c r="C436" s="173">
        <v>5</v>
      </c>
      <c r="D436" s="815"/>
      <c r="E436" s="815"/>
      <c r="F436" s="815"/>
      <c r="G436" s="797"/>
      <c r="H436" s="797"/>
      <c r="I436" s="797"/>
      <c r="J436" s="112"/>
      <c r="K436" s="17" t="str">
        <f t="shared" si="12"/>
        <v/>
      </c>
    </row>
    <row r="437" spans="3:12" hidden="1" outlineLevel="2">
      <c r="C437" s="173">
        <v>6</v>
      </c>
      <c r="D437" s="814"/>
      <c r="E437" s="814"/>
      <c r="F437" s="814"/>
      <c r="G437" s="797"/>
      <c r="H437" s="797"/>
      <c r="I437" s="797"/>
      <c r="J437" s="112"/>
      <c r="K437" s="17" t="str">
        <f t="shared" si="12"/>
        <v/>
      </c>
    </row>
    <row r="438" spans="3:12" hidden="1" outlineLevel="2">
      <c r="C438" s="173">
        <v>7</v>
      </c>
      <c r="D438" s="814"/>
      <c r="E438" s="814"/>
      <c r="F438" s="814"/>
      <c r="G438" s="797"/>
      <c r="H438" s="797"/>
      <c r="I438" s="797"/>
      <c r="J438" s="112"/>
      <c r="K438" s="17" t="str">
        <f t="shared" si="12"/>
        <v/>
      </c>
    </row>
    <row r="439" spans="3:12" hidden="1" outlineLevel="2">
      <c r="C439" s="173">
        <v>8</v>
      </c>
      <c r="D439" s="814"/>
      <c r="E439" s="814"/>
      <c r="F439" s="814"/>
      <c r="G439" s="797"/>
      <c r="H439" s="797"/>
      <c r="I439" s="797"/>
      <c r="J439" s="112"/>
      <c r="K439" s="17" t="str">
        <f t="shared" si="12"/>
        <v/>
      </c>
    </row>
    <row r="440" spans="3:12" hidden="1" outlineLevel="2">
      <c r="C440" s="173">
        <v>9</v>
      </c>
      <c r="D440" s="814"/>
      <c r="E440" s="814"/>
      <c r="F440" s="814"/>
      <c r="G440" s="797"/>
      <c r="H440" s="797"/>
      <c r="I440" s="797"/>
      <c r="J440" s="112"/>
      <c r="K440" s="17" t="str">
        <f t="shared" si="12"/>
        <v/>
      </c>
    </row>
    <row r="441" spans="3:12" hidden="1" outlineLevel="2">
      <c r="C441" s="173">
        <v>10</v>
      </c>
      <c r="D441" s="814"/>
      <c r="E441" s="814"/>
      <c r="F441" s="814"/>
      <c r="G441" s="797"/>
      <c r="H441" s="797"/>
      <c r="I441" s="797"/>
      <c r="J441" s="112"/>
      <c r="K441" s="17" t="str">
        <f t="shared" si="12"/>
        <v/>
      </c>
    </row>
    <row r="442" spans="3:12" hidden="1" outlineLevel="2">
      <c r="C442" s="173">
        <v>11</v>
      </c>
      <c r="D442" s="801"/>
      <c r="E442" s="802"/>
      <c r="F442" s="803"/>
      <c r="G442" s="797"/>
      <c r="H442" s="797"/>
      <c r="I442" s="797"/>
      <c r="J442" s="112"/>
      <c r="K442" s="17" t="str">
        <f t="shared" si="12"/>
        <v/>
      </c>
    </row>
    <row r="443" spans="3:12" hidden="1" outlineLevel="2">
      <c r="C443" s="173">
        <v>12</v>
      </c>
      <c r="D443" s="801"/>
      <c r="E443" s="802"/>
      <c r="F443" s="803"/>
      <c r="G443" s="797"/>
      <c r="H443" s="797"/>
      <c r="I443" s="797"/>
      <c r="J443" s="112"/>
      <c r="K443" s="17" t="str">
        <f t="shared" si="12"/>
        <v/>
      </c>
    </row>
    <row r="444" spans="3:12" hidden="1" outlineLevel="2">
      <c r="C444" s="173">
        <v>13</v>
      </c>
      <c r="D444" s="801"/>
      <c r="E444" s="802"/>
      <c r="F444" s="803"/>
      <c r="G444" s="797"/>
      <c r="H444" s="797"/>
      <c r="I444" s="797"/>
      <c r="J444" s="112"/>
      <c r="K444" s="17" t="str">
        <f t="shared" si="12"/>
        <v/>
      </c>
    </row>
    <row r="445" spans="3:12" hidden="1" outlineLevel="2">
      <c r="C445" s="173">
        <v>14</v>
      </c>
      <c r="D445" s="801"/>
      <c r="E445" s="802"/>
      <c r="F445" s="803"/>
      <c r="G445" s="797"/>
      <c r="H445" s="797"/>
      <c r="I445" s="797"/>
      <c r="J445" s="112"/>
      <c r="K445" s="17" t="str">
        <f t="shared" si="12"/>
        <v/>
      </c>
    </row>
    <row r="446" spans="3:12" hidden="1" outlineLevel="2">
      <c r="C446" s="173">
        <v>15</v>
      </c>
      <c r="D446" s="801"/>
      <c r="E446" s="802"/>
      <c r="F446" s="803"/>
      <c r="G446" s="797"/>
      <c r="H446" s="797"/>
      <c r="I446" s="797"/>
      <c r="J446" s="112"/>
      <c r="K446" s="17" t="str">
        <f t="shared" si="12"/>
        <v/>
      </c>
    </row>
    <row r="447" spans="3:12" hidden="1" outlineLevel="2">
      <c r="C447" s="173">
        <v>16</v>
      </c>
      <c r="D447" s="801"/>
      <c r="E447" s="802"/>
      <c r="F447" s="803"/>
      <c r="G447" s="797"/>
      <c r="H447" s="797"/>
      <c r="I447" s="797"/>
      <c r="J447" s="112"/>
      <c r="K447" s="17" t="str">
        <f t="shared" si="12"/>
        <v/>
      </c>
    </row>
    <row r="448" spans="3:12" hidden="1" outlineLevel="2">
      <c r="C448" s="173">
        <v>17</v>
      </c>
      <c r="D448" s="801"/>
      <c r="E448" s="802"/>
      <c r="F448" s="803"/>
      <c r="G448" s="797"/>
      <c r="H448" s="797"/>
      <c r="I448" s="797"/>
      <c r="J448" s="112"/>
      <c r="K448" s="17" t="str">
        <f t="shared" si="12"/>
        <v/>
      </c>
    </row>
    <row r="449" spans="3:11" hidden="1" outlineLevel="2">
      <c r="C449" s="173">
        <v>18</v>
      </c>
      <c r="D449" s="801"/>
      <c r="E449" s="802"/>
      <c r="F449" s="803"/>
      <c r="G449" s="797"/>
      <c r="H449" s="797"/>
      <c r="I449" s="797"/>
      <c r="J449" s="112"/>
      <c r="K449" s="17" t="str">
        <f t="shared" si="12"/>
        <v/>
      </c>
    </row>
    <row r="450" spans="3:11" hidden="1" outlineLevel="2">
      <c r="C450" s="173">
        <v>19</v>
      </c>
      <c r="D450" s="801"/>
      <c r="E450" s="802"/>
      <c r="F450" s="803"/>
      <c r="G450" s="797"/>
      <c r="H450" s="797"/>
      <c r="I450" s="797"/>
      <c r="J450" s="112"/>
      <c r="K450" s="17" t="str">
        <f t="shared" si="12"/>
        <v/>
      </c>
    </row>
    <row r="451" spans="3:11" hidden="1" outlineLevel="2">
      <c r="C451" s="173">
        <v>20</v>
      </c>
      <c r="D451" s="801"/>
      <c r="E451" s="802"/>
      <c r="F451" s="803"/>
      <c r="G451" s="797"/>
      <c r="H451" s="797"/>
      <c r="I451" s="797"/>
      <c r="J451" s="112"/>
      <c r="K451" s="17" t="str">
        <f t="shared" si="12"/>
        <v/>
      </c>
    </row>
    <row r="452" spans="3:11" hidden="1" outlineLevel="2">
      <c r="C452" s="173">
        <v>21</v>
      </c>
      <c r="D452" s="801"/>
      <c r="E452" s="802"/>
      <c r="F452" s="803"/>
      <c r="G452" s="797"/>
      <c r="H452" s="797"/>
      <c r="I452" s="797"/>
      <c r="J452" s="112"/>
      <c r="K452" s="17" t="str">
        <f t="shared" si="12"/>
        <v/>
      </c>
    </row>
    <row r="453" spans="3:11" hidden="1" outlineLevel="2">
      <c r="C453" s="173">
        <v>22</v>
      </c>
      <c r="D453" s="801"/>
      <c r="E453" s="802"/>
      <c r="F453" s="803"/>
      <c r="G453" s="797"/>
      <c r="H453" s="797"/>
      <c r="I453" s="797"/>
      <c r="J453" s="112"/>
      <c r="K453" s="17" t="str">
        <f t="shared" si="12"/>
        <v/>
      </c>
    </row>
    <row r="454" spans="3:11" hidden="1" outlineLevel="2">
      <c r="C454" s="173">
        <v>23</v>
      </c>
      <c r="D454" s="801"/>
      <c r="E454" s="802"/>
      <c r="F454" s="803"/>
      <c r="G454" s="797"/>
      <c r="H454" s="797"/>
      <c r="I454" s="797"/>
      <c r="J454" s="112"/>
      <c r="K454" s="17" t="str">
        <f t="shared" si="12"/>
        <v/>
      </c>
    </row>
    <row r="455" spans="3:11" hidden="1" outlineLevel="2">
      <c r="C455" s="173">
        <v>24</v>
      </c>
      <c r="D455" s="801"/>
      <c r="E455" s="802"/>
      <c r="F455" s="803"/>
      <c r="G455" s="797"/>
      <c r="H455" s="797"/>
      <c r="I455" s="797"/>
      <c r="J455" s="112"/>
      <c r="K455" s="17" t="str">
        <f t="shared" si="12"/>
        <v/>
      </c>
    </row>
    <row r="456" spans="3:11" hidden="1" outlineLevel="2">
      <c r="C456" s="173">
        <v>25</v>
      </c>
      <c r="D456" s="801"/>
      <c r="E456" s="802"/>
      <c r="F456" s="803"/>
      <c r="G456" s="797"/>
      <c r="H456" s="797"/>
      <c r="I456" s="797"/>
      <c r="J456" s="112"/>
      <c r="K456" s="17" t="str">
        <f t="shared" si="12"/>
        <v/>
      </c>
    </row>
    <row r="457" spans="3:11" hidden="1" outlineLevel="2">
      <c r="C457" s="173">
        <v>26</v>
      </c>
      <c r="D457" s="801"/>
      <c r="E457" s="802"/>
      <c r="F457" s="803"/>
      <c r="G457" s="797"/>
      <c r="H457" s="797"/>
      <c r="I457" s="797"/>
      <c r="J457" s="112"/>
      <c r="K457" s="17" t="str">
        <f t="shared" si="12"/>
        <v/>
      </c>
    </row>
    <row r="458" spans="3:11" hidden="1" outlineLevel="2">
      <c r="C458" s="173">
        <v>27</v>
      </c>
      <c r="D458" s="801"/>
      <c r="E458" s="802"/>
      <c r="F458" s="803"/>
      <c r="G458" s="797"/>
      <c r="H458" s="797"/>
      <c r="I458" s="797"/>
      <c r="J458" s="112"/>
      <c r="K458" s="17" t="str">
        <f t="shared" si="12"/>
        <v/>
      </c>
    </row>
    <row r="459" spans="3:11" hidden="1" outlineLevel="2">
      <c r="C459" s="173">
        <v>28</v>
      </c>
      <c r="D459" s="801"/>
      <c r="E459" s="802"/>
      <c r="F459" s="803"/>
      <c r="G459" s="797"/>
      <c r="H459" s="797"/>
      <c r="I459" s="797"/>
      <c r="J459" s="112"/>
      <c r="K459" s="17" t="str">
        <f t="shared" si="12"/>
        <v/>
      </c>
    </row>
    <row r="460" spans="3:11" hidden="1" outlineLevel="2">
      <c r="C460" s="173">
        <v>29</v>
      </c>
      <c r="D460" s="801"/>
      <c r="E460" s="802"/>
      <c r="F460" s="803"/>
      <c r="G460" s="797"/>
      <c r="H460" s="797"/>
      <c r="I460" s="797"/>
      <c r="J460" s="112"/>
      <c r="K460" s="17" t="str">
        <f t="shared" si="12"/>
        <v/>
      </c>
    </row>
    <row r="461" spans="3:11" hidden="1" outlineLevel="2">
      <c r="C461" s="173">
        <v>30</v>
      </c>
      <c r="D461" s="801"/>
      <c r="E461" s="802"/>
      <c r="F461" s="803"/>
      <c r="G461" s="797"/>
      <c r="H461" s="797"/>
      <c r="I461" s="797"/>
      <c r="J461" s="112"/>
      <c r="K461" s="17" t="str">
        <f t="shared" si="12"/>
        <v/>
      </c>
    </row>
    <row r="462" spans="3:11" hidden="1" outlineLevel="2">
      <c r="C462" s="173">
        <v>31</v>
      </c>
      <c r="D462" s="801"/>
      <c r="E462" s="802"/>
      <c r="F462" s="803"/>
      <c r="G462" s="797"/>
      <c r="H462" s="797"/>
      <c r="I462" s="797"/>
      <c r="J462" s="112"/>
      <c r="K462" s="17" t="str">
        <f t="shared" si="12"/>
        <v/>
      </c>
    </row>
    <row r="463" spans="3:11" hidden="1" outlineLevel="2">
      <c r="C463" s="173">
        <v>32</v>
      </c>
      <c r="D463" s="801"/>
      <c r="E463" s="802"/>
      <c r="F463" s="803"/>
      <c r="G463" s="797"/>
      <c r="H463" s="797"/>
      <c r="I463" s="797"/>
      <c r="J463" s="112"/>
      <c r="K463" s="17" t="str">
        <f t="shared" si="12"/>
        <v/>
      </c>
    </row>
    <row r="464" spans="3:11" hidden="1" outlineLevel="2">
      <c r="C464" s="173">
        <v>33</v>
      </c>
      <c r="D464" s="801"/>
      <c r="E464" s="802"/>
      <c r="F464" s="803"/>
      <c r="G464" s="797"/>
      <c r="H464" s="797"/>
      <c r="I464" s="797"/>
      <c r="J464" s="112"/>
      <c r="K464" s="17" t="str">
        <f t="shared" si="12"/>
        <v/>
      </c>
    </row>
    <row r="465" spans="3:11" hidden="1" outlineLevel="2">
      <c r="C465" s="173">
        <v>34</v>
      </c>
      <c r="D465" s="801"/>
      <c r="E465" s="802"/>
      <c r="F465" s="803"/>
      <c r="G465" s="797"/>
      <c r="H465" s="797"/>
      <c r="I465" s="797"/>
      <c r="J465" s="112"/>
      <c r="K465" s="17" t="str">
        <f t="shared" si="12"/>
        <v/>
      </c>
    </row>
    <row r="466" spans="3:11" hidden="1" outlineLevel="2">
      <c r="C466" s="173">
        <v>35</v>
      </c>
      <c r="D466" s="801"/>
      <c r="E466" s="802"/>
      <c r="F466" s="803"/>
      <c r="G466" s="797"/>
      <c r="H466" s="797"/>
      <c r="I466" s="797"/>
      <c r="J466" s="112"/>
      <c r="K466" s="17" t="str">
        <f t="shared" si="12"/>
        <v/>
      </c>
    </row>
    <row r="467" spans="3:11" hidden="1" outlineLevel="2">
      <c r="C467" s="173">
        <v>36</v>
      </c>
      <c r="D467" s="801"/>
      <c r="E467" s="802"/>
      <c r="F467" s="803"/>
      <c r="G467" s="797"/>
      <c r="H467" s="797"/>
      <c r="I467" s="797"/>
      <c r="J467" s="112"/>
      <c r="K467" s="17" t="str">
        <f t="shared" si="12"/>
        <v/>
      </c>
    </row>
    <row r="468" spans="3:11" hidden="1" outlineLevel="2">
      <c r="C468" s="173">
        <v>37</v>
      </c>
      <c r="D468" s="801"/>
      <c r="E468" s="802"/>
      <c r="F468" s="803"/>
      <c r="G468" s="797"/>
      <c r="H468" s="797"/>
      <c r="I468" s="797"/>
      <c r="J468" s="112"/>
      <c r="K468" s="17" t="str">
        <f t="shared" si="12"/>
        <v/>
      </c>
    </row>
    <row r="469" spans="3:11" hidden="1" outlineLevel="2">
      <c r="C469" s="173">
        <v>38</v>
      </c>
      <c r="D469" s="801"/>
      <c r="E469" s="802"/>
      <c r="F469" s="803"/>
      <c r="G469" s="797"/>
      <c r="H469" s="797"/>
      <c r="I469" s="797"/>
      <c r="J469" s="112"/>
      <c r="K469" s="17" t="str">
        <f t="shared" si="12"/>
        <v/>
      </c>
    </row>
    <row r="470" spans="3:11" hidden="1" outlineLevel="2">
      <c r="C470" s="173">
        <v>39</v>
      </c>
      <c r="D470" s="801"/>
      <c r="E470" s="802"/>
      <c r="F470" s="803"/>
      <c r="G470" s="797"/>
      <c r="H470" s="797"/>
      <c r="I470" s="797"/>
      <c r="J470" s="112"/>
      <c r="K470" s="17" t="str">
        <f t="shared" si="12"/>
        <v/>
      </c>
    </row>
    <row r="471" spans="3:11" hidden="1" outlineLevel="2">
      <c r="C471" s="173">
        <v>40</v>
      </c>
      <c r="D471" s="801"/>
      <c r="E471" s="802"/>
      <c r="F471" s="803"/>
      <c r="G471" s="797"/>
      <c r="H471" s="797"/>
      <c r="I471" s="797"/>
      <c r="J471" s="112"/>
      <c r="K471" s="17" t="str">
        <f t="shared" si="12"/>
        <v/>
      </c>
    </row>
    <row r="472" spans="3:11" hidden="1" outlineLevel="2">
      <c r="C472" s="173">
        <v>41</v>
      </c>
      <c r="D472" s="801"/>
      <c r="E472" s="802"/>
      <c r="F472" s="803"/>
      <c r="G472" s="797"/>
      <c r="H472" s="797"/>
      <c r="I472" s="797"/>
      <c r="J472" s="112"/>
      <c r="K472" s="17" t="str">
        <f t="shared" si="12"/>
        <v/>
      </c>
    </row>
    <row r="473" spans="3:11" hidden="1" outlineLevel="2">
      <c r="C473" s="173">
        <v>42</v>
      </c>
      <c r="D473" s="801"/>
      <c r="E473" s="802"/>
      <c r="F473" s="803"/>
      <c r="G473" s="797"/>
      <c r="H473" s="797"/>
      <c r="I473" s="797"/>
      <c r="J473" s="112"/>
      <c r="K473" s="17" t="str">
        <f t="shared" si="12"/>
        <v/>
      </c>
    </row>
    <row r="474" spans="3:11" hidden="1" outlineLevel="2">
      <c r="C474" s="173">
        <v>43</v>
      </c>
      <c r="D474" s="801"/>
      <c r="E474" s="802"/>
      <c r="F474" s="803"/>
      <c r="G474" s="797"/>
      <c r="H474" s="797"/>
      <c r="I474" s="797"/>
      <c r="J474" s="112"/>
      <c r="K474" s="17" t="str">
        <f t="shared" si="12"/>
        <v/>
      </c>
    </row>
    <row r="475" spans="3:11" hidden="1" outlineLevel="2">
      <c r="C475" s="173">
        <v>44</v>
      </c>
      <c r="D475" s="801"/>
      <c r="E475" s="802"/>
      <c r="F475" s="803"/>
      <c r="G475" s="797"/>
      <c r="H475" s="797"/>
      <c r="I475" s="797"/>
      <c r="J475" s="112"/>
      <c r="K475" s="17" t="str">
        <f t="shared" si="12"/>
        <v/>
      </c>
    </row>
    <row r="476" spans="3:11" hidden="1" outlineLevel="2">
      <c r="C476" s="173">
        <v>45</v>
      </c>
      <c r="D476" s="801"/>
      <c r="E476" s="802"/>
      <c r="F476" s="803"/>
      <c r="G476" s="797"/>
      <c r="H476" s="797"/>
      <c r="I476" s="797"/>
      <c r="J476" s="112"/>
      <c r="K476" s="17" t="str">
        <f t="shared" si="12"/>
        <v/>
      </c>
    </row>
    <row r="477" spans="3:11" hidden="1" outlineLevel="2">
      <c r="C477" s="173">
        <v>46</v>
      </c>
      <c r="D477" s="801"/>
      <c r="E477" s="802"/>
      <c r="F477" s="803"/>
      <c r="G477" s="797"/>
      <c r="H477" s="797"/>
      <c r="I477" s="797"/>
      <c r="J477" s="112"/>
      <c r="K477" s="17" t="str">
        <f t="shared" si="12"/>
        <v/>
      </c>
    </row>
    <row r="478" spans="3:11" hidden="1" outlineLevel="2">
      <c r="C478" s="173">
        <v>47</v>
      </c>
      <c r="D478" s="801"/>
      <c r="E478" s="802"/>
      <c r="F478" s="803"/>
      <c r="G478" s="797"/>
      <c r="H478" s="797"/>
      <c r="I478" s="797"/>
      <c r="J478" s="112"/>
      <c r="K478" s="17" t="str">
        <f t="shared" si="12"/>
        <v/>
      </c>
    </row>
    <row r="479" spans="3:11" hidden="1" outlineLevel="2">
      <c r="C479" s="173">
        <v>48</v>
      </c>
      <c r="D479" s="801"/>
      <c r="E479" s="802"/>
      <c r="F479" s="803"/>
      <c r="G479" s="797"/>
      <c r="H479" s="797"/>
      <c r="I479" s="797"/>
      <c r="J479" s="112"/>
      <c r="K479" s="17" t="str">
        <f t="shared" si="12"/>
        <v/>
      </c>
    </row>
    <row r="480" spans="3:11" hidden="1" outlineLevel="2">
      <c r="C480" s="173">
        <v>49</v>
      </c>
      <c r="D480" s="801"/>
      <c r="E480" s="802"/>
      <c r="F480" s="803"/>
      <c r="G480" s="797"/>
      <c r="H480" s="797"/>
      <c r="I480" s="797"/>
      <c r="J480" s="112"/>
      <c r="K480" s="17" t="str">
        <f t="shared" si="12"/>
        <v/>
      </c>
    </row>
    <row r="481" spans="3:11" hidden="1" outlineLevel="2">
      <c r="C481" s="173">
        <v>50</v>
      </c>
      <c r="D481" s="801"/>
      <c r="E481" s="802"/>
      <c r="F481" s="803"/>
      <c r="G481" s="797"/>
      <c r="H481" s="797"/>
      <c r="I481" s="797"/>
      <c r="J481" s="112"/>
      <c r="K481" s="17" t="str">
        <f t="shared" si="12"/>
        <v/>
      </c>
    </row>
    <row r="482" spans="3:11" hidden="1" outlineLevel="2">
      <c r="C482" s="173">
        <v>51</v>
      </c>
      <c r="D482" s="801"/>
      <c r="E482" s="802"/>
      <c r="F482" s="803"/>
      <c r="G482" s="797"/>
      <c r="H482" s="797"/>
      <c r="I482" s="797"/>
      <c r="J482" s="112"/>
      <c r="K482" s="17" t="str">
        <f t="shared" si="12"/>
        <v/>
      </c>
    </row>
    <row r="483" spans="3:11" hidden="1" outlineLevel="2">
      <c r="C483" s="173">
        <v>52</v>
      </c>
      <c r="D483" s="801"/>
      <c r="E483" s="802"/>
      <c r="F483" s="803"/>
      <c r="G483" s="797"/>
      <c r="H483" s="797"/>
      <c r="I483" s="797"/>
      <c r="J483" s="112"/>
      <c r="K483" s="17" t="str">
        <f t="shared" si="12"/>
        <v/>
      </c>
    </row>
    <row r="484" spans="3:11" hidden="1" outlineLevel="2">
      <c r="C484" s="173">
        <v>53</v>
      </c>
      <c r="D484" s="801"/>
      <c r="E484" s="802"/>
      <c r="F484" s="803"/>
      <c r="G484" s="797"/>
      <c r="H484" s="797"/>
      <c r="I484" s="797"/>
      <c r="J484" s="112"/>
      <c r="K484" s="17" t="str">
        <f t="shared" si="12"/>
        <v/>
      </c>
    </row>
    <row r="485" spans="3:11" hidden="1" outlineLevel="2">
      <c r="C485" s="173">
        <v>54</v>
      </c>
      <c r="D485" s="801"/>
      <c r="E485" s="802"/>
      <c r="F485" s="803"/>
      <c r="G485" s="797"/>
      <c r="H485" s="797"/>
      <c r="I485" s="797"/>
      <c r="J485" s="112"/>
      <c r="K485" s="17" t="str">
        <f t="shared" si="12"/>
        <v/>
      </c>
    </row>
    <row r="486" spans="3:11" hidden="1" outlineLevel="2">
      <c r="C486" s="173">
        <v>55</v>
      </c>
      <c r="D486" s="801"/>
      <c r="E486" s="802"/>
      <c r="F486" s="803"/>
      <c r="G486" s="797"/>
      <c r="H486" s="797"/>
      <c r="I486" s="797"/>
      <c r="J486" s="112"/>
      <c r="K486" s="17" t="str">
        <f t="shared" si="12"/>
        <v/>
      </c>
    </row>
    <row r="487" spans="3:11" hidden="1" outlineLevel="2">
      <c r="C487" s="173">
        <v>56</v>
      </c>
      <c r="D487" s="801"/>
      <c r="E487" s="802"/>
      <c r="F487" s="803"/>
      <c r="G487" s="797"/>
      <c r="H487" s="797"/>
      <c r="I487" s="797"/>
      <c r="J487" s="112"/>
      <c r="K487" s="17" t="str">
        <f t="shared" si="12"/>
        <v/>
      </c>
    </row>
    <row r="488" spans="3:11" hidden="1" outlineLevel="2">
      <c r="C488" s="173">
        <v>57</v>
      </c>
      <c r="D488" s="801"/>
      <c r="E488" s="802"/>
      <c r="F488" s="803"/>
      <c r="G488" s="797"/>
      <c r="H488" s="797"/>
      <c r="I488" s="797"/>
      <c r="J488" s="112"/>
      <c r="K488" s="17" t="str">
        <f t="shared" si="12"/>
        <v/>
      </c>
    </row>
    <row r="489" spans="3:11" hidden="1" outlineLevel="2">
      <c r="C489" s="173">
        <v>58</v>
      </c>
      <c r="D489" s="801"/>
      <c r="E489" s="802"/>
      <c r="F489" s="803"/>
      <c r="G489" s="797"/>
      <c r="H489" s="797"/>
      <c r="I489" s="797"/>
      <c r="J489" s="112"/>
      <c r="K489" s="17" t="str">
        <f t="shared" si="12"/>
        <v/>
      </c>
    </row>
    <row r="490" spans="3:11" hidden="1" outlineLevel="2">
      <c r="C490" s="173">
        <v>59</v>
      </c>
      <c r="D490" s="801"/>
      <c r="E490" s="802"/>
      <c r="F490" s="803"/>
      <c r="G490" s="797"/>
      <c r="H490" s="797"/>
      <c r="I490" s="797"/>
      <c r="J490" s="112"/>
      <c r="K490" s="17" t="str">
        <f t="shared" si="12"/>
        <v/>
      </c>
    </row>
    <row r="491" spans="3:11" hidden="1" outlineLevel="2">
      <c r="C491" s="173">
        <v>60</v>
      </c>
      <c r="D491" s="801"/>
      <c r="E491" s="802"/>
      <c r="F491" s="803"/>
      <c r="G491" s="797"/>
      <c r="H491" s="797"/>
      <c r="I491" s="797"/>
      <c r="J491" s="112"/>
      <c r="K491" s="17" t="str">
        <f t="shared" si="12"/>
        <v/>
      </c>
    </row>
    <row r="492" spans="3:11" hidden="1" outlineLevel="2">
      <c r="C492" s="173">
        <v>61</v>
      </c>
      <c r="D492" s="801"/>
      <c r="E492" s="802"/>
      <c r="F492" s="803"/>
      <c r="G492" s="797"/>
      <c r="H492" s="797"/>
      <c r="I492" s="797"/>
      <c r="J492" s="112"/>
      <c r="K492" s="17" t="str">
        <f t="shared" si="12"/>
        <v/>
      </c>
    </row>
    <row r="493" spans="3:11" hidden="1" outlineLevel="2">
      <c r="C493" s="173">
        <v>62</v>
      </c>
      <c r="D493" s="801"/>
      <c r="E493" s="802"/>
      <c r="F493" s="803"/>
      <c r="G493" s="797"/>
      <c r="H493" s="797"/>
      <c r="I493" s="797"/>
      <c r="J493" s="112"/>
      <c r="K493" s="17" t="str">
        <f t="shared" si="12"/>
        <v/>
      </c>
    </row>
    <row r="494" spans="3:11" hidden="1" outlineLevel="2">
      <c r="C494" s="173">
        <v>63</v>
      </c>
      <c r="D494" s="801"/>
      <c r="E494" s="802"/>
      <c r="F494" s="803"/>
      <c r="G494" s="797"/>
      <c r="H494" s="797"/>
      <c r="I494" s="797"/>
      <c r="J494" s="112"/>
      <c r="K494" s="17" t="str">
        <f t="shared" si="12"/>
        <v/>
      </c>
    </row>
    <row r="495" spans="3:11" hidden="1" outlineLevel="2">
      <c r="C495" s="173">
        <v>64</v>
      </c>
      <c r="D495" s="801"/>
      <c r="E495" s="802"/>
      <c r="F495" s="803"/>
      <c r="G495" s="797"/>
      <c r="H495" s="797"/>
      <c r="I495" s="797"/>
      <c r="J495" s="112"/>
      <c r="K495" s="17" t="str">
        <f t="shared" si="12"/>
        <v/>
      </c>
    </row>
    <row r="496" spans="3:11" hidden="1" outlineLevel="2">
      <c r="C496" s="173">
        <v>65</v>
      </c>
      <c r="D496" s="801"/>
      <c r="E496" s="802"/>
      <c r="F496" s="803"/>
      <c r="G496" s="797"/>
      <c r="H496" s="797"/>
      <c r="I496" s="797"/>
      <c r="J496" s="112"/>
      <c r="K496" s="17" t="str">
        <f t="shared" si="12"/>
        <v/>
      </c>
    </row>
    <row r="497" spans="3:11" hidden="1" outlineLevel="2">
      <c r="C497" s="173">
        <v>66</v>
      </c>
      <c r="D497" s="801"/>
      <c r="E497" s="802"/>
      <c r="F497" s="803"/>
      <c r="G497" s="797"/>
      <c r="H497" s="797"/>
      <c r="I497" s="797"/>
      <c r="J497" s="112"/>
      <c r="K497" s="17" t="str">
        <f t="shared" si="12"/>
        <v/>
      </c>
    </row>
    <row r="498" spans="3:11" hidden="1" outlineLevel="2">
      <c r="C498" s="173">
        <v>67</v>
      </c>
      <c r="D498" s="801"/>
      <c r="E498" s="802"/>
      <c r="F498" s="803"/>
      <c r="G498" s="797"/>
      <c r="H498" s="797"/>
      <c r="I498" s="797"/>
      <c r="J498" s="112"/>
      <c r="K498" s="17" t="str">
        <f t="shared" si="12"/>
        <v/>
      </c>
    </row>
    <row r="499" spans="3:11" hidden="1" outlineLevel="2">
      <c r="C499" s="173">
        <v>68</v>
      </c>
      <c r="D499" s="801"/>
      <c r="E499" s="802"/>
      <c r="F499" s="803"/>
      <c r="G499" s="797"/>
      <c r="H499" s="797"/>
      <c r="I499" s="797"/>
      <c r="J499" s="112"/>
      <c r="K499" s="17" t="str">
        <f t="shared" si="12"/>
        <v/>
      </c>
    </row>
    <row r="500" spans="3:11" hidden="1" outlineLevel="2">
      <c r="C500" s="173">
        <v>69</v>
      </c>
      <c r="D500" s="801"/>
      <c r="E500" s="802"/>
      <c r="F500" s="803"/>
      <c r="G500" s="797"/>
      <c r="H500" s="797"/>
      <c r="I500" s="797"/>
      <c r="J500" s="112"/>
      <c r="K500" s="17" t="str">
        <f t="shared" si="12"/>
        <v/>
      </c>
    </row>
    <row r="501" spans="3:11" hidden="1" outlineLevel="2">
      <c r="C501" s="173">
        <v>70</v>
      </c>
      <c r="D501" s="801"/>
      <c r="E501" s="802"/>
      <c r="F501" s="803"/>
      <c r="G501" s="797"/>
      <c r="H501" s="797"/>
      <c r="I501" s="797"/>
      <c r="J501" s="112"/>
      <c r="K501" s="17" t="str">
        <f t="shared" si="12"/>
        <v/>
      </c>
    </row>
    <row r="502" spans="3:11" hidden="1" outlineLevel="2">
      <c r="C502" s="173">
        <v>71</v>
      </c>
      <c r="D502" s="801"/>
      <c r="E502" s="802"/>
      <c r="F502" s="803"/>
      <c r="G502" s="797"/>
      <c r="H502" s="797"/>
      <c r="I502" s="797"/>
      <c r="J502" s="112"/>
      <c r="K502" s="17" t="str">
        <f t="shared" si="12"/>
        <v/>
      </c>
    </row>
    <row r="503" spans="3:11" hidden="1" outlineLevel="2">
      <c r="C503" s="173">
        <v>72</v>
      </c>
      <c r="D503" s="801"/>
      <c r="E503" s="802"/>
      <c r="F503" s="803"/>
      <c r="G503" s="797"/>
      <c r="H503" s="797"/>
      <c r="I503" s="797"/>
      <c r="J503" s="112"/>
      <c r="K503" s="17" t="str">
        <f t="shared" si="12"/>
        <v/>
      </c>
    </row>
    <row r="504" spans="3:11" hidden="1" outlineLevel="2">
      <c r="C504" s="173">
        <v>73</v>
      </c>
      <c r="D504" s="801"/>
      <c r="E504" s="802"/>
      <c r="F504" s="803"/>
      <c r="G504" s="797"/>
      <c r="H504" s="797"/>
      <c r="I504" s="797"/>
      <c r="J504" s="112"/>
      <c r="K504" s="17" t="str">
        <f t="shared" si="12"/>
        <v/>
      </c>
    </row>
    <row r="505" spans="3:11" hidden="1" outlineLevel="2">
      <c r="C505" s="173">
        <v>74</v>
      </c>
      <c r="D505" s="801"/>
      <c r="E505" s="802"/>
      <c r="F505" s="803"/>
      <c r="G505" s="797"/>
      <c r="H505" s="797"/>
      <c r="I505" s="797"/>
      <c r="J505" s="112"/>
      <c r="K505" s="17" t="str">
        <f t="shared" si="12"/>
        <v/>
      </c>
    </row>
    <row r="506" spans="3:11" hidden="1" outlineLevel="2">
      <c r="C506" s="173">
        <v>75</v>
      </c>
      <c r="D506" s="801"/>
      <c r="E506" s="802"/>
      <c r="F506" s="803"/>
      <c r="G506" s="797"/>
      <c r="H506" s="797"/>
      <c r="I506" s="797"/>
      <c r="J506" s="112"/>
      <c r="K506" s="17" t="str">
        <f t="shared" si="12"/>
        <v/>
      </c>
    </row>
    <row r="507" spans="3:11" hidden="1" outlineLevel="2">
      <c r="C507" s="173">
        <v>76</v>
      </c>
      <c r="D507" s="801"/>
      <c r="E507" s="802"/>
      <c r="F507" s="803"/>
      <c r="G507" s="797"/>
      <c r="H507" s="797"/>
      <c r="I507" s="797"/>
      <c r="J507" s="112"/>
      <c r="K507" s="17" t="str">
        <f t="shared" si="12"/>
        <v/>
      </c>
    </row>
    <row r="508" spans="3:11" hidden="1" outlineLevel="2">
      <c r="C508" s="173">
        <v>77</v>
      </c>
      <c r="D508" s="801"/>
      <c r="E508" s="802"/>
      <c r="F508" s="803"/>
      <c r="G508" s="797"/>
      <c r="H508" s="797"/>
      <c r="I508" s="797"/>
      <c r="J508" s="112"/>
      <c r="K508" s="17" t="str">
        <f t="shared" si="12"/>
        <v/>
      </c>
    </row>
    <row r="509" spans="3:11" hidden="1" outlineLevel="2">
      <c r="C509" s="173">
        <v>78</v>
      </c>
      <c r="D509" s="801"/>
      <c r="E509" s="802"/>
      <c r="F509" s="803"/>
      <c r="G509" s="797"/>
      <c r="H509" s="797"/>
      <c r="I509" s="797"/>
      <c r="J509" s="112"/>
      <c r="K509" s="17" t="str">
        <f t="shared" si="12"/>
        <v/>
      </c>
    </row>
    <row r="510" spans="3:11" hidden="1" outlineLevel="2">
      <c r="C510" s="173">
        <v>79</v>
      </c>
      <c r="D510" s="801"/>
      <c r="E510" s="802"/>
      <c r="F510" s="803"/>
      <c r="G510" s="797"/>
      <c r="H510" s="797"/>
      <c r="I510" s="797"/>
      <c r="J510" s="112"/>
      <c r="K510" s="17" t="str">
        <f t="shared" si="12"/>
        <v/>
      </c>
    </row>
    <row r="511" spans="3:11" hidden="1" outlineLevel="2">
      <c r="C511" s="173">
        <v>80</v>
      </c>
      <c r="D511" s="801"/>
      <c r="E511" s="802"/>
      <c r="F511" s="803"/>
      <c r="G511" s="797"/>
      <c r="H511" s="797"/>
      <c r="I511" s="797"/>
      <c r="J511" s="112"/>
      <c r="K511" s="17" t="str">
        <f t="shared" si="12"/>
        <v/>
      </c>
    </row>
    <row r="512" spans="3:11" hidden="1" outlineLevel="2">
      <c r="C512" s="173">
        <v>81</v>
      </c>
      <c r="D512" s="801"/>
      <c r="E512" s="802"/>
      <c r="F512" s="803"/>
      <c r="G512" s="797"/>
      <c r="H512" s="797"/>
      <c r="I512" s="797"/>
      <c r="J512" s="112"/>
      <c r="K512" s="17" t="str">
        <f t="shared" si="12"/>
        <v/>
      </c>
    </row>
    <row r="513" spans="3:11" hidden="1" outlineLevel="2">
      <c r="C513" s="173">
        <v>82</v>
      </c>
      <c r="D513" s="801"/>
      <c r="E513" s="802"/>
      <c r="F513" s="803"/>
      <c r="G513" s="797"/>
      <c r="H513" s="797"/>
      <c r="I513" s="797"/>
      <c r="J513" s="112"/>
      <c r="K513" s="17" t="str">
        <f t="shared" si="12"/>
        <v/>
      </c>
    </row>
    <row r="514" spans="3:11" hidden="1" outlineLevel="2">
      <c r="C514" s="173">
        <v>83</v>
      </c>
      <c r="D514" s="801"/>
      <c r="E514" s="802"/>
      <c r="F514" s="803"/>
      <c r="G514" s="797"/>
      <c r="H514" s="797"/>
      <c r="I514" s="797"/>
      <c r="J514" s="112"/>
      <c r="K514" s="17" t="str">
        <f t="shared" si="12"/>
        <v/>
      </c>
    </row>
    <row r="515" spans="3:11" hidden="1" outlineLevel="2">
      <c r="C515" s="173">
        <v>84</v>
      </c>
      <c r="D515" s="801"/>
      <c r="E515" s="802"/>
      <c r="F515" s="803"/>
      <c r="G515" s="797"/>
      <c r="H515" s="797"/>
      <c r="I515" s="797"/>
      <c r="J515" s="112"/>
      <c r="K515" s="17" t="str">
        <f t="shared" si="12"/>
        <v/>
      </c>
    </row>
    <row r="516" spans="3:11" hidden="1" outlineLevel="2">
      <c r="C516" s="173">
        <v>85</v>
      </c>
      <c r="D516" s="801"/>
      <c r="E516" s="802"/>
      <c r="F516" s="803"/>
      <c r="G516" s="797"/>
      <c r="H516" s="797"/>
      <c r="I516" s="797"/>
      <c r="J516" s="112"/>
      <c r="K516" s="17" t="str">
        <f t="shared" si="12"/>
        <v/>
      </c>
    </row>
    <row r="517" spans="3:11" hidden="1" outlineLevel="2">
      <c r="C517" s="173">
        <v>86</v>
      </c>
      <c r="D517" s="801"/>
      <c r="E517" s="802"/>
      <c r="F517" s="803"/>
      <c r="G517" s="797"/>
      <c r="H517" s="797"/>
      <c r="I517" s="797"/>
      <c r="J517" s="112"/>
      <c r="K517" s="17" t="str">
        <f t="shared" si="12"/>
        <v/>
      </c>
    </row>
    <row r="518" spans="3:11" hidden="1" outlineLevel="2">
      <c r="C518" s="173">
        <v>87</v>
      </c>
      <c r="D518" s="801"/>
      <c r="E518" s="802"/>
      <c r="F518" s="803"/>
      <c r="G518" s="797"/>
      <c r="H518" s="797"/>
      <c r="I518" s="797"/>
      <c r="J518" s="112"/>
      <c r="K518" s="17" t="str">
        <f t="shared" si="12"/>
        <v/>
      </c>
    </row>
    <row r="519" spans="3:11" hidden="1" outlineLevel="2">
      <c r="C519" s="173">
        <v>88</v>
      </c>
      <c r="D519" s="801"/>
      <c r="E519" s="802"/>
      <c r="F519" s="803"/>
      <c r="G519" s="797"/>
      <c r="H519" s="797"/>
      <c r="I519" s="797"/>
      <c r="J519" s="112"/>
      <c r="K519" s="17" t="str">
        <f t="shared" si="12"/>
        <v/>
      </c>
    </row>
    <row r="520" spans="3:11" hidden="1" outlineLevel="2">
      <c r="C520" s="173">
        <v>89</v>
      </c>
      <c r="D520" s="801"/>
      <c r="E520" s="802"/>
      <c r="F520" s="803"/>
      <c r="G520" s="797"/>
      <c r="H520" s="797"/>
      <c r="I520" s="797"/>
      <c r="J520" s="112"/>
      <c r="K520" s="17" t="str">
        <f t="shared" si="12"/>
        <v/>
      </c>
    </row>
    <row r="521" spans="3:11" hidden="1" outlineLevel="2">
      <c r="C521" s="173">
        <v>90</v>
      </c>
      <c r="D521" s="801"/>
      <c r="E521" s="802"/>
      <c r="F521" s="803"/>
      <c r="G521" s="797"/>
      <c r="H521" s="797"/>
      <c r="I521" s="797"/>
      <c r="J521" s="112"/>
      <c r="K521" s="17" t="str">
        <f t="shared" si="12"/>
        <v/>
      </c>
    </row>
    <row r="522" spans="3:11" hidden="1" outlineLevel="2">
      <c r="C522" s="173">
        <v>91</v>
      </c>
      <c r="D522" s="801"/>
      <c r="E522" s="802"/>
      <c r="F522" s="803"/>
      <c r="G522" s="797"/>
      <c r="H522" s="797"/>
      <c r="I522" s="797"/>
      <c r="J522" s="112"/>
      <c r="K522" s="17" t="str">
        <f t="shared" si="12"/>
        <v/>
      </c>
    </row>
    <row r="523" spans="3:11" hidden="1" outlineLevel="2">
      <c r="C523" s="173">
        <v>92</v>
      </c>
      <c r="D523" s="801"/>
      <c r="E523" s="802"/>
      <c r="F523" s="803"/>
      <c r="G523" s="797"/>
      <c r="H523" s="797"/>
      <c r="I523" s="797"/>
      <c r="J523" s="112"/>
      <c r="K523" s="17" t="str">
        <f t="shared" si="12"/>
        <v/>
      </c>
    </row>
    <row r="524" spans="3:11" hidden="1" outlineLevel="2">
      <c r="C524" s="173">
        <v>93</v>
      </c>
      <c r="D524" s="801"/>
      <c r="E524" s="802"/>
      <c r="F524" s="803"/>
      <c r="G524" s="797"/>
      <c r="H524" s="797"/>
      <c r="I524" s="797"/>
      <c r="J524" s="112"/>
      <c r="K524" s="17" t="str">
        <f t="shared" si="12"/>
        <v/>
      </c>
    </row>
    <row r="525" spans="3:11" hidden="1" outlineLevel="2">
      <c r="C525" s="173">
        <v>94</v>
      </c>
      <c r="D525" s="801"/>
      <c r="E525" s="802"/>
      <c r="F525" s="803"/>
      <c r="G525" s="797"/>
      <c r="H525" s="797"/>
      <c r="I525" s="797"/>
      <c r="J525" s="112"/>
      <c r="K525" s="17" t="str">
        <f t="shared" si="12"/>
        <v/>
      </c>
    </row>
    <row r="526" spans="3:11" hidden="1" outlineLevel="2">
      <c r="C526" s="173">
        <v>95</v>
      </c>
      <c r="D526" s="801"/>
      <c r="E526" s="802"/>
      <c r="F526" s="803"/>
      <c r="G526" s="797"/>
      <c r="H526" s="797"/>
      <c r="I526" s="797"/>
      <c r="J526" s="112"/>
      <c r="K526" s="17" t="str">
        <f t="shared" si="12"/>
        <v/>
      </c>
    </row>
    <row r="527" spans="3:11" hidden="1" outlineLevel="2">
      <c r="C527" s="173">
        <v>96</v>
      </c>
      <c r="D527" s="801"/>
      <c r="E527" s="802"/>
      <c r="F527" s="803"/>
      <c r="G527" s="797"/>
      <c r="H527" s="797"/>
      <c r="I527" s="797"/>
      <c r="J527" s="112"/>
      <c r="K527" s="17" t="str">
        <f t="shared" si="12"/>
        <v/>
      </c>
    </row>
    <row r="528" spans="3:11" hidden="1" outlineLevel="2">
      <c r="C528" s="173">
        <v>97</v>
      </c>
      <c r="D528" s="801"/>
      <c r="E528" s="802"/>
      <c r="F528" s="803"/>
      <c r="G528" s="797"/>
      <c r="H528" s="797"/>
      <c r="I528" s="797"/>
      <c r="J528" s="112"/>
      <c r="K528" s="17" t="str">
        <f t="shared" si="12"/>
        <v/>
      </c>
    </row>
    <row r="529" spans="1:12" hidden="1" outlineLevel="2">
      <c r="C529" s="173">
        <v>98</v>
      </c>
      <c r="D529" s="801"/>
      <c r="E529" s="802"/>
      <c r="F529" s="803"/>
      <c r="G529" s="797"/>
      <c r="H529" s="797"/>
      <c r="I529" s="797"/>
      <c r="J529" s="112"/>
      <c r="K529" s="17" t="str">
        <f t="shared" si="12"/>
        <v/>
      </c>
    </row>
    <row r="530" spans="1:12" hidden="1" outlineLevel="2">
      <c r="C530" s="173">
        <v>99</v>
      </c>
      <c r="D530" s="801"/>
      <c r="E530" s="802"/>
      <c r="F530" s="803"/>
      <c r="G530" s="983"/>
      <c r="H530" s="984"/>
      <c r="I530" s="861"/>
      <c r="J530" s="112"/>
      <c r="K530" s="17" t="str">
        <f t="shared" si="12"/>
        <v/>
      </c>
    </row>
    <row r="531" spans="1:12" hidden="1" outlineLevel="2">
      <c r="C531" s="173">
        <v>100</v>
      </c>
      <c r="D531" s="801"/>
      <c r="E531" s="802"/>
      <c r="F531" s="803"/>
      <c r="G531" s="983"/>
      <c r="H531" s="984"/>
      <c r="I531" s="861"/>
      <c r="J531" s="112"/>
      <c r="K531" s="17" t="str">
        <f t="shared" si="12"/>
        <v/>
      </c>
    </row>
    <row r="532" spans="1:12" collapsed="1">
      <c r="C532" s="967" t="str">
        <f>template_label_total_annual_mass_flow_of_relevant_materials_used_mass</f>
        <v>Total annual mass-flow of relevant materials used (mass in kg)</v>
      </c>
      <c r="D532" s="968"/>
      <c r="E532" s="968"/>
      <c r="F532" s="968"/>
      <c r="G532" s="982" t="str">
        <f>IF(AND(G432="",G433="",J432="",J433="",G434="",J434=""),"-",(SUMIF($J$432:$J$531,"kilograms (kg)",$G$432:$G$531))+((SUMIF($J$432:$J$531,"metric tonnes (t)",$G$432:$G$531))*1000))</f>
        <v>-</v>
      </c>
      <c r="H532" s="982"/>
      <c r="I532" s="982"/>
      <c r="J532" s="110" t="str">
        <f>template_label_kilograms</f>
        <v>kilograms (kg)</v>
      </c>
    </row>
    <row r="533" spans="1:12" ht="15" thickBot="1">
      <c r="C533" s="893" t="str">
        <f>template_label_total_annual_mass_flow_of_relevant_materials_used_volume</f>
        <v>Total annual mass-flow of relevant materials used (volume in m³)</v>
      </c>
      <c r="D533" s="894"/>
      <c r="E533" s="894"/>
      <c r="F533" s="894"/>
      <c r="G533" s="864" t="str">
        <f>IF(AND(G432="",G433="",J432="",J433="",G434="",J434=""),"-",SUMIF(J432:J531, "cubic meters (m3)", G432:G531))</f>
        <v>-</v>
      </c>
      <c r="H533" s="864"/>
      <c r="I533" s="864"/>
      <c r="J533" s="108" t="str">
        <f>template_label_cubic_meters</f>
        <v>cubic meters (m³)</v>
      </c>
      <c r="K533" s="17"/>
    </row>
    <row r="534" spans="1:12" ht="15" thickBot="1"/>
    <row r="535" spans="1:12" ht="15" thickBot="1">
      <c r="C535" s="972" t="str">
        <f>template_label_c4_climate_risks&amp;" "&amp;template_label_from&amp;" "&amp;template_starting_date_display&amp;" "&amp;template_label_to&amp;" "&amp;template_ending_date_display&amp;" "</f>
        <v xml:space="preserve">C4 - Climate risks from - to - </v>
      </c>
      <c r="D535" s="973"/>
      <c r="E535" s="973"/>
      <c r="F535" s="973"/>
      <c r="G535" s="973"/>
      <c r="H535" s="973"/>
      <c r="I535" s="973"/>
      <c r="J535" s="973"/>
      <c r="K535" s="974"/>
    </row>
    <row r="536" spans="1:12" ht="39.65" customHeight="1">
      <c r="C536" s="978" t="str">
        <f>template_label_has_the_undertaking_identified_climate_related_hazards_and_climate_related_transition_events</f>
        <v>Voluntary for undertakings with 10 employees or less - Has the undertaking identified climate-related hazards and climate-related transition events creating gross climate-related risks for the undertaking?</v>
      </c>
      <c r="D536" s="979"/>
      <c r="E536" s="980" t="b">
        <v>0</v>
      </c>
      <c r="F536" s="980"/>
      <c r="G536" s="980"/>
      <c r="H536" s="980"/>
      <c r="I536" s="980"/>
      <c r="J536" s="980"/>
      <c r="K536" s="981"/>
    </row>
    <row r="537" spans="1:12">
      <c r="A537" s="345" t="s">
        <v>54</v>
      </c>
      <c r="B537" s="346" t="s">
        <v>55</v>
      </c>
      <c r="C537" s="780" t="str">
        <f>template_label_description_of_climate_related_hazards_and_climate_related_transition_events</f>
        <v>Description of climate-related hazards and climate-related transition events</v>
      </c>
      <c r="D537" s="874"/>
      <c r="E537" s="975"/>
      <c r="F537" s="975"/>
      <c r="G537" s="975"/>
      <c r="H537" s="975"/>
      <c r="I537" s="975"/>
      <c r="J537" s="975"/>
      <c r="K537" s="741"/>
      <c r="L537" s="16" t="str">
        <f>IF(template_checkbox_c4_climate_risks_docx=TRUE,
IF(AND($E$536=TRUE,E537&lt;&gt;""),
    template_label_ok,
    IF(AND($E$536=TRUE,G537=""),
        "",
        ""
    )
),
IF(AND($E$536=TRUE,E537&lt;&gt;""),
    template_label_ok,
    IF(AND($E$536=TRUE,G537=""),
        template_label_missing_value,
        ""
    )
))</f>
        <v/>
      </c>
    </row>
    <row r="538" spans="1:12">
      <c r="A538" s="345" t="s">
        <v>56</v>
      </c>
      <c r="B538" s="346" t="s">
        <v>55</v>
      </c>
      <c r="C538" s="780" t="str">
        <f>template_label_disclosure_of_how_it_has_assessed_the_exposure_and_sensitivity_of_its_assets</f>
        <v>Disclosure of how it has assessed the exposure and sensitivity of its assets activities and value chain to these hazards and transition events</v>
      </c>
      <c r="D538" s="874"/>
      <c r="E538" s="975"/>
      <c r="F538" s="975"/>
      <c r="G538" s="975"/>
      <c r="H538" s="975"/>
      <c r="I538" s="975"/>
      <c r="J538" s="975"/>
      <c r="K538" s="741"/>
      <c r="L538" s="16" t="str">
        <f>IF(template_checkbox_c4_climate_risks_docx=TRUE,
IF(AND($E$536=TRUE,E538&lt;&gt;""),
    template_label_ok,
    IF(AND($E$536=TRUE,G538=""),
        "",
        ""
    )
),
IF(AND($E$536=TRUE,E538&lt;&gt;""),
    template_label_ok,
    IF(AND($E$536=TRUE,G538=""),
        template_label_missing_value,
        ""
    )
))</f>
        <v/>
      </c>
    </row>
    <row r="539" spans="1:12">
      <c r="A539" s="345" t="s">
        <v>57</v>
      </c>
      <c r="B539" s="346" t="s">
        <v>55</v>
      </c>
      <c r="C539" s="780" t="str">
        <f>template_label_time_horizons_of_any_climate_related_hazards_and_transition_events_identified</f>
        <v>Time horizons of any climate-related hazards and transition events identified</v>
      </c>
      <c r="D539" s="874"/>
      <c r="E539" s="975"/>
      <c r="F539" s="975"/>
      <c r="G539" s="975"/>
      <c r="H539" s="975"/>
      <c r="I539" s="975"/>
      <c r="J539" s="975"/>
      <c r="K539" s="741"/>
      <c r="L539" s="16" t="str">
        <f>IF(template_checkbox_c4_climate_risks_docx=TRUE,
IF(AND($E$536=TRUE,E539&lt;&gt;""),
    template_label_ok,
    IF(AND($E$536=TRUE,G539=""),
        "",
        ""
    )
),
IF(AND($E$536=TRUE,E539&lt;&gt;""),
    template_label_ok,
    IF(AND($E$536=TRUE,G539=""),
        template_label_missing_value,
        ""
    )
))</f>
        <v/>
      </c>
    </row>
    <row r="540" spans="1:12" ht="27" customHeight="1">
      <c r="A540" s="345" t="s">
        <v>58</v>
      </c>
      <c r="B540" s="346" t="s">
        <v>55</v>
      </c>
      <c r="C540" s="780" t="str">
        <f>template_label_disclosure_of_whether_it_has_undertaken_climate_change_adaptation_actions</f>
        <v>Disclosure of whether it has undertaken climate change adaptation actions for any climate-related hazards and transition events</v>
      </c>
      <c r="D540" s="874"/>
      <c r="E540" s="815"/>
      <c r="F540" s="815"/>
      <c r="G540" s="815"/>
      <c r="H540" s="815"/>
      <c r="I540" s="815"/>
      <c r="J540" s="815"/>
      <c r="K540" s="976"/>
      <c r="L540" s="16" t="str">
        <f>IF(template_checkbox_c4_climate_risks_docx=TRUE,
IF(AND($E$536=TRUE,E540&lt;&gt;""),
    template_label_ok,
    IF(AND($E$536=TRUE,G540=""),
        "",
        ""
    )
),
IF(AND($E$536=TRUE,E540&lt;&gt;""),
    template_label_ok,
    IF(AND($E$536=TRUE,G540=""),
        template_label_missing_value,
        ""
    )
))</f>
        <v/>
      </c>
    </row>
    <row r="541" spans="1:12" ht="29.4" customHeight="1" thickBot="1">
      <c r="A541" s="345">
        <v>57</v>
      </c>
      <c r="B541" s="346" t="s">
        <v>55</v>
      </c>
      <c r="C541" s="735" t="str">
        <f>template_label_potential_adverse_effects_of_climate_risks</f>
        <v>Potential adverse effects of climate risks that may affect its financial performance or business operations in the short- medium- or long-term indicating whether it assesses the risks to be high medium or low</v>
      </c>
      <c r="D541" s="746"/>
      <c r="E541" s="977"/>
      <c r="F541" s="977"/>
      <c r="G541" s="977"/>
      <c r="H541" s="977"/>
      <c r="I541" s="977"/>
      <c r="J541" s="977"/>
      <c r="K541" s="739"/>
      <c r="L541" s="16" t="str">
        <f>IF(AND($E$536=TRUE,E541&lt;&gt;""),
    template_label_ok,
    ""
)</f>
        <v/>
      </c>
    </row>
    <row r="542" spans="1:12" ht="15" thickBot="1"/>
    <row r="543" spans="1:12" ht="15" thickBot="1">
      <c r="C543" s="666" t="str">
        <f>template_label_disclosure_of_any_other_environmental_and_or_entity_specific_environmental_disclosures&amp;" "&amp;template_label_from&amp;" "&amp;template_starting_date_display&amp;" "&amp;template_label_to&amp;" "&amp;template_ending_date_display&amp;" "</f>
        <v xml:space="preserve">Disclosure of any other environmental and/or entity specific environmental disclosures from - to - </v>
      </c>
      <c r="D543" s="667"/>
      <c r="E543" s="667"/>
      <c r="F543" s="667"/>
      <c r="G543" s="667"/>
      <c r="H543" s="667"/>
      <c r="I543" s="667"/>
      <c r="J543" s="667"/>
      <c r="K543" s="667"/>
      <c r="L543" s="668"/>
    </row>
    <row r="544" spans="1:12">
      <c r="C544" s="687">
        <v>12</v>
      </c>
      <c r="D544" s="677"/>
      <c r="E544" s="677"/>
      <c r="F544" s="677"/>
      <c r="G544" s="677"/>
      <c r="H544" s="677"/>
      <c r="I544" s="677"/>
      <c r="J544" s="677"/>
      <c r="K544" s="677"/>
      <c r="L544" s="682"/>
    </row>
    <row r="545" spans="3:12" ht="15" thickBot="1">
      <c r="C545" s="969"/>
      <c r="D545" s="970"/>
      <c r="E545" s="970"/>
      <c r="F545" s="970"/>
      <c r="G545" s="970"/>
      <c r="H545" s="970"/>
      <c r="I545" s="970"/>
      <c r="J545" s="970"/>
      <c r="K545" s="970"/>
      <c r="L545" s="971"/>
    </row>
  </sheetData>
  <sheetProtection formatColumns="0" formatRows="0" insertRows="0"/>
  <mergeCells count="1032">
    <mergeCell ref="J416:L416"/>
    <mergeCell ref="J417:L417"/>
    <mergeCell ref="J418:L418"/>
    <mergeCell ref="J419:L419"/>
    <mergeCell ref="J420:L420"/>
    <mergeCell ref="J421:L421"/>
    <mergeCell ref="J422:L422"/>
    <mergeCell ref="J423:L423"/>
    <mergeCell ref="G422:I422"/>
    <mergeCell ref="G423:I423"/>
    <mergeCell ref="D422:F422"/>
    <mergeCell ref="D423:F423"/>
    <mergeCell ref="C416:C425"/>
    <mergeCell ref="D424:F424"/>
    <mergeCell ref="G424:I424"/>
    <mergeCell ref="D425:F425"/>
    <mergeCell ref="G425:I425"/>
    <mergeCell ref="J424:L424"/>
    <mergeCell ref="J425:L425"/>
    <mergeCell ref="G420:I420"/>
    <mergeCell ref="G421:I421"/>
    <mergeCell ref="G417:I417"/>
    <mergeCell ref="D421:F421"/>
    <mergeCell ref="G97:I97"/>
    <mergeCell ref="D78:F78"/>
    <mergeCell ref="D79:F79"/>
    <mergeCell ref="D80:F80"/>
    <mergeCell ref="D251:F251"/>
    <mergeCell ref="D252:F252"/>
    <mergeCell ref="D260:F260"/>
    <mergeCell ref="D261:F261"/>
    <mergeCell ref="D262:F262"/>
    <mergeCell ref="D263:F263"/>
    <mergeCell ref="D264:F264"/>
    <mergeCell ref="D265:F265"/>
    <mergeCell ref="D266:F266"/>
    <mergeCell ref="D257:F257"/>
    <mergeCell ref="D258:F258"/>
    <mergeCell ref="D259:F259"/>
    <mergeCell ref="D286:F286"/>
    <mergeCell ref="D267:F267"/>
    <mergeCell ref="D268:F268"/>
    <mergeCell ref="D269:F269"/>
    <mergeCell ref="D270:F270"/>
    <mergeCell ref="D271:F271"/>
    <mergeCell ref="D272:F272"/>
    <mergeCell ref="D273:F273"/>
    <mergeCell ref="D274:F274"/>
    <mergeCell ref="D275:F275"/>
    <mergeCell ref="D276:F276"/>
    <mergeCell ref="D277:F277"/>
    <mergeCell ref="D227:F227"/>
    <mergeCell ref="D229:F229"/>
    <mergeCell ref="D230:F230"/>
    <mergeCell ref="D231:F231"/>
    <mergeCell ref="G274:I274"/>
    <mergeCell ref="D82:F82"/>
    <mergeCell ref="D83:F83"/>
    <mergeCell ref="D285:F285"/>
    <mergeCell ref="D253:F253"/>
    <mergeCell ref="D254:F254"/>
    <mergeCell ref="D255:F255"/>
    <mergeCell ref="D256:F256"/>
    <mergeCell ref="D152:F152"/>
    <mergeCell ref="D124:F124"/>
    <mergeCell ref="D87:F87"/>
    <mergeCell ref="D86:F86"/>
    <mergeCell ref="D88:F88"/>
    <mergeCell ref="D89:F89"/>
    <mergeCell ref="D156:F156"/>
    <mergeCell ref="D157:F157"/>
    <mergeCell ref="D158:F158"/>
    <mergeCell ref="D159:F159"/>
    <mergeCell ref="D160:F160"/>
    <mergeCell ref="D161:F161"/>
    <mergeCell ref="D162:F162"/>
    <mergeCell ref="D206:F206"/>
    <mergeCell ref="D209:F209"/>
    <mergeCell ref="D98:F98"/>
    <mergeCell ref="D105:F105"/>
    <mergeCell ref="D133:F133"/>
    <mergeCell ref="D218:F218"/>
    <mergeCell ref="D219:F219"/>
    <mergeCell ref="D220:F220"/>
    <mergeCell ref="D221:F221"/>
    <mergeCell ref="D104:F104"/>
    <mergeCell ref="D192:F192"/>
    <mergeCell ref="G278:I278"/>
    <mergeCell ref="E304:F304"/>
    <mergeCell ref="D233:F233"/>
    <mergeCell ref="D234:F234"/>
    <mergeCell ref="D235:F235"/>
    <mergeCell ref="D236:F236"/>
    <mergeCell ref="D237:F237"/>
    <mergeCell ref="D238:F238"/>
    <mergeCell ref="D239:F239"/>
    <mergeCell ref="D240:F240"/>
    <mergeCell ref="D287:F287"/>
    <mergeCell ref="D338:F338"/>
    <mergeCell ref="D339:F339"/>
    <mergeCell ref="D340:F340"/>
    <mergeCell ref="D330:F330"/>
    <mergeCell ref="D331:F331"/>
    <mergeCell ref="D324:F324"/>
    <mergeCell ref="D310:G310"/>
    <mergeCell ref="G322:I322"/>
    <mergeCell ref="G323:I323"/>
    <mergeCell ref="G289:I289"/>
    <mergeCell ref="G319:I319"/>
    <mergeCell ref="G320:I320"/>
    <mergeCell ref="C306:G306"/>
    <mergeCell ref="C307:G307"/>
    <mergeCell ref="C308:G308"/>
    <mergeCell ref="C294:D294"/>
    <mergeCell ref="C295:D295"/>
    <mergeCell ref="C299:D299"/>
    <mergeCell ref="G266:I266"/>
    <mergeCell ref="G267:I267"/>
    <mergeCell ref="D289:F289"/>
    <mergeCell ref="D364:F364"/>
    <mergeCell ref="D348:F348"/>
    <mergeCell ref="D349:F349"/>
    <mergeCell ref="C314:L314"/>
    <mergeCell ref="D309:G309"/>
    <mergeCell ref="G321:I321"/>
    <mergeCell ref="H310:I310"/>
    <mergeCell ref="D337:F337"/>
    <mergeCell ref="G318:I318"/>
    <mergeCell ref="C312:L312"/>
    <mergeCell ref="E296:F296"/>
    <mergeCell ref="D334:F334"/>
    <mergeCell ref="C300:D300"/>
    <mergeCell ref="G317:I317"/>
    <mergeCell ref="D335:F335"/>
    <mergeCell ref="D333:F333"/>
    <mergeCell ref="G325:I325"/>
    <mergeCell ref="G326:I326"/>
    <mergeCell ref="G327:I327"/>
    <mergeCell ref="D361:F361"/>
    <mergeCell ref="D362:F362"/>
    <mergeCell ref="D363:F363"/>
    <mergeCell ref="G234:I234"/>
    <mergeCell ref="G235:I235"/>
    <mergeCell ref="G236:I236"/>
    <mergeCell ref="G237:I237"/>
    <mergeCell ref="G238:I238"/>
    <mergeCell ref="G239:I239"/>
    <mergeCell ref="G240:I240"/>
    <mergeCell ref="G241:I241"/>
    <mergeCell ref="G259:I259"/>
    <mergeCell ref="G260:I260"/>
    <mergeCell ref="G261:I261"/>
    <mergeCell ref="G262:I262"/>
    <mergeCell ref="G263:I263"/>
    <mergeCell ref="G264:I264"/>
    <mergeCell ref="D242:F242"/>
    <mergeCell ref="D243:F243"/>
    <mergeCell ref="D244:F244"/>
    <mergeCell ref="G243:I243"/>
    <mergeCell ref="G244:I244"/>
    <mergeCell ref="G245:I245"/>
    <mergeCell ref="G246:I246"/>
    <mergeCell ref="G247:I247"/>
    <mergeCell ref="G248:I248"/>
    <mergeCell ref="D241:F241"/>
    <mergeCell ref="G249:I249"/>
    <mergeCell ref="G250:I250"/>
    <mergeCell ref="D212:F212"/>
    <mergeCell ref="D207:F207"/>
    <mergeCell ref="D208:F208"/>
    <mergeCell ref="D210:F210"/>
    <mergeCell ref="G200:I200"/>
    <mergeCell ref="G201:I201"/>
    <mergeCell ref="G202:I202"/>
    <mergeCell ref="D200:F200"/>
    <mergeCell ref="D215:F215"/>
    <mergeCell ref="D216:F216"/>
    <mergeCell ref="D217:F217"/>
    <mergeCell ref="G207:I207"/>
    <mergeCell ref="G204:I204"/>
    <mergeCell ref="G205:I205"/>
    <mergeCell ref="G206:I206"/>
    <mergeCell ref="D213:F213"/>
    <mergeCell ref="D214:F214"/>
    <mergeCell ref="G214:I214"/>
    <mergeCell ref="D204:F204"/>
    <mergeCell ref="D205:F205"/>
    <mergeCell ref="D97:F97"/>
    <mergeCell ref="C293:D293"/>
    <mergeCell ref="H309:I309"/>
    <mergeCell ref="C298:D298"/>
    <mergeCell ref="D245:F245"/>
    <mergeCell ref="D246:F246"/>
    <mergeCell ref="D247:F247"/>
    <mergeCell ref="D248:F248"/>
    <mergeCell ref="D249:F249"/>
    <mergeCell ref="D250:F250"/>
    <mergeCell ref="D288:F288"/>
    <mergeCell ref="D278:F278"/>
    <mergeCell ref="D290:F290"/>
    <mergeCell ref="D223:F223"/>
    <mergeCell ref="D232:F232"/>
    <mergeCell ref="D224:F224"/>
    <mergeCell ref="D225:F225"/>
    <mergeCell ref="D226:F226"/>
    <mergeCell ref="G251:I251"/>
    <mergeCell ref="G252:I252"/>
    <mergeCell ref="G253:I253"/>
    <mergeCell ref="G254:I254"/>
    <mergeCell ref="G255:I255"/>
    <mergeCell ref="G256:I256"/>
    <mergeCell ref="G232:I232"/>
    <mergeCell ref="G233:I233"/>
    <mergeCell ref="G242:I242"/>
    <mergeCell ref="G203:I203"/>
    <mergeCell ref="G210:I210"/>
    <mergeCell ref="D202:F202"/>
    <mergeCell ref="D203:F203"/>
    <mergeCell ref="D211:F211"/>
    <mergeCell ref="D112:F112"/>
    <mergeCell ref="G122:I122"/>
    <mergeCell ref="G123:I123"/>
    <mergeCell ref="G81:I81"/>
    <mergeCell ref="D320:F320"/>
    <mergeCell ref="G265:I265"/>
    <mergeCell ref="G257:I257"/>
    <mergeCell ref="G258:I258"/>
    <mergeCell ref="D279:F279"/>
    <mergeCell ref="D280:F280"/>
    <mergeCell ref="D281:F281"/>
    <mergeCell ref="D282:F282"/>
    <mergeCell ref="D283:F283"/>
    <mergeCell ref="D284:F284"/>
    <mergeCell ref="G80:I80"/>
    <mergeCell ref="D81:F81"/>
    <mergeCell ref="G86:I86"/>
    <mergeCell ref="G87:I87"/>
    <mergeCell ref="G88:I88"/>
    <mergeCell ref="D114:F114"/>
    <mergeCell ref="D115:F115"/>
    <mergeCell ref="D116:F116"/>
    <mergeCell ref="D122:F122"/>
    <mergeCell ref="D94:F94"/>
    <mergeCell ref="D95:F95"/>
    <mergeCell ref="D92:F92"/>
    <mergeCell ref="G92:I92"/>
    <mergeCell ref="D148:F148"/>
    <mergeCell ref="D149:F149"/>
    <mergeCell ref="D151:F151"/>
    <mergeCell ref="D136:F136"/>
    <mergeCell ref="D137:F137"/>
    <mergeCell ref="D127:F127"/>
    <mergeCell ref="D128:F128"/>
    <mergeCell ref="D129:F129"/>
    <mergeCell ref="D130:F130"/>
    <mergeCell ref="D131:F131"/>
    <mergeCell ref="D132:F132"/>
    <mergeCell ref="D196:F196"/>
    <mergeCell ref="D117:F117"/>
    <mergeCell ref="G114:I114"/>
    <mergeCell ref="G115:I115"/>
    <mergeCell ref="G116:I116"/>
    <mergeCell ref="G117:I117"/>
    <mergeCell ref="G118:I118"/>
    <mergeCell ref="G119:I119"/>
    <mergeCell ref="G120:I120"/>
    <mergeCell ref="G121:I121"/>
    <mergeCell ref="G124:I124"/>
    <mergeCell ref="G125:I125"/>
    <mergeCell ref="G126:I126"/>
    <mergeCell ref="G127:I127"/>
    <mergeCell ref="D138:F138"/>
    <mergeCell ref="G189:K189"/>
    <mergeCell ref="D123:F123"/>
    <mergeCell ref="D141:F141"/>
    <mergeCell ref="G144:I144"/>
    <mergeCell ref="D184:F184"/>
    <mergeCell ref="G183:I183"/>
    <mergeCell ref="G142:I142"/>
    <mergeCell ref="G143:I143"/>
    <mergeCell ref="D135:F135"/>
    <mergeCell ref="G158:I158"/>
    <mergeCell ref="G159:I159"/>
    <mergeCell ref="G111:I111"/>
    <mergeCell ref="G213:I213"/>
    <mergeCell ref="G208:I208"/>
    <mergeCell ref="G209:I209"/>
    <mergeCell ref="G195:I195"/>
    <mergeCell ref="G110:I110"/>
    <mergeCell ref="G100:I100"/>
    <mergeCell ref="D126:F126"/>
    <mergeCell ref="C186:K186"/>
    <mergeCell ref="G192:I192"/>
    <mergeCell ref="G193:I193"/>
    <mergeCell ref="C72:K72"/>
    <mergeCell ref="C69:F69"/>
    <mergeCell ref="G79:I79"/>
    <mergeCell ref="G69:K69"/>
    <mergeCell ref="D73:F73"/>
    <mergeCell ref="G73:I73"/>
    <mergeCell ref="G84:I84"/>
    <mergeCell ref="G85:I85"/>
    <mergeCell ref="D77:F77"/>
    <mergeCell ref="G101:I101"/>
    <mergeCell ref="D139:F139"/>
    <mergeCell ref="D198:F198"/>
    <mergeCell ref="G196:I196"/>
    <mergeCell ref="G197:I197"/>
    <mergeCell ref="G198:I198"/>
    <mergeCell ref="G194:I194"/>
    <mergeCell ref="C188:K188"/>
    <mergeCell ref="G190:I190"/>
    <mergeCell ref="G191:I191"/>
    <mergeCell ref="G109:I109"/>
    <mergeCell ref="C187:K187"/>
    <mergeCell ref="D387:F387"/>
    <mergeCell ref="G330:I330"/>
    <mergeCell ref="G331:I331"/>
    <mergeCell ref="G273:I273"/>
    <mergeCell ref="D317:F317"/>
    <mergeCell ref="D318:F318"/>
    <mergeCell ref="G415:I415"/>
    <mergeCell ref="D315:F315"/>
    <mergeCell ref="D316:F316"/>
    <mergeCell ref="D319:F319"/>
    <mergeCell ref="G315:I315"/>
    <mergeCell ref="G316:I316"/>
    <mergeCell ref="D327:F327"/>
    <mergeCell ref="D323:F323"/>
    <mergeCell ref="D321:F321"/>
    <mergeCell ref="E302:F302"/>
    <mergeCell ref="D365:F365"/>
    <mergeCell ref="D366:F366"/>
    <mergeCell ref="D367:F367"/>
    <mergeCell ref="D368:F368"/>
    <mergeCell ref="D369:F369"/>
    <mergeCell ref="D326:F326"/>
    <mergeCell ref="D322:F322"/>
    <mergeCell ref="G288:I288"/>
    <mergeCell ref="G276:I276"/>
    <mergeCell ref="G277:I277"/>
    <mergeCell ref="G275:I275"/>
    <mergeCell ref="G285:I285"/>
    <mergeCell ref="G286:I286"/>
    <mergeCell ref="G287:I287"/>
    <mergeCell ref="D344:F344"/>
    <mergeCell ref="D345:F345"/>
    <mergeCell ref="G444:I444"/>
    <mergeCell ref="C533:F533"/>
    <mergeCell ref="G432:I432"/>
    <mergeCell ref="G433:I433"/>
    <mergeCell ref="G434:I434"/>
    <mergeCell ref="D193:F193"/>
    <mergeCell ref="D513:F513"/>
    <mergeCell ref="G329:I329"/>
    <mergeCell ref="G418:I418"/>
    <mergeCell ref="G416:I416"/>
    <mergeCell ref="D417:F417"/>
    <mergeCell ref="D418:F418"/>
    <mergeCell ref="D329:F329"/>
    <mergeCell ref="D416:F416"/>
    <mergeCell ref="D328:F328"/>
    <mergeCell ref="G328:I328"/>
    <mergeCell ref="D228:F228"/>
    <mergeCell ref="G211:I211"/>
    <mergeCell ref="G212:I212"/>
    <mergeCell ref="G290:I290"/>
    <mergeCell ref="D332:F332"/>
    <mergeCell ref="D222:F222"/>
    <mergeCell ref="D325:F325"/>
    <mergeCell ref="C313:L313"/>
    <mergeCell ref="D415:F415"/>
    <mergeCell ref="G324:I324"/>
    <mergeCell ref="D381:F381"/>
    <mergeCell ref="D382:F382"/>
    <mergeCell ref="D383:F383"/>
    <mergeCell ref="D384:F384"/>
    <mergeCell ref="D385:F385"/>
    <mergeCell ref="D386:F386"/>
    <mergeCell ref="D531:F531"/>
    <mergeCell ref="G443:I443"/>
    <mergeCell ref="D488:F488"/>
    <mergeCell ref="D489:F489"/>
    <mergeCell ref="C545:L545"/>
    <mergeCell ref="C535:K535"/>
    <mergeCell ref="C543:L543"/>
    <mergeCell ref="E537:K537"/>
    <mergeCell ref="E538:K538"/>
    <mergeCell ref="E540:K540"/>
    <mergeCell ref="E539:K539"/>
    <mergeCell ref="E541:K541"/>
    <mergeCell ref="C540:D540"/>
    <mergeCell ref="C541:D541"/>
    <mergeCell ref="C537:D537"/>
    <mergeCell ref="C538:D538"/>
    <mergeCell ref="C539:D539"/>
    <mergeCell ref="C536:D536"/>
    <mergeCell ref="E536:K536"/>
    <mergeCell ref="C544:L544"/>
    <mergeCell ref="G533:I533"/>
    <mergeCell ref="G532:I532"/>
    <mergeCell ref="D467:F467"/>
    <mergeCell ref="D468:F468"/>
    <mergeCell ref="D469:F469"/>
    <mergeCell ref="G485:I485"/>
    <mergeCell ref="D479:F479"/>
    <mergeCell ref="D480:F480"/>
    <mergeCell ref="D481:F481"/>
    <mergeCell ref="D482:F482"/>
    <mergeCell ref="G530:I530"/>
    <mergeCell ref="G531:I531"/>
    <mergeCell ref="C532:F532"/>
    <mergeCell ref="D451:F451"/>
    <mergeCell ref="D452:F452"/>
    <mergeCell ref="D453:F453"/>
    <mergeCell ref="D454:F454"/>
    <mergeCell ref="D455:F455"/>
    <mergeCell ref="D456:F456"/>
    <mergeCell ref="D457:F457"/>
    <mergeCell ref="D458:F458"/>
    <mergeCell ref="D459:F459"/>
    <mergeCell ref="D460:F460"/>
    <mergeCell ref="D461:F461"/>
    <mergeCell ref="D462:F462"/>
    <mergeCell ref="D463:F463"/>
    <mergeCell ref="D511:F511"/>
    <mergeCell ref="D512:F512"/>
    <mergeCell ref="D514:F514"/>
    <mergeCell ref="D483:F483"/>
    <mergeCell ref="D502:F502"/>
    <mergeCell ref="D484:F484"/>
    <mergeCell ref="D485:F485"/>
    <mergeCell ref="D486:F486"/>
    <mergeCell ref="D487:F487"/>
    <mergeCell ref="D530:F530"/>
    <mergeCell ref="D470:F470"/>
    <mergeCell ref="D471:F471"/>
    <mergeCell ref="D464:F464"/>
    <mergeCell ref="D465:F465"/>
    <mergeCell ref="D466:F466"/>
    <mergeCell ref="D473:F473"/>
    <mergeCell ref="D528:F528"/>
    <mergeCell ref="D529:F529"/>
    <mergeCell ref="D146:F146"/>
    <mergeCell ref="D147:F147"/>
    <mergeCell ref="C71:K71"/>
    <mergeCell ref="D46:F46"/>
    <mergeCell ref="D150:F150"/>
    <mergeCell ref="D154:F154"/>
    <mergeCell ref="D155:F155"/>
    <mergeCell ref="D140:F140"/>
    <mergeCell ref="D74:F74"/>
    <mergeCell ref="D76:F76"/>
    <mergeCell ref="D91:F91"/>
    <mergeCell ref="D490:F490"/>
    <mergeCell ref="D491:F491"/>
    <mergeCell ref="D492:F492"/>
    <mergeCell ref="D493:F493"/>
    <mergeCell ref="D494:F494"/>
    <mergeCell ref="D495:F495"/>
    <mergeCell ref="D390:F390"/>
    <mergeCell ref="D395:F395"/>
    <mergeCell ref="D396:F396"/>
    <mergeCell ref="D397:F397"/>
    <mergeCell ref="D474:F474"/>
    <mergeCell ref="D475:F475"/>
    <mergeCell ref="D476:F476"/>
    <mergeCell ref="D477:F477"/>
    <mergeCell ref="D478:F478"/>
    <mergeCell ref="D445:F445"/>
    <mergeCell ref="D446:F446"/>
    <mergeCell ref="D447:F447"/>
    <mergeCell ref="D448:F448"/>
    <mergeCell ref="D449:F449"/>
    <mergeCell ref="D450:F450"/>
    <mergeCell ref="D111:F111"/>
    <mergeCell ref="D110:F110"/>
    <mergeCell ref="D109:F109"/>
    <mergeCell ref="D108:F108"/>
    <mergeCell ref="C14:F14"/>
    <mergeCell ref="C19:F19"/>
    <mergeCell ref="C29:F29"/>
    <mergeCell ref="D20:F20"/>
    <mergeCell ref="D21:F21"/>
    <mergeCell ref="D36:F36"/>
    <mergeCell ref="D37:F37"/>
    <mergeCell ref="D38:F38"/>
    <mergeCell ref="D39:F39"/>
    <mergeCell ref="D142:F142"/>
    <mergeCell ref="D143:F143"/>
    <mergeCell ref="D144:F144"/>
    <mergeCell ref="D145:F145"/>
    <mergeCell ref="D134:F134"/>
    <mergeCell ref="D47:F47"/>
    <mergeCell ref="D62:K62"/>
    <mergeCell ref="D85:F85"/>
    <mergeCell ref="D99:F99"/>
    <mergeCell ref="G112:I112"/>
    <mergeCell ref="D118:F118"/>
    <mergeCell ref="D119:F119"/>
    <mergeCell ref="D120:F120"/>
    <mergeCell ref="D121:F121"/>
    <mergeCell ref="D57:K57"/>
    <mergeCell ref="D58:K58"/>
    <mergeCell ref="C52:K52"/>
    <mergeCell ref="C50:K50"/>
    <mergeCell ref="C49:K49"/>
    <mergeCell ref="G5:K5"/>
    <mergeCell ref="G39:I39"/>
    <mergeCell ref="G20:I20"/>
    <mergeCell ref="G21:I21"/>
    <mergeCell ref="G22:I22"/>
    <mergeCell ref="G23:I23"/>
    <mergeCell ref="G27:J27"/>
    <mergeCell ref="G24:I24"/>
    <mergeCell ref="G29:K29"/>
    <mergeCell ref="G25:I25"/>
    <mergeCell ref="G26:I26"/>
    <mergeCell ref="G102:I102"/>
    <mergeCell ref="G76:I76"/>
    <mergeCell ref="G77:I77"/>
    <mergeCell ref="G78:I78"/>
    <mergeCell ref="G89:I89"/>
    <mergeCell ref="G90:I90"/>
    <mergeCell ref="C67:K67"/>
    <mergeCell ref="D45:F45"/>
    <mergeCell ref="D25:F25"/>
    <mergeCell ref="D26:F26"/>
    <mergeCell ref="C11:F11"/>
    <mergeCell ref="D84:F84"/>
    <mergeCell ref="D93:F93"/>
    <mergeCell ref="G46:I46"/>
    <mergeCell ref="G47:I47"/>
    <mergeCell ref="C65:K65"/>
    <mergeCell ref="G82:I82"/>
    <mergeCell ref="G83:I83"/>
    <mergeCell ref="G95:I95"/>
    <mergeCell ref="G99:I99"/>
    <mergeCell ref="D96:F96"/>
    <mergeCell ref="G104:I104"/>
    <mergeCell ref="G105:I105"/>
    <mergeCell ref="G106:I106"/>
    <mergeCell ref="G107:I107"/>
    <mergeCell ref="G108:I108"/>
    <mergeCell ref="C7:K7"/>
    <mergeCell ref="C8:K8"/>
    <mergeCell ref="D103:F103"/>
    <mergeCell ref="C2:K2"/>
    <mergeCell ref="C4:K4"/>
    <mergeCell ref="C3:K3"/>
    <mergeCell ref="C51:K51"/>
    <mergeCell ref="C55:K55"/>
    <mergeCell ref="C16:F16"/>
    <mergeCell ref="C17:F17"/>
    <mergeCell ref="D18:F18"/>
    <mergeCell ref="D22:F22"/>
    <mergeCell ref="G16:K16"/>
    <mergeCell ref="C5:F5"/>
    <mergeCell ref="C12:F12"/>
    <mergeCell ref="C13:F13"/>
    <mergeCell ref="G12:I12"/>
    <mergeCell ref="G13:I13"/>
    <mergeCell ref="G14:I14"/>
    <mergeCell ref="G91:I91"/>
    <mergeCell ref="G98:I98"/>
    <mergeCell ref="G11:I11"/>
    <mergeCell ref="G17:I17"/>
    <mergeCell ref="C10:F10"/>
    <mergeCell ref="G10:K10"/>
    <mergeCell ref="D31:F31"/>
    <mergeCell ref="D32:F32"/>
    <mergeCell ref="D33:F33"/>
    <mergeCell ref="C9:K9"/>
    <mergeCell ref="G94:I94"/>
    <mergeCell ref="D90:F90"/>
    <mergeCell ref="G103:I103"/>
    <mergeCell ref="G93:I93"/>
    <mergeCell ref="G96:I96"/>
    <mergeCell ref="D113:F113"/>
    <mergeCell ref="L12:L14"/>
    <mergeCell ref="G19:I19"/>
    <mergeCell ref="G18:I18"/>
    <mergeCell ref="C27:F27"/>
    <mergeCell ref="D43:F43"/>
    <mergeCell ref="D34:F34"/>
    <mergeCell ref="D35:F35"/>
    <mergeCell ref="D40:F40"/>
    <mergeCell ref="D41:F41"/>
    <mergeCell ref="D42:F42"/>
    <mergeCell ref="G42:I42"/>
    <mergeCell ref="G43:I43"/>
    <mergeCell ref="G40:I40"/>
    <mergeCell ref="G41:I41"/>
    <mergeCell ref="D44:F44"/>
    <mergeCell ref="G74:I74"/>
    <mergeCell ref="G75:I75"/>
    <mergeCell ref="C70:F70"/>
    <mergeCell ref="D56:K56"/>
    <mergeCell ref="G68:K68"/>
    <mergeCell ref="G70:K70"/>
    <mergeCell ref="C68:F68"/>
    <mergeCell ref="D75:F75"/>
    <mergeCell ref="C66:K66"/>
    <mergeCell ref="G113:I113"/>
    <mergeCell ref="D107:F107"/>
    <mergeCell ref="D106:F106"/>
    <mergeCell ref="D100:F100"/>
    <mergeCell ref="D101:F101"/>
    <mergeCell ref="D102:F102"/>
    <mergeCell ref="A21:B26"/>
    <mergeCell ref="M30:T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24:F24"/>
    <mergeCell ref="D28:F28"/>
    <mergeCell ref="A55:B55"/>
    <mergeCell ref="D23:F23"/>
    <mergeCell ref="D30:F30"/>
    <mergeCell ref="G154:I154"/>
    <mergeCell ref="G155:I155"/>
    <mergeCell ref="G156:I156"/>
    <mergeCell ref="G157:I157"/>
    <mergeCell ref="G149:I149"/>
    <mergeCell ref="G150:I150"/>
    <mergeCell ref="G151:I151"/>
    <mergeCell ref="G152:I152"/>
    <mergeCell ref="G153:I153"/>
    <mergeCell ref="D153:F153"/>
    <mergeCell ref="D125:F125"/>
    <mergeCell ref="G145:I145"/>
    <mergeCell ref="G146:I146"/>
    <mergeCell ref="G147:I147"/>
    <mergeCell ref="G148:I148"/>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D181:F181"/>
    <mergeCell ref="D182:F182"/>
    <mergeCell ref="D174:F174"/>
    <mergeCell ref="D195:F195"/>
    <mergeCell ref="D201:F201"/>
    <mergeCell ref="D175:F175"/>
    <mergeCell ref="D176:F176"/>
    <mergeCell ref="G175:I175"/>
    <mergeCell ref="G176:I176"/>
    <mergeCell ref="G177:I177"/>
    <mergeCell ref="G178:I178"/>
    <mergeCell ref="G179:I179"/>
    <mergeCell ref="G180:I180"/>
    <mergeCell ref="G181:I181"/>
    <mergeCell ref="G182:I182"/>
    <mergeCell ref="G162:I162"/>
    <mergeCell ref="G174:I174"/>
    <mergeCell ref="G199:I199"/>
    <mergeCell ref="D197:F197"/>
    <mergeCell ref="D190:F190"/>
    <mergeCell ref="G184:I184"/>
    <mergeCell ref="D199:F199"/>
    <mergeCell ref="D183:F183"/>
    <mergeCell ref="D191:F191"/>
    <mergeCell ref="C189:F189"/>
    <mergeCell ref="D194:F194"/>
    <mergeCell ref="G279:I279"/>
    <mergeCell ref="G280:I280"/>
    <mergeCell ref="G281:I281"/>
    <mergeCell ref="G282:I282"/>
    <mergeCell ref="G268:I268"/>
    <mergeCell ref="G269:I269"/>
    <mergeCell ref="G270:I270"/>
    <mergeCell ref="G271:I271"/>
    <mergeCell ref="G272:I272"/>
    <mergeCell ref="G231:I231"/>
    <mergeCell ref="D388:F388"/>
    <mergeCell ref="D389:F389"/>
    <mergeCell ref="D372:F372"/>
    <mergeCell ref="D373:F373"/>
    <mergeCell ref="D374:F374"/>
    <mergeCell ref="D375:F375"/>
    <mergeCell ref="D376:F376"/>
    <mergeCell ref="D377:F377"/>
    <mergeCell ref="D378:F378"/>
    <mergeCell ref="D379:F379"/>
    <mergeCell ref="D380:F380"/>
    <mergeCell ref="D350:F350"/>
    <mergeCell ref="D351:F351"/>
    <mergeCell ref="D352:F352"/>
    <mergeCell ref="D353:F353"/>
    <mergeCell ref="D354:F354"/>
    <mergeCell ref="D355:F355"/>
    <mergeCell ref="D356:F356"/>
    <mergeCell ref="D357:F357"/>
    <mergeCell ref="D358:F358"/>
    <mergeCell ref="D359:F359"/>
    <mergeCell ref="D360:F360"/>
    <mergeCell ref="D370:F370"/>
    <mergeCell ref="D371:F371"/>
    <mergeCell ref="G371:I371"/>
    <mergeCell ref="G332:I332"/>
    <mergeCell ref="G333:I333"/>
    <mergeCell ref="G334:I334"/>
    <mergeCell ref="G335:I335"/>
    <mergeCell ref="G336:I336"/>
    <mergeCell ref="G337:I337"/>
    <mergeCell ref="G338:I338"/>
    <mergeCell ref="G339:I339"/>
    <mergeCell ref="G340:I340"/>
    <mergeCell ref="G341:I341"/>
    <mergeCell ref="G342:I342"/>
    <mergeCell ref="G343:I343"/>
    <mergeCell ref="G344:I344"/>
    <mergeCell ref="G345:I345"/>
    <mergeCell ref="G346:I346"/>
    <mergeCell ref="G353:I353"/>
    <mergeCell ref="G354:I354"/>
    <mergeCell ref="G347:I347"/>
    <mergeCell ref="G348:I348"/>
    <mergeCell ref="G349:I349"/>
    <mergeCell ref="G350:I350"/>
    <mergeCell ref="G351:I351"/>
    <mergeCell ref="G352:I352"/>
    <mergeCell ref="D341:F341"/>
    <mergeCell ref="D342:F342"/>
    <mergeCell ref="D343:F343"/>
    <mergeCell ref="D346:F346"/>
    <mergeCell ref="D347:F347"/>
    <mergeCell ref="D336:F336"/>
    <mergeCell ref="G381:I381"/>
    <mergeCell ref="G382:I382"/>
    <mergeCell ref="G383:I383"/>
    <mergeCell ref="G384:I384"/>
    <mergeCell ref="G376:I376"/>
    <mergeCell ref="G377:I377"/>
    <mergeCell ref="G378:I378"/>
    <mergeCell ref="G379:I379"/>
    <mergeCell ref="G380:I380"/>
    <mergeCell ref="G385:I385"/>
    <mergeCell ref="G386:I386"/>
    <mergeCell ref="G387:I387"/>
    <mergeCell ref="G388:I388"/>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2:I372"/>
    <mergeCell ref="G373:I373"/>
    <mergeCell ref="G374:I374"/>
    <mergeCell ref="G375:I375"/>
    <mergeCell ref="D399:F399"/>
    <mergeCell ref="D400:F400"/>
    <mergeCell ref="D401:F401"/>
    <mergeCell ref="D402:F402"/>
    <mergeCell ref="D403:F403"/>
    <mergeCell ref="G442:I442"/>
    <mergeCell ref="D443:F443"/>
    <mergeCell ref="C429:J429"/>
    <mergeCell ref="G398:I398"/>
    <mergeCell ref="G399:I399"/>
    <mergeCell ref="G400:I400"/>
    <mergeCell ref="G401:I401"/>
    <mergeCell ref="G402:I402"/>
    <mergeCell ref="G403:I403"/>
    <mergeCell ref="G404:I404"/>
    <mergeCell ref="G405:I405"/>
    <mergeCell ref="D404:F404"/>
    <mergeCell ref="D405:F405"/>
    <mergeCell ref="D419:F419"/>
    <mergeCell ref="D420:F420"/>
    <mergeCell ref="D442:F442"/>
    <mergeCell ref="C427:J427"/>
    <mergeCell ref="C428:J428"/>
    <mergeCell ref="C430:F430"/>
    <mergeCell ref="G389:I389"/>
    <mergeCell ref="G390:I390"/>
    <mergeCell ref="G391:I391"/>
    <mergeCell ref="G392:I392"/>
    <mergeCell ref="G393:I393"/>
    <mergeCell ref="G394:I394"/>
    <mergeCell ref="G395:I395"/>
    <mergeCell ref="G396:I396"/>
    <mergeCell ref="G397:I397"/>
    <mergeCell ref="D391:F391"/>
    <mergeCell ref="D392:F392"/>
    <mergeCell ref="D393:F393"/>
    <mergeCell ref="D394:F394"/>
    <mergeCell ref="G419:I419"/>
    <mergeCell ref="D406:F406"/>
    <mergeCell ref="D407:F407"/>
    <mergeCell ref="D408:F408"/>
    <mergeCell ref="D409:F409"/>
    <mergeCell ref="D410:F410"/>
    <mergeCell ref="D411:F411"/>
    <mergeCell ref="D412:F412"/>
    <mergeCell ref="D413:F413"/>
    <mergeCell ref="D414:F414"/>
    <mergeCell ref="G406:I406"/>
    <mergeCell ref="G407:I407"/>
    <mergeCell ref="G408:I408"/>
    <mergeCell ref="G409:I409"/>
    <mergeCell ref="G410:I410"/>
    <mergeCell ref="G411:I411"/>
    <mergeCell ref="G412:I412"/>
    <mergeCell ref="G413:I413"/>
    <mergeCell ref="G414:I414"/>
    <mergeCell ref="D398:F398"/>
    <mergeCell ref="G430:J430"/>
    <mergeCell ref="D431:F431"/>
    <mergeCell ref="D432:F432"/>
    <mergeCell ref="D433:F433"/>
    <mergeCell ref="D434:F434"/>
    <mergeCell ref="D436:F436"/>
    <mergeCell ref="G441:I441"/>
    <mergeCell ref="G465:I465"/>
    <mergeCell ref="G466:I466"/>
    <mergeCell ref="G467:I467"/>
    <mergeCell ref="G468:I468"/>
    <mergeCell ref="G469:I469"/>
    <mergeCell ref="D441:F441"/>
    <mergeCell ref="D440:F440"/>
    <mergeCell ref="D439:F439"/>
    <mergeCell ref="D438:F438"/>
    <mergeCell ref="D437:F437"/>
    <mergeCell ref="D444:F444"/>
    <mergeCell ref="G435:I435"/>
    <mergeCell ref="G436:I436"/>
    <mergeCell ref="D435:F435"/>
    <mergeCell ref="G437:I437"/>
    <mergeCell ref="G438:I438"/>
    <mergeCell ref="G439:I439"/>
    <mergeCell ref="G440:I440"/>
    <mergeCell ref="G431:I431"/>
    <mergeCell ref="G445:I445"/>
    <mergeCell ref="G446:I446"/>
    <mergeCell ref="G447:I447"/>
    <mergeCell ref="G448:I448"/>
    <mergeCell ref="G449:I449"/>
    <mergeCell ref="G450:I450"/>
    <mergeCell ref="G478:I478"/>
    <mergeCell ref="D496:F496"/>
    <mergeCell ref="D497:F497"/>
    <mergeCell ref="D498:F498"/>
    <mergeCell ref="D499:F499"/>
    <mergeCell ref="D500:F500"/>
    <mergeCell ref="D527:F527"/>
    <mergeCell ref="D519:F519"/>
    <mergeCell ref="D520:F520"/>
    <mergeCell ref="D521:F521"/>
    <mergeCell ref="D522:F522"/>
    <mergeCell ref="D523:F523"/>
    <mergeCell ref="D524:F524"/>
    <mergeCell ref="D525:F525"/>
    <mergeCell ref="D526:F526"/>
    <mergeCell ref="D518:F518"/>
    <mergeCell ref="D503:F503"/>
    <mergeCell ref="D504:F504"/>
    <mergeCell ref="D505:F505"/>
    <mergeCell ref="D506:F506"/>
    <mergeCell ref="D507:F507"/>
    <mergeCell ref="D508:F508"/>
    <mergeCell ref="D509:F509"/>
    <mergeCell ref="D510:F510"/>
    <mergeCell ref="D517:F517"/>
    <mergeCell ref="D515:F515"/>
    <mergeCell ref="D516:F516"/>
    <mergeCell ref="G479:I479"/>
    <mergeCell ref="G482:I482"/>
    <mergeCell ref="G480:I480"/>
    <mergeCell ref="G481:I481"/>
    <mergeCell ref="G526:I526"/>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D501:F501"/>
    <mergeCell ref="G474:I474"/>
    <mergeCell ref="G470:I470"/>
    <mergeCell ref="G471:I471"/>
    <mergeCell ref="G472:I472"/>
    <mergeCell ref="G473:I473"/>
    <mergeCell ref="G487:I487"/>
    <mergeCell ref="G488:I488"/>
    <mergeCell ref="D472:F472"/>
    <mergeCell ref="G489:I489"/>
    <mergeCell ref="G490:I490"/>
    <mergeCell ref="G484:I484"/>
    <mergeCell ref="G492:I492"/>
    <mergeCell ref="G493:I493"/>
    <mergeCell ref="G486:I486"/>
    <mergeCell ref="G475:I475"/>
    <mergeCell ref="G476:I476"/>
    <mergeCell ref="G477:I477"/>
    <mergeCell ref="G514:I514"/>
    <mergeCell ref="G491:I491"/>
    <mergeCell ref="G527:I527"/>
    <mergeCell ref="G519:I519"/>
    <mergeCell ref="G520:I520"/>
    <mergeCell ref="G521:I521"/>
    <mergeCell ref="G522:I522"/>
    <mergeCell ref="G523:I523"/>
    <mergeCell ref="G524:I524"/>
    <mergeCell ref="G525:I525"/>
    <mergeCell ref="G494:I494"/>
    <mergeCell ref="G495:I495"/>
    <mergeCell ref="G496:I496"/>
    <mergeCell ref="G497:I497"/>
    <mergeCell ref="G498:I498"/>
    <mergeCell ref="G516:I516"/>
    <mergeCell ref="G500:I500"/>
    <mergeCell ref="G501:I501"/>
    <mergeCell ref="G502:I502"/>
    <mergeCell ref="G503:I503"/>
    <mergeCell ref="G504:I504"/>
    <mergeCell ref="G505:I505"/>
    <mergeCell ref="G506:I506"/>
    <mergeCell ref="G515:I515"/>
    <mergeCell ref="G513:I513"/>
    <mergeCell ref="A56:A58"/>
    <mergeCell ref="B56:B58"/>
    <mergeCell ref="G528:I528"/>
    <mergeCell ref="G529:I529"/>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83:I283"/>
    <mergeCell ref="G284:I284"/>
    <mergeCell ref="G499:I499"/>
    <mergeCell ref="G483:I483"/>
    <mergeCell ref="G517:I517"/>
    <mergeCell ref="G518:I518"/>
    <mergeCell ref="G507:I507"/>
    <mergeCell ref="G508:I508"/>
    <mergeCell ref="G509:I509"/>
    <mergeCell ref="G510:I510"/>
    <mergeCell ref="G511:I511"/>
    <mergeCell ref="G512:I512"/>
    <mergeCell ref="M12:M14"/>
    <mergeCell ref="G163:I163"/>
    <mergeCell ref="G164:I164"/>
    <mergeCell ref="G165:I165"/>
    <mergeCell ref="G166:I166"/>
    <mergeCell ref="G167:I167"/>
    <mergeCell ref="G168:I168"/>
    <mergeCell ref="G169:I169"/>
    <mergeCell ref="G170:I170"/>
    <mergeCell ref="G171:I171"/>
    <mergeCell ref="G172:I172"/>
    <mergeCell ref="G173:I173"/>
    <mergeCell ref="M174:M184"/>
    <mergeCell ref="C174:C184"/>
    <mergeCell ref="D163:F163"/>
    <mergeCell ref="D164:F164"/>
    <mergeCell ref="D165:F165"/>
    <mergeCell ref="D166:F166"/>
    <mergeCell ref="D167:F167"/>
    <mergeCell ref="D168:F168"/>
    <mergeCell ref="D169:F169"/>
    <mergeCell ref="D170:F170"/>
    <mergeCell ref="D171:F171"/>
    <mergeCell ref="D172:F172"/>
    <mergeCell ref="D173:F173"/>
    <mergeCell ref="G28:J28"/>
    <mergeCell ref="G160:I160"/>
    <mergeCell ref="G161:I161"/>
    <mergeCell ref="D177:F177"/>
    <mergeCell ref="D178:F178"/>
    <mergeCell ref="D179:F179"/>
    <mergeCell ref="D180:F180"/>
  </mergeCells>
  <phoneticPr fontId="3" type="noConversion"/>
  <conditionalFormatting sqref="C52:K52">
    <cfRule type="expression" dxfId="293" priority="175">
      <formula>$J$19=TRUE</formula>
    </cfRule>
  </conditionalFormatting>
  <conditionalFormatting sqref="C72:K72">
    <cfRule type="expression" dxfId="292" priority="2" stopIfTrue="1">
      <formula>AND($G$68=TRUE,$G$69="")</formula>
    </cfRule>
    <cfRule type="expression" dxfId="291" priority="5" stopIfTrue="1">
      <formula>AND($G$68=TRUE,$G$69=FALSE)</formula>
    </cfRule>
  </conditionalFormatting>
  <conditionalFormatting sqref="D58">
    <cfRule type="expression" dxfId="290" priority="196">
      <formula>AND($D$56=TRUE,$D$57="A transition plan has already been adopted")</formula>
    </cfRule>
  </conditionalFormatting>
  <conditionalFormatting sqref="D302">
    <cfRule type="expression" dxfId="288" priority="167">
      <formula>$D$301=TRUE</formula>
    </cfRule>
  </conditionalFormatting>
  <conditionalFormatting sqref="D304">
    <cfRule type="expression" dxfId="287" priority="10">
      <formula>$D$301=TRUE</formula>
    </cfRule>
  </conditionalFormatting>
  <conditionalFormatting sqref="D30:F44">
    <cfRule type="expression" dxfId="285" priority="45">
      <formula>$G$29=TRUE</formula>
    </cfRule>
  </conditionalFormatting>
  <conditionalFormatting sqref="D45:F47">
    <cfRule type="expression" dxfId="284" priority="43">
      <formula>$G$29=FALSE</formula>
    </cfRule>
  </conditionalFormatting>
  <conditionalFormatting sqref="D191:F191">
    <cfRule type="expression" dxfId="283" priority="39">
      <formula>$D$191="VALUE INCONSISTENCY"</formula>
    </cfRule>
  </conditionalFormatting>
  <conditionalFormatting sqref="D192:F290">
    <cfRule type="expression" dxfId="282" priority="94">
      <formula>$D192="VALUE INCONSISTENCY"</formula>
    </cfRule>
  </conditionalFormatting>
  <conditionalFormatting sqref="D310:G310">
    <cfRule type="expression" dxfId="280" priority="204">
      <formula>$D$309="YES"</formula>
    </cfRule>
  </conditionalFormatting>
  <conditionalFormatting sqref="D432:J432 D433:I438 J433:J531 D439:F441 G439:I529 D442:D531 G530:J530 G531">
    <cfRule type="expression" dxfId="279" priority="22">
      <formula>$G$430=TRUE</formula>
    </cfRule>
  </conditionalFormatting>
  <conditionalFormatting sqref="D57:K57">
    <cfRule type="expression" dxfId="278" priority="17">
      <formula>$D$56=FALSE</formula>
    </cfRule>
  </conditionalFormatting>
  <conditionalFormatting sqref="D59:K62">
    <cfRule type="expression" dxfId="277" priority="19">
      <formula>$D$57="A transition plan has already been adopted"</formula>
    </cfRule>
    <cfRule type="expression" dxfId="276" priority="1">
      <formula>$D$57="A transition plan is not in place and it is not planned to be adopted"</formula>
    </cfRule>
    <cfRule type="expression" dxfId="275" priority="18">
      <formula>$D$57=""</formula>
    </cfRule>
  </conditionalFormatting>
  <conditionalFormatting sqref="D74:K184">
    <cfRule type="expression" dxfId="274" priority="3" stopIfTrue="1">
      <formula>AND($G$68=TRUE,$G$69="")</formula>
    </cfRule>
    <cfRule type="expression" dxfId="273" priority="4" stopIfTrue="1">
      <formula>AND($G$68=TRUE,$G$69=FALSE)</formula>
    </cfRule>
  </conditionalFormatting>
  <conditionalFormatting sqref="E296 E304">
    <cfRule type="expression" dxfId="271" priority="235">
      <formula>$E296=template_label_missing_value</formula>
    </cfRule>
    <cfRule type="expression" dxfId="270" priority="234">
      <formula>$E296=template_label_ok</formula>
    </cfRule>
  </conditionalFormatting>
  <conditionalFormatting sqref="E302">
    <cfRule type="expression" dxfId="269" priority="211">
      <formula>$E$302=template_label_ok</formula>
    </cfRule>
    <cfRule type="expression" dxfId="268" priority="210">
      <formula>$E$302=template_label_missing_value</formula>
    </cfRule>
  </conditionalFormatting>
  <conditionalFormatting sqref="E537:K541">
    <cfRule type="expression" dxfId="267" priority="163">
      <formula>$E$536=TRUE</formula>
    </cfRule>
  </conditionalFormatting>
  <conditionalFormatting sqref="G70">
    <cfRule type="expression" dxfId="266" priority="187">
      <formula>$G$69=TRUE</formula>
    </cfRule>
  </conditionalFormatting>
  <conditionalFormatting sqref="G192:I289 J192:K290 G290">
    <cfRule type="expression" dxfId="265" priority="170">
      <formula>$G$189=TRUE</formula>
    </cfRule>
  </conditionalFormatting>
  <conditionalFormatting sqref="G12:J13">
    <cfRule type="expression" dxfId="264" priority="179">
      <formula>$G$10=TRUE</formula>
    </cfRule>
  </conditionalFormatting>
  <conditionalFormatting sqref="G14:J14">
    <cfRule type="expression" dxfId="263" priority="48">
      <formula>$G$10=FALSE</formula>
    </cfRule>
  </conditionalFormatting>
  <conditionalFormatting sqref="G21:J24">
    <cfRule type="expression" dxfId="262" priority="178">
      <formula>$J$19=TRUE</formula>
    </cfRule>
  </conditionalFormatting>
  <conditionalFormatting sqref="G30:J44">
    <cfRule type="expression" dxfId="261" priority="44">
      <formula>AND($G$29=TRUE,$J$19=TRUE)</formula>
    </cfRule>
  </conditionalFormatting>
  <conditionalFormatting sqref="G45:J47">
    <cfRule type="expression" dxfId="260" priority="42">
      <formula>OR($J$19=FALSE,$G$29=FALSE)</formula>
    </cfRule>
  </conditionalFormatting>
  <conditionalFormatting sqref="G10:K10">
    <cfRule type="expression" dxfId="258" priority="180">
      <formula>$D$99="YES"</formula>
    </cfRule>
  </conditionalFormatting>
  <conditionalFormatting sqref="G69:K69">
    <cfRule type="expression" dxfId="257" priority="173">
      <formula>$G$68=TRUE</formula>
    </cfRule>
  </conditionalFormatting>
  <conditionalFormatting sqref="G191:K191">
    <cfRule type="expression" dxfId="256" priority="169">
      <formula>$G$189=TRUE</formula>
    </cfRule>
  </conditionalFormatting>
  <conditionalFormatting sqref="H309">
    <cfRule type="expression" dxfId="255" priority="206">
      <formula>$H$309=template_label_missing_value</formula>
    </cfRule>
    <cfRule type="expression" dxfId="254" priority="205">
      <formula>$H$309=template_label_ok</formula>
    </cfRule>
  </conditionalFormatting>
  <conditionalFormatting sqref="H310">
    <cfRule type="expression" dxfId="253" priority="15">
      <formula>$H$310=template_label_value_inconsistency</formula>
    </cfRule>
    <cfRule type="expression" dxfId="252" priority="203">
      <formula>$H$310=template_label_ok</formula>
    </cfRule>
    <cfRule type="expression" dxfId="251" priority="202">
      <formula>$H$310=template_label_missing_value</formula>
    </cfRule>
  </conditionalFormatting>
  <conditionalFormatting sqref="K30:K44">
    <cfRule type="expression" dxfId="250" priority="16">
      <formula>AND($G30&lt;&gt;"", $J30&lt;&gt;"")</formula>
    </cfRule>
  </conditionalFormatting>
  <conditionalFormatting sqref="K30:K47">
    <cfRule type="expression" dxfId="249" priority="41">
      <formula>OR($J$19=FALSE,$G$29=FALSE)</formula>
    </cfRule>
  </conditionalFormatting>
  <conditionalFormatting sqref="K293 K533">
    <cfRule type="expression" dxfId="248" priority="236">
      <formula>$K293="MISSING VALUE"</formula>
    </cfRule>
    <cfRule type="expression" dxfId="247" priority="237">
      <formula>$K293="OK"</formula>
    </cfRule>
  </conditionalFormatting>
  <conditionalFormatting sqref="K432:K531">
    <cfRule type="expression" dxfId="246" priority="249">
      <formula>$K432=template_label_missing_value</formula>
    </cfRule>
    <cfRule type="expression" dxfId="245" priority="250">
      <formula>$K432=template_label_ok</formula>
    </cfRule>
  </conditionalFormatting>
  <conditionalFormatting sqref="L5">
    <cfRule type="expression" dxfId="244" priority="209">
      <formula>$L$5=template_label_missing_value</formula>
    </cfRule>
    <cfRule type="expression" dxfId="243" priority="207">
      <formula>$L$5= template_label_ok</formula>
    </cfRule>
  </conditionalFormatting>
  <conditionalFormatting sqref="L12">
    <cfRule type="expression" dxfId="242" priority="38">
      <formula>$L$12=template_label_value_inconsistency</formula>
    </cfRule>
    <cfRule type="expression" dxfId="241" priority="232">
      <formula>$L12=template_label_ok</formula>
    </cfRule>
    <cfRule type="expression" dxfId="240" priority="162">
      <formula>$L$12=template_label_missing_value</formula>
    </cfRule>
  </conditionalFormatting>
  <conditionalFormatting sqref="L21">
    <cfRule type="expression" dxfId="239" priority="214">
      <formula>$L$21=template_label_missing_value</formula>
    </cfRule>
    <cfRule type="expression" dxfId="238" priority="215">
      <formula>$L$21=template_label_ok</formula>
    </cfRule>
  </conditionalFormatting>
  <conditionalFormatting sqref="L22">
    <cfRule type="expression" dxfId="237" priority="225">
      <formula>$L$22="OK"</formula>
    </cfRule>
  </conditionalFormatting>
  <conditionalFormatting sqref="L22:L24">
    <cfRule type="expression" dxfId="236" priority="219">
      <formula>$L22=template_label_missing_value</formula>
    </cfRule>
  </conditionalFormatting>
  <conditionalFormatting sqref="L23:L24">
    <cfRule type="expression" dxfId="235" priority="220">
      <formula>$L23=template_label_ok</formula>
    </cfRule>
  </conditionalFormatting>
  <conditionalFormatting sqref="L30:L44">
    <cfRule type="expression" dxfId="234" priority="46">
      <formula>$L$30=template_label_ok</formula>
    </cfRule>
    <cfRule type="expression" dxfId="233" priority="47">
      <formula>$L$30=template_label_missing_value</formula>
    </cfRule>
  </conditionalFormatting>
  <conditionalFormatting sqref="L45">
    <cfRule type="expression" dxfId="232" priority="397">
      <formula>$L$45="MISSING VALUE"</formula>
    </cfRule>
    <cfRule type="expression" dxfId="231" priority="398">
      <formula>$L$45="OK"</formula>
    </cfRule>
  </conditionalFormatting>
  <conditionalFormatting sqref="L52">
    <cfRule type="expression" dxfId="230" priority="161">
      <formula>$L$52=template_label_missing_value</formula>
    </cfRule>
    <cfRule type="expression" dxfId="229" priority="248">
      <formula>$L$52=template_label_ok</formula>
    </cfRule>
  </conditionalFormatting>
  <conditionalFormatting sqref="L56:L59 L62">
    <cfRule type="expression" dxfId="228" priority="190">
      <formula>$L56=template_label_error</formula>
    </cfRule>
    <cfRule type="expression" dxfId="227" priority="193">
      <formula>$L56=template_label_missing_value</formula>
    </cfRule>
    <cfRule type="expression" dxfId="226" priority="194">
      <formula>$L56=template_label_ok</formula>
    </cfRule>
  </conditionalFormatting>
  <conditionalFormatting sqref="L62">
    <cfRule type="expression" dxfId="225" priority="246">
      <formula>$L$62="OK"</formula>
    </cfRule>
  </conditionalFormatting>
  <conditionalFormatting sqref="L68:L69">
    <cfRule type="expression" dxfId="224" priority="14">
      <formula>$L68=template_label_value_missing_value</formula>
    </cfRule>
    <cfRule type="expression" dxfId="223" priority="184">
      <formula>$L68=template_label_value_inconsistency</formula>
    </cfRule>
  </conditionalFormatting>
  <conditionalFormatting sqref="L68:L70">
    <cfRule type="expression" dxfId="222" priority="185">
      <formula>$L68=template_label_ok</formula>
    </cfRule>
  </conditionalFormatting>
  <conditionalFormatting sqref="L69">
    <cfRule type="expression" dxfId="221" priority="13">
      <formula>$L$69=template_label_missing_value</formula>
    </cfRule>
  </conditionalFormatting>
  <conditionalFormatting sqref="L70">
    <cfRule type="expression" dxfId="220" priority="21">
      <formula>$L$70=template_label_invalid_url</formula>
    </cfRule>
    <cfRule type="expression" dxfId="219" priority="183">
      <formula>$L$70=template_label_missing_value</formula>
    </cfRule>
  </conditionalFormatting>
  <conditionalFormatting sqref="L72">
    <cfRule type="expression" dxfId="218" priority="20">
      <formula>$L$72=template_label_value_inconsistency</formula>
    </cfRule>
    <cfRule type="expression" dxfId="217" priority="191">
      <formula>$L$72=template_label_ok</formula>
    </cfRule>
    <cfRule type="expression" dxfId="216" priority="192">
      <formula>$L$72=template_label_missing_value</formula>
    </cfRule>
  </conditionalFormatting>
  <conditionalFormatting sqref="L74:L184">
    <cfRule type="expression" dxfId="215" priority="36">
      <formula>$L74=template_label_value_inconsistency</formula>
    </cfRule>
    <cfRule type="expression" dxfId="214" priority="188">
      <formula>$L74=template_label_missing_value</formula>
    </cfRule>
    <cfRule type="expression" dxfId="213" priority="189">
      <formula>$L74=template_label_ok</formula>
    </cfRule>
  </conditionalFormatting>
  <conditionalFormatting sqref="L191">
    <cfRule type="expression" dxfId="212" priority="98">
      <formula>$D$191=template_label_value_inconsistency</formula>
    </cfRule>
  </conditionalFormatting>
  <conditionalFormatting sqref="L191:L290">
    <cfRule type="expression" dxfId="211" priority="252">
      <formula>$L191=template_label_missing_value</formula>
    </cfRule>
    <cfRule type="expression" dxfId="210" priority="253">
      <formula>$L191=template_label_ok</formula>
    </cfRule>
    <cfRule type="expression" dxfId="209" priority="201">
      <formula>$L191=template_label_value_inconcistency</formula>
    </cfRule>
  </conditionalFormatting>
  <conditionalFormatting sqref="L192:L290">
    <cfRule type="expression" dxfId="208" priority="97">
      <formula>$D$192=template_label_value_inconsistency</formula>
    </cfRule>
  </conditionalFormatting>
  <conditionalFormatting sqref="L193">
    <cfRule type="expression" dxfId="207" priority="96">
      <formula>$D$193=template_label_value_inconsistency</formula>
    </cfRule>
  </conditionalFormatting>
  <conditionalFormatting sqref="L194">
    <cfRule type="expression" dxfId="206" priority="99">
      <formula>$D$194=template_label_value_inconsistency</formula>
    </cfRule>
  </conditionalFormatting>
  <conditionalFormatting sqref="L195">
    <cfRule type="expression" dxfId="205" priority="95">
      <formula>$D$195=template_label_value_inconsistency</formula>
    </cfRule>
  </conditionalFormatting>
  <conditionalFormatting sqref="L196">
    <cfRule type="expression" dxfId="204" priority="70">
      <formula>$D$196=template_label_value_inconsistency</formula>
    </cfRule>
  </conditionalFormatting>
  <conditionalFormatting sqref="L197:L290">
    <cfRule type="expression" dxfId="203" priority="69">
      <formula>$D$197=template_label_value_inconsistency</formula>
    </cfRule>
  </conditionalFormatting>
  <conditionalFormatting sqref="L198">
    <cfRule type="expression" dxfId="202" priority="68">
      <formula>$D$198=template_label_value_inconsistency</formula>
    </cfRule>
  </conditionalFormatting>
  <conditionalFormatting sqref="L199">
    <cfRule type="expression" dxfId="201" priority="67">
      <formula>$D$199=template_label_value_inconsistency</formula>
    </cfRule>
  </conditionalFormatting>
  <conditionalFormatting sqref="L200">
    <cfRule type="expression" dxfId="200" priority="66">
      <formula>$D$200=template_label_value_inconsistency</formula>
    </cfRule>
  </conditionalFormatting>
  <conditionalFormatting sqref="L201">
    <cfRule type="expression" dxfId="199" priority="65">
      <formula>$D$201=template_label_value_inconsistency</formula>
    </cfRule>
  </conditionalFormatting>
  <conditionalFormatting sqref="L202">
    <cfRule type="expression" dxfId="198" priority="64">
      <formula>$D$202=template_label_value_inconsistency</formula>
    </cfRule>
  </conditionalFormatting>
  <conditionalFormatting sqref="L203">
    <cfRule type="expression" dxfId="197" priority="63">
      <formula>$D$203=template_label_value_inconsistency</formula>
    </cfRule>
  </conditionalFormatting>
  <conditionalFormatting sqref="L204">
    <cfRule type="expression" dxfId="196" priority="62">
      <formula>$D$204=template_label_value_inconsistency</formula>
    </cfRule>
  </conditionalFormatting>
  <conditionalFormatting sqref="L205">
    <cfRule type="expression" dxfId="195" priority="61">
      <formula>$D$205=template_label_value_inconsistency</formula>
    </cfRule>
  </conditionalFormatting>
  <conditionalFormatting sqref="L206">
    <cfRule type="expression" dxfId="194" priority="60">
      <formula>$D$206=template_label_value_inconsistency</formula>
    </cfRule>
  </conditionalFormatting>
  <conditionalFormatting sqref="L207">
    <cfRule type="expression" dxfId="193" priority="59">
      <formula>$D$207=template_label_value_inconsistency</formula>
    </cfRule>
  </conditionalFormatting>
  <conditionalFormatting sqref="L208">
    <cfRule type="expression" dxfId="192" priority="58">
      <formula>$D$208=template_label_value_inconsistency</formula>
    </cfRule>
  </conditionalFormatting>
  <conditionalFormatting sqref="L209">
    <cfRule type="expression" dxfId="191" priority="57">
      <formula>$D$209=template_label_value_inconsistency</formula>
    </cfRule>
  </conditionalFormatting>
  <conditionalFormatting sqref="L210:L211">
    <cfRule type="expression" dxfId="190" priority="55">
      <formula>$D$210=template_label_value_inconsistency</formula>
    </cfRule>
  </conditionalFormatting>
  <conditionalFormatting sqref="L212">
    <cfRule type="expression" dxfId="189" priority="54">
      <formula>$D$212=template_label_value_inconsistency</formula>
    </cfRule>
  </conditionalFormatting>
  <conditionalFormatting sqref="L213">
    <cfRule type="expression" dxfId="188" priority="53">
      <formula>$D$213=template_label_value_inconsistency</formula>
    </cfRule>
  </conditionalFormatting>
  <conditionalFormatting sqref="L214:L288">
    <cfRule type="expression" dxfId="187" priority="52">
      <formula>$D$214=template_label_value_inconsistency</formula>
    </cfRule>
  </conditionalFormatting>
  <conditionalFormatting sqref="L289">
    <cfRule type="expression" dxfId="186" priority="51">
      <formula>$D$289=template_label_value_inconsistency</formula>
    </cfRule>
  </conditionalFormatting>
  <conditionalFormatting sqref="L290">
    <cfRule type="expression" dxfId="185" priority="50">
      <formula>$D$290=template_label_value_inconsistency</formula>
    </cfRule>
  </conditionalFormatting>
  <conditionalFormatting sqref="L537:L541">
    <cfRule type="expression" dxfId="184" priority="159">
      <formula>$L537=template_label_missing_value</formula>
    </cfRule>
    <cfRule type="expression" dxfId="183" priority="243">
      <formula>$L537=template_label_ok</formula>
    </cfRule>
  </conditionalFormatting>
  <conditionalFormatting sqref="M316:M416">
    <cfRule type="expression" dxfId="182" priority="596">
      <formula>$M316=template_label_value_inconsistency</formula>
    </cfRule>
    <cfRule type="expression" dxfId="181" priority="597">
      <formula>$M316=template_label_error</formula>
    </cfRule>
    <cfRule type="expression" dxfId="180" priority="598">
      <formula>$M316=template_label_missing_value</formula>
    </cfRule>
    <cfRule type="expression" dxfId="179" priority="599">
      <formula>$M316=template_label_ok</formula>
    </cfRule>
  </conditionalFormatting>
  <dataValidations count="42">
    <dataValidation type="decimal" operator="equal" allowBlank="1" showInputMessage="1" showErrorMessage="1" sqref="G12:J13 C297:F297 G432:I529 G530:G531 H530:I530 D22:F22 D30:F44 G74:I74 D23:I24 J22:J23 J316:J415 J74:K184 G75:G184" xr:uid="{463E07FE-FE63-40A9-8532-3CA56FEFA5F9}">
      <formula1>C12</formula1>
    </dataValidation>
    <dataValidation type="custom" showInputMessage="1" showErrorMessage="1" sqref="L11" xr:uid="{0A9E2384-2ADF-493B-8CB1-D223BCFEDE81}">
      <formula1>IF(AND(G11="",J11="",K11=""),"-",SUM(G11:K11))</formula1>
    </dataValidation>
    <dataValidation type="custom" showInputMessage="1" showErrorMessage="1" sqref="K22:K26" xr:uid="{FEC32450-A949-4F7B-93CA-DBB81E802742}">
      <formula1>IF(AND(G22="",J22=""),"-",-(1-(J22/G22)))</formula1>
    </dataValidation>
    <dataValidation type="custom" showInputMessage="1" showErrorMessage="1" sqref="K12:K13" xr:uid="{6F90EB18-A3CC-4B2F-9C9E-29BD0D64A903}">
      <formula1>IF(AND(G12="",J12=""),"-",SUM(G12:J12))</formula1>
    </dataValidation>
    <dataValidation type="decimal" operator="equal" showInputMessage="1" showErrorMessage="1" sqref="G30:J44" xr:uid="{A7E3545F-0394-491C-9AB1-80294464A4C5}">
      <formula1>G30</formula1>
    </dataValidation>
    <dataValidation type="list" allowBlank="1" showInputMessage="1" showErrorMessage="1" sqref="D309:G309 E540:K540" xr:uid="{7E7EE714-500C-48BC-ABBE-420AFF2D7A12}">
      <formula1>enum_ListYesNo</formula1>
    </dataValidation>
    <dataValidation type="list" operator="equal" allowBlank="1" showInputMessage="1" showErrorMessage="1" sqref="J21" xr:uid="{8925CD99-FE1A-4417-A302-88211EAE7386}">
      <formula1>enum_ListOfFutureYears</formula1>
    </dataValidation>
    <dataValidation type="list" operator="equal" allowBlank="1" showInputMessage="1" showErrorMessage="1" sqref="G21:I21" xr:uid="{90EFDC8C-65F2-40F6-9000-7BA3248801C8}">
      <formula1>enum_ListOfPastYears</formula1>
    </dataValidation>
    <dataValidation type="decimal" operator="lessThanOrEqual" allowBlank="1" showInputMessage="1" showErrorMessage="1" sqref="D304" xr:uid="{EB16C979-C1E1-4E22-9116-A42CCD69F6DF}">
      <formula1>D303</formula1>
    </dataValidation>
    <dataValidation operator="equal" showInputMessage="1" showErrorMessage="1" sqref="G14:J14" xr:uid="{3F0ABE15-AF79-49D4-A013-2B4EE045EEAA}"/>
    <dataValidation type="decimal" operator="lessThanOrEqual" showInputMessage="1" showErrorMessage="1" sqref="G5:K5" xr:uid="{D78FBD8D-6A65-48A9-8A74-0A51B44480E5}">
      <formula1>G5</formula1>
    </dataValidation>
    <dataValidation type="list" allowBlank="1" showInputMessage="1" showErrorMessage="1" sqref="C72:K72 G416:I416" xr:uid="{42171956-F93E-4580-915B-C369204337E6}">
      <formula1>enum_ListUnitMeasurement_mass_only</formula1>
    </dataValidation>
    <dataValidation type="list" allowBlank="1" showInputMessage="1" showErrorMessage="1" sqref="G316:I415 J432:J531" xr:uid="{215D9514-9E5F-4946-8E49-301B8951F7E5}">
      <formula1>enum_ListUnitMeasurement</formula1>
    </dataValidation>
    <dataValidation type="custom" showInputMessage="1" showErrorMessage="1" sqref="G10:K10 G29 J19 D301 D56:K56 G189:K189 G430:J430 E536:K536" xr:uid="{6C1E46CA-737C-4BDE-BCA1-876FF4606F13}">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C7C19589-C730-4997-956E-4331CBDE61D9}"/>
    <dataValidation type="list" allowBlank="1" showInputMessage="1" showErrorMessage="1" sqref="D57:K57" xr:uid="{2BEC8D47-33C5-40A4-A6E4-4C17BF369AF5}">
      <formula1>enum_ImplementationStatus</formula1>
    </dataValidation>
    <dataValidation allowBlank="1" showInputMessage="1" showErrorMessage="1" promptTitle="Formula" prompt="Water consumption = Water withdrawal - Water discharge from undertaking production processes" sqref="C303" xr:uid="{BCCC8CF8-41DA-4BAE-BCE3-466626AA87AC}"/>
    <dataValidation type="custom" showInputMessage="1" showErrorMessage="1" sqref="D25:J25" xr:uid="{F1F694FD-1244-431B-B837-48DD5F99D333}">
      <formula1>IF(AND(D22="",D23=""),"-",SUM(D22,D23))</formula1>
    </dataValidation>
    <dataValidation type="custom" showInputMessage="1" showErrorMessage="1" sqref="D26:J26" xr:uid="{F09FDCD8-D3AD-4E63-B580-E4C7E2BDF8F0}">
      <formula1>IF(OR(D22="",D24=""),"-",SUM(D22,D24))</formula1>
    </dataValidation>
    <dataValidation type="list" allowBlank="1" showInputMessage="1" showErrorMessage="1" sqref="C191:C290" xr:uid="{245E8380-0D3F-4DD6-949C-C6587655AC80}">
      <formula1>IdentifierOfSiteTypedAxis</formula1>
    </dataValidation>
    <dataValidation type="custom" allowBlank="1" showInputMessage="1" showErrorMessage="1" sqref="K30:K47" xr:uid="{81A08033-2D72-4D9C-8C45-74E34CC8B836}">
      <formula1>IF(AND(G30="-",J30="-"),"-",-(1-(J30/G30)))</formula1>
    </dataValidation>
    <dataValidation type="custom" showInputMessage="1" showErrorMessage="1" sqref="D46:F46" xr:uid="{96E8A35B-8752-401F-A1D2-4821D1E78411}">
      <formula1>IF(G29=FALSE, "-", IF(AND(D22="", D23="", D45=""), "-", IF(SUM(D22, D23, D45)=0, "-", SUM(D22, D23, D45))))</formula1>
    </dataValidation>
    <dataValidation type="custom" showInputMessage="1" showErrorMessage="1" sqref="D47:F47" xr:uid="{7D3815E8-21E3-4C73-AFB1-264C4A64A7F7}">
      <formula1>IF(G29=FALSE,"-",IF(OR(D22="",D24="",D45=""),"-",SUM(D22,D24,D45)))</formula1>
    </dataValidation>
    <dataValidation type="custom" showInputMessage="1" showErrorMessage="1" sqref="G46:I46" xr:uid="{9CFBA775-77E3-4E74-A976-55BA611B1B84}">
      <formula1>IF(G29=FALSE, "-", IF(AND(G22="", G23="", G45=""), "-", IF(SUM(G22, G23, G45)=0, "-", SUM(G22, G23, G45))))</formula1>
    </dataValidation>
    <dataValidation type="custom" showInputMessage="1" showErrorMessage="1" sqref="J46" xr:uid="{D376DB63-BC6C-46DB-86DD-5D631B8CBF32}">
      <formula1>IF(G29=FALSE, "-", IF(AND(J22="", J23="", J45=""), "-", IF(SUM(J22, J23, J45)=0, "-", SUM(J22, J23, J45))))</formula1>
    </dataValidation>
    <dataValidation type="custom" showInputMessage="1" showErrorMessage="1" sqref="J191:J290" xr:uid="{8E8F39AE-1C62-42F0-993C-F181738E774B}">
      <formula1>IF(K191=TRUE,FALSE,TRUE)</formula1>
    </dataValidation>
    <dataValidation type="custom" showInputMessage="1" showErrorMessage="1" sqref="K191:K290" xr:uid="{B46FBB48-8342-477D-A223-B8A45C6316E2}">
      <formula1>IF(J191=TRUE,FALSE,TRUE)</formula1>
    </dataValidation>
    <dataValidation type="custom" allowBlank="1" showInputMessage="1" showErrorMessage="1" sqref="G68:K68" xr:uid="{3556C679-4E34-4F07-AB8B-912735BAED59}">
      <formula1>OR(G68=TRUE,G68=FALSE)</formula1>
    </dataValidation>
    <dataValidation type="list" allowBlank="1" showInputMessage="1" showErrorMessage="1" sqref="E74:F162 D74:D173" xr:uid="{E5E51117-39D0-4EDC-AA31-ABF21638CD5B}">
      <formula1>enum_ListPollutants</formula1>
    </dataValidation>
    <dataValidation type="decimal" operator="lessThanOrEqual" allowBlank="1" showInputMessage="1" showErrorMessage="1" sqref="D302" xr:uid="{1D4A7AF8-C75E-4FE4-A5EE-2439D1BDEF66}">
      <formula1>D296</formula1>
    </dataValidation>
    <dataValidation type="list" allowBlank="1" showInputMessage="1" showErrorMessage="1" sqref="I59:K59" xr:uid="{C5092882-C408-472D-A73D-87E5ED23AC69}">
      <formula1>enum_ListOfFutureYears</formula1>
    </dataValidation>
    <dataValidation type="list" allowBlank="1" showInputMessage="1" showErrorMessage="1" sqref="I60:K60" xr:uid="{A896B2BD-07FC-4D41-BD98-C1F4B697C555}">
      <formula1>enum_ListMonth</formula1>
    </dataValidation>
    <dataValidation type="list" allowBlank="1" showInputMessage="1" showErrorMessage="1" sqref="I61:K61" xr:uid="{84B08A87-DC56-4E42-A7E8-64265C253798}">
      <formula1>enum_ListDays</formula1>
    </dataValidation>
    <dataValidation type="decimal" operator="greaterThanOrEqual" allowBlank="1" showInputMessage="1" showErrorMessage="1" sqref="G22:I22" xr:uid="{05F6C8F0-893A-4833-802A-833DCF6D1127}">
      <formula1>J22</formula1>
    </dataValidation>
    <dataValidation type="decimal" operator="equal" showInputMessage="1" showErrorMessage="1" promptTitle="Warning (if applicable)" sqref="J24" xr:uid="{507B51E4-4539-44AD-BF06-07A7E53FC4A0}">
      <formula1>J24</formula1>
    </dataValidation>
    <dataValidation allowBlank="1" showInputMessage="1" showErrorMessage="1" promptTitle="Additional rows" sqref="D434:F434" xr:uid="{E9539440-6911-40ED-8F0C-41E8F4D3759C}"/>
    <dataValidation type="list" allowBlank="1" showInputMessage="1" showErrorMessage="1" sqref="D316:F415" xr:uid="{757BA514-53FC-4816-B747-8C950377BFBB}">
      <formula1>enum_ListTypeOfWastes</formula1>
    </dataValidation>
    <dataValidation type="list" showInputMessage="1" showErrorMessage="1" sqref="G69:K69" xr:uid="{AB06CF70-F947-4E5D-83DA-09C9FD4CAC83}">
      <formula1>enum_list_true_false</formula1>
    </dataValidation>
    <dataValidation type="decimal" operator="greaterThanOrEqual" allowBlank="1" showInputMessage="1" showErrorMessage="1" sqref="D296" xr:uid="{4D9BE51B-3200-485C-8045-1E5BD7672650}">
      <formula1>D304</formula1>
    </dataValidation>
    <dataValidation type="custom" showInputMessage="1" showErrorMessage="1" sqref="D303:F303" xr:uid="{5D940E9F-069F-4F47-A0D9-1570EB022F1C}">
      <formula1>IF(D302&lt;&gt;"",$D$296-$D$302,"-")</formula1>
    </dataValidation>
    <dataValidation type="custom" operator="lessThanOrEqual" allowBlank="1" showInputMessage="1" showErrorMessage="1" sqref="L316:L415" xr:uid="{E476764B-5DE6-4CD6-9298-88A165BF05DF}">
      <formula1>K316+L316&lt;=100%</formula1>
    </dataValidation>
    <dataValidation type="custom" operator="lessThanOrEqual" allowBlank="1" showInputMessage="1" showErrorMessage="1" sqref="K316:K415" xr:uid="{B2574AB1-0C12-4DC1-A845-8375112A55D7}">
      <formula1>K316+L316&lt;=100%</formula1>
    </dataValidation>
  </dataValidations>
  <hyperlinks>
    <hyperlink ref="C14:F14" location="template_FUEL_CONVERTER" display="Fuels (see Fuel Converter on Fuels worksheet)" xr:uid="{A029E2CF-74B8-43AA-80AE-64A2E02A3995}"/>
    <hyperlink ref="C3:K3" r:id="rId1" display="https://knowledgehub.efrag.org/eng/interactive/voluntary-standard/standard-for-voluntary-use/voluntary-standard-official-journal-publication/32" xr:uid="{0C164CFA-71E1-4DB2-9DBA-A0D13798AA0B}"/>
    <hyperlink ref="C17:F17" r:id="rId2" display="https://knowledgehub.efrag.org/eng/interactive/voluntary-standard/standard-for-voluntary-use/voluntary-standard-official-journal-publication/33" xr:uid="{BA4D96A1-7DB2-4A4C-A936-600D48BCB68D}"/>
    <hyperlink ref="G17:I17" r:id="rId3" display="53(b)" xr:uid="{E0D46830-D4B8-4B45-AE8A-B9FD8AB49CB0}"/>
    <hyperlink ref="J17" r:id="rId4" xr:uid="{FDB626AB-21B0-457E-A48E-92C5D02C2359}"/>
    <hyperlink ref="K17" r:id="rId5" xr:uid="{32335B75-108C-425D-B01F-DBA8A5C991D2}"/>
    <hyperlink ref="C27:F27" r:id="rId6" display="49-52" xr:uid="{23B45874-5C55-4974-AEA4-5728DF471027}"/>
    <hyperlink ref="G27:J27" r:id="rId7" display="53(d) " xr:uid="{FEEB300F-B2B5-4E1E-AD70-86CC9BE9215E}"/>
    <hyperlink ref="C50:K50" r:id="rId8" display="53(e) " xr:uid="{CCBF0462-1DD0-4C62-B58C-FBF5599770A9}"/>
    <hyperlink ref="A56" r:id="rId9" display="https://knowledgehub.efrag.org/eng/interactive/voluntary-standard/standard-for-voluntary-use/da/54" xr:uid="{E4F95DAF-B78F-4521-B1A6-2E2DDFE5C1D6}"/>
    <hyperlink ref="A59:A62" r:id="rId10" display="https://knowledgehub.efrag.org/eng/interactive/voluntary-standard/standard-for-voluntary-use/voluntary-standard-official-journal-publication/55" xr:uid="{35B279A4-C468-4B59-A4B2-33430A35D184}"/>
    <hyperlink ref="C66:K66" r:id="rId11" display="https://knowledgehub.efrag.org/eng/interactive/voluntary-standard/standard-for-voluntary-use/voluntary-standard-official-journal-publication/34" xr:uid="{EAC5F272-9A84-4C1A-8DB4-4F014FFBB506}"/>
    <hyperlink ref="C187:K187" r:id="rId12" display="https://knowledgehub.efrag.org/eng/interactive/voluntary-standard/standard-for-voluntary-use/voluntary-standard-official-journal-publication/35" xr:uid="{D931A0A0-C6AB-4FDA-A67D-A75BBE1024CD}"/>
    <hyperlink ref="C294:D294" r:id="rId13" display="https://knowledgehub.efrag.org/eng/interactive/voluntary-standard/standard-for-voluntary-use/voluntary-standard-official-journal-publication/36" xr:uid="{33F0AB59-940C-427C-B0AE-67C219E389AB}"/>
    <hyperlink ref="C299:D299" r:id="rId14" display="https://knowledgehub.efrag.org/eng/interactive/voluntary-standard/standard-for-voluntary-use/voluntary-standard-official-journal-publication/37" xr:uid="{FBB60CFB-5AB2-4F8A-9B8D-3A84E1523635}"/>
    <hyperlink ref="C307:G307" r:id="rId15" display="https://knowledgehub.efrag.org/eng/interactive/voluntary-standard/standard-for-voluntary-use/voluntary-standard-official-journal-publication/38" xr:uid="{8BC5D105-CDEF-4750-9613-AD2A5A6F7175}"/>
    <hyperlink ref="C313:L313" r:id="rId16" display="39(a)-39(b)" xr:uid="{D79E5006-95C8-4909-8E37-6A2D4396B593}"/>
    <hyperlink ref="C428:J428" r:id="rId17" display="39(c)" xr:uid="{D8316060-B1B4-494D-BFBD-2861E9B461E7}"/>
    <hyperlink ref="A537" r:id="rId18" xr:uid="{C18B7DDE-01EF-4304-AE6E-D03FC641002E}"/>
    <hyperlink ref="A538" r:id="rId19" xr:uid="{36491B5E-38EA-4E22-90DC-7A33AEF7C990}"/>
    <hyperlink ref="A539" r:id="rId20" xr:uid="{F6595B04-21F6-4375-9859-016C59F42EC1}"/>
    <hyperlink ref="A540" r:id="rId21" xr:uid="{B8EE32F5-085E-49E8-B572-05C2A5A46F75}"/>
    <hyperlink ref="A541" r:id="rId22" display="https://knowledgehub.efrag.org/eng/interactive/voluntary-standard/standard-for-voluntary-use/voluntary-standard-official-journal-publication/57" xr:uid="{BCC41383-A442-4D3D-AF7E-3D42FCF59127}"/>
    <hyperlink ref="C544:L544" r:id="rId23" display="https://knowledgehub.efrag.org/eng/interactive/voluntary-standard/standard-for-voluntary-use/voluntary-standard-official-journal-publication/12" xr:uid="{0DE82273-B070-499E-823E-F20E57398F44}"/>
    <hyperlink ref="A55:B55" r:id="rId24" display="https://www.efrag.org/en/vsme-supporting-guide-on-disclosure-c3-comprehensive-module-ghg-reduction-targets-and-climate" xr:uid="{13A6EA08-094C-47D0-8292-17FE4E81C54D}"/>
    <hyperlink ref="B56" r:id="rId25" xr:uid="{3DC67F6F-A06C-4BF6-9410-B84DA41513FD}"/>
    <hyperlink ref="B59:B62" r:id="rId26" display="159-161" xr:uid="{BA1F42D4-0148-4C66-93F8-5B01A72738F3}"/>
    <hyperlink ref="B537" r:id="rId27" xr:uid="{0A1E09CD-D693-4FD6-867B-AD69CE40D831}"/>
    <hyperlink ref="B538:B541" r:id="rId28" display="164-165" xr:uid="{9FD26D92-D974-4453-BC19-63DF92C04F08}"/>
    <hyperlink ref="C4:K4" r:id="rId29" display="17-27" xr:uid="{79690072-0828-4924-96B8-9CF533DD34A6}"/>
    <hyperlink ref="C9:K9" r:id="rId30" display="17-27" xr:uid="{5C311884-FB11-4503-B3B0-F19772E1FD81}"/>
    <hyperlink ref="D18:F18" r:id="rId31" display="28-46" xr:uid="{5318F504-45C6-451E-BB79-4AAA447AFFD3}"/>
    <hyperlink ref="G18:I18" r:id="rId32" display="https://knowledgehub.efrag.org/eng/interactive/voluntary-standard-non-mandatory-efrag-guidance/voluntary-standard-non-mandatory-efrag-guidance/2026-efrag-guidance/154" xr:uid="{C9373415-407F-48B7-A089-21A918F90ABB}"/>
    <hyperlink ref="J18" r:id="rId33" display="https://knowledgehub.efrag.org/eng/interactive/voluntary-standard-non-mandatory-efrag-guidance/voluntary-standard-non-mandatory-efrag-guidance/2026-efrag-guidance/155" xr:uid="{88E42064-D81C-4227-8F16-BB28AA141F9F}"/>
    <hyperlink ref="K18" r:id="rId34" display="https://knowledgehub.efrag.org/eng/interactive/voluntary-standard-non-mandatory-efrag-guidance/voluntary-standard-non-mandatory-efrag-guidance/2026-efrag-guidance/149" xr:uid="{60F0E9B8-13B6-414B-B397-2AFC70F0E430}"/>
    <hyperlink ref="C51:K51" r:id="rId35" display="157-158" xr:uid="{DC7EE44A-DA4F-4B97-BAE1-6DFE311687D7}"/>
    <hyperlink ref="C67:K67" r:id="rId36" display="https://knowledgehub.efrag.org/eng/interactive/voluntary-standard-non-mandatory-efrag-guidance/voluntary-standard-non-mandatory-efrag-guidance/2026-efrag-guidance/47" xr:uid="{133F95A4-1F20-4737-8B74-C3FC6BBBDCD3}"/>
    <hyperlink ref="C188:K188" r:id="rId37" display="70-73" xr:uid="{9CCE83A9-C8B5-4A74-A673-D0FE92FBC85C}"/>
    <hyperlink ref="C295:D295" r:id="rId38" display="74-81" xr:uid="{0740BBE8-D583-4726-8D84-76365D3010F5}"/>
    <hyperlink ref="C300:D300" r:id="rId39" display="82-91" xr:uid="{8CD52F99-3BB1-4749-B280-2301B37D3A04}"/>
    <hyperlink ref="C308:G308" r:id="rId40" display="https://knowledgehub.efrag.org/eng/interactive/voluntary-standard-non-mandatory-efrag-guidance/voluntary-standard-non-mandatory-efrag-guidance/2026-efrag-guidance/92" xr:uid="{66178EA2-1534-4642-BAD8-BC98486E845B}"/>
    <hyperlink ref="C314:L314" r:id="rId41" display="93-104" xr:uid="{9DFF36CA-E210-4483-A152-E7A6CD15E4FC}"/>
    <hyperlink ref="C429:J429" r:id="rId42" display="105-106" xr:uid="{E92ABDE3-95DE-4583-9D41-1C02B881A4CC}"/>
    <hyperlink ref="C174:C184" r:id="rId43" display="Pollutants other than those listed in the Regulation (EU) 2024/1244 of the European Parliament and of the Council" xr:uid="{87A4E2EC-DF63-42A8-A7D4-588CD2DB37B4}"/>
    <hyperlink ref="C8:K8" r:id="rId44" display="https://knowledgehub.efrag.org/eng/interactive/voluntary-standard/standard-for-voluntary-use/voluntary-standard-official-journal-publication/32" xr:uid="{DBD5AA7F-1568-4207-ADED-CCAD52270051}"/>
    <hyperlink ref="D28:F28" r:id="rId45" display="https://knowledgehub.efrag.org/eng/interactive/voluntary-standard-non-mandatory-efrag-guidance/voluntary-standard-non-mandatory-efrag-guidance/2026-efrag-guidance/147" xr:uid="{E5D0D3B6-C443-47F0-88C9-BFC40D1ED364}"/>
    <hyperlink ref="A56:A58" r:id="rId46" display="https://knowledgehub.efrag.org/eng/interactive/voluntary-standard/standard-for-voluntary-use/voluntary-standard-official-journal-publication/54" xr:uid="{5BA71627-87E1-4683-8CA2-8B92538079B5}"/>
  </hyperlinks>
  <pageMargins left="0.7" right="0.7" top="0.75" bottom="0.75" header="0.3" footer="0.3"/>
  <pageSetup orientation="portrait" r:id="rId47"/>
  <drawing r:id="rId48"/>
  <extLst>
    <ext xmlns:x14="http://schemas.microsoft.com/office/spreadsheetml/2009/9/main" uri="{78C0D931-6437-407d-A8EE-F0AAD7539E65}">
      <x14:conditionalFormattings>
        <x14:conditionalFormatting xmlns:xm="http://schemas.microsoft.com/office/excel/2006/main">
          <x14:cfRule type="expression" priority="11" id="{70304D73-2FA1-4A93-9FBD-BB14C0C80CB7}">
            <xm:f>AND('General Information'!$E$280&lt;=10, 'General Information'!$E$280&lt;&gt;"")</xm:f>
            <x14:dxf>
              <fill>
                <patternFill>
                  <bgColor theme="0" tint="-0.14996795556505021"/>
                </patternFill>
              </fill>
            </x14:dxf>
          </x14:cfRule>
          <xm:sqref>D296</xm:sqref>
        </x14:conditionalFormatting>
        <x14:conditionalFormatting xmlns:xm="http://schemas.microsoft.com/office/excel/2006/main">
          <x14:cfRule type="expression" priority="7" id="{0A9B7D30-C2CE-473B-B3F1-4B393C8BB920}">
            <xm:f>AND('General Information'!$E$280&lt;=10, 'General Information'!$E$280&lt;&gt;"")</xm:f>
            <x14:dxf>
              <fill>
                <patternFill>
                  <bgColor theme="0" tint="-0.14996795556505021"/>
                </patternFill>
              </fill>
            </x14:dxf>
          </x14:cfRule>
          <xm:sqref>D22:F24</xm:sqref>
        </x14:conditionalFormatting>
        <x14:conditionalFormatting xmlns:xm="http://schemas.microsoft.com/office/excel/2006/main">
          <x14:cfRule type="expression" priority="9" id="{01AF4C6C-F824-4525-9F51-D189B9C9CF8E}">
            <xm:f>AND('General Information'!$E$280&lt;=10, 'General Information'!$E$280&lt;&gt;"")</xm:f>
            <x14:dxf>
              <fill>
                <patternFill>
                  <bgColor theme="0" tint="-0.14996795556505021"/>
                </patternFill>
              </fill>
            </x14:dxf>
          </x14:cfRule>
          <xm:sqref>D309:G309</xm:sqref>
        </x14:conditionalFormatting>
        <x14:conditionalFormatting xmlns:xm="http://schemas.microsoft.com/office/excel/2006/main">
          <x14:cfRule type="expression" priority="6" id="{747F8489-7E4D-426E-824D-891B284960B7}">
            <xm:f>AND('General Information'!$E$280&lt;=10, 'General Information'!$E$280&lt;&gt;"")</xm:f>
            <x14:dxf>
              <fill>
                <patternFill>
                  <bgColor theme="0" tint="-0.14996795556505021"/>
                </patternFill>
              </fill>
            </x14:dxf>
          </x14:cfRule>
          <xm:sqref>D316:L415</xm:sqref>
        </x14:conditionalFormatting>
        <x14:conditionalFormatting xmlns:xm="http://schemas.microsoft.com/office/excel/2006/main">
          <x14:cfRule type="expression" priority="12" id="{CE44CD98-4B55-432C-B979-DB66E8BFF3D0}">
            <xm:f>AND('General Information'!$E$280&lt;=10, 'General Information'!$E$280&lt;&gt;"")</xm:f>
            <x14:dxf>
              <fill>
                <patternFill>
                  <bgColor theme="0" tint="-0.14996795556505021"/>
                </patternFill>
              </fill>
            </x14:dxf>
          </x14:cfRule>
          <xm:sqref>G5:K5 G416:I416 J416:L422 J424:L424</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sheetPr codeName="Sheet7"/>
  <dimension ref="A1:V197"/>
  <sheetViews>
    <sheetView topLeftCell="A173" zoomScale="89" zoomScaleNormal="40" workbookViewId="0">
      <selection activeCell="D216" sqref="D216"/>
    </sheetView>
  </sheetViews>
  <sheetFormatPr defaultColWidth="8.84375" defaultRowHeight="14.6" outlineLevelRow="1"/>
  <cols>
    <col min="1" max="2" width="10" style="10" bestFit="1" customWidth="1"/>
    <col min="3" max="3" width="73.84375" style="10" customWidth="1"/>
    <col min="4" max="4" width="38.07421875" style="10" customWidth="1"/>
    <col min="5" max="5" width="37.53515625" style="10" customWidth="1"/>
    <col min="6" max="7" width="8.84375" style="10"/>
    <col min="8" max="8" width="25.53515625" style="10" customWidth="1"/>
    <col min="9" max="9" width="21.4609375" style="10" bestFit="1" customWidth="1"/>
    <col min="10" max="16384" width="8.84375" style="10"/>
  </cols>
  <sheetData>
    <row r="1" spans="1:8" ht="44.15" thickBot="1">
      <c r="A1" s="191" t="str">
        <f>template_label_paragraph_reference</f>
        <v>Paragraph Reference</v>
      </c>
      <c r="B1" s="191" t="str">
        <f>template_label_paragraph_guidance_reference</f>
        <v>Paragraph Guidance Reference</v>
      </c>
    </row>
    <row r="2" spans="1:8" ht="15" thickBot="1">
      <c r="C2" s="1087" t="str">
        <f>template_label_employee_counting_methodology_for_the_disclosures_below_headcount_full_time_equivalent</f>
        <v xml:space="preserve">Employee counting methodology (Headcount or Full time Equivalent  linked from B1) for the disclosures below except specified otherwise </v>
      </c>
      <c r="D2" s="1088"/>
      <c r="E2" s="1089"/>
      <c r="F2" s="1099" t="str">
        <f>IF('General Information'!$E$282="","-",'General Information'!$E$282)</f>
        <v>-</v>
      </c>
      <c r="G2" s="1099"/>
      <c r="H2" s="1100"/>
    </row>
    <row r="3" spans="1:8" ht="15" thickBot="1">
      <c r="C3" s="1101" t="str">
        <f>template_label_employee_counting_methodology_for_the_disclosures_below_period</f>
        <v>Employee counting methodology (At the end of the reporting period or as an average across the reporting period linked from B1) for the disclosures below except specified otherwise</v>
      </c>
      <c r="D3" s="1101"/>
      <c r="E3" s="1101"/>
      <c r="F3" s="1090" t="str">
        <f>IF('General Information'!$E$281="","-",'General Information'!$E$281)</f>
        <v>-</v>
      </c>
      <c r="G3" s="1091"/>
      <c r="H3" s="1092"/>
    </row>
    <row r="4" spans="1:8" ht="15" hidden="1" thickBot="1">
      <c r="C4" s="1087" t="str">
        <f>template_label_basis_for_preparation</f>
        <v>Basis for preparation (Basic Module Only or Basic &amp; Comprehensive Module)</v>
      </c>
      <c r="D4" s="1088"/>
      <c r="E4" s="1089"/>
      <c r="F4" s="1090">
        <f>BasisForPreparation</f>
        <v>0</v>
      </c>
      <c r="G4" s="1091"/>
      <c r="H4" s="1092"/>
    </row>
    <row r="5" spans="1:8" ht="15" thickBot="1"/>
    <row r="6" spans="1:8" ht="15" thickBot="1">
      <c r="C6" s="716" t="str">
        <f>template_label_b8_workforce_general_characteristics_type_of_contract&amp;" "</f>
        <v xml:space="preserve">B8 - Workforce - General characteristics - Type of contract </v>
      </c>
      <c r="D6" s="883"/>
      <c r="E6" s="883"/>
      <c r="F6" s="883"/>
      <c r="G6" s="884"/>
      <c r="H6"/>
    </row>
    <row r="7" spans="1:8">
      <c r="C7" s="687" t="s">
        <v>59</v>
      </c>
      <c r="D7" s="677"/>
      <c r="E7" s="677"/>
      <c r="F7" s="677"/>
      <c r="G7" s="682"/>
    </row>
    <row r="8" spans="1:8">
      <c r="C8" s="726">
        <v>107</v>
      </c>
      <c r="D8" s="702"/>
      <c r="E8" s="702"/>
      <c r="F8" s="702"/>
      <c r="G8" s="820"/>
    </row>
    <row r="9" spans="1:8">
      <c r="C9" s="366" t="str">
        <f>template_label_type_of_contract</f>
        <v>Type of contract</v>
      </c>
      <c r="D9" s="1102" t="str">
        <f>template_label_number_of_employees</f>
        <v>Number of employees</v>
      </c>
      <c r="E9" s="1102"/>
      <c r="F9" s="1102"/>
      <c r="G9" s="1103"/>
      <c r="H9" s="115"/>
    </row>
    <row r="10" spans="1:8">
      <c r="C10" s="116" t="str">
        <f>template_label_permanent_contract</f>
        <v>Permanent contract</v>
      </c>
      <c r="D10" s="1104"/>
      <c r="E10" s="1104"/>
      <c r="F10" s="1104"/>
      <c r="G10" s="1105"/>
      <c r="H10" s="15" t="str">
        <f>IF(OR(
'Table of Contents &amp; Validation'!D36=TRUE,'Table of Contents &amp; Validation'!D35=TRUE),
IF(
    AND(
        OR(
            'General Information'!E125="Option A (Basic Module only)",
            'General Information'!E125="Option B (Basic Module and Comprehensive Module)"
        ),
        D10=""
    ),
    "",
    IF('General Information'!E125="",
        "",
        template_label_ok
    )
),
IF(
    AND(
        OR(
            'General Information'!E125="Option A (Basic Module only)",
            'General Information'!E125="Option B (Basic Module and Comprehensive Module)"
        ),
        D10=""
    ),
    template_label_missing_value,
    IF('General Information'!E125="",
        "",
        template_label_ok
    )
)
)</f>
        <v/>
      </c>
    </row>
    <row r="11" spans="1:8">
      <c r="C11" s="116" t="str">
        <f>template_label_temporary_contract</f>
        <v>Temporary contract</v>
      </c>
      <c r="D11" s="1107" t="str">
        <f>IFERROR(IF(D10="", "-", $D$12 - $D$10), "-")</f>
        <v>-</v>
      </c>
      <c r="E11" s="1107"/>
      <c r="F11" s="1107"/>
      <c r="G11" s="1108"/>
      <c r="H11" s="15"/>
    </row>
    <row r="12" spans="1:8" ht="15" thickBot="1">
      <c r="C12" s="367" t="str">
        <f>template_label_total_employees</f>
        <v>Total employees (linked to B1)</v>
      </c>
      <c r="D12" s="1109" t="str">
        <f>IF('General Information'!$E$280="", "-", VALUE(SUBSTITUTE('General Information'!$E$280, "-", "0")))</f>
        <v>-</v>
      </c>
      <c r="E12" s="1109"/>
      <c r="F12" s="1109"/>
      <c r="G12" s="1110"/>
      <c r="H12" s="17"/>
    </row>
    <row r="13" spans="1:8" ht="15" thickBot="1"/>
    <row r="14" spans="1:8" ht="15" thickBot="1">
      <c r="C14" s="716" t="str">
        <f>template_label_b8_workforce_general_characteristics_gender&amp;" "</f>
        <v xml:space="preserve">B8 - Workforce - General characteristics - Gender </v>
      </c>
      <c r="D14" s="883"/>
      <c r="E14" s="883"/>
      <c r="F14" s="883"/>
      <c r="G14" s="884"/>
      <c r="H14"/>
    </row>
    <row r="15" spans="1:8">
      <c r="C15" s="687" t="s">
        <v>60</v>
      </c>
      <c r="D15" s="677"/>
      <c r="E15" s="677"/>
      <c r="F15" s="677"/>
      <c r="G15" s="682"/>
    </row>
    <row r="16" spans="1:8">
      <c r="C16" s="726">
        <v>108</v>
      </c>
      <c r="D16" s="702"/>
      <c r="E16" s="702"/>
      <c r="F16" s="702"/>
      <c r="G16" s="820"/>
    </row>
    <row r="17" spans="3:22">
      <c r="C17" s="366" t="str">
        <f>template_label_gender</f>
        <v>Gender</v>
      </c>
      <c r="D17" s="1102" t="str">
        <f>template_label_number_of_employees</f>
        <v>Number of employees</v>
      </c>
      <c r="E17" s="1102"/>
      <c r="F17" s="1102"/>
      <c r="G17" s="1103"/>
    </row>
    <row r="18" spans="3:22">
      <c r="C18" s="116" t="str">
        <f>template_label_male</f>
        <v>Male</v>
      </c>
      <c r="D18" s="1104"/>
      <c r="E18" s="1104"/>
      <c r="F18" s="1104"/>
      <c r="G18" s="1105"/>
      <c r="H18" s="1106" t="str">
        <f>IF(OR(
'Table of Contents &amp; Validation'!D37=TRUE,'Table of Contents &amp; Validation'!D35=TRUE),
IF(
'General Information'!E280="",
IF(
OR(
'General Information'!E125="Option A (Basic Module only)",
'General Information'!E125="Option B (Basic Module and Comprehensive Module)"
),
IF(
NumberOfMaleEmployees
+NumberOfFemaleEmployees
+NumberOfOtherGenderEmployees
+NumberOfNonReportedGenderEmployees
=D22,
template_label_ok,
""
),
""
),
IF(
OR(
'General Information'!E125="Option A (Basic Module only)",
'General Information'!E125="Option B (Basic Module and Comprehensive Module)"
),
IF(
NumberOfMaleEmployees
+NumberOfFemaleEmployees
+NumberOfOtherGenderEmployees
+NumberOfNonReportedGenderEmployees
=D22,
template_label_ok,
""
),
""
)
),
IF(
'General Information'!E280="",
IF(
OR(
'General Information'!E125="Option A (Basic Module only)",
'General Information'!E125="Option B (Basic Module and Comprehensive Module)"
),
IF(
NumberOfMaleEmployees
+NumberOfFemaleEmployees
+NumberOfOtherGenderEmployees
+NumberOfNonReportedGenderEmployees
=D22,
template_label_ok,
template_label_missing_value
),
""
),
IF(
OR(
'General Information'!E125="Option A (Basic Module only)",
'General Information'!E125="Option B (Basic Module and Comprehensive Module)"
),
IF(
NumberOfMaleEmployees
+NumberOfFemaleEmployees
+NumberOfOtherGenderEmployees
+NumberOfNonReportedGenderEmployees
=D22,
template_label_ok,
template_label_value_inconsistency
),
""
)
)
)</f>
        <v/>
      </c>
      <c r="I18" s="1097" t="str">
        <f>template_label_number_of_employees_warning</f>
        <v xml:space="preserve">ℹ️  Please make sure that the total number of employees is the same as the one provided in the "General Information" sheet cell E55
</v>
      </c>
      <c r="J18" s="1097"/>
      <c r="K18" s="1097"/>
      <c r="L18" s="1097"/>
      <c r="M18" s="1097"/>
    </row>
    <row r="19" spans="3:22">
      <c r="C19" s="116" t="str">
        <f>template_label_female</f>
        <v>Female</v>
      </c>
      <c r="D19" s="1104"/>
      <c r="E19" s="1104"/>
      <c r="F19" s="1104"/>
      <c r="G19" s="1105"/>
      <c r="H19" s="1106"/>
      <c r="I19" s="1097"/>
      <c r="J19" s="1097"/>
      <c r="K19" s="1097"/>
      <c r="L19" s="1097"/>
      <c r="M19" s="1097"/>
    </row>
    <row r="20" spans="3:22">
      <c r="C20" s="116" t="str">
        <f>template_label_other</f>
        <v>Other</v>
      </c>
      <c r="D20" s="1104"/>
      <c r="E20" s="1104"/>
      <c r="F20" s="1104"/>
      <c r="G20" s="1105"/>
      <c r="H20" s="1106"/>
      <c r="I20" s="1097"/>
      <c r="J20" s="1097"/>
      <c r="K20" s="1097"/>
      <c r="L20" s="1097"/>
      <c r="M20" s="1097"/>
    </row>
    <row r="21" spans="3:22">
      <c r="C21" s="116" t="str">
        <f>template_label_not_reported</f>
        <v>Not reported</v>
      </c>
      <c r="D21" s="1104"/>
      <c r="E21" s="1104"/>
      <c r="F21" s="1104"/>
      <c r="G21" s="1105"/>
      <c r="H21" s="1106"/>
      <c r="I21" s="1097"/>
      <c r="J21" s="1097"/>
      <c r="K21" s="1097"/>
      <c r="L21" s="1097"/>
      <c r="M21" s="1097"/>
    </row>
    <row r="22" spans="3:22" ht="15" thickBot="1">
      <c r="C22" s="367" t="str">
        <f>template_label_total_employees</f>
        <v>Total employees (linked to B1)</v>
      </c>
      <c r="D22" s="1109" t="str">
        <f>IF('General Information'!$E$280="","-",'General Information'!$E$280)</f>
        <v>-</v>
      </c>
      <c r="E22" s="1109"/>
      <c r="F22" s="1109"/>
      <c r="G22" s="1110"/>
      <c r="H22" s="18"/>
    </row>
    <row r="23" spans="3:22" ht="15" thickBot="1"/>
    <row r="24" spans="3:22" ht="15" thickBot="1">
      <c r="C24" s="716" t="str">
        <f>template_label_b8_workforce_general_characteristics_country_of_employment&amp;" "</f>
        <v xml:space="preserve">B8 - Workforce - General characteristics - Country of employment </v>
      </c>
      <c r="D24" s="883"/>
      <c r="E24" s="883"/>
      <c r="F24" s="883"/>
      <c r="G24" s="883"/>
      <c r="H24" s="884"/>
    </row>
    <row r="25" spans="3:22">
      <c r="C25" s="871" t="s">
        <v>61</v>
      </c>
      <c r="D25" s="872"/>
      <c r="E25" s="872"/>
      <c r="F25" s="872"/>
      <c r="G25" s="872"/>
      <c r="H25" s="873"/>
    </row>
    <row r="26" spans="3:22">
      <c r="C26" s="726">
        <v>110</v>
      </c>
      <c r="D26" s="702"/>
      <c r="E26" s="702"/>
      <c r="F26" s="702"/>
      <c r="G26" s="702"/>
      <c r="H26" s="820"/>
    </row>
    <row r="27" spans="3:22">
      <c r="C27" s="1115" t="str">
        <f>template_label_undertaking_operating_in_more_than_one_country</f>
        <v>Does the undertaking operate in more than one country?</v>
      </c>
      <c r="D27" s="1116"/>
      <c r="E27" s="1117" t="b">
        <v>0</v>
      </c>
      <c r="F27" s="1117"/>
      <c r="G27" s="1117"/>
      <c r="H27" s="1118"/>
    </row>
    <row r="28" spans="3:22">
      <c r="C28" s="1111" t="str">
        <f>template_label_country_of_employment_contract</f>
        <v>Country of employment contract</v>
      </c>
      <c r="D28" s="813"/>
      <c r="E28" s="1112" t="str">
        <f>template_label_number_of_employees</f>
        <v>Number of employees</v>
      </c>
      <c r="F28" s="1113"/>
      <c r="G28" s="1113"/>
      <c r="H28" s="1114"/>
    </row>
    <row r="29" spans="3:22" ht="14.9" customHeight="1">
      <c r="C29" s="1095"/>
      <c r="D29" s="1096"/>
      <c r="E29" s="1093"/>
      <c r="F29" s="1093"/>
      <c r="G29" s="1093"/>
      <c r="H29" s="1094"/>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1098" t="str">
        <f>template_label_number_of_employees_warning</f>
        <v xml:space="preserve">ℹ️  Please make sure that the total number of employees is the same as the one provided in the "General Information" sheet cell E55
</v>
      </c>
      <c r="K29" s="1098"/>
      <c r="L29" s="1098"/>
      <c r="M29" s="1098"/>
      <c r="N29" s="1098"/>
      <c r="O29" s="1098"/>
      <c r="P29" s="1098"/>
      <c r="Q29" s="1098"/>
      <c r="R29" s="1098"/>
      <c r="S29" s="1098"/>
      <c r="T29" s="1098"/>
      <c r="U29" s="1098"/>
      <c r="V29" s="1098"/>
    </row>
    <row r="30" spans="3:22">
      <c r="C30" s="1095"/>
      <c r="D30" s="1096"/>
      <c r="E30" s="1093"/>
      <c r="F30" s="1093"/>
      <c r="G30" s="1093"/>
      <c r="H30" s="1094"/>
      <c r="I30" s="15" t="str">
        <f t="shared" si="0"/>
        <v/>
      </c>
      <c r="J30" s="1098"/>
      <c r="K30" s="1098"/>
      <c r="L30" s="1098"/>
      <c r="M30" s="1098"/>
      <c r="N30" s="1098"/>
      <c r="O30" s="1098"/>
      <c r="P30" s="1098"/>
      <c r="Q30" s="1098"/>
      <c r="R30" s="1098"/>
      <c r="S30" s="1098"/>
      <c r="T30" s="1098"/>
      <c r="U30" s="1098"/>
      <c r="V30" s="1098"/>
    </row>
    <row r="31" spans="3:22">
      <c r="C31" s="1095"/>
      <c r="D31" s="1096"/>
      <c r="E31" s="1093"/>
      <c r="F31" s="1093"/>
      <c r="G31" s="1093"/>
      <c r="H31" s="1094"/>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outlineLevel="1">
      <c r="C32" s="1095"/>
      <c r="D32" s="1096"/>
      <c r="E32" s="1093"/>
      <c r="F32" s="1093"/>
      <c r="G32" s="1093"/>
      <c r="H32" s="1094"/>
      <c r="I32" s="15" t="str">
        <f t="shared" si="0"/>
        <v/>
      </c>
    </row>
    <row r="33" spans="3:9" outlineLevel="1">
      <c r="C33" s="1095"/>
      <c r="D33" s="1096"/>
      <c r="E33" s="1093"/>
      <c r="F33" s="1093"/>
      <c r="G33" s="1093"/>
      <c r="H33" s="1094"/>
      <c r="I33" s="15" t="str">
        <f t="shared" si="0"/>
        <v/>
      </c>
    </row>
    <row r="34" spans="3:9" outlineLevel="1">
      <c r="C34" s="1095"/>
      <c r="D34" s="1096"/>
      <c r="E34" s="1093"/>
      <c r="F34" s="1093"/>
      <c r="G34" s="1093"/>
      <c r="H34" s="1094"/>
      <c r="I34" s="15" t="str">
        <f t="shared" si="0"/>
        <v/>
      </c>
    </row>
    <row r="35" spans="3:9" outlineLevel="1">
      <c r="C35" s="1095"/>
      <c r="D35" s="1096"/>
      <c r="E35" s="1093"/>
      <c r="F35" s="1093"/>
      <c r="G35" s="1093"/>
      <c r="H35" s="1094"/>
      <c r="I35" s="15" t="str">
        <f t="shared" si="0"/>
        <v/>
      </c>
    </row>
    <row r="36" spans="3:9" outlineLevel="1">
      <c r="C36" s="1095"/>
      <c r="D36" s="1096"/>
      <c r="E36" s="1093"/>
      <c r="F36" s="1093"/>
      <c r="G36" s="1093"/>
      <c r="H36" s="1094"/>
      <c r="I36" s="15" t="str">
        <f t="shared" si="0"/>
        <v/>
      </c>
    </row>
    <row r="37" spans="3:9" outlineLevel="1">
      <c r="C37" s="1095"/>
      <c r="D37" s="1096"/>
      <c r="E37" s="1093"/>
      <c r="F37" s="1093"/>
      <c r="G37" s="1093"/>
      <c r="H37" s="1094"/>
      <c r="I37" s="15" t="str">
        <f t="shared" si="0"/>
        <v/>
      </c>
    </row>
    <row r="38" spans="3:9" outlineLevel="1">
      <c r="C38" s="1095"/>
      <c r="D38" s="1096"/>
      <c r="E38" s="1093"/>
      <c r="F38" s="1093"/>
      <c r="G38" s="1093"/>
      <c r="H38" s="1094"/>
      <c r="I38" s="15" t="str">
        <f t="shared" si="0"/>
        <v/>
      </c>
    </row>
    <row r="39" spans="3:9" outlineLevel="1">
      <c r="C39" s="1095"/>
      <c r="D39" s="1096"/>
      <c r="E39" s="1093"/>
      <c r="F39" s="1093"/>
      <c r="G39" s="1093"/>
      <c r="H39" s="1094"/>
      <c r="I39" s="15" t="str">
        <f t="shared" si="0"/>
        <v/>
      </c>
    </row>
    <row r="40" spans="3:9" outlineLevel="1">
      <c r="C40" s="1095"/>
      <c r="D40" s="1096"/>
      <c r="E40" s="1093"/>
      <c r="F40" s="1093"/>
      <c r="G40" s="1093"/>
      <c r="H40" s="1094"/>
      <c r="I40" s="15" t="str">
        <f t="shared" si="0"/>
        <v/>
      </c>
    </row>
    <row r="41" spans="3:9" outlineLevel="1">
      <c r="C41" s="1095"/>
      <c r="D41" s="1096"/>
      <c r="E41" s="1093"/>
      <c r="F41" s="1093"/>
      <c r="G41" s="1093"/>
      <c r="H41" s="1094"/>
      <c r="I41" s="15" t="str">
        <f t="shared" si="0"/>
        <v/>
      </c>
    </row>
    <row r="42" spans="3:9" outlineLevel="1">
      <c r="C42" s="1095"/>
      <c r="D42" s="1096"/>
      <c r="E42" s="1093"/>
      <c r="F42" s="1093"/>
      <c r="G42" s="1093"/>
      <c r="H42" s="1094"/>
      <c r="I42" s="15" t="str">
        <f t="shared" si="0"/>
        <v/>
      </c>
    </row>
    <row r="43" spans="3:9" outlineLevel="1">
      <c r="C43" s="1095"/>
      <c r="D43" s="1096"/>
      <c r="E43" s="1093"/>
      <c r="F43" s="1093"/>
      <c r="G43" s="1093"/>
      <c r="H43" s="1094"/>
      <c r="I43" s="15" t="str">
        <f t="shared" si="0"/>
        <v/>
      </c>
    </row>
    <row r="44" spans="3:9" outlineLevel="1">
      <c r="C44" s="1095"/>
      <c r="D44" s="1096"/>
      <c r="E44" s="1093"/>
      <c r="F44" s="1093"/>
      <c r="G44" s="1093"/>
      <c r="H44" s="1094"/>
      <c r="I44" s="15" t="str">
        <f t="shared" si="0"/>
        <v/>
      </c>
    </row>
    <row r="45" spans="3:9" outlineLevel="1">
      <c r="C45" s="1095"/>
      <c r="D45" s="1096"/>
      <c r="E45" s="1093"/>
      <c r="F45" s="1093"/>
      <c r="G45" s="1093"/>
      <c r="H45" s="1094"/>
      <c r="I45" s="15" t="str">
        <f t="shared" si="0"/>
        <v/>
      </c>
    </row>
    <row r="46" spans="3:9" outlineLevel="1">
      <c r="C46" s="1095"/>
      <c r="D46" s="1096"/>
      <c r="E46" s="1093"/>
      <c r="F46" s="1093"/>
      <c r="G46" s="1093"/>
      <c r="H46" s="1094"/>
      <c r="I46" s="15" t="str">
        <f t="shared" si="0"/>
        <v/>
      </c>
    </row>
    <row r="47" spans="3:9" outlineLevel="1">
      <c r="C47" s="1095"/>
      <c r="D47" s="1096"/>
      <c r="E47" s="1093"/>
      <c r="F47" s="1093"/>
      <c r="G47" s="1093"/>
      <c r="H47" s="1094"/>
      <c r="I47" s="15" t="str">
        <f t="shared" si="0"/>
        <v/>
      </c>
    </row>
    <row r="48" spans="3:9" outlineLevel="1">
      <c r="C48" s="1095"/>
      <c r="D48" s="1096"/>
      <c r="E48" s="1093"/>
      <c r="F48" s="1093"/>
      <c r="G48" s="1093"/>
      <c r="H48" s="1094"/>
      <c r="I48" s="15" t="str">
        <f t="shared" si="0"/>
        <v/>
      </c>
    </row>
    <row r="49" spans="3:9" outlineLevel="1">
      <c r="C49" s="1095"/>
      <c r="D49" s="1096"/>
      <c r="E49" s="1093"/>
      <c r="F49" s="1093"/>
      <c r="G49" s="1093"/>
      <c r="H49" s="1094"/>
      <c r="I49" s="15" t="str">
        <f t="shared" si="0"/>
        <v/>
      </c>
    </row>
    <row r="50" spans="3:9" outlineLevel="1">
      <c r="C50" s="1095"/>
      <c r="D50" s="1096"/>
      <c r="E50" s="1093"/>
      <c r="F50" s="1093"/>
      <c r="G50" s="1093"/>
      <c r="H50" s="1094"/>
      <c r="I50" s="15" t="str">
        <f t="shared" si="0"/>
        <v/>
      </c>
    </row>
    <row r="51" spans="3:9" outlineLevel="1">
      <c r="C51" s="1095"/>
      <c r="D51" s="1096"/>
      <c r="E51" s="1093"/>
      <c r="F51" s="1093"/>
      <c r="G51" s="1093"/>
      <c r="H51" s="1094"/>
      <c r="I51" s="15" t="str">
        <f t="shared" si="0"/>
        <v/>
      </c>
    </row>
    <row r="52" spans="3:9" outlineLevel="1">
      <c r="C52" s="1095"/>
      <c r="D52" s="1096"/>
      <c r="E52" s="1093"/>
      <c r="F52" s="1093"/>
      <c r="G52" s="1093"/>
      <c r="H52" s="1094"/>
      <c r="I52" s="15" t="str">
        <f t="shared" si="0"/>
        <v/>
      </c>
    </row>
    <row r="53" spans="3:9" outlineLevel="1">
      <c r="C53" s="1095"/>
      <c r="D53" s="1096"/>
      <c r="E53" s="1093"/>
      <c r="F53" s="1093"/>
      <c r="G53" s="1093"/>
      <c r="H53" s="1094"/>
      <c r="I53" s="15" t="str">
        <f t="shared" si="0"/>
        <v/>
      </c>
    </row>
    <row r="54" spans="3:9" outlineLevel="1">
      <c r="C54" s="1095"/>
      <c r="D54" s="1096"/>
      <c r="E54" s="1093"/>
      <c r="F54" s="1093"/>
      <c r="G54" s="1093"/>
      <c r="H54" s="1094"/>
      <c r="I54" s="15" t="str">
        <f t="shared" si="0"/>
        <v/>
      </c>
    </row>
    <row r="55" spans="3:9" outlineLevel="1">
      <c r="C55" s="1095"/>
      <c r="D55" s="1096"/>
      <c r="E55" s="1093"/>
      <c r="F55" s="1093"/>
      <c r="G55" s="1093"/>
      <c r="H55" s="1094"/>
      <c r="I55" s="15" t="str">
        <f t="shared" si="0"/>
        <v/>
      </c>
    </row>
    <row r="56" spans="3:9" outlineLevel="1">
      <c r="C56" s="1095"/>
      <c r="D56" s="1096"/>
      <c r="E56" s="1093"/>
      <c r="F56" s="1093"/>
      <c r="G56" s="1093"/>
      <c r="H56" s="1094"/>
      <c r="I56" s="15" t="str">
        <f t="shared" si="0"/>
        <v/>
      </c>
    </row>
    <row r="57" spans="3:9" outlineLevel="1">
      <c r="C57" s="1095"/>
      <c r="D57" s="1096"/>
      <c r="E57" s="1093"/>
      <c r="F57" s="1093"/>
      <c r="G57" s="1093"/>
      <c r="H57" s="1094"/>
      <c r="I57" s="15" t="str">
        <f t="shared" si="0"/>
        <v/>
      </c>
    </row>
    <row r="58" spans="3:9" outlineLevel="1">
      <c r="C58" s="1095"/>
      <c r="D58" s="1096"/>
      <c r="E58" s="1093"/>
      <c r="F58" s="1093"/>
      <c r="G58" s="1093"/>
      <c r="H58" s="1094"/>
      <c r="I58" s="15" t="str">
        <f t="shared" si="0"/>
        <v/>
      </c>
    </row>
    <row r="59" spans="3:9" outlineLevel="1">
      <c r="C59" s="1095"/>
      <c r="D59" s="1096"/>
      <c r="E59" s="1093"/>
      <c r="F59" s="1093"/>
      <c r="G59" s="1093"/>
      <c r="H59" s="1094"/>
      <c r="I59" s="15" t="str">
        <f t="shared" si="0"/>
        <v/>
      </c>
    </row>
    <row r="60" spans="3:9" outlineLevel="1">
      <c r="C60" s="1095"/>
      <c r="D60" s="1096"/>
      <c r="E60" s="1093"/>
      <c r="F60" s="1093"/>
      <c r="G60" s="1093"/>
      <c r="H60" s="1094"/>
      <c r="I60" s="15" t="str">
        <f t="shared" si="0"/>
        <v/>
      </c>
    </row>
    <row r="61" spans="3:9" outlineLevel="1">
      <c r="C61" s="1095"/>
      <c r="D61" s="1096"/>
      <c r="E61" s="1093"/>
      <c r="F61" s="1093"/>
      <c r="G61" s="1093"/>
      <c r="H61" s="1094"/>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outlineLevel="1">
      <c r="C62" s="1095"/>
      <c r="D62" s="1096"/>
      <c r="E62" s="1093"/>
      <c r="F62" s="1093"/>
      <c r="G62" s="1093"/>
      <c r="H62" s="1094"/>
      <c r="I62" s="15" t="str">
        <f t="shared" si="1"/>
        <v/>
      </c>
    </row>
    <row r="63" spans="3:9" outlineLevel="1">
      <c r="C63" s="1095"/>
      <c r="D63" s="1096"/>
      <c r="E63" s="1093"/>
      <c r="F63" s="1093"/>
      <c r="G63" s="1093"/>
      <c r="H63" s="1094"/>
      <c r="I63" s="15" t="str">
        <f t="shared" si="1"/>
        <v/>
      </c>
    </row>
    <row r="64" spans="3:9" outlineLevel="1">
      <c r="C64" s="1095"/>
      <c r="D64" s="1096"/>
      <c r="E64" s="1093"/>
      <c r="F64" s="1093"/>
      <c r="G64" s="1093"/>
      <c r="H64" s="1094"/>
      <c r="I64" s="15" t="str">
        <f t="shared" si="1"/>
        <v/>
      </c>
    </row>
    <row r="65" spans="3:9" outlineLevel="1">
      <c r="C65" s="1095"/>
      <c r="D65" s="1096"/>
      <c r="E65" s="1093"/>
      <c r="F65" s="1093"/>
      <c r="G65" s="1093"/>
      <c r="H65" s="1094"/>
      <c r="I65" s="15" t="str">
        <f t="shared" si="1"/>
        <v/>
      </c>
    </row>
    <row r="66" spans="3:9" outlineLevel="1">
      <c r="C66" s="1095"/>
      <c r="D66" s="1096"/>
      <c r="E66" s="1093"/>
      <c r="F66" s="1093"/>
      <c r="G66" s="1093"/>
      <c r="H66" s="1094"/>
      <c r="I66" s="15" t="str">
        <f t="shared" si="1"/>
        <v/>
      </c>
    </row>
    <row r="67" spans="3:9" outlineLevel="1">
      <c r="C67" s="1095"/>
      <c r="D67" s="1096"/>
      <c r="E67" s="1093"/>
      <c r="F67" s="1093"/>
      <c r="G67" s="1093"/>
      <c r="H67" s="1094"/>
      <c r="I67" s="15" t="str">
        <f t="shared" si="1"/>
        <v/>
      </c>
    </row>
    <row r="68" spans="3:9" outlineLevel="1">
      <c r="C68" s="1095"/>
      <c r="D68" s="1096"/>
      <c r="E68" s="1093"/>
      <c r="F68" s="1093"/>
      <c r="G68" s="1093"/>
      <c r="H68" s="1094"/>
      <c r="I68" s="15" t="str">
        <f t="shared" si="1"/>
        <v/>
      </c>
    </row>
    <row r="69" spans="3:9" outlineLevel="1">
      <c r="C69" s="1095"/>
      <c r="D69" s="1096"/>
      <c r="E69" s="1093"/>
      <c r="F69" s="1093"/>
      <c r="G69" s="1093"/>
      <c r="H69" s="1094"/>
      <c r="I69" s="15" t="str">
        <f t="shared" si="1"/>
        <v/>
      </c>
    </row>
    <row r="70" spans="3:9" outlineLevel="1">
      <c r="C70" s="1095"/>
      <c r="D70" s="1096"/>
      <c r="E70" s="1093"/>
      <c r="F70" s="1093"/>
      <c r="G70" s="1093"/>
      <c r="H70" s="1094"/>
      <c r="I70" s="15" t="str">
        <f t="shared" si="1"/>
        <v/>
      </c>
    </row>
    <row r="71" spans="3:9" outlineLevel="1">
      <c r="C71" s="1095"/>
      <c r="D71" s="1096"/>
      <c r="E71" s="1093"/>
      <c r="F71" s="1093"/>
      <c r="G71" s="1093"/>
      <c r="H71" s="1094"/>
      <c r="I71" s="15" t="str">
        <f t="shared" si="1"/>
        <v/>
      </c>
    </row>
    <row r="72" spans="3:9" outlineLevel="1">
      <c r="C72" s="1095"/>
      <c r="D72" s="1096"/>
      <c r="E72" s="1093"/>
      <c r="F72" s="1093"/>
      <c r="G72" s="1093"/>
      <c r="H72" s="1094"/>
      <c r="I72" s="15" t="str">
        <f t="shared" si="1"/>
        <v/>
      </c>
    </row>
    <row r="73" spans="3:9" outlineLevel="1">
      <c r="C73" s="1095"/>
      <c r="D73" s="1096"/>
      <c r="E73" s="1093"/>
      <c r="F73" s="1093"/>
      <c r="G73" s="1093"/>
      <c r="H73" s="1094"/>
      <c r="I73" s="15" t="str">
        <f t="shared" si="1"/>
        <v/>
      </c>
    </row>
    <row r="74" spans="3:9" outlineLevel="1">
      <c r="C74" s="1095"/>
      <c r="D74" s="1096"/>
      <c r="E74" s="1093"/>
      <c r="F74" s="1093"/>
      <c r="G74" s="1093"/>
      <c r="H74" s="1094"/>
      <c r="I74" s="15" t="str">
        <f t="shared" si="1"/>
        <v/>
      </c>
    </row>
    <row r="75" spans="3:9" outlineLevel="1">
      <c r="C75" s="1095"/>
      <c r="D75" s="1096"/>
      <c r="E75" s="1093"/>
      <c r="F75" s="1093"/>
      <c r="G75" s="1093"/>
      <c r="H75" s="1094"/>
      <c r="I75" s="15" t="str">
        <f t="shared" si="1"/>
        <v/>
      </c>
    </row>
    <row r="76" spans="3:9" outlineLevel="1">
      <c r="C76" s="1095"/>
      <c r="D76" s="1096"/>
      <c r="E76" s="1093"/>
      <c r="F76" s="1093"/>
      <c r="G76" s="1093"/>
      <c r="H76" s="1094"/>
      <c r="I76" s="15" t="str">
        <f t="shared" si="1"/>
        <v/>
      </c>
    </row>
    <row r="77" spans="3:9" outlineLevel="1">
      <c r="C77" s="1095"/>
      <c r="D77" s="1096"/>
      <c r="E77" s="1093"/>
      <c r="F77" s="1093"/>
      <c r="G77" s="1093"/>
      <c r="H77" s="1094"/>
      <c r="I77" s="15" t="str">
        <f t="shared" si="1"/>
        <v/>
      </c>
    </row>
    <row r="78" spans="3:9" outlineLevel="1">
      <c r="C78" s="1095"/>
      <c r="D78" s="1096"/>
      <c r="E78" s="1093"/>
      <c r="F78" s="1093"/>
      <c r="G78" s="1093"/>
      <c r="H78" s="1094"/>
      <c r="I78" s="15" t="str">
        <f t="shared" si="1"/>
        <v/>
      </c>
    </row>
    <row r="79" spans="3:9" outlineLevel="1">
      <c r="C79" s="1095"/>
      <c r="D79" s="1096"/>
      <c r="E79" s="1093"/>
      <c r="F79" s="1093"/>
      <c r="G79" s="1093"/>
      <c r="H79" s="1094"/>
      <c r="I79" s="15" t="str">
        <f t="shared" si="1"/>
        <v/>
      </c>
    </row>
    <row r="80" spans="3:9" outlineLevel="1">
      <c r="C80" s="1095"/>
      <c r="D80" s="1096"/>
      <c r="E80" s="1093"/>
      <c r="F80" s="1093"/>
      <c r="G80" s="1093"/>
      <c r="H80" s="1094"/>
      <c r="I80" s="15" t="str">
        <f t="shared" si="1"/>
        <v/>
      </c>
    </row>
    <row r="81" spans="3:9" outlineLevel="1">
      <c r="C81" s="1095"/>
      <c r="D81" s="1096"/>
      <c r="E81" s="1093"/>
      <c r="F81" s="1093"/>
      <c r="G81" s="1093"/>
      <c r="H81" s="1094"/>
      <c r="I81" s="15" t="str">
        <f t="shared" si="1"/>
        <v/>
      </c>
    </row>
    <row r="82" spans="3:9" outlineLevel="1">
      <c r="C82" s="1095"/>
      <c r="D82" s="1096"/>
      <c r="E82" s="1093"/>
      <c r="F82" s="1093"/>
      <c r="G82" s="1093"/>
      <c r="H82" s="1094"/>
      <c r="I82" s="15" t="str">
        <f t="shared" si="1"/>
        <v/>
      </c>
    </row>
    <row r="83" spans="3:9" outlineLevel="1">
      <c r="C83" s="1095"/>
      <c r="D83" s="1096"/>
      <c r="E83" s="1093"/>
      <c r="F83" s="1093"/>
      <c r="G83" s="1093"/>
      <c r="H83" s="1094"/>
      <c r="I83" s="15" t="str">
        <f t="shared" si="1"/>
        <v/>
      </c>
    </row>
    <row r="84" spans="3:9" outlineLevel="1">
      <c r="C84" s="1095"/>
      <c r="D84" s="1096"/>
      <c r="E84" s="1093"/>
      <c r="F84" s="1093"/>
      <c r="G84" s="1093"/>
      <c r="H84" s="1094"/>
      <c r="I84" s="15" t="str">
        <f t="shared" si="1"/>
        <v/>
      </c>
    </row>
    <row r="85" spans="3:9" outlineLevel="1">
      <c r="C85" s="1095"/>
      <c r="D85" s="1096"/>
      <c r="E85" s="1093"/>
      <c r="F85" s="1093"/>
      <c r="G85" s="1093"/>
      <c r="H85" s="1094"/>
      <c r="I85" s="15" t="str">
        <f t="shared" si="1"/>
        <v/>
      </c>
    </row>
    <row r="86" spans="3:9" outlineLevel="1">
      <c r="C86" s="1095"/>
      <c r="D86" s="1096"/>
      <c r="E86" s="1093"/>
      <c r="F86" s="1093"/>
      <c r="G86" s="1093"/>
      <c r="H86" s="1094"/>
      <c r="I86" s="15" t="str">
        <f t="shared" si="1"/>
        <v/>
      </c>
    </row>
    <row r="87" spans="3:9" outlineLevel="1">
      <c r="C87" s="1095"/>
      <c r="D87" s="1096"/>
      <c r="E87" s="1093"/>
      <c r="F87" s="1093"/>
      <c r="G87" s="1093"/>
      <c r="H87" s="1094"/>
      <c r="I87" s="15" t="str">
        <f t="shared" si="1"/>
        <v/>
      </c>
    </row>
    <row r="88" spans="3:9" outlineLevel="1">
      <c r="C88" s="1095"/>
      <c r="D88" s="1096"/>
      <c r="E88" s="1093"/>
      <c r="F88" s="1093"/>
      <c r="G88" s="1093"/>
      <c r="H88" s="1094"/>
      <c r="I88" s="15" t="str">
        <f t="shared" si="1"/>
        <v/>
      </c>
    </row>
    <row r="89" spans="3:9" outlineLevel="1">
      <c r="C89" s="1095"/>
      <c r="D89" s="1096"/>
      <c r="E89" s="1093"/>
      <c r="F89" s="1093"/>
      <c r="G89" s="1093"/>
      <c r="H89" s="1094"/>
      <c r="I89" s="15" t="str">
        <f t="shared" si="1"/>
        <v/>
      </c>
    </row>
    <row r="90" spans="3:9" outlineLevel="1">
      <c r="C90" s="1095"/>
      <c r="D90" s="1096"/>
      <c r="E90" s="1093"/>
      <c r="F90" s="1093"/>
      <c r="G90" s="1093"/>
      <c r="H90" s="1094"/>
      <c r="I90" s="15" t="str">
        <f t="shared" si="1"/>
        <v/>
      </c>
    </row>
    <row r="91" spans="3:9" outlineLevel="1">
      <c r="C91" s="1095"/>
      <c r="D91" s="1096"/>
      <c r="E91" s="1093"/>
      <c r="F91" s="1093"/>
      <c r="G91" s="1093"/>
      <c r="H91" s="1094"/>
      <c r="I91" s="15" t="str">
        <f t="shared" si="1"/>
        <v/>
      </c>
    </row>
    <row r="92" spans="3:9" outlineLevel="1">
      <c r="C92" s="1095"/>
      <c r="D92" s="1096"/>
      <c r="E92" s="1093"/>
      <c r="F92" s="1093"/>
      <c r="G92" s="1093"/>
      <c r="H92" s="1094"/>
      <c r="I92" s="15" t="str">
        <f t="shared" si="1"/>
        <v/>
      </c>
    </row>
    <row r="93" spans="3:9" outlineLevel="1">
      <c r="C93" s="1095"/>
      <c r="D93" s="1096"/>
      <c r="E93" s="1093"/>
      <c r="F93" s="1093"/>
      <c r="G93" s="1093"/>
      <c r="H93" s="1094"/>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outlineLevel="1">
      <c r="C94" s="1095"/>
      <c r="D94" s="1096"/>
      <c r="E94" s="1093"/>
      <c r="F94" s="1093"/>
      <c r="G94" s="1093"/>
      <c r="H94" s="1094"/>
      <c r="I94" s="15" t="str">
        <f t="shared" si="2"/>
        <v/>
      </c>
    </row>
    <row r="95" spans="3:9" outlineLevel="1">
      <c r="C95" s="1095"/>
      <c r="D95" s="1096"/>
      <c r="E95" s="1093"/>
      <c r="F95" s="1093"/>
      <c r="G95" s="1093"/>
      <c r="H95" s="1094"/>
      <c r="I95" s="15" t="str">
        <f t="shared" si="2"/>
        <v/>
      </c>
    </row>
    <row r="96" spans="3:9" outlineLevel="1">
      <c r="C96" s="1095"/>
      <c r="D96" s="1096"/>
      <c r="E96" s="1093"/>
      <c r="F96" s="1093"/>
      <c r="G96" s="1093"/>
      <c r="H96" s="1094"/>
      <c r="I96" s="15" t="str">
        <f t="shared" si="2"/>
        <v/>
      </c>
    </row>
    <row r="97" spans="3:9" outlineLevel="1">
      <c r="C97" s="1095"/>
      <c r="D97" s="1096"/>
      <c r="E97" s="1093"/>
      <c r="F97" s="1093"/>
      <c r="G97" s="1093"/>
      <c r="H97" s="1094"/>
      <c r="I97" s="15" t="str">
        <f t="shared" si="2"/>
        <v/>
      </c>
    </row>
    <row r="98" spans="3:9" outlineLevel="1">
      <c r="C98" s="1095"/>
      <c r="D98" s="1096"/>
      <c r="E98" s="1093"/>
      <c r="F98" s="1093"/>
      <c r="G98" s="1093"/>
      <c r="H98" s="1094"/>
      <c r="I98" s="15" t="str">
        <f t="shared" si="2"/>
        <v/>
      </c>
    </row>
    <row r="99" spans="3:9" outlineLevel="1">
      <c r="C99" s="1095"/>
      <c r="D99" s="1096"/>
      <c r="E99" s="1093"/>
      <c r="F99" s="1093"/>
      <c r="G99" s="1093"/>
      <c r="H99" s="1094"/>
      <c r="I99" s="15" t="str">
        <f t="shared" si="2"/>
        <v/>
      </c>
    </row>
    <row r="100" spans="3:9" outlineLevel="1">
      <c r="C100" s="1095"/>
      <c r="D100" s="1096"/>
      <c r="E100" s="1093"/>
      <c r="F100" s="1093"/>
      <c r="G100" s="1093"/>
      <c r="H100" s="1094"/>
      <c r="I100" s="15" t="str">
        <f t="shared" si="2"/>
        <v/>
      </c>
    </row>
    <row r="101" spans="3:9" outlineLevel="1">
      <c r="C101" s="1095"/>
      <c r="D101" s="1096"/>
      <c r="E101" s="1093"/>
      <c r="F101" s="1093"/>
      <c r="G101" s="1093"/>
      <c r="H101" s="1094"/>
      <c r="I101" s="15" t="str">
        <f t="shared" si="2"/>
        <v/>
      </c>
    </row>
    <row r="102" spans="3:9" outlineLevel="1">
      <c r="C102" s="1095"/>
      <c r="D102" s="1096"/>
      <c r="E102" s="1093"/>
      <c r="F102" s="1093"/>
      <c r="G102" s="1093"/>
      <c r="H102" s="1094"/>
      <c r="I102" s="15" t="str">
        <f t="shared" si="2"/>
        <v/>
      </c>
    </row>
    <row r="103" spans="3:9" outlineLevel="1">
      <c r="C103" s="1095"/>
      <c r="D103" s="1096"/>
      <c r="E103" s="1093"/>
      <c r="F103" s="1093"/>
      <c r="G103" s="1093"/>
      <c r="H103" s="1094"/>
      <c r="I103" s="15" t="str">
        <f t="shared" si="2"/>
        <v/>
      </c>
    </row>
    <row r="104" spans="3:9" outlineLevel="1">
      <c r="C104" s="1095"/>
      <c r="D104" s="1096"/>
      <c r="E104" s="1093"/>
      <c r="F104" s="1093"/>
      <c r="G104" s="1093"/>
      <c r="H104" s="1094"/>
      <c r="I104" s="15" t="str">
        <f t="shared" si="2"/>
        <v/>
      </c>
    </row>
    <row r="105" spans="3:9" outlineLevel="1">
      <c r="C105" s="1095"/>
      <c r="D105" s="1096"/>
      <c r="E105" s="1093"/>
      <c r="F105" s="1093"/>
      <c r="G105" s="1093"/>
      <c r="H105" s="1094"/>
      <c r="I105" s="15" t="str">
        <f t="shared" si="2"/>
        <v/>
      </c>
    </row>
    <row r="106" spans="3:9" outlineLevel="1">
      <c r="C106" s="1095"/>
      <c r="D106" s="1096"/>
      <c r="E106" s="1093"/>
      <c r="F106" s="1093"/>
      <c r="G106" s="1093"/>
      <c r="H106" s="1094"/>
      <c r="I106" s="15" t="str">
        <f t="shared" si="2"/>
        <v/>
      </c>
    </row>
    <row r="107" spans="3:9" outlineLevel="1">
      <c r="C107" s="1095"/>
      <c r="D107" s="1096"/>
      <c r="E107" s="1093"/>
      <c r="F107" s="1093"/>
      <c r="G107" s="1093"/>
      <c r="H107" s="1094"/>
      <c r="I107" s="15" t="str">
        <f t="shared" si="2"/>
        <v/>
      </c>
    </row>
    <row r="108" spans="3:9" outlineLevel="1">
      <c r="C108" s="1095"/>
      <c r="D108" s="1096"/>
      <c r="E108" s="1093"/>
      <c r="F108" s="1093"/>
      <c r="G108" s="1093"/>
      <c r="H108" s="1094"/>
      <c r="I108" s="15" t="str">
        <f t="shared" si="2"/>
        <v/>
      </c>
    </row>
    <row r="109" spans="3:9" outlineLevel="1">
      <c r="C109" s="1095"/>
      <c r="D109" s="1096"/>
      <c r="E109" s="1093"/>
      <c r="F109" s="1093"/>
      <c r="G109" s="1093"/>
      <c r="H109" s="1094"/>
      <c r="I109" s="15" t="str">
        <f t="shared" si="2"/>
        <v/>
      </c>
    </row>
    <row r="110" spans="3:9" outlineLevel="1">
      <c r="C110" s="1095"/>
      <c r="D110" s="1096"/>
      <c r="E110" s="1093"/>
      <c r="F110" s="1093"/>
      <c r="G110" s="1093"/>
      <c r="H110" s="1094"/>
      <c r="I110" s="15" t="str">
        <f t="shared" si="2"/>
        <v/>
      </c>
    </row>
    <row r="111" spans="3:9" outlineLevel="1">
      <c r="C111" s="1095"/>
      <c r="D111" s="1096"/>
      <c r="E111" s="1093"/>
      <c r="F111" s="1093"/>
      <c r="G111" s="1093"/>
      <c r="H111" s="1094"/>
      <c r="I111" s="15" t="str">
        <f t="shared" si="2"/>
        <v/>
      </c>
    </row>
    <row r="112" spans="3:9" outlineLevel="1">
      <c r="C112" s="1095"/>
      <c r="D112" s="1096"/>
      <c r="E112" s="1093"/>
      <c r="F112" s="1093"/>
      <c r="G112" s="1093"/>
      <c r="H112" s="1094"/>
      <c r="I112" s="15" t="str">
        <f t="shared" si="2"/>
        <v/>
      </c>
    </row>
    <row r="113" spans="3:9" outlineLevel="1">
      <c r="C113" s="1095"/>
      <c r="D113" s="1096"/>
      <c r="E113" s="1093"/>
      <c r="F113" s="1093"/>
      <c r="G113" s="1093"/>
      <c r="H113" s="1094"/>
      <c r="I113" s="15" t="str">
        <f t="shared" si="2"/>
        <v/>
      </c>
    </row>
    <row r="114" spans="3:9" outlineLevel="1">
      <c r="C114" s="1095"/>
      <c r="D114" s="1096"/>
      <c r="E114" s="1093"/>
      <c r="F114" s="1093"/>
      <c r="G114" s="1093"/>
      <c r="H114" s="1094"/>
      <c r="I114" s="15" t="str">
        <f t="shared" si="2"/>
        <v/>
      </c>
    </row>
    <row r="115" spans="3:9" outlineLevel="1">
      <c r="C115" s="1095"/>
      <c r="D115" s="1096"/>
      <c r="E115" s="1093"/>
      <c r="F115" s="1093"/>
      <c r="G115" s="1093"/>
      <c r="H115" s="1094"/>
      <c r="I115" s="15" t="str">
        <f t="shared" si="2"/>
        <v/>
      </c>
    </row>
    <row r="116" spans="3:9" outlineLevel="1">
      <c r="C116" s="1095"/>
      <c r="D116" s="1096"/>
      <c r="E116" s="1093"/>
      <c r="F116" s="1093"/>
      <c r="G116" s="1093"/>
      <c r="H116" s="1094"/>
      <c r="I116" s="15" t="str">
        <f t="shared" si="2"/>
        <v/>
      </c>
    </row>
    <row r="117" spans="3:9" outlineLevel="1">
      <c r="C117" s="1095"/>
      <c r="D117" s="1096"/>
      <c r="E117" s="1093"/>
      <c r="F117" s="1093"/>
      <c r="G117" s="1093"/>
      <c r="H117" s="1094"/>
      <c r="I117" s="15" t="str">
        <f t="shared" si="2"/>
        <v/>
      </c>
    </row>
    <row r="118" spans="3:9" outlineLevel="1">
      <c r="C118" s="1095"/>
      <c r="D118" s="1096"/>
      <c r="E118" s="1093"/>
      <c r="F118" s="1093"/>
      <c r="G118" s="1093"/>
      <c r="H118" s="1094"/>
      <c r="I118" s="15" t="str">
        <f t="shared" si="2"/>
        <v/>
      </c>
    </row>
    <row r="119" spans="3:9" outlineLevel="1">
      <c r="C119" s="1095"/>
      <c r="D119" s="1096"/>
      <c r="E119" s="1093"/>
      <c r="F119" s="1093"/>
      <c r="G119" s="1093"/>
      <c r="H119" s="1094"/>
      <c r="I119" s="15" t="str">
        <f t="shared" si="2"/>
        <v/>
      </c>
    </row>
    <row r="120" spans="3:9" outlineLevel="1">
      <c r="C120" s="1095"/>
      <c r="D120" s="1096"/>
      <c r="E120" s="1093"/>
      <c r="F120" s="1093"/>
      <c r="G120" s="1093"/>
      <c r="H120" s="1094"/>
      <c r="I120" s="15" t="str">
        <f t="shared" si="2"/>
        <v/>
      </c>
    </row>
    <row r="121" spans="3:9" outlineLevel="1">
      <c r="C121" s="1095"/>
      <c r="D121" s="1096"/>
      <c r="E121" s="1093"/>
      <c r="F121" s="1093"/>
      <c r="G121" s="1093"/>
      <c r="H121" s="1094"/>
      <c r="I121" s="15" t="str">
        <f t="shared" si="2"/>
        <v/>
      </c>
    </row>
    <row r="122" spans="3:9" outlineLevel="1">
      <c r="C122" s="1095"/>
      <c r="D122" s="1096"/>
      <c r="E122" s="1093"/>
      <c r="F122" s="1093"/>
      <c r="G122" s="1093"/>
      <c r="H122" s="1094"/>
      <c r="I122" s="15" t="str">
        <f t="shared" si="2"/>
        <v/>
      </c>
    </row>
    <row r="123" spans="3:9" outlineLevel="1">
      <c r="C123" s="1095"/>
      <c r="D123" s="1096"/>
      <c r="E123" s="1093"/>
      <c r="F123" s="1093"/>
      <c r="G123" s="1093"/>
      <c r="H123" s="1094"/>
      <c r="I123" s="15" t="str">
        <f t="shared" si="2"/>
        <v/>
      </c>
    </row>
    <row r="124" spans="3:9" outlineLevel="1">
      <c r="C124" s="1095"/>
      <c r="D124" s="1096"/>
      <c r="E124" s="1093"/>
      <c r="F124" s="1093"/>
      <c r="G124" s="1093"/>
      <c r="H124" s="1094"/>
      <c r="I124" s="15" t="str">
        <f t="shared" si="2"/>
        <v/>
      </c>
    </row>
    <row r="125" spans="3:9" outlineLevel="1">
      <c r="C125" s="1095"/>
      <c r="D125" s="1096"/>
      <c r="E125" s="1093"/>
      <c r="F125" s="1093"/>
      <c r="G125" s="1093"/>
      <c r="H125" s="1094"/>
      <c r="I125" s="15" t="str">
        <f t="shared" si="2"/>
        <v/>
      </c>
    </row>
    <row r="126" spans="3:9" outlineLevel="1">
      <c r="C126" s="1095"/>
      <c r="D126" s="1096"/>
      <c r="E126" s="1093"/>
      <c r="F126" s="1093"/>
      <c r="G126" s="1093"/>
      <c r="H126" s="1094"/>
      <c r="I126" s="15" t="str">
        <f t="shared" si="2"/>
        <v/>
      </c>
    </row>
    <row r="127" spans="3:9" outlineLevel="1">
      <c r="C127" s="1095"/>
      <c r="D127" s="1096"/>
      <c r="E127" s="1093"/>
      <c r="F127" s="1093"/>
      <c r="G127" s="1093"/>
      <c r="H127" s="1094"/>
      <c r="I127" s="15" t="str">
        <f t="shared" si="2"/>
        <v/>
      </c>
    </row>
    <row r="128" spans="3:9" outlineLevel="1">
      <c r="C128" s="1095"/>
      <c r="D128" s="1096"/>
      <c r="E128" s="1093"/>
      <c r="F128" s="1093"/>
      <c r="G128" s="1093"/>
      <c r="H128" s="1094"/>
      <c r="I128" s="15" t="str">
        <f t="shared" si="2"/>
        <v/>
      </c>
    </row>
    <row r="129" spans="1:13" ht="15" thickBot="1">
      <c r="C129" s="1119" t="str">
        <f>template_label_total_employees</f>
        <v>Total employees (linked to B1)</v>
      </c>
      <c r="D129" s="1120"/>
      <c r="E129" s="1109" t="str">
        <f>IF(OR('General Information'!$E$280="",E27=FALSE),"-",'General Information'!$E$280)</f>
        <v>-</v>
      </c>
      <c r="F129" s="1109"/>
      <c r="G129" s="1109"/>
      <c r="H129" s="1110"/>
      <c r="I129" s="15"/>
    </row>
    <row r="131" spans="1:13" ht="15" thickBot="1"/>
    <row r="132" spans="1:13" ht="15" thickBot="1">
      <c r="C132" s="1128" t="str">
        <f>template_label_b9_workforce_health_and_safety&amp;" "&amp;template_label_from&amp;" "&amp;template_starting_date_display&amp;" "&amp;template_label_to&amp;" "&amp;template_ending_date_display&amp;" "</f>
        <v xml:space="preserve">B9 - Workforce - Health and safety from - to - </v>
      </c>
      <c r="D132" s="1129"/>
      <c r="E132" s="1129"/>
      <c r="F132" s="1129"/>
      <c r="G132" s="1129"/>
      <c r="H132" s="1130"/>
    </row>
    <row r="133" spans="1:13">
      <c r="A133" s="1055" t="s">
        <v>62</v>
      </c>
      <c r="B133" s="1058" t="s">
        <v>63</v>
      </c>
      <c r="C133" s="594" t="str">
        <f>template_label_number_of_recordable_work_related_accidents_in_the_reporting_period</f>
        <v>Number of recordable work-related accidents in the reporting period</v>
      </c>
      <c r="D133" s="1131"/>
      <c r="E133" s="1131"/>
      <c r="F133" s="1131"/>
      <c r="G133" s="1131"/>
      <c r="H133" s="1132"/>
      <c r="I133" s="15" t="str">
        <f>IF(
'Table of Contents &amp; Validation'!D39=TRUE,
IF(
    AND(
        OR('General Information'!E125="Option A (Basic Module only)", 'General Information'!E125="Option B (Basic Module and Comprehensive Module)"),
        NumberOfRecordableWorkRelatedAccidentsInTheReportingPeriod=""
    ),
    "",
    IF('General Information'!E125="", "", template_label_ok)
),
IF(
    AND(
        OR('General Information'!E125="Option A (Basic Module only)", 'General Information'!E125="Option B (Basic Module and Comprehensive Module)"),
        NumberOfRecordableWorkRelatedAccidentsInTheReportingPeriod=""
    ),
    template_label_missing_value,
    IF('General Information'!E125="", "", template_label_ok)
)
)</f>
        <v/>
      </c>
    </row>
    <row r="134" spans="1:13">
      <c r="A134" s="1056"/>
      <c r="B134" s="1059"/>
      <c r="C134" s="595" t="str">
        <f>template_label_number_of_hours_worked_by_one_fulltime_employee_in_the_reporting_period</f>
        <v>Number of hours worked by  one full-time employee in the reporting period</v>
      </c>
      <c r="D134" s="1133"/>
      <c r="E134" s="1134"/>
      <c r="F134" s="1134"/>
      <c r="G134" s="1134"/>
      <c r="H134" s="1135"/>
      <c r="I134" s="15" t="str">
        <f>IF(AND(NumberOfRecordableWorkRelatedAccidentsInTheReportingPeriod&gt;0,D134=""), template_label_missing_value, IF(AND(D134&lt;&gt;2000,D134&lt;&gt;""), "OK", ""))</f>
        <v/>
      </c>
      <c r="J134" s="10" t="str">
        <f>template_label_health_and_safety_formula_warning</f>
        <v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v>
      </c>
    </row>
    <row r="135" spans="1:13">
      <c r="A135" s="1056"/>
      <c r="B135" s="1059"/>
      <c r="C135" s="595" t="str">
        <f>template_label_total_number_of_hours_worked_in_a_year_by_all_employees_in_the_reporting_period</f>
        <v>Total number of hours worked in a year by all employees in the reporting period</v>
      </c>
      <c r="D135" s="1136"/>
      <c r="E135" s="1137"/>
      <c r="F135" s="1137"/>
      <c r="G135" s="1137"/>
      <c r="H135" s="1138"/>
      <c r="I135" s="15"/>
    </row>
    <row r="136" spans="1:13">
      <c r="A136" s="1056"/>
      <c r="B136" s="1059"/>
      <c r="C136" s="596" t="str">
        <f>template_label_choice_between_100_or_500_full_time_workers</f>
        <v xml:space="preserve">Select whether the rate is per 100 or 500  full-time workers over a yearly time frame </v>
      </c>
      <c r="D136" s="1068"/>
      <c r="E136" s="1069"/>
      <c r="F136" s="1069"/>
      <c r="G136" s="1069"/>
      <c r="H136" s="1070"/>
      <c r="I136" s="15" t="str">
        <f>IF(AND(D136="",NumberOfRecordableWorkRelatedAccidentsInTheReportingPeriod&lt;&gt;"",NumberOfRecordableWorkRelatedAccidentsInTheReportingPeriod&lt;&gt;0),template_label_missing_value,IF(D136&lt;&gt;"","OK",""))</f>
        <v/>
      </c>
    </row>
    <row r="137" spans="1:13">
      <c r="A137" s="1056"/>
      <c r="B137" s="1059"/>
      <c r="C137" s="596" t="str">
        <f>template_label_rate_per_100_or_500_full_time_workers_over_a_yearly_timeframe</f>
        <v>Rate per 100 or 500 full-time workers over a yearly timeframe</v>
      </c>
      <c r="D137" s="1136" t="str">
        <f>IFERROR(IF(AND(D133&lt;&gt;"", D135&lt;&gt;""),$D$134*$D$136, "-"), "-")</f>
        <v>-</v>
      </c>
      <c r="E137" s="1137"/>
      <c r="F137" s="1137"/>
      <c r="G137" s="1137"/>
      <c r="H137" s="1138"/>
      <c r="I137" s="15"/>
    </row>
    <row r="138" spans="1:13" ht="15" thickBot="1">
      <c r="A138" s="1057"/>
      <c r="B138" s="1060"/>
      <c r="C138" s="597" t="str">
        <f>template_label_rate_of_recordable_work_related_accidents_in_the_reporting_period</f>
        <v>Rate of recordable work-related accidents in the reporting period</v>
      </c>
      <c r="D138" s="1139" t="str">
        <f>IFERROR(IF(AND(D133&lt;&gt;"", D135&lt;&gt;""), ($D$133/$D$135)*$D$137, "-"), "-")</f>
        <v>-</v>
      </c>
      <c r="E138" s="1140"/>
      <c r="F138" s="1140"/>
      <c r="G138" s="1140"/>
      <c r="H138" s="1141"/>
    </row>
    <row r="139" spans="1:13" ht="47.15" customHeight="1" thickBot="1">
      <c r="A139" s="345" t="s">
        <v>64</v>
      </c>
      <c r="B139" s="346" t="s">
        <v>65</v>
      </c>
      <c r="C139" s="157" t="str">
        <f>template_label_subject_to_legal_restrictions_sum_of_fatalities_as_a_result_of_recordable_work_related_accidents_and_recordable_work_related_ill_health</f>
        <v>Subject to legal restrictions, the sum of the fatalities as a result of recordable work-related accidents  and recordable work-related ill health</v>
      </c>
      <c r="D139" s="1121"/>
      <c r="E139" s="1121"/>
      <c r="F139" s="1121"/>
      <c r="G139" s="1121"/>
      <c r="H139" s="1122"/>
      <c r="I139" s="15" t="str">
        <f>IF(
'Table of Contents &amp; Validation'!D39=TRUE,
IF(
    AND(
        OR('General Information'!E125="Option A (Basic Module only)", 'General Information'!E125="Option B (Basic Module and Comprehensive Module)"),
        SumOfFatalitiesAsAResultOfRecordableWorkRelatedAccidentsAndRecordableWorkRelatedIllHealth=""
    ),
    "",
    IF('General Information'!E125="", "", template_label_ok)
),
IF(
    AND(
        OR('General Information'!E125="Option A (Basic Module only)", 'General Information'!E125="Option B (Basic Module and Comprehensive Module)"),
        SumOfFatalitiesAsAResultOfRecordableWorkRelatedAccidentsAndRecordableWorkRelatedIllHealth=""
    ),
    template_label_missing_value,
    IF('General Information'!E125="", "", template_label_ok)
)
)</f>
        <v/>
      </c>
    </row>
    <row r="140" spans="1:13" ht="15" thickBot="1"/>
    <row r="141" spans="1:13">
      <c r="C141" s="1123" t="str">
        <f>template_label_b10_workforce_remuneration_collective_bargaining&amp;" "&amp;template_label_from&amp;" "&amp;template_starting_date_display&amp;" "&amp;template_label_to&amp;" "&amp;template_ending_date_display&amp;" "</f>
        <v xml:space="preserve">B10 - Workforce - Remuneration and collective bargaining from - to - </v>
      </c>
      <c r="D141" s="1124"/>
      <c r="E141" s="1124"/>
      <c r="F141" s="1124"/>
      <c r="G141" s="1124"/>
      <c r="H141" s="1125"/>
    </row>
    <row r="142" spans="1:13" ht="49.4" customHeight="1">
      <c r="A142" s="345" t="s">
        <v>66</v>
      </c>
      <c r="B142" s="346" t="s">
        <v>67</v>
      </c>
      <c r="C142" s="573" t="str">
        <f>template_label_employees_receive_pay_that_is_equal_or_above_applicable_minimum_wage</f>
        <v>Employees receive pay that is equal or above applicable minimum wage determined directly by the national minimum wage law or through a collective bargaining agreement</v>
      </c>
      <c r="D142" s="1021"/>
      <c r="E142" s="1021"/>
      <c r="F142" s="1021"/>
      <c r="G142" s="1021"/>
      <c r="H142" s="1022"/>
      <c r="I142" s="15" t="str">
        <f>IF(OR(
'Table of Contents &amp; Validation'!D41=TRUE,'Table of Contents &amp; Validation'!D40=TRUE),
IF(
    AND(
        OR('General Information'!E125="Option A (Basic Module only)", 'General Information'!E125="Option B (Basic Module and Comprehensive Module)"),
        EmployeesReceivePayEqualOrAboveMinimumWageDeterminedByNationalLawOrCollectiveAgreement=""
    ),
    "",
    IF('General Information'!E125="", "", template_label_ok)
),
IF(
    AND(
        OR('General Information'!E125="Option A (Basic Module only)", 'General Information'!E125="Option B (Basic Module and Comprehensive Module)"),
        EmployeesReceivePayEqualOrAboveMinimumWageDeterminedByNationalLawOrCollectiveAgreement=""
    ),
    template_label_missing_value,
    IF('General Information'!E125="", "", template_label_ok)
)
)</f>
        <v/>
      </c>
    </row>
    <row r="143" spans="1:13" ht="29.15">
      <c r="A143" s="675" t="s">
        <v>68</v>
      </c>
      <c r="B143" s="1074" t="s">
        <v>69</v>
      </c>
      <c r="C143" s="574" t="str">
        <f>template_label_percentage_gap_in_pay_condition_of_applicability</f>
        <v>Is the undertaking is already required by EU law or other national regulations to report the percentage gap in pay between its female and male employees ?</v>
      </c>
      <c r="D143" s="910" t="b">
        <v>0</v>
      </c>
      <c r="E143" s="910"/>
      <c r="F143" s="910"/>
      <c r="G143" s="910"/>
      <c r="H143" s="730"/>
      <c r="I143" s="15"/>
      <c r="M143"/>
    </row>
    <row r="144" spans="1:13">
      <c r="A144" s="676"/>
      <c r="B144" s="1075"/>
      <c r="C144" s="574" t="str">
        <f>template_label_average_gross_hourly_pay_level_of_male_employees &amp; " " &amp; "(" &amp; template_label_amount_in &amp; " " &amp; template_currency &amp; ")"</f>
        <v>Average gross hourly pay level of male employees (amount in )</v>
      </c>
      <c r="D144" s="1126"/>
      <c r="E144" s="1126"/>
      <c r="F144" s="1126"/>
      <c r="G144" s="1126"/>
      <c r="H144" s="1127"/>
      <c r="I144" s="15" t="str">
        <f>IF(
'Table of Contents &amp; Validation'!D41=TRUE,
IF(
    AND(D143=FALSE, D144=""),
    "",
    IF(
        AND(D143=FALSE, D144&lt;&gt;""),
        template_label_ok,
        IF(
            AND(D143=TRUE, D144&lt;&gt;""),
            template_label_ok,
            ""
        )
    )
),
IF(
    AND(D143=FALSE, D144=""),
    "",
    IF(
        AND(D143=FALSE, D144&lt;&gt;""),
        template_label_ok,
        IF(
            AND(D143=TRUE, D144&lt;&gt;""),
            template_label_ok,
            template_label_missing_value
        )
    )
)
)</f>
        <v/>
      </c>
    </row>
    <row r="145" spans="1:9">
      <c r="A145" s="676"/>
      <c r="B145" s="1075"/>
      <c r="C145" s="574" t="str">
        <f>template_label_average_gross_hourly_pay_level_of_female_employees &amp; " " &amp; "(" &amp; template_label_amount_in &amp; " " &amp; template_currency &amp; ")"</f>
        <v>Average gross hourly pay level of female employees (amount in )</v>
      </c>
      <c r="D145" s="1126"/>
      <c r="E145" s="1126"/>
      <c r="F145" s="1126"/>
      <c r="G145" s="1126"/>
      <c r="H145" s="1127"/>
      <c r="I145" s="15" t="str">
        <f>IF(
'Table of Contents &amp; Validation'!D41=TRUE,
IF(
    AND(D143=FALSE, D145=""),
    "",
    IF(
        AND(D143=FALSE, D145&lt;&gt;""),
        template_label_ok,
        IF(
            AND(D143=TRUE, D145&lt;&gt;""),
            template_label_ok,
            ""
        )
    )
),
IF(
    AND(D143=FALSE, D145=""),
    "",
    IF(
        AND(D143=FALSE, D145&lt;&gt;""),
        template_label_ok,
        IF(
            AND(D143=TRUE, D145&lt;&gt;""),
            template_label_ok,
            template_label_missing_value
        )
    )
)
)</f>
        <v/>
      </c>
    </row>
    <row r="146" spans="1:9">
      <c r="A146" s="677"/>
      <c r="B146" s="1076"/>
      <c r="C146" s="575" t="str">
        <f>template_label_percentage_gap_in_pay_between_the_undertakings_female_and_male_employees</f>
        <v>Percentage gap in pay between the  undertaking's female and male employees [%]</v>
      </c>
      <c r="D146" s="1169" t="str">
        <f>IF(AND(D144&lt;&gt;"",D145&lt;&gt;""),((D144-D145)/D144),"-")</f>
        <v>-</v>
      </c>
      <c r="E146" s="1169"/>
      <c r="F146" s="1169"/>
      <c r="G146" s="1169"/>
      <c r="H146" s="1170"/>
    </row>
    <row r="147" spans="1:9">
      <c r="A147" s="702" t="s">
        <v>70</v>
      </c>
      <c r="B147" s="704" t="s">
        <v>71</v>
      </c>
      <c r="C147" s="574" t="str">
        <f>template_label_number_of_employees_covered_by_collective_bargaining_agreements</f>
        <v>Number of employees covered by collective bargaining agreements (in headcount)</v>
      </c>
      <c r="D147" s="1079"/>
      <c r="E147" s="1079"/>
      <c r="F147" s="1079"/>
      <c r="G147" s="1079"/>
      <c r="H147" s="1080"/>
      <c r="I147" s="15" t="str">
        <f>IF(OR(
'Table of Contents &amp; Validation'!D41=TRUE,'Table of Contents &amp; Validation'!D40=TRUE),
IF(
AND(
OR('General Information'!E125="Option A (Basic Module only)",'General Information'!E125="Option B (Basic Module and Comprehensive Module)"),
D147=""
),
"",
IF('General Information'!E125="","",template_label_ok)
),
IF(
AND(
OR('General Information'!E125="Option A (Basic Module only)",'General Information'!E125="Option B (Basic Module and Comprehensive Module)"),
D147=""
),
template_label_missing_value,
IF('General Information'!E125="","",template_label_ok)
)
)</f>
        <v/>
      </c>
    </row>
    <row r="148" spans="1:9" ht="15" thickBot="1">
      <c r="A148" s="702"/>
      <c r="B148" s="704"/>
      <c r="C148" s="118" t="str">
        <f>template_label_percentage_of_employees_covered_by_collective_bargaining_agreements</f>
        <v>Percentage of employees covered by collective bargaining agreements [%]</v>
      </c>
      <c r="D148" s="1185" t="str">
        <f>IF(D147&lt;&gt;"", IF('General Information'!E280=0, "-", D147/'General Information'!E280), "-")</f>
        <v>-</v>
      </c>
      <c r="E148" s="1185"/>
      <c r="F148" s="1185"/>
      <c r="G148" s="1185"/>
      <c r="H148" s="1186"/>
    </row>
    <row r="149" spans="1:9" ht="15" thickBot="1"/>
    <row r="150" spans="1:9" ht="15" thickBot="1">
      <c r="C150" s="1187" t="str">
        <f>template_label_number_of_annual_training_hours_per_employee_during_the_reporting_period&amp;" "&amp;template_label_from&amp;" "&amp;template_starting_date_display&amp;" "&amp;template_label_to&amp;" "&amp;template_ending_date_display&amp;" "</f>
        <v xml:space="preserve">B10 - Workforce - Number of annual training hours per employee during the reporting period from - to - </v>
      </c>
      <c r="D150" s="1188"/>
      <c r="E150" s="1188"/>
      <c r="F150" s="1188"/>
      <c r="G150" s="1188"/>
      <c r="H150" s="1189"/>
    </row>
    <row r="151" spans="1:9">
      <c r="C151" s="687" t="s">
        <v>72</v>
      </c>
      <c r="D151" s="677"/>
      <c r="E151" s="677"/>
      <c r="F151" s="677"/>
      <c r="G151" s="677"/>
      <c r="H151" s="682"/>
    </row>
    <row r="152" spans="1:9">
      <c r="C152" s="1061" t="s">
        <v>73</v>
      </c>
      <c r="D152" s="1062"/>
      <c r="E152" s="1062"/>
      <c r="F152" s="1062"/>
      <c r="G152" s="1062"/>
      <c r="H152" s="1063"/>
    </row>
    <row r="153" spans="1:9">
      <c r="C153" s="80" t="str" cm="1">
        <f t="array" ref="C153">template_label_total_number_of_training_hours_offered_to_and_completed_by_employees</f>
        <v>Total number of training hours offered to and completed by employees</v>
      </c>
      <c r="D153" s="1079"/>
      <c r="E153" s="1079"/>
      <c r="F153" s="1079"/>
      <c r="G153" s="1079"/>
      <c r="H153" s="1080"/>
      <c r="I153" s="15" t="str">
        <f>IF(OR(
'Table of Contents &amp; Validation'!D42=TRUE),
IF(
AND(
OR('General Information'!E125="Option A (Basic Module only)",'General Information'!E125="Option B (Basic Module and Comprehensive Module)"),
D153=""
),
"",
IF('General Information'!E125="","",template_label_ok)
),
IF(
AND(
OR('General Information'!E125="Option A (Basic Module only)",'General Information'!E125="Option B (Basic Module and Comprehensive Module)"),
D153=""
),
template_label_missing_value,
IF('General Information'!E125="","",template_label_ok)
)
)</f>
        <v/>
      </c>
    </row>
    <row r="154" spans="1:9">
      <c r="C154" s="80" t="str">
        <f>template_label_total_number_of_employees_in_headcount</f>
        <v>Total number of employees in headcount</v>
      </c>
      <c r="D154" s="1068"/>
      <c r="E154" s="1069"/>
      <c r="F154" s="1069"/>
      <c r="G154" s="1069"/>
      <c r="H154" s="1070"/>
      <c r="I154" s="15" t="str">
        <f>IF(OR(
'Table of Contents &amp; Validation'!D42=TRUE),
IF(
AND(
OR('General Information'!E125="Option A (Basic Module only)",'General Information'!E125="Option B (Basic Module and Comprehensive Module)"),
D154=""
),
"",
IF('General Information'!E125="","",template_label_ok)
),
IF(
AND(
OR('General Information'!E125="Option A (Basic Module only)",'General Information'!E125="Option B (Basic Module and Comprehensive Module)"),
D154=""
),
template_label_missing_value,
IF('General Information'!E125="","",template_label_ok)
)
)</f>
        <v/>
      </c>
    </row>
    <row r="155" spans="1:9" ht="15" thickBot="1">
      <c r="C155" s="576" t="str">
        <f>template_label_average_number_of_annual_training_hours_per_employee</f>
        <v>Average number of annual training hours per employee</v>
      </c>
      <c r="D155" s="1071" t="str">
        <f>IFERROR(IF(AND(D153&lt;&gt;"", D154&lt;&gt;""), $D$153/$D$154, "-"), "-")</f>
        <v>-</v>
      </c>
      <c r="E155" s="1072"/>
      <c r="F155" s="1072"/>
      <c r="G155" s="1072"/>
      <c r="H155" s="1073"/>
      <c r="I155" s="15"/>
    </row>
    <row r="156" spans="1:9" ht="15" thickBot="1"/>
    <row r="157" spans="1:9">
      <c r="C157" s="1171" t="str">
        <f>template_label_c5_additional_workforce_characteristics&amp;" "&amp;template_label_from&amp;" "&amp;template_starting_date_display&amp;" "&amp;template_label_to&amp;" "&amp;template_ending_date_display&amp;" "</f>
        <v xml:space="preserve">C5 - Additional (general) workforce characteristics from - to - </v>
      </c>
      <c r="D157" s="1172"/>
      <c r="E157" s="1172"/>
      <c r="F157" s="1172"/>
      <c r="G157" s="1172"/>
      <c r="H157" s="1173"/>
    </row>
    <row r="158" spans="1:9">
      <c r="A158" s="675">
        <v>58</v>
      </c>
      <c r="B158" s="1074" t="s">
        <v>74</v>
      </c>
      <c r="C158" s="117" t="str">
        <f>template_label_number_of_employees_who_left_during_the_reporting_period</f>
        <v>Number of employees who left during the reporting period (in headcount)</v>
      </c>
      <c r="D158" s="1064"/>
      <c r="E158" s="1064"/>
      <c r="F158" s="1064"/>
      <c r="G158" s="1064"/>
      <c r="H158" s="1065"/>
      <c r="I158" s="15" t="str">
        <f>IF(
    'Table of Contents &amp; Validation'!D56=TRUE,
    IF(
        AND('General Information'!$E$280&lt;=10,D158=""),
        "",
        IF(
            D158&lt;&gt;"",
            template_label_ok,
            ""
        )
    ),
    IF(
        AND('General Information'!$E$280&lt;=10,D158=""),
        "",
        IF(
            D158&lt;&gt;"",
            template_label_ok,
            IF(
                AND('General Information'!$E$280&gt;10,D158="",BasisForPreparation="Option B (Basic Module and Comprehensive Module)"),
                template_label_missing_value,
                ""
            )
        )
    )
)</f>
        <v/>
      </c>
    </row>
    <row r="159" spans="1:9">
      <c r="A159" s="676"/>
      <c r="B159" s="1075"/>
      <c r="C159" s="117" t="str">
        <f>template_label_number_of_employees_at_the_beginning_of_the_reporting_period</f>
        <v>Number of employees at the beginning of the reporting period (in headcount)</v>
      </c>
      <c r="D159" s="1064"/>
      <c r="E159" s="1064"/>
      <c r="F159" s="1064"/>
      <c r="G159" s="1064"/>
      <c r="H159" s="1065"/>
      <c r="I159" s="15" t="str">
        <f>IF(
    'Table of Contents &amp; Validation'!D57=TRUE,
    IF(
        AND('General Information'!$E$280&lt;=10,D159=""),
        "",
        IF(
            D159&lt;&gt;"",
            template_label_ok,
            ""
        )
    ),
    IF(
        AND('General Information'!$E$280&lt;=10,D159=""),
        "",
        IF(
            D159&lt;&gt;"",
            template_label_ok,
            IF(
                AND('General Information'!$E$280&gt;10,D159="",BasisForPreparation="Option B (Basic Module and Comprehensive Module)"),
                template_label_missing_value,
                ""
            )
        )
    )
)</f>
        <v/>
      </c>
    </row>
    <row r="160" spans="1:9">
      <c r="A160" s="676"/>
      <c r="B160" s="1075"/>
      <c r="C160" s="117" t="str">
        <f>template_label_number_of_employees_at_the_end_of_the_reporting_period</f>
        <v>Number of employees at the end of the reporting period (in headcount)</v>
      </c>
      <c r="D160" s="1064"/>
      <c r="E160" s="1064"/>
      <c r="F160" s="1064"/>
      <c r="G160" s="1064"/>
      <c r="H160" s="1065"/>
      <c r="I160" s="15" t="str">
        <f>IF(
    'Table of Contents &amp; Validation'!D58=TRUE,
    IF(
        AND('General Information'!$E$280&lt;=10,D160=""),
        "",
        IF(
            D160&lt;&gt;"",
            template_label_ok,
            ""
        )
    ),
    IF(
        AND('General Information'!$E$280&lt;=10,D160=""),
        "",
        IF(
            D160&lt;&gt;"",
            template_label_ok,
            IF(
                AND('General Information'!$E$280&gt;10,D160="",BasisForPreparation="Option B (Basic Module and Comprehensive Module)"),
                template_label_missing_value,
                ""
            )
        )
    )
)</f>
        <v/>
      </c>
    </row>
    <row r="161" spans="1:10" ht="15" thickBot="1">
      <c r="A161" s="677"/>
      <c r="B161" s="1076"/>
      <c r="C161" s="79" t="str">
        <f>template_label_employee_turnover_rate_in_the_reporting_period</f>
        <v>Employee turnover rate [%]  in the reporting period</v>
      </c>
      <c r="D161" s="1066" t="str">
        <f>IF(OR(D158="",D159="",D160=""),"-",IF((D159+D160)=0,IF(D158=0,"-",0),D158/((D159+D160)/2)))</f>
        <v>-</v>
      </c>
      <c r="E161" s="1066"/>
      <c r="F161" s="1066"/>
      <c r="G161" s="1066"/>
      <c r="H161" s="1067"/>
    </row>
    <row r="162" spans="1:10">
      <c r="A162" s="675">
        <v>59</v>
      </c>
      <c r="B162" s="681" t="s">
        <v>75</v>
      </c>
      <c r="C162" s="119" t="str">
        <f>template_label_number_of_male_employees_at_management_level</f>
        <v>Number of male employees at management level</v>
      </c>
      <c r="D162" s="1174"/>
      <c r="E162" s="1175"/>
      <c r="F162" s="1175"/>
      <c r="G162" s="1175"/>
      <c r="H162" s="1176"/>
      <c r="I162" s="15" t="str">
        <f>IF(D162&lt;&gt;"", template_label_ok, "")</f>
        <v/>
      </c>
    </row>
    <row r="163" spans="1:10">
      <c r="A163" s="676"/>
      <c r="B163" s="1077"/>
      <c r="C163" s="120" t="str">
        <f>template_label_number_of_female_employees_at_management_level</f>
        <v>Number of female employees at management level</v>
      </c>
      <c r="D163" s="1068"/>
      <c r="E163" s="1069"/>
      <c r="F163" s="1069"/>
      <c r="G163" s="1069"/>
      <c r="H163" s="1070"/>
      <c r="I163" s="15" t="str">
        <f>IF(D163&lt;&gt;"", template_label_ok, "")</f>
        <v/>
      </c>
    </row>
    <row r="164" spans="1:10" ht="15" thickBot="1">
      <c r="A164" s="677"/>
      <c r="B164" s="1078"/>
      <c r="C164" s="118" t="str">
        <f>template_label_female_to_male_ratio_at_management_level_for_the_reporting_period</f>
        <v>Female-to-male ratio at management level for the reporting period</v>
      </c>
      <c r="D164" s="1177" t="str">
        <f>IF(OR(D162="",D163=""),"-",IF(D162=0,IF(D163=0,"-",0),$D$163/$D$162))</f>
        <v>-</v>
      </c>
      <c r="E164" s="1178"/>
      <c r="F164" s="1178"/>
      <c r="G164" s="1178"/>
      <c r="H164" s="1179"/>
    </row>
    <row r="165" spans="1:10" ht="29.15">
      <c r="A165" s="675">
        <v>60</v>
      </c>
      <c r="B165" s="681" t="s">
        <v>76</v>
      </c>
      <c r="C165" s="121" t="str">
        <f>template_label_total_self_employed_workers_without_personnel_that_are_working_exclusively_for_the_undertaking</f>
        <v>Total self-employed workers without personnel that are working exclusively for the undertaking</v>
      </c>
      <c r="D165" s="1158"/>
      <c r="E165" s="1159"/>
      <c r="F165" s="1159"/>
      <c r="G165" s="1159"/>
      <c r="H165" s="1160"/>
      <c r="I165" s="15" t="str">
        <f>IF(D165&lt;&gt;"", template_label_ok, "")</f>
        <v/>
      </c>
    </row>
    <row r="166" spans="1:10" ht="29.6" thickBot="1">
      <c r="A166" s="677"/>
      <c r="B166" s="682"/>
      <c r="C166" s="122" t="str">
        <f>template_label_total_temporary_workers_provided_by_undertakings_primarily_engaged_in_employment_activities</f>
        <v>Total temporary workers provided by undertakings primarily engaged in employment activities</v>
      </c>
      <c r="D166" s="1081"/>
      <c r="E166" s="1082"/>
      <c r="F166" s="1082"/>
      <c r="G166" s="1082"/>
      <c r="H166" s="1083"/>
      <c r="I166" s="15" t="str">
        <f>IF(D166&lt;&gt;"", template_label_ok, "")</f>
        <v/>
      </c>
    </row>
    <row r="167" spans="1:10" ht="15" thickBot="1"/>
    <row r="168" spans="1:10" ht="15" thickBot="1">
      <c r="C168" s="1084" t="str">
        <f>template_label_c6_additional_own_workforce_information_human_rights_policies_and_processes&amp;" "&amp;template_label_from&amp;" "&amp;template_starting_date_display&amp;" "&amp;template_label_to&amp;" "&amp;template_ending_date_display&amp;" "</f>
        <v xml:space="preserve">C6 - Additional own workforce information - Human rights policies and processes from - to - </v>
      </c>
      <c r="D168" s="1085"/>
      <c r="E168" s="1085"/>
      <c r="F168" s="1085"/>
      <c r="G168" s="1085"/>
      <c r="H168" s="1086"/>
    </row>
    <row r="169" spans="1:10" ht="14.4" customHeight="1">
      <c r="A169" s="345" t="s">
        <v>77</v>
      </c>
      <c r="B169" s="345">
        <v>174</v>
      </c>
      <c r="C169" s="599" t="str">
        <f>template_label_does_the_undertaking_have_a_code_of_conduct_or_human_rights_policy_for_its_own_workforce</f>
        <v>Does the undertaking have a code of conduct or human rights policy for its own workforce?</v>
      </c>
      <c r="D169" s="1027"/>
      <c r="E169" s="1146"/>
      <c r="F169" s="1146"/>
      <c r="G169" s="1146"/>
      <c r="H169" s="1147"/>
      <c r="I169" s="15" t="str">
        <f>IF(OR(
'Table of Contents &amp; Validation'!D57=TRUE,'General Information'!E280&lt;=10),
IF(
    AND('General Information'!$E$125="Option B (Basic Module and Comprehensive Module)", D169&lt;&gt;""),
    template_label_ok,
    IF(
        AND('General Information'!$E$125="Option B (Basic Module and Comprehensive Module)", D169=""),
        "",
        IF(
            AND('General Information'!$E$125="Option A (Basic Module only)", D169&lt;&gt;""),
            template_label_ok,
            ""
        )
    )
),
IF(
    AND('General Information'!$E$125="Option B (Basic Module and Comprehensive Module)", D169&lt;&gt;""),
    template_label_ok,
    IF(
        AND('General Information'!$E$125="Option B (Basic Module and Comprehensive Module)", D169=""),
        template_label_missing_value,
        IF(
            AND('General Information'!$E$125="Option A (Basic Module only)", D169&lt;&gt;""),
            template_label_ok,
            ""
        )
    )
)
)</f>
        <v/>
      </c>
    </row>
    <row r="170" spans="1:10">
      <c r="A170" s="702" t="s">
        <v>79</v>
      </c>
      <c r="B170" s="702">
        <v>174</v>
      </c>
      <c r="C170" s="484" t="str">
        <f>template_label_if_yes_does_this_cover</f>
        <v>If yes does this cover:</v>
      </c>
      <c r="D170" s="1148"/>
      <c r="E170" s="1149"/>
      <c r="F170" s="1149"/>
      <c r="G170" s="1149"/>
      <c r="H170" s="1150"/>
    </row>
    <row r="171" spans="1:10">
      <c r="A171" s="702"/>
      <c r="B171" s="702"/>
      <c r="C171" s="600" t="str">
        <f>template_label_child_labour</f>
        <v>child labour</v>
      </c>
      <c r="D171" s="1143" t="b">
        <v>0</v>
      </c>
      <c r="E171" s="1143"/>
      <c r="F171" s="1143"/>
      <c r="G171" s="1143"/>
      <c r="H171" s="1144"/>
      <c r="I171" s="1142" t="str">
        <f>IF(
    AND(OR(D171=TRUE,D172=TRUE,D173=TRUE,D174=TRUE,D175=TRUE,D176=TRUE), D169="YES"),
    template_label_ok,
    IF(
        AND(D171=FALSE,D172=FALSE,D173=FALSE,D174=FALSE,D175=FALSE,D176=FALSE, D169="YES"),
        template_label_missing_value,
        IF(
            AND(D171=FALSE,D172=FALSE,D173=FALSE,D174=FALSE,D175=FALSE,D176=FALSE, D169="NO"),
            "",
            IF(
                AND(D171=FALSE,D172=FALSE,D173=FALSE,D174=FALSE,D175=FALSE,D176=FALSE, D169=""),
                "",
                IF(
                    AND(OR(D171=TRUE,D172=TRUE,D173=TRUE,D174=TRUE,D175=TRUE,D176=TRUE), D169=""),
                    "",
                    template_label_value_inconsistency
                )
            )
        )
    )
)</f>
        <v/>
      </c>
    </row>
    <row r="172" spans="1:10">
      <c r="A172" s="702"/>
      <c r="B172" s="702"/>
      <c r="C172" s="600" t="str">
        <f>template_label_forced_labour</f>
        <v>forced labour</v>
      </c>
      <c r="D172" s="1143" t="b">
        <v>0</v>
      </c>
      <c r="E172" s="1143"/>
      <c r="F172" s="1143"/>
      <c r="G172" s="1143"/>
      <c r="H172" s="1144"/>
      <c r="I172" s="1142"/>
    </row>
    <row r="173" spans="1:10">
      <c r="A173" s="702"/>
      <c r="B173" s="702"/>
      <c r="C173" s="600" t="str">
        <f>template_label_human_trafficking</f>
        <v>human trafficking</v>
      </c>
      <c r="D173" s="1143" t="b">
        <v>0</v>
      </c>
      <c r="E173" s="1143"/>
      <c r="F173" s="1143"/>
      <c r="G173" s="1143"/>
      <c r="H173" s="1144"/>
      <c r="I173" s="1142"/>
    </row>
    <row r="174" spans="1:10">
      <c r="A174" s="702"/>
      <c r="B174" s="702"/>
      <c r="C174" s="600" t="str">
        <f>template_label_discrimination</f>
        <v>discrimination</v>
      </c>
      <c r="D174" s="1143" t="b">
        <v>0</v>
      </c>
      <c r="E174" s="1143"/>
      <c r="F174" s="1143"/>
      <c r="G174" s="1143"/>
      <c r="H174" s="1144"/>
      <c r="I174" s="1142"/>
    </row>
    <row r="175" spans="1:10">
      <c r="A175" s="702"/>
      <c r="B175" s="702"/>
      <c r="C175" s="314" t="str">
        <f>template_label_accident_prevention</f>
        <v>accident prevention</v>
      </c>
      <c r="D175" s="1145" t="b">
        <v>0</v>
      </c>
      <c r="E175" s="1143"/>
      <c r="F175" s="1143"/>
      <c r="G175" s="1143"/>
      <c r="H175" s="1144"/>
      <c r="I175" s="1142"/>
    </row>
    <row r="176" spans="1:10">
      <c r="A176" s="702"/>
      <c r="B176" s="702"/>
      <c r="C176" s="601" t="str">
        <f>template_label_other_if_yes_specify</f>
        <v>other? ( if yes specify)</v>
      </c>
      <c r="D176" s="1143" t="b">
        <v>0</v>
      </c>
      <c r="E176" s="1143"/>
      <c r="F176" s="1143"/>
      <c r="G176" s="1143"/>
      <c r="H176" s="1144"/>
      <c r="I176" s="1142"/>
      <c r="J176" s="10" t="str">
        <f>template_label_other_warning</f>
        <v>ℹ️ When "other" is chosen as undertaking legal form, please fill the row below</v>
      </c>
    </row>
    <row r="177" spans="1:10" ht="33.65" customHeight="1">
      <c r="A177" s="702"/>
      <c r="B177" s="702"/>
      <c r="C177" s="602" t="str">
        <f>template_label_specify_other_types_of_content_covered_by_the_code_of_conduct_or_human_rights_policy</f>
        <v>Specify other types of content covered by the code of conduct or human rights policy</v>
      </c>
      <c r="D177" s="1180"/>
      <c r="E177" s="1180"/>
      <c r="F177" s="1180"/>
      <c r="G177" s="1180"/>
      <c r="H177" s="1181"/>
      <c r="I177" s="15" t="str">
        <f>IF(template_checkbox_c6_additional_own_workforce_information_docx=TRUE,
IF(AND(D176=TRUE,D177&lt;&gt;""), template_label_ok,
IF(AND(D176=TRUE,D177=""), "",
IF(AND(D176=FALSE,D177&lt;&gt;""), "",
""))),
IF(AND(D176=TRUE,D177&lt;&gt;""), template_label_ok,
IF(AND(D176=TRUE,D177=""), template_label_missing_value,
IF(AND(D176=FALSE,D177&lt;&gt;""), template_label_missing_value,
""))))</f>
        <v/>
      </c>
    </row>
    <row r="178" spans="1:10" ht="15" thickBot="1">
      <c r="A178" s="345" t="s">
        <v>80</v>
      </c>
      <c r="B178" s="346" t="s">
        <v>81</v>
      </c>
      <c r="C178" s="124" t="str">
        <f>template_label_does_the_undertaking_have_a_complaint_handling_mechanism_for_its_own_workforce</f>
        <v>Does the undertaking have a complaint-handling mechanism for its own workforce?</v>
      </c>
      <c r="D178" s="1182"/>
      <c r="E178" s="1183"/>
      <c r="F178" s="1183"/>
      <c r="G178" s="1183"/>
      <c r="H178" s="1184"/>
      <c r="I178" s="15" t="str">
        <f>IF(template_checkbox_c6_additional_own_workforce_information_docx=TRUE,
IF(OR(
'Table of Contents &amp; Validation'!D57=TRUE,'General Information'!E280&lt;=10),
IF(AND('General Information'!$E$125="Option B (Basic Module and Comprehensive Module)",D178&lt;&gt;""), template_label_ok,
IF(AND('General Information'!$E$125="Option B (Basic Module and Comprehensive Module)",D178=""), "",
IF(AND('General Information'!$E$125="Option A (Basic Module only)",D178&lt;&gt;""), template_label_ok,
""))),
IF(AND('General Information'!$E$125="Option B (Basic Module and Comprehensive Module)",D178&lt;&gt;""), template_label_ok,
IF(AND('General Information'!$E$125="Option B (Basic Module and Comprehensive Module)",D178=""), "",
IF(AND('General Information'!$E$125="Option A (Basic Module only)",D178&lt;&gt;""), template_label_ok,
"")))),
IF(OR(
'Table of Contents &amp; Validation'!D57=TRUE,'General Information'!E280&lt;=10),
IF(AND('General Information'!$E$125="Option B (Basic Module and Comprehensive Module)",D178&lt;&gt;""), template_label_ok,
IF(AND('General Information'!$E$125="Option B (Basic Module and Comprehensive Module)",D178=""), "",
IF(AND('General Information'!$E$125="Option A (Basic Module only)",D178&lt;&gt;""), template_label_ok,
""))),
IF(AND('General Information'!$E$125="Option B (Basic Module and Comprehensive Module)",D178&lt;&gt;""), template_label_ok,
IF(AND('General Information'!$E$125="Option B (Basic Module and Comprehensive Module)",D178=""), template_label_missing_value,
IF(AND('General Information'!$E$125="Option A (Basic Module only)",D178&lt;&gt;""), template_label_ok,
"")))))</f>
        <v/>
      </c>
    </row>
    <row r="179" spans="1:10" ht="15" thickBot="1"/>
    <row r="180" spans="1:10" ht="103.4" customHeight="1" thickBot="1">
      <c r="A180" s="1161" t="str">
        <f>template_label_supporting_guidance_c7</f>
        <v>ℹ️ VSME Supporting Guide to Disclosure C7 - Comprehensive Module (Severe negative human rights incidents (paragraph 62(c))</v>
      </c>
      <c r="B180" s="1162"/>
      <c r="C180" s="972" t="str">
        <f>template_label_c7_human_rights_incidents&amp;" "&amp;template_label_from&amp;" "&amp;template_starting_date_display&amp;" "&amp;template_label_to&amp;" "&amp;template_ending_date_display&amp;" "</f>
        <v xml:space="preserve">C7 - Human rights incidents from - to - </v>
      </c>
      <c r="D180" s="973"/>
      <c r="E180" s="973"/>
      <c r="F180" s="973"/>
      <c r="G180" s="973"/>
      <c r="H180" s="974"/>
    </row>
    <row r="181" spans="1:10">
      <c r="A181" s="345">
        <v>62</v>
      </c>
      <c r="B181" s="346" t="s">
        <v>82</v>
      </c>
      <c r="C181" s="603" t="str">
        <f>template_label_does_the_undertaking_have_confirmed_incidents_in_its_own_workforce</f>
        <v>Does the undertaking have confirmed incidents in its own workforce?</v>
      </c>
      <c r="D181" s="1155"/>
      <c r="E181" s="1155"/>
      <c r="F181" s="1155"/>
      <c r="G181" s="1155"/>
      <c r="H181" s="1156"/>
      <c r="I181" s="15" t="str">
        <f>IF(OR(
'Table of Contents &amp; Validation'!D58=TRUE,'General Information'!E280&lt;=10),
IF(AND('General Information'!$E$125="Option B (Basic Module and Comprehensive Module)",D181&lt;&gt;""), template_label_ok,
IF(AND('General Information'!$E$125="Option B (Basic Module and Comprehensive Module)",D181=""), "",
IF(AND('General Information'!$E$125="Option A (Basic Module only)",D181&lt;&gt;""), template_label_ok,
""))),
IF(AND('General Information'!$E$125="Option B (Basic Module and Comprehensive Module)",D181&lt;&gt;""), template_label_ok,
IF(AND('General Information'!$E$125="Option B (Basic Module and Comprehensive Module)",D181=""), template_label_missing_value,
IF(AND('General Information'!$E$125="Option A (Basic Module only)",D181&lt;&gt;""), template_label_ok,
"")))
)</f>
        <v/>
      </c>
    </row>
    <row r="182" spans="1:10">
      <c r="A182" s="702" t="s">
        <v>83</v>
      </c>
      <c r="B182" s="704" t="s">
        <v>82</v>
      </c>
      <c r="C182" s="125" t="str">
        <f>template_label_if_yes_are_incidents_related_to</f>
        <v>If yes are incidents related to:</v>
      </c>
      <c r="D182" s="1148"/>
      <c r="E182" s="1149"/>
      <c r="F182" s="1149"/>
      <c r="G182" s="1149"/>
      <c r="H182" s="1150"/>
    </row>
    <row r="183" spans="1:10">
      <c r="A183" s="702"/>
      <c r="B183" s="704"/>
      <c r="C183" s="123" t="str">
        <f>template_label_child_labour</f>
        <v>child labour</v>
      </c>
      <c r="D183" s="1151" t="b">
        <v>0</v>
      </c>
      <c r="E183" s="1151"/>
      <c r="F183" s="1151"/>
      <c r="G183" s="1151"/>
      <c r="H183" s="1152"/>
      <c r="I183" s="1142" t="str" cm="1">
        <f t="array" ref="I183">IF(AND(OR(D183=TRUE,D184=TRUE,D185=TRUE,D186=TRUE,D187=TRUE),D181="YES"), template_label_ok,
IF(AND(D183=FALSE,D184=FALSE,D185=FALSE,D186=FALSE,D187=FALSE,D181="YES"), template_label_missing_value,
IF(AND(D183=FALSE,D184=FALSE,D185=FALSE,D186=FALSE,D187=FALSE,D181=""), "",
IF(AND(D183=FALSE,D184=FALSE,D185=FALSE,D186=FALSE,D187=FALSE,D181="NO"), "",
IF(AND(OR(D183:D187=TRUE),D181=""), "",
template_label_value_inconsistency)))))</f>
        <v/>
      </c>
    </row>
    <row r="184" spans="1:10">
      <c r="A184" s="702"/>
      <c r="B184" s="704"/>
      <c r="C184" s="123" t="str">
        <f>template_label_forced_labour</f>
        <v>forced labour</v>
      </c>
      <c r="D184" s="1151" t="b">
        <v>0</v>
      </c>
      <c r="E184" s="1151"/>
      <c r="F184" s="1151"/>
      <c r="G184" s="1151"/>
      <c r="H184" s="1152"/>
      <c r="I184" s="1142"/>
    </row>
    <row r="185" spans="1:10">
      <c r="A185" s="702"/>
      <c r="B185" s="704"/>
      <c r="C185" s="123" t="str">
        <f>template_label_human_trafficking</f>
        <v>human trafficking</v>
      </c>
      <c r="D185" s="1151" t="b">
        <v>0</v>
      </c>
      <c r="E185" s="1151"/>
      <c r="F185" s="1151"/>
      <c r="G185" s="1151"/>
      <c r="H185" s="1152"/>
      <c r="I185" s="1142"/>
    </row>
    <row r="186" spans="1:10">
      <c r="A186" s="702"/>
      <c r="B186" s="704"/>
      <c r="C186" s="123" t="str">
        <f>template_label_discrimination</f>
        <v>discrimination</v>
      </c>
      <c r="D186" s="1151" t="b">
        <v>0</v>
      </c>
      <c r="E186" s="1151"/>
      <c r="F186" s="1151"/>
      <c r="G186" s="1151"/>
      <c r="H186" s="1152"/>
      <c r="I186" s="1142"/>
    </row>
    <row r="187" spans="1:10">
      <c r="A187" s="702"/>
      <c r="B187" s="704"/>
      <c r="C187" s="123" t="str">
        <f>template_label_other_if_yes_specify</f>
        <v>other? ( if yes specify)</v>
      </c>
      <c r="D187" s="1151" t="b">
        <v>0</v>
      </c>
      <c r="E187" s="1151"/>
      <c r="F187" s="1151"/>
      <c r="G187" s="1151"/>
      <c r="H187" s="1152"/>
      <c r="I187" s="1142"/>
      <c r="J187" s="10" t="str">
        <f>template_label_other_warning</f>
        <v>ℹ️ When "other" is chosen as undertaking legal form, please fill the row below</v>
      </c>
    </row>
    <row r="188" spans="1:10">
      <c r="A188" s="702"/>
      <c r="B188" s="704"/>
      <c r="C188" s="78" t="str">
        <f>template_label_specify_other_human_rights_related_to_the_confirmed_incidents</f>
        <v>Specify other human rights related to the confirmed incidents</v>
      </c>
      <c r="D188" s="1153"/>
      <c r="E188" s="1153"/>
      <c r="F188" s="1153"/>
      <c r="G188" s="1153"/>
      <c r="H188" s="1154"/>
      <c r="I188" s="15" t="str">
        <f>IF(template_checkbox_c7_severe_negative_human_rights_incidents_docx=TRUE,
IF(AND(D187=TRUE,D188&lt;&gt;""), template_label_ok,
IF(AND(D187=TRUE,D188=""), "",
IF(AND(D187=FALSE,D188&lt;&gt;""), "", ""))),
IF(AND(D187=TRUE,D188&lt;&gt;""), template_label_ok,
IF(AND(D187=TRUE,D188=""), template_label_missing_value,
IF(AND(D187=FALSE,D188&lt;&gt;""), template_label_missing_value, ""))))</f>
        <v/>
      </c>
    </row>
    <row r="189" spans="1:10">
      <c r="A189" s="345" t="s">
        <v>84</v>
      </c>
      <c r="B189" s="346" t="s">
        <v>82</v>
      </c>
      <c r="C189" s="78" t="str">
        <f>template_label_description_of_actions_taken_to_address_the_confirmed_incidents</f>
        <v>Description of actions taken to address the confirmed incidents</v>
      </c>
      <c r="D189" s="1163"/>
      <c r="E189" s="1164"/>
      <c r="F189" s="1164"/>
      <c r="G189" s="1164"/>
      <c r="H189" s="1165"/>
      <c r="I189" s="15" t="str">
        <f>IF(D189&lt;&gt;"",template_label_ok,"")</f>
        <v/>
      </c>
    </row>
    <row r="190" spans="1:10" ht="29.15">
      <c r="A190" s="345" t="s">
        <v>85</v>
      </c>
      <c r="B190" s="346" t="s">
        <v>82</v>
      </c>
      <c r="C190" s="99" t="str">
        <f>template_label_is_the_undertaking_aware_of_any_confirmed_incidents_involving_workers</f>
        <v>Is the undertaking aware of any confirmed incidents involving workers in the value chain affected communities consumers and end-users identified in the reporting period?</v>
      </c>
      <c r="D190" s="816"/>
      <c r="E190" s="816"/>
      <c r="F190" s="816"/>
      <c r="G190" s="816"/>
      <c r="H190" s="1166"/>
      <c r="I190" s="15" t="str">
        <f>IF(OR(
'Table of Contents &amp; Validation'!D58=TRUE,'General Information'!E280&lt;=10),
IF(AND('General Information'!$E$125="Option B (Basic Module and Comprehensive Module)",D190&lt;&gt;""), template_label_ok,
IF(AND('General Information'!$E$125="Option B (Basic Module and Comprehensive Module)",D190=""), "",
IF(AND('General Information'!$E$125="Option A (Basic Module only)",D190&lt;&gt;""), template_label_ok, ""))),
IF(AND('General Information'!$E$125="Option B (Basic Module and Comprehensive Module)",D190&lt;&gt;""), template_label_ok,
IF(AND('General Information'!$E$125="Option B (Basic Module and Comprehensive Module)",D190=""), template_label_missing_value,
IF(AND('General Information'!$E$125="Option A (Basic Module only)",D190&lt;&gt;""), template_label_ok, "")))
)</f>
        <v/>
      </c>
    </row>
    <row r="191" spans="1:10" ht="29.6" thickBot="1">
      <c r="A191" s="345" t="s">
        <v>85</v>
      </c>
      <c r="B191" s="346" t="s">
        <v>82</v>
      </c>
      <c r="C191" s="340" t="str">
        <f>template_label_specification_of_any_confirmed_incident_involving_workers</f>
        <v>Specification of any confirmed incident identified in the reporitng period involving workers in the value chain affected communities consumers and end-users</v>
      </c>
      <c r="D191" s="1167"/>
      <c r="E191" s="1167"/>
      <c r="F191" s="1167"/>
      <c r="G191" s="1167"/>
      <c r="H191" s="1168"/>
      <c r="I191" s="15" t="str">
        <f>IF(template_checkbox_c7_severe_negative_human_rights_incidents_docx=TRUE,
IF(AND(D190="YES",D191&lt;&gt;""), template_label_ok,
IF(AND(D190="YES",D191=""), "",
IF(AND(D190="NO",D191&lt;&gt;""), "", ""))),
IF(AND(D190="YES",D191&lt;&gt;""), template_label_ok,
IF(AND(D190="YES",D191=""), template_label_missing_value,
IF(AND(D190="NO",D191&lt;&gt;""), template_label_missing_value, ""))))</f>
        <v/>
      </c>
    </row>
    <row r="194" spans="3:9" ht="15" thickBot="1"/>
    <row r="195" spans="3:9" ht="15" thickBot="1">
      <c r="C195" s="666" t="str">
        <f>template_label_disclosure_of_any_other_social_and_or_entity_specific_social_disclosures&amp;" "&amp;template_label_from&amp;" "&amp;template_starting_date_display&amp;" "&amp;template_label_to&amp;" "&amp;template_ending_date_display&amp;" "</f>
        <v xml:space="preserve">Disclosure of any other social and/or entity specific social disclosures from - to - </v>
      </c>
      <c r="D195" s="667"/>
      <c r="E195" s="667"/>
      <c r="F195" s="667"/>
      <c r="G195" s="667"/>
      <c r="H195" s="668"/>
    </row>
    <row r="196" spans="3:9">
      <c r="C196" s="687">
        <v>12</v>
      </c>
      <c r="D196" s="677"/>
      <c r="E196" s="677"/>
      <c r="F196" s="677"/>
      <c r="G196" s="677"/>
      <c r="H196" s="682"/>
    </row>
    <row r="197" spans="3:9" ht="15" thickBot="1">
      <c r="C197" s="1157"/>
      <c r="D197" s="743"/>
      <c r="E197" s="743"/>
      <c r="F197" s="743"/>
      <c r="G197" s="743"/>
      <c r="H197" s="744"/>
      <c r="I197" s="15" t="str">
        <f>IF(C197&lt;&gt;"", template_label_ok, "")</f>
        <v/>
      </c>
    </row>
  </sheetData>
  <sheetProtection formatColumns="0" formatRows="0" insertRows="0"/>
  <mergeCells count="311">
    <mergeCell ref="C197:H197"/>
    <mergeCell ref="C195:H195"/>
    <mergeCell ref="C196:H196"/>
    <mergeCell ref="D165:H165"/>
    <mergeCell ref="A180:B180"/>
    <mergeCell ref="D189:H189"/>
    <mergeCell ref="D190:H190"/>
    <mergeCell ref="D191:H191"/>
    <mergeCell ref="D146:H146"/>
    <mergeCell ref="A143:A146"/>
    <mergeCell ref="A170:A177"/>
    <mergeCell ref="A182:A188"/>
    <mergeCell ref="C157:H157"/>
    <mergeCell ref="D162:H162"/>
    <mergeCell ref="D163:H163"/>
    <mergeCell ref="D164:H164"/>
    <mergeCell ref="D177:H177"/>
    <mergeCell ref="D178:H178"/>
    <mergeCell ref="A147:A148"/>
    <mergeCell ref="B147:B148"/>
    <mergeCell ref="D147:H147"/>
    <mergeCell ref="D148:H148"/>
    <mergeCell ref="C150:H150"/>
    <mergeCell ref="C151:H151"/>
    <mergeCell ref="I183:I187"/>
    <mergeCell ref="D184:H184"/>
    <mergeCell ref="D185:H185"/>
    <mergeCell ref="D186:H186"/>
    <mergeCell ref="D187:H187"/>
    <mergeCell ref="D188:H188"/>
    <mergeCell ref="C180:H180"/>
    <mergeCell ref="D181:H181"/>
    <mergeCell ref="D182:H182"/>
    <mergeCell ref="D183:H183"/>
    <mergeCell ref="I171:I176"/>
    <mergeCell ref="D172:H172"/>
    <mergeCell ref="D173:H173"/>
    <mergeCell ref="D174:H174"/>
    <mergeCell ref="D175:H175"/>
    <mergeCell ref="D176:H176"/>
    <mergeCell ref="D169:H169"/>
    <mergeCell ref="D170:H170"/>
    <mergeCell ref="D171:H171"/>
    <mergeCell ref="C128:D128"/>
    <mergeCell ref="E128:H128"/>
    <mergeCell ref="C129:D129"/>
    <mergeCell ref="E129:H129"/>
    <mergeCell ref="D139:H139"/>
    <mergeCell ref="C141:H141"/>
    <mergeCell ref="D142:H142"/>
    <mergeCell ref="D144:H144"/>
    <mergeCell ref="D145:H145"/>
    <mergeCell ref="C132:H132"/>
    <mergeCell ref="D133:H133"/>
    <mergeCell ref="D134:H134"/>
    <mergeCell ref="D135:H135"/>
    <mergeCell ref="D138:H138"/>
    <mergeCell ref="D137:H137"/>
    <mergeCell ref="D136:H136"/>
    <mergeCell ref="D143:H143"/>
    <mergeCell ref="E35:H35"/>
    <mergeCell ref="C36:D36"/>
    <mergeCell ref="E36:H36"/>
    <mergeCell ref="C37:D37"/>
    <mergeCell ref="E37:H37"/>
    <mergeCell ref="C32:D32"/>
    <mergeCell ref="E32:H32"/>
    <mergeCell ref="C33:D33"/>
    <mergeCell ref="E33:H33"/>
    <mergeCell ref="C34:D34"/>
    <mergeCell ref="E34:H34"/>
    <mergeCell ref="C47:D47"/>
    <mergeCell ref="C48:D48"/>
    <mergeCell ref="C30:D30"/>
    <mergeCell ref="E30:H30"/>
    <mergeCell ref="C31:D31"/>
    <mergeCell ref="E31:H31"/>
    <mergeCell ref="D22:G22"/>
    <mergeCell ref="C24:H24"/>
    <mergeCell ref="C25:H25"/>
    <mergeCell ref="C26:H26"/>
    <mergeCell ref="C28:D28"/>
    <mergeCell ref="E28:H28"/>
    <mergeCell ref="C27:D27"/>
    <mergeCell ref="E27:H27"/>
    <mergeCell ref="C38:D38"/>
    <mergeCell ref="C39:D39"/>
    <mergeCell ref="C40:D40"/>
    <mergeCell ref="C41:D41"/>
    <mergeCell ref="C42:D42"/>
    <mergeCell ref="C43:D43"/>
    <mergeCell ref="C44:D44"/>
    <mergeCell ref="C45:D45"/>
    <mergeCell ref="C46:D46"/>
    <mergeCell ref="C35:D35"/>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7:H97"/>
    <mergeCell ref="E126:H126"/>
    <mergeCell ref="E98:H98"/>
    <mergeCell ref="E99:H99"/>
    <mergeCell ref="E100:H100"/>
    <mergeCell ref="E127:H127"/>
    <mergeCell ref="E110:H110"/>
    <mergeCell ref="E111:H111"/>
    <mergeCell ref="E112:H112"/>
    <mergeCell ref="E113:H113"/>
    <mergeCell ref="E114:H114"/>
    <mergeCell ref="E115:H115"/>
    <mergeCell ref="E116:H116"/>
    <mergeCell ref="E117:H117"/>
    <mergeCell ref="E118:H118"/>
    <mergeCell ref="C4:E4"/>
    <mergeCell ref="F4:H4"/>
    <mergeCell ref="E119:H119"/>
    <mergeCell ref="E120:H120"/>
    <mergeCell ref="E121:H121"/>
    <mergeCell ref="E122:H122"/>
    <mergeCell ref="E123:H123"/>
    <mergeCell ref="E124:H124"/>
    <mergeCell ref="E125:H125"/>
    <mergeCell ref="E101:H101"/>
    <mergeCell ref="E102:H102"/>
    <mergeCell ref="E103:H103"/>
    <mergeCell ref="E104:H104"/>
    <mergeCell ref="E105:H105"/>
    <mergeCell ref="E106:H106"/>
    <mergeCell ref="E107:H107"/>
    <mergeCell ref="E108:H108"/>
    <mergeCell ref="E109:H109"/>
    <mergeCell ref="E92:H92"/>
    <mergeCell ref="E93:H93"/>
    <mergeCell ref="E94:H94"/>
    <mergeCell ref="E91:H91"/>
    <mergeCell ref="E95:H95"/>
    <mergeCell ref="E96:H96"/>
    <mergeCell ref="A133:A138"/>
    <mergeCell ref="B133:B138"/>
    <mergeCell ref="A158:A161"/>
    <mergeCell ref="A162:A164"/>
    <mergeCell ref="A165:A166"/>
    <mergeCell ref="B165:B166"/>
    <mergeCell ref="B170:B177"/>
    <mergeCell ref="B182:B188"/>
    <mergeCell ref="C152:H152"/>
    <mergeCell ref="D160:H160"/>
    <mergeCell ref="D161:H161"/>
    <mergeCell ref="D154:H154"/>
    <mergeCell ref="D155:H155"/>
    <mergeCell ref="B143:B146"/>
    <mergeCell ref="B158:B161"/>
    <mergeCell ref="B162:B164"/>
    <mergeCell ref="D153:H153"/>
    <mergeCell ref="D166:H166"/>
    <mergeCell ref="C168:H168"/>
    <mergeCell ref="D158:H158"/>
    <mergeCell ref="D159:H159"/>
  </mergeCells>
  <phoneticPr fontId="3" type="noConversion"/>
  <conditionalFormatting sqref="C143:D143 C144:H145">
    <cfRule type="expression" dxfId="178" priority="51">
      <formula>$D$143=TRUE</formula>
    </cfRule>
  </conditionalFormatting>
  <conditionalFormatting sqref="D177">
    <cfRule type="expression" dxfId="177" priority="36">
      <formula>$D$176=TRUE</formula>
    </cfRule>
  </conditionalFormatting>
  <conditionalFormatting sqref="D188:D189">
    <cfRule type="expression" dxfId="176" priority="25">
      <formula>$D$187=TRUE</formula>
    </cfRule>
  </conditionalFormatting>
  <conditionalFormatting sqref="D191">
    <cfRule type="expression" dxfId="175" priority="24">
      <formula>$D$190="YES"</formula>
    </cfRule>
  </conditionalFormatting>
  <conditionalFormatting sqref="D171:H176">
    <cfRule type="expression" dxfId="172" priority="41">
      <formula>$D$169="YES"</formula>
    </cfRule>
    <cfRule type="expression" dxfId="171" priority="42">
      <formula>$F$4="Option A (Basic Module only)"</formula>
    </cfRule>
  </conditionalFormatting>
  <conditionalFormatting sqref="D183:H187">
    <cfRule type="expression" dxfId="168" priority="31">
      <formula>$F$4="Option A (Basic Module only)"</formula>
    </cfRule>
    <cfRule type="expression" dxfId="167" priority="30">
      <formula>$D$181="YES"</formula>
    </cfRule>
  </conditionalFormatting>
  <conditionalFormatting sqref="D189:H189">
    <cfRule type="expression" dxfId="166" priority="17">
      <formula>$D$181="YES"</formula>
    </cfRule>
  </conditionalFormatting>
  <conditionalFormatting sqref="E29:H29">
    <cfRule type="expression" dxfId="164" priority="600">
      <formula>$E$27=TRUE</formula>
    </cfRule>
  </conditionalFormatting>
  <conditionalFormatting sqref="E29:H128">
    <cfRule type="expression" dxfId="163" priority="67">
      <formula>$C29&lt;&gt;""</formula>
    </cfRule>
  </conditionalFormatting>
  <conditionalFormatting sqref="E30:H128">
    <cfRule type="expression" dxfId="162" priority="68">
      <formula>$D30=""</formula>
    </cfRule>
  </conditionalFormatting>
  <conditionalFormatting sqref="H10:H11">
    <cfRule type="expression" dxfId="161" priority="78">
      <formula>$H10=template_label_missing_value</formula>
    </cfRule>
    <cfRule type="expression" dxfId="160" priority="79">
      <formula>$H10=template_label_ok</formula>
    </cfRule>
  </conditionalFormatting>
  <conditionalFormatting sqref="H12">
    <cfRule type="expression" dxfId="159" priority="81">
      <formula>$H$12="VALUE INCONSISTENCY"</formula>
    </cfRule>
    <cfRule type="expression" dxfId="158" priority="80">
      <formula>$H$12="OK"</formula>
    </cfRule>
  </conditionalFormatting>
  <conditionalFormatting sqref="H18:H21">
    <cfRule type="expression" dxfId="157" priority="8">
      <formula>$H$18=template_label_value_inconsistency</formula>
    </cfRule>
    <cfRule type="expression" dxfId="156" priority="73">
      <formula>$H$18=template_label_missing_value</formula>
    </cfRule>
    <cfRule type="expression" dxfId="155" priority="74">
      <formula>$H$18=template_label_ok</formula>
    </cfRule>
  </conditionalFormatting>
  <conditionalFormatting sqref="H22">
    <cfRule type="expression" dxfId="154" priority="75">
      <formula>$H$22="VALUE INCONSISTENCY"</formula>
    </cfRule>
    <cfRule type="expression" dxfId="153" priority="76">
      <formula>$H$22="MISSING VALUE"</formula>
    </cfRule>
    <cfRule type="expression" dxfId="152" priority="77">
      <formula>$H$22="OK"</formula>
    </cfRule>
  </conditionalFormatting>
  <conditionalFormatting sqref="I29:I128">
    <cfRule type="expression" dxfId="151" priority="12">
      <formula>$I29=template_label_value_inconsistency</formula>
    </cfRule>
    <cfRule type="expression" dxfId="150" priority="72">
      <formula>$I29=template_label_missing_value</formula>
    </cfRule>
    <cfRule type="expression" dxfId="149" priority="71">
      <formula>$I29=template_label_ok</formula>
    </cfRule>
  </conditionalFormatting>
  <conditionalFormatting sqref="I129">
    <cfRule type="expression" dxfId="148" priority="70">
      <formula>$I$129="VALUE INCONSISTENCY"</formula>
    </cfRule>
    <cfRule type="expression" dxfId="147" priority="69">
      <formula>$I$129="OK"</formula>
    </cfRule>
  </conditionalFormatting>
  <conditionalFormatting sqref="I133:I134">
    <cfRule type="expression" dxfId="146" priority="63">
      <formula>$I133=template_label_ok</formula>
    </cfRule>
    <cfRule type="expression" dxfId="145" priority="62">
      <formula>$I133=template_label_missing_value</formula>
    </cfRule>
  </conditionalFormatting>
  <conditionalFormatting sqref="I136">
    <cfRule type="expression" dxfId="144" priority="59">
      <formula>$I$136=template_label_missing_value</formula>
    </cfRule>
    <cfRule type="expression" dxfId="143" priority="58">
      <formula>$I$136=template_label_ok</formula>
    </cfRule>
  </conditionalFormatting>
  <conditionalFormatting sqref="I139">
    <cfRule type="expression" dxfId="142" priority="61">
      <formula>$I$139=template_label_ok</formula>
    </cfRule>
    <cfRule type="expression" dxfId="141" priority="60">
      <formula>$I$139=template_label_missing_value</formula>
    </cfRule>
  </conditionalFormatting>
  <conditionalFormatting sqref="I142">
    <cfRule type="expression" dxfId="140" priority="53">
      <formula>$I$142=template_label_ok</formula>
    </cfRule>
    <cfRule type="expression" dxfId="139" priority="52">
      <formula>$I$142=template_label_missing_value</formula>
    </cfRule>
  </conditionalFormatting>
  <conditionalFormatting sqref="I143:I145">
    <cfRule type="expression" dxfId="138" priority="56">
      <formula>$I143=template_label_ok</formula>
    </cfRule>
    <cfRule type="expression" dxfId="137" priority="57">
      <formula>$I143=template_label_missing_value</formula>
    </cfRule>
  </conditionalFormatting>
  <conditionalFormatting sqref="I147">
    <cfRule type="expression" dxfId="136" priority="54">
      <formula>$I$147=template_label_ok</formula>
    </cfRule>
    <cfRule type="expression" dxfId="135" priority="55">
      <formula>$I$147=template_label_missing_value</formula>
    </cfRule>
  </conditionalFormatting>
  <conditionalFormatting sqref="I153:I154">
    <cfRule type="expression" dxfId="134" priority="6">
      <formula>I153=template_label_ok</formula>
    </cfRule>
    <cfRule type="expression" dxfId="133" priority="7">
      <formula>I153=template_label_missing_value</formula>
    </cfRule>
  </conditionalFormatting>
  <conditionalFormatting sqref="I155">
    <cfRule type="expression" dxfId="132" priority="49">
      <formula>$I155=template_label_ok</formula>
    </cfRule>
    <cfRule type="expression" dxfId="131" priority="50">
      <formula>$I155=template_label_missing_value</formula>
    </cfRule>
  </conditionalFormatting>
  <conditionalFormatting sqref="I158:I160">
    <cfRule type="expression" dxfId="130" priority="65">
      <formula>$I158=template_label_missing_value</formula>
    </cfRule>
    <cfRule type="expression" dxfId="129" priority="66">
      <formula>$I158=template_label_ok</formula>
    </cfRule>
  </conditionalFormatting>
  <conditionalFormatting sqref="I162">
    <cfRule type="expression" dxfId="128" priority="48">
      <formula>$I$162=template_label_ok</formula>
    </cfRule>
  </conditionalFormatting>
  <conditionalFormatting sqref="I163">
    <cfRule type="expression" dxfId="127" priority="47">
      <formula>$I$163=template_label_ok</formula>
    </cfRule>
  </conditionalFormatting>
  <conditionalFormatting sqref="I165">
    <cfRule type="expression" dxfId="126" priority="46">
      <formula>$I$165=template_label_ok</formula>
    </cfRule>
  </conditionalFormatting>
  <conditionalFormatting sqref="I166">
    <cfRule type="expression" dxfId="125" priority="45">
      <formula>$I$166=template_label_ok</formula>
    </cfRule>
  </conditionalFormatting>
  <conditionalFormatting sqref="I169">
    <cfRule type="expression" dxfId="124" priority="38">
      <formula>$I$169=template_label_ok</formula>
    </cfRule>
    <cfRule type="expression" dxfId="123" priority="37">
      <formula>$I$169=template_label_missing_value</formula>
    </cfRule>
  </conditionalFormatting>
  <conditionalFormatting sqref="I171:I176">
    <cfRule type="expression" dxfId="122" priority="33">
      <formula>$I$171=template_label_ok</formula>
    </cfRule>
    <cfRule type="expression" dxfId="121" priority="14">
      <formula>$I$171=template_label_value_inconsistency</formula>
    </cfRule>
    <cfRule type="expression" dxfId="120" priority="32">
      <formula>$I$171=template_label_missing_value</formula>
    </cfRule>
  </conditionalFormatting>
  <conditionalFormatting sqref="I177">
    <cfRule type="expression" dxfId="119" priority="40">
      <formula>$I$177=template_label_missing_value</formula>
    </cfRule>
    <cfRule type="expression" dxfId="118" priority="39">
      <formula>$I$177=template_label_ok</formula>
    </cfRule>
  </conditionalFormatting>
  <conditionalFormatting sqref="I178">
    <cfRule type="expression" dxfId="117" priority="35">
      <formula>$I$178=template_label_ok</formula>
    </cfRule>
    <cfRule type="expression" dxfId="116" priority="34">
      <formula>$I$178=template_label_missing_value</formula>
    </cfRule>
  </conditionalFormatting>
  <conditionalFormatting sqref="I181">
    <cfRule type="expression" dxfId="115" priority="23">
      <formula>$I$181=template_label_missing_value</formula>
    </cfRule>
    <cfRule type="expression" dxfId="114" priority="22">
      <formula>$I$181=template_label_ok</formula>
    </cfRule>
  </conditionalFormatting>
  <conditionalFormatting sqref="I183:I187">
    <cfRule type="expression" dxfId="113" priority="13">
      <formula>$I$183=template_label_value_inconsistency</formula>
    </cfRule>
    <cfRule type="expression" dxfId="112" priority="21">
      <formula>$I$183=template_label_missing_value</formula>
    </cfRule>
    <cfRule type="expression" dxfId="111" priority="20">
      <formula>$I$183=template_label_ok</formula>
    </cfRule>
  </conditionalFormatting>
  <conditionalFormatting sqref="I188">
    <cfRule type="expression" dxfId="110" priority="29">
      <formula>$I$188=template_label_missing_value</formula>
    </cfRule>
    <cfRule type="expression" dxfId="109" priority="28">
      <formula>$I$188=template_label_ok</formula>
    </cfRule>
  </conditionalFormatting>
  <conditionalFormatting sqref="I189">
    <cfRule type="expression" dxfId="108" priority="16">
      <formula>$I$189=template_label_ok</formula>
    </cfRule>
  </conditionalFormatting>
  <conditionalFormatting sqref="I190">
    <cfRule type="expression" dxfId="107" priority="19">
      <formula>$I$190=template_label_ok</formula>
    </cfRule>
    <cfRule type="expression" dxfId="106" priority="18">
      <formula>$I$190=template_label_missing_value</formula>
    </cfRule>
  </conditionalFormatting>
  <conditionalFormatting sqref="I191">
    <cfRule type="expression" dxfId="105" priority="27">
      <formula>$I$191=template_label_ok</formula>
    </cfRule>
    <cfRule type="expression" dxfId="104" priority="26">
      <formula>$I$191=template_label_missing_value</formula>
    </cfRule>
  </conditionalFormatting>
  <conditionalFormatting sqref="I197">
    <cfRule type="expression" dxfId="103" priority="15">
      <formula>$I$197=template_label_ok</formula>
    </cfRule>
  </conditionalFormatting>
  <dataValidations xWindow="1283" yWindow="371" count="18">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allowBlank="1" showInputMessage="1" showErrorMessage="1" promptTitle="Employee turnover rate [%]" prompt="(number of employees who left during the reporting year / average number of employees during the reporting year (in headcount)) * 100" sqref="C161" xr:uid="{182F3A13-D482-455E-A41D-A7B885BF1147}"/>
    <dataValidation type="decimal" operator="equal" allowBlank="1" showInputMessage="1" showErrorMessage="1" sqref="D162:H163 D165:H166 D158:H159 D139:H139 D133:H135 D143:D145 E144:H145 D153:D154 E153:H153" xr:uid="{8675EF2D-EB6A-47BC-BA53-E3A025512A6A}">
      <formula1>D133</formula1>
    </dataValidation>
    <dataValidation allowBlank="1" showInputMessage="1" showErrorMessage="1" promptTitle="Rate of work-related accidents" prompt="(number of recordable work-related accidents in the reporting year / total number of hours worked in a year by all employees) * 200000" sqref="C138" xr:uid="{28EF91E1-2FA3-4B12-B20D-BA4B7E1DF87A}"/>
    <dataValidation allowBlank="1" showInputMessage="1" showErrorMessage="1" promptTitle="Percentage gap in pay  [%]" prompt="((average gross hourly pay level of male employees - average gross hourly pay level of female employees) / average gross hourly pay level of male employeees) * 100" sqref="C146" xr:uid="{B827D9EB-8466-49A8-9946-89C305A6C82A}"/>
    <dataValidation type="list" allowBlank="1" showInputMessage="1" showErrorMessage="1" sqref="D142:H142 D169:H169 D178:H178 D190:H190 D181:H181"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4" xr:uid="{0382C43B-6B15-4C96-B230-1F6DEFF355C6}"/>
    <dataValidation type="custom" showInputMessage="1" showErrorMessage="1" sqref="D171:H171 D175:H176 D183:H186 D143 I27" xr:uid="{6B787025-4F5D-4CA7-A900-ED7D6B50CC1F}">
      <formula1>OR(D27=TRUE,D27=FALSE)</formula1>
    </dataValidation>
    <dataValidation type="custom" showInputMessage="1" showErrorMessage="1" sqref="D172:H174 D187:H187" xr:uid="{57A047BE-D7FD-4862-9330-3E0747FA4DCC}">
      <formula1>OR(D172=FALSE,D172=TRUE)</formula1>
    </dataValidation>
    <dataValidation type="list" allowBlank="1" showInputMessage="1" showErrorMessage="1" sqref="C29:D128" xr:uid="{1A63D793-CD26-4CCE-A8F9-F963E57269F8}">
      <formula1>enum_ListCountriesName</formula1>
    </dataValidation>
    <dataValidation type="custom" showInputMessage="1" showErrorMessage="1" sqref="E29:H128" xr:uid="{159F7790-D5E7-481E-851D-34FCA66A69A1}">
      <formula1>IF($E$129="-",0,$E$129)&gt;=SUM($E$29:$E$128)</formula1>
    </dataValidation>
    <dataValidation type="list" operator="equal" allowBlank="1" showInputMessage="1" showErrorMessage="1" sqref="D136:H136" xr:uid="{5D31A6CE-F6F9-4F49-AA22-3A533E5C47D1}">
      <formula1>"100,500"</formula1>
    </dataValidation>
    <dataValidation allowBlank="1" showInputMessage="1" showErrorMessage="1" promptTitle="Formula" prompt="(number of employees covered by collective bargaining agreements (in headcount) / total number of employees (in headcount)) * 100" sqref="C148" xr:uid="{BD29E9DE-BD87-4A04-B2D3-F5A99205D049}"/>
    <dataValidation allowBlank="1" showInputMessage="1" showErrorMessage="1" promptTitle="Formula" prompt="Total number of training hours offered to and completed by employees divided by total number of employees. _x000a_For the calculation of the total average training hours, use the headcount figures. " sqref="C155" xr:uid="{47FFB10A-810E-422C-BFBD-C8F392B548FF}"/>
  </dataValidations>
  <hyperlinks>
    <hyperlink ref="C7:G7" r:id="rId1" display="40(a)" xr:uid="{CD9F84FC-ACA1-4091-B992-39B70837E5EC}"/>
    <hyperlink ref="C15:G15" r:id="rId2" display="40(b)" xr:uid="{B953544B-C114-45EA-A606-BC5B8B138C22}"/>
    <hyperlink ref="C25:H25" r:id="rId3" display="40(c)" xr:uid="{C8B78908-BF50-4B65-9003-937BE92AC09D}"/>
    <hyperlink ref="A133" r:id="rId4" xr:uid="{8E1A5ADB-AF53-4384-A62A-C9E6FE069714}"/>
    <hyperlink ref="A139" r:id="rId5" xr:uid="{F03CA4A4-AC7F-4F07-903F-C75F220F7BB2}"/>
    <hyperlink ref="A142" r:id="rId6" xr:uid="{3188E279-C90A-4F17-B627-9FF4BB006A8C}"/>
    <hyperlink ref="A143" r:id="rId7" xr:uid="{6DF9FD68-07EC-4F98-9B1A-B74322E3B1D7}"/>
    <hyperlink ref="A147:A148" r:id="rId8" display="42(c)" xr:uid="{0C874EB2-9644-478E-A773-047755853BB9}"/>
    <hyperlink ref="C151:H151" r:id="rId9" display="42(d)" xr:uid="{3241B182-B1A5-4947-8FD7-A5ED55687C8F}"/>
    <hyperlink ref="A162" r:id="rId10" display="https://knowledgehub.efrag.org/eng/interactive/voluntary-standard/standard-for-voluntary-use/da/59" xr:uid="{10BFB29D-EC8B-4992-82AD-CC3831E1998E}"/>
    <hyperlink ref="A165" r:id="rId11" display="https://knowledgehub.efrag.org/eng/interactive/voluntary-standard/standard-for-voluntary-use/da/60" xr:uid="{6CA484FA-A0CC-4638-AB97-83AF7D74A3A4}"/>
    <hyperlink ref="A169" r:id="rId12" xr:uid="{C0F3D891-4EE3-4634-8BA6-19B7EB88647E}"/>
    <hyperlink ref="A170" r:id="rId13" xr:uid="{B52E826D-FC2A-484A-BB8C-6542DFDDE92B}"/>
    <hyperlink ref="A178" r:id="rId14" xr:uid="{8681AE7E-FCD9-4FDC-A653-EAC7EA9DE35C}"/>
    <hyperlink ref="A181" r:id="rId15" display="https://knowledgehub.efrag.org/eng/interactive/voluntary-standard/standard-for-voluntary-use/voluntary-standard-official-journal-publication/62" xr:uid="{8B04F7D4-B956-4B1F-89C8-4C754FFF8E5F}"/>
    <hyperlink ref="A182" r:id="rId16" xr:uid="{42F6A29B-A9F1-4E33-A6C8-8E1590038216}"/>
    <hyperlink ref="A189" r:id="rId17" xr:uid="{1CDE0790-C873-412A-806D-8178996FD837}"/>
    <hyperlink ref="A190" r:id="rId18" xr:uid="{376E4401-8A7A-443C-9E73-F57A5CFC3AB0}"/>
    <hyperlink ref="C196:H196" r:id="rId19" display="https://knowledgehub.efrag.org/eng/interactive/voluntary-standard/standard-for-voluntary-use/voluntary-standard-official-journal-publication/12" xr:uid="{07733647-E455-49AF-9175-D7668586937A}"/>
    <hyperlink ref="A180:B180" r:id="rId20" display="https://www.efrag.org/en/vsme-supporting-guide-to-disclosure-c7-comprehensive-module-severe-negative-human-rights-incidents" xr:uid="{0AE58F6E-56A7-4DA5-BEDF-0D15C12A2D22}"/>
    <hyperlink ref="A158" r:id="rId21" display="https://knowledgehub.efrag.org/eng/interactive/voluntary-standard/standard-for-voluntary-use/da/58" xr:uid="{DF1813A9-CF89-4411-A139-F0589F63A059}"/>
    <hyperlink ref="C8:G8" r:id="rId22" display="https://knowledgehub.efrag.org/eng/interactive/voluntary-standard-non-mandatory-efrag-guidance/voluntary-standard-non-mandatory-efrag-guidance/2026-efrag-guidance/107" xr:uid="{8E691B9C-8FF9-4084-B8BE-D5A079A87D90}"/>
    <hyperlink ref="C16:G16" r:id="rId23" display="https://knowledgehub.efrag.org/eng/interactive/voluntary-standard-non-mandatory-efrag-guidance/voluntary-standard-non-mandatory-efrag-guidance/2026-efrag-guidance/108" xr:uid="{2FB39CB9-142B-4464-9432-B7E806EB71BB}"/>
    <hyperlink ref="C26:H26" r:id="rId24" display="https://knowledgehub.efrag.org/eng/interactive/voluntary-standard-non-mandatory-efrag-guidance/voluntary-standard-non-mandatory-efrag-guidance/2026-efrag-guidance/110" xr:uid="{A1F4A038-23E9-4C11-8BA8-033FD31FADED}"/>
    <hyperlink ref="B142" r:id="rId25" xr:uid="{B4FEB9BE-6A6B-4032-B1B3-68767659DFFB}"/>
    <hyperlink ref="B147:B148" r:id="rId26" display="132-135" xr:uid="{010581FF-0A99-4050-A149-6087CB22D508}"/>
    <hyperlink ref="B158" r:id="rId27" xr:uid="{C7214535-FDA4-4F3D-95A6-97F65B60C778}"/>
    <hyperlink ref="B162" r:id="rId28" display="https://knowledgehub.efrag.org/eng/interactive/voluntary-standard-non-mandatory-efrag-guidance/voluntary-standard-non-mandatory-efrag-guidance/2026-efrag-guidance/168" xr:uid="{5FCA1CF5-D4D6-4D2B-A9FA-00693C9A6043}"/>
    <hyperlink ref="B165" r:id="rId29" xr:uid="{BE91ABFA-7055-4B65-9F05-E56FB096638D}"/>
    <hyperlink ref="B169" r:id="rId30" display="https://knowledgehub.efrag.org/eng/interactive/voluntary-standard-non-mandatory-efrag-guidance/voluntary-standard-non-mandatory-efrag-guidance/2026-efrag-guidance/174" xr:uid="{4B5AF27C-F188-4839-B07C-0320EC842B42}"/>
    <hyperlink ref="B178" r:id="rId31" xr:uid="{DE9962A2-026B-49E3-9EC7-148B6BA8E214}"/>
    <hyperlink ref="B181" r:id="rId32" xr:uid="{DBCA9483-BEA0-4646-B101-80E10D5507D2}"/>
    <hyperlink ref="B139" r:id="rId33" xr:uid="{D3E60EFB-E2BA-4A96-B301-F6E74F2AC29E}"/>
    <hyperlink ref="B143" r:id="rId34" xr:uid="{D79CECFD-19E2-4483-B8CE-3421E0FD8A21}"/>
    <hyperlink ref="B170" r:id="rId35" display="https://knowledgehub.efrag.org/eng/interactive/voluntary-standard-non-mandatory-efrag-guidance/voluntary-standard-non-mandatory-efrag-guidance/2026-efrag-guidance/174" xr:uid="{96A23EFB-732C-44DB-9144-9EE59B6E31C5}"/>
    <hyperlink ref="B182" r:id="rId36" xr:uid="{2CFF4EF0-D1C6-457B-8EE4-FE9DDC1C43C9}"/>
    <hyperlink ref="B189" r:id="rId37" xr:uid="{9263986C-F12C-42E4-AB41-A54536E1EA97}"/>
    <hyperlink ref="B190" r:id="rId38" xr:uid="{DB71DD85-1D1A-48CE-92DE-63197AC8A1CB}"/>
    <hyperlink ref="B191" r:id="rId39" xr:uid="{B9171058-78C8-4234-807F-CE4D4D3449B9}"/>
    <hyperlink ref="B133" r:id="rId40" display="112-114" xr:uid="{97B75810-2ED4-45FF-9F37-6CD986B676A9}"/>
    <hyperlink ref="A133:A138" r:id="rId41" display="41(a)" xr:uid="{9E1B7A19-C03E-4122-A139-5ABD995632CD}"/>
    <hyperlink ref="A143:A146" r:id="rId42" display="42(b)" xr:uid="{A2F74BF9-AD57-4F16-8D99-2B4511E83EBE}"/>
    <hyperlink ref="A158:A161" r:id="rId43" display="https://knowledgehub.efrag.org/eng/interactive/voluntary-standard/standard-for-voluntary-use/voluntary-standard-official-journal-publication/58" xr:uid="{4526F12A-9323-4A86-B42D-8CC19D5C9BFC}"/>
    <hyperlink ref="A162:A164" r:id="rId44" display="https://knowledgehub.efrag.org/eng/interactive/voluntary-standard/standard-for-voluntary-use/voluntary-standard-official-journal-publication/59" xr:uid="{7633505A-2296-4115-879B-561F493B6FFE}"/>
    <hyperlink ref="A165:A166" r:id="rId45" display="https://knowledgehub.efrag.org/eng/interactive/voluntary-standard/standard-for-voluntary-use/voluntary-standard-official-journal-publication/60" xr:uid="{DE92F132-1F79-4332-92D2-C4E43C9F288E}"/>
    <hyperlink ref="A170:A177" r:id="rId46" display="61(b)" xr:uid="{4D2355D1-488A-4A5B-B8B4-A8571313CD60}"/>
    <hyperlink ref="A182:A188" r:id="rId47" display="62(a)" xr:uid="{60D7048C-C856-47CB-A68E-C385ED7CFF59}"/>
    <hyperlink ref="A191" r:id="rId48" xr:uid="{11E7648F-DB4B-4815-B747-054442816F85}"/>
  </hyperlinks>
  <pageMargins left="0.7" right="0.7" top="0.75" bottom="0.75" header="0.3" footer="0.3"/>
  <pageSetup paperSize="9" orientation="portrait" horizontalDpi="4294967293" verticalDpi="4294967293" r:id="rId49"/>
  <drawing r:id="rId50"/>
  <extLst>
    <ext xmlns:x14="http://schemas.microsoft.com/office/spreadsheetml/2009/9/main" uri="{78C0D931-6437-407d-A8EE-F0AAD7539E65}">
      <x14:conditionalFormattings>
        <x14:conditionalFormatting xmlns:xm="http://schemas.microsoft.com/office/excel/2006/main">
          <x14:cfRule type="expression" priority="5" id="{3087CF38-2519-41B0-ABCB-DA1D7799ABD3}">
            <xm:f>AND('General Information'!$E$280&lt;=10, 'General Information'!$E$280&lt;&gt;"")</xm:f>
            <x14:dxf>
              <fill>
                <patternFill>
                  <bgColor theme="0" tint="-0.14996795556505021"/>
                </patternFill>
              </fill>
            </x14:dxf>
          </x14:cfRule>
          <xm:sqref>D158:H160</xm:sqref>
        </x14:conditionalFormatting>
        <x14:conditionalFormatting xmlns:xm="http://schemas.microsoft.com/office/excel/2006/main">
          <x14:cfRule type="expression" priority="4" id="{01440DAB-5460-4446-8946-3D789235B57E}">
            <xm:f>AND('General Information'!$E$280&lt;=10, 'General Information'!$E$280&lt;&gt;"")</xm:f>
            <x14:dxf>
              <fill>
                <patternFill>
                  <bgColor theme="0" tint="-0.14996795556505021"/>
                </patternFill>
              </fill>
            </x14:dxf>
          </x14:cfRule>
          <xm:sqref>D169:H169</xm:sqref>
        </x14:conditionalFormatting>
        <x14:conditionalFormatting xmlns:xm="http://schemas.microsoft.com/office/excel/2006/main">
          <x14:cfRule type="expression" priority="3" id="{7FE5A079-723B-429B-B0C9-BA9C66752738}">
            <xm:f>AND('General Information'!$E$280&lt;=10, 'General Information'!$E$280&lt;&gt;"")</xm:f>
            <x14:dxf>
              <fill>
                <patternFill>
                  <bgColor theme="0" tint="-0.14996795556505021"/>
                </patternFill>
              </fill>
            </x14:dxf>
          </x14:cfRule>
          <xm:sqref>D178:H178</xm:sqref>
        </x14:conditionalFormatting>
        <x14:conditionalFormatting xmlns:xm="http://schemas.microsoft.com/office/excel/2006/main">
          <x14:cfRule type="expression" priority="2" id="{874EF7EE-5C76-4BA5-87F8-A353E05A656B}">
            <xm:f>AND('General Information'!$E$280&lt;=10, 'General Information'!$E$280&lt;&gt;"")</xm:f>
            <x14:dxf>
              <fill>
                <patternFill>
                  <bgColor theme="0" tint="-0.14996795556505021"/>
                </patternFill>
              </fill>
            </x14:dxf>
          </x14:cfRule>
          <xm:sqref>D181:H181</xm:sqref>
        </x14:conditionalFormatting>
        <x14:conditionalFormatting xmlns:xm="http://schemas.microsoft.com/office/excel/2006/main">
          <x14:cfRule type="expression" priority="1" id="{FAFE23E5-09CA-4899-9934-7DE4B5F366C9}">
            <xm:f>AND('General Information'!$E$280&lt;=10, 'General Information'!$E$280&lt;&gt;"")</xm:f>
            <x14:dxf>
              <fill>
                <patternFill>
                  <bgColor theme="0" tint="-0.14996795556505021"/>
                </patternFill>
              </fill>
            </x14:dxf>
          </x14:cfRule>
          <xm:sqref>D190:H190</xm:sqref>
        </x14:conditionalFormatting>
      </x14:conditionalFormattings>
    </ext>
    <ext xmlns:x14="http://schemas.microsoft.com/office/spreadsheetml/2009/9/main" uri="{CCE6A557-97BC-4b89-ADB6-D9C93CAAB3DF}">
      <x14:dataValidations xmlns:xm="http://schemas.microsoft.com/office/excel/2006/main" xWindow="1283" yWindow="371" count="3">
        <x14:dataValidation type="custom" showInputMessage="1" showErrorMessage="1" xr:uid="{36E3C7AF-FE8A-4BFE-93E5-E05EE51CA186}">
          <x14:formula1>
            <xm:f>IF('General Information'!$E$282="","-",'General Information'!$E$282)</xm:f>
          </x14:formula1>
          <xm:sqref>F2:H2</xm:sqref>
        </x14:dataValidation>
        <x14:dataValidation type="custom" showInputMessage="1" showErrorMessage="1" xr:uid="{5CB0FDEF-7EB7-4204-AC9A-257032190656}">
          <x14:formula1>
            <xm:f>IF('General Information'!$E$280="","-",'General Information'!$E$280)</xm:f>
          </x14:formula1>
          <xm:sqref>D22:G22 E129</xm:sqref>
        </x14:dataValidation>
        <x14:dataValidation type="decimal" operator="lessThanOrEqual" showInputMessage="1" showErrorMessage="1" xr:uid="{0C498D34-B549-4574-AAED-C478F3CDADCC}">
          <x14:formula1>
            <xm:f>'General Information'!E280</xm:f>
          </x14:formula1>
          <xm:sqref>D147:H147</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pageSetUpPr autoPageBreaks="0"/>
  </sheetPr>
  <dimension ref="A1:BZ210"/>
  <sheetViews>
    <sheetView zoomScale="107" zoomScaleNormal="85" workbookViewId="0">
      <selection activeCell="H5" sqref="H5"/>
    </sheetView>
  </sheetViews>
  <sheetFormatPr defaultColWidth="8.84375" defaultRowHeight="14.6"/>
  <cols>
    <col min="1" max="2" width="10" bestFit="1" customWidth="1"/>
    <col min="3" max="3" width="33.53515625" customWidth="1"/>
    <col min="5" max="5" width="14.4609375" customWidth="1"/>
    <col min="7" max="7" width="24.4609375" customWidth="1"/>
    <col min="8" max="8" width="38.4609375" customWidth="1"/>
    <col min="9" max="9" width="15.53515625" style="15" customWidth="1"/>
    <col min="10" max="10" width="74.4609375" style="10" bestFit="1" customWidth="1"/>
    <col min="11" max="78" width="8.53515625" style="10"/>
  </cols>
  <sheetData>
    <row r="1" spans="1:10" ht="44.15" thickBot="1">
      <c r="A1" s="192" t="s">
        <v>86</v>
      </c>
      <c r="B1" s="192" t="s">
        <v>87</v>
      </c>
      <c r="C1" s="10"/>
      <c r="D1" s="10"/>
      <c r="E1" s="10"/>
      <c r="F1" s="10"/>
      <c r="G1" s="10"/>
      <c r="H1" s="10"/>
    </row>
    <row r="2" spans="1:10" ht="15" thickBot="1">
      <c r="A2" s="10"/>
      <c r="B2" s="10"/>
      <c r="C2" s="716" t="str">
        <f>template_label_b11_convictions_and_fines_for_corruption_and_bribery&amp;" "&amp;template_label_from&amp;" "&amp;template_starting_date_display&amp;" "&amp;template_label_to&amp;" "&amp;template_ending_date_display&amp;" "</f>
        <v xml:space="preserve">B11 - Convictions and fines for corruption and bribery from - to - </v>
      </c>
      <c r="D2" s="883"/>
      <c r="E2" s="883"/>
      <c r="F2" s="883"/>
      <c r="G2" s="883"/>
      <c r="H2" s="884"/>
    </row>
    <row r="3" spans="1:10">
      <c r="A3" s="10"/>
      <c r="B3" s="10"/>
      <c r="C3" s="687">
        <v>43</v>
      </c>
      <c r="D3" s="677"/>
      <c r="E3" s="677"/>
      <c r="F3" s="677"/>
      <c r="G3" s="677"/>
      <c r="H3" s="682"/>
    </row>
    <row r="4" spans="1:10">
      <c r="A4" s="10"/>
      <c r="B4" s="10"/>
      <c r="C4" s="726" t="s">
        <v>88</v>
      </c>
      <c r="D4" s="702"/>
      <c r="E4" s="702"/>
      <c r="F4" s="702"/>
      <c r="G4" s="702"/>
      <c r="H4" s="820"/>
    </row>
    <row r="5" spans="1:10" s="10" customFormat="1">
      <c r="C5" s="794" t="str">
        <f>template_label_has_the_undertaking_incurred_in_convictions_and_fines_in_the_reporting_period</f>
        <v>Has the undertaking incurred in convictions and fines in the reporting period?</v>
      </c>
      <c r="D5" s="882"/>
      <c r="E5" s="882"/>
      <c r="F5" s="882"/>
      <c r="G5" s="882"/>
      <c r="H5" s="126" t="b">
        <v>0</v>
      </c>
      <c r="I5" s="15"/>
    </row>
    <row r="6" spans="1:10" s="10" customFormat="1">
      <c r="C6" s="1202" t="str">
        <f>template_label_total_number_of_convictions_for_the_violation_of_anti_corruption_and_anti_bribery_laws</f>
        <v>Total number of convictions  for the violation of anti-corruption and anti-bribery laws</v>
      </c>
      <c r="D6" s="1203"/>
      <c r="E6" s="1203"/>
      <c r="F6" s="1203"/>
      <c r="G6" s="1203"/>
      <c r="H6" s="211"/>
      <c r="I6" s="15" t="str">
        <f>IF(AND($H$5=TRUE,H6&lt;&gt;""), template_label_ok,
IF(AND($H$5=TRUE,H6=""), template_label_missing_value, ""))</f>
        <v/>
      </c>
      <c r="J6" s="522" t="str">
        <f>IF(AND(H5=TRUE,TotalNumberOfConvictionsForTheViolationOfAntiCorruptionAndAntiBriberyLaws=0,TotalNumberOfConvictionsForTheViolationOfAntiCorruptionAndAntiBriberyLaws&lt;&gt;""),template_label_warning_values_greater_than_zero,"")</f>
        <v/>
      </c>
    </row>
    <row r="7" spans="1:10" s="10" customFormat="1" ht="15" thickBot="1">
      <c r="C7" s="1204" t="str">
        <f>template_label_total_amount_of_fines_for_the_violation_of_anti_corruption_and_anti_bribery_laws &amp; " " &amp; "(" &amp; template_label_amount_in &amp; " " &amp; template_currency &amp; ")"</f>
        <v>Total amount of fines for the violation of anti-corruption and anti-bribery laws (amount in )</v>
      </c>
      <c r="D7" s="1205"/>
      <c r="E7" s="1205"/>
      <c r="F7" s="1205"/>
      <c r="G7" s="1205"/>
      <c r="H7" s="215"/>
      <c r="I7" s="15" t="str">
        <f>IF(AND($H$5=TRUE,H7&lt;&gt;""), template_label_ok,
IF(AND($H$5=TRUE,H7=""), template_label_missing_value, ""))</f>
        <v/>
      </c>
      <c r="J7" s="309" t="str">
        <f>IF(AND(H5=TRUE,TotalAmountOfFinesForTheViolationOfAnticorruptionAndAntibriberyLaws=0,TotalAmountOfFinesForTheViolationOfAnticorruptionAndAntibriberyLaws&lt;&gt;""),template_label_warning_values_greater_than_zero,"")</f>
        <v/>
      </c>
    </row>
    <row r="8" spans="1:10" s="10" customFormat="1" ht="15" thickBot="1">
      <c r="I8" s="15"/>
    </row>
    <row r="9" spans="1:10" s="10" customFormat="1" ht="15" thickBot="1">
      <c r="C9" s="1198" t="str">
        <f>template_label_c8_revenues_from_certain_sectors&amp;" "&amp;template_label_from&amp;" "&amp;template_starting_date_display&amp;" "&amp;template_label_to&amp;" "&amp;template_ending_date_display&amp;" "</f>
        <v xml:space="preserve">C8 - Revenues from certain activities from - to - </v>
      </c>
      <c r="D9" s="1199"/>
      <c r="E9" s="1199"/>
      <c r="F9" s="1199"/>
      <c r="G9" s="1199"/>
      <c r="H9" s="1200"/>
      <c r="I9" s="15"/>
    </row>
    <row r="10" spans="1:10" ht="28.4" customHeight="1">
      <c r="A10" s="10"/>
      <c r="B10" s="10"/>
      <c r="C10" s="978" t="str">
        <f>template_label_is_the_undertaking_deriving_revenues_from_one_of_the_activities_listed_below</f>
        <v>Is the undertaking deriving revenues from one of the activities listed below?</v>
      </c>
      <c r="D10" s="979"/>
      <c r="E10" s="979"/>
      <c r="F10" s="979"/>
      <c r="G10" s="979"/>
      <c r="H10" s="113" t="b">
        <v>0</v>
      </c>
    </row>
    <row r="11" spans="1:10">
      <c r="A11" s="10"/>
      <c r="B11" s="10"/>
      <c r="C11" s="938"/>
      <c r="D11" s="939"/>
      <c r="E11" s="939"/>
      <c r="F11" s="939"/>
      <c r="G11" s="939"/>
      <c r="H11" s="46" t="str">
        <f>template_label_monetary_amount_in &amp; " " &amp; template_currency</f>
        <v xml:space="preserve">Monetary amount in </v>
      </c>
    </row>
    <row r="12" spans="1:10" s="10" customFormat="1" ht="32.4" customHeight="1">
      <c r="A12" s="345" t="s">
        <v>89</v>
      </c>
      <c r="B12" s="346">
        <v>179</v>
      </c>
      <c r="C12" s="780" t="str">
        <f>template_label_revenue_derived_from_the_prohibited_weapons_industry</f>
        <v>Revenue derived from the prohibited weapons industry (anti-personnel mines, cluster munitions, chemical weapons and biological weapons)</v>
      </c>
      <c r="D12" s="874"/>
      <c r="E12" s="874"/>
      <c r="F12" s="874"/>
      <c r="G12" s="874"/>
      <c r="H12" s="211"/>
      <c r="I12" s="1194" t="str">
        <f>IF(AND(H10=FALSE,COUNTA(H12:H16)=0, H18=""),
    "",
    IF(AND(OR(COUNTA(H12:H16)&gt;0, H18&lt;&gt;""), SUM(H12:H16, H18)&lt;='General Information'!E279),
        template_label_ok,
        IF(AND(H10=TRUE, COUNTA(H12:H16)=0, H18=""),
            template_label_missing_value,
            template_label_value_inconsistency
        )
    )
)</f>
        <v/>
      </c>
      <c r="J12" s="1106" t="str">
        <f>IF(AND(H10=TRUE,RevenueDerivedFromTheProhibitedWeaponsIndustryAntiPersonnelMinesClusterMunitionsChemicalWeaponsAndBiologicalWeapons=0,RevenueDerivedFromTheProhibitedWeaponsIndustryAntiPersonnelMinesClusterMunitionsChemicalWeaponsAndBiologicalWeapons&lt;&gt;"",RevenueDerivedFromCultivationAndProductionOfTobacco=0,RevenueDerivedFromCultivationAndProductionOfTobacco&lt;&gt;"",RevenueDerivedFromCoal=0,RevenueDerivedFromCoal&lt;&gt;"",RevenueDerivedFromOil=0,RevenueDerivedFromOil&lt;&gt;"",RevenueDerivedFromGas=0,RevenueDerivedFromGas&lt;&gt;"",RevenueDerivedFromChemicalProduction=0,RevenueDerivedFromChemicalProduction&lt;&gt;""),template_label_warning_values_greater_than_zero,"")</f>
        <v/>
      </c>
    </row>
    <row r="13" spans="1:10" s="10" customFormat="1" ht="15" thickBot="1">
      <c r="A13" s="345" t="s">
        <v>90</v>
      </c>
      <c r="B13" s="346">
        <v>180</v>
      </c>
      <c r="C13" s="852" t="str">
        <f>template_label_revenue_derived_from_cultivation_and_production_of_tobacco</f>
        <v>Revenue derived from cultivation and production of tobacco</v>
      </c>
      <c r="D13" s="1195"/>
      <c r="E13" s="1195"/>
      <c r="F13" s="1195"/>
      <c r="G13" s="1195"/>
      <c r="H13" s="212"/>
      <c r="I13" s="1194"/>
      <c r="J13" s="1106"/>
    </row>
    <row r="14" spans="1:10" s="10" customFormat="1">
      <c r="A14" s="702" t="s">
        <v>91</v>
      </c>
      <c r="B14" s="704">
        <v>180</v>
      </c>
      <c r="C14" s="1196" t="str">
        <f>template_label_revenue_derived_from_coal</f>
        <v>Revenue derived from coal</v>
      </c>
      <c r="D14" s="1197"/>
      <c r="E14" s="1197"/>
      <c r="F14" s="1197"/>
      <c r="G14" s="1197"/>
      <c r="H14" s="213"/>
      <c r="I14" s="1194"/>
      <c r="J14" s="1106"/>
    </row>
    <row r="15" spans="1:10" s="10" customFormat="1">
      <c r="A15" s="702"/>
      <c r="B15" s="704"/>
      <c r="C15" s="780" t="str">
        <f>template_label_revenue_derived_from_oil</f>
        <v>Revenue derived from oil</v>
      </c>
      <c r="D15" s="874"/>
      <c r="E15" s="874"/>
      <c r="F15" s="874"/>
      <c r="G15" s="874"/>
      <c r="H15" s="211"/>
      <c r="I15" s="1194"/>
      <c r="J15" s="1106"/>
    </row>
    <row r="16" spans="1:10" s="10" customFormat="1">
      <c r="A16" s="702"/>
      <c r="B16" s="704"/>
      <c r="C16" s="780" t="str">
        <f>template_label_revenue_derived_from_gas</f>
        <v>Revenue derived from gas</v>
      </c>
      <c r="D16" s="874"/>
      <c r="E16" s="874"/>
      <c r="F16" s="874"/>
      <c r="G16" s="874"/>
      <c r="H16" s="211"/>
      <c r="I16" s="1194"/>
      <c r="J16" s="1106"/>
    </row>
    <row r="17" spans="1:10" s="10" customFormat="1" ht="60.65" customHeight="1" thickBot="1">
      <c r="A17" s="604"/>
      <c r="B17" s="604"/>
      <c r="C17" s="1192" t="str">
        <f>template_label_total_revenues_derived_from_fossil_fuel_sector</f>
        <v xml:space="preserve">Total revenues derived from the fossil fuel (coal oil and gas) sector </v>
      </c>
      <c r="D17" s="1193"/>
      <c r="E17" s="1193"/>
      <c r="F17" s="1193"/>
      <c r="G17" s="1193"/>
      <c r="H17" s="209" t="str">
        <f>IF(COUNTA(H14:H16)=0, "-", SUM(H14:H16))</f>
        <v>-</v>
      </c>
      <c r="I17" s="1194"/>
      <c r="J17" s="1106"/>
    </row>
    <row r="18" spans="1:10" s="10" customFormat="1" ht="15" thickBot="1">
      <c r="A18" s="345" t="s">
        <v>92</v>
      </c>
      <c r="B18" s="346">
        <v>181</v>
      </c>
      <c r="C18" s="854" t="str">
        <f>template_label_revenue_derived_from_chemicals_production</f>
        <v>Revenue derived from chemicals production</v>
      </c>
      <c r="D18" s="1201"/>
      <c r="E18" s="1201"/>
      <c r="F18" s="1201"/>
      <c r="G18" s="1201"/>
      <c r="H18" s="214"/>
      <c r="I18" s="1194"/>
      <c r="J18" s="1106"/>
    </row>
    <row r="19" spans="1:10" s="10" customFormat="1">
      <c r="I19" s="15"/>
    </row>
    <row r="20" spans="1:10" s="10" customFormat="1" ht="15" thickBot="1">
      <c r="I20" s="15"/>
    </row>
    <row r="21" spans="1:10" s="10" customFormat="1" ht="15" thickBot="1">
      <c r="C21" s="957" t="str">
        <f>template_label_c9_gender_diversity_ratio_in_the_governance_body&amp;" "&amp;template_label_at&amp;" "&amp;template_ending_date_display&amp;" "</f>
        <v xml:space="preserve">C9 - Gender diversity ratio in the governance body at - </v>
      </c>
      <c r="D21" s="958"/>
      <c r="E21" s="958"/>
      <c r="F21" s="958"/>
      <c r="G21" s="958"/>
      <c r="H21" s="959"/>
      <c r="I21" s="15"/>
    </row>
    <row r="22" spans="1:10" s="10" customFormat="1">
      <c r="C22" s="978" t="str">
        <f>template_label_does_the_undertaking_have_a_governance_body_in_place</f>
        <v>Does the undertaking have a governance body in place?</v>
      </c>
      <c r="D22" s="979"/>
      <c r="E22" s="979"/>
      <c r="F22" s="979"/>
      <c r="G22" s="979"/>
      <c r="H22" s="113" t="b">
        <v>0</v>
      </c>
      <c r="I22" s="15"/>
      <c r="J22"/>
    </row>
    <row r="23" spans="1:10" s="10" customFormat="1">
      <c r="A23" s="702">
        <v>64</v>
      </c>
      <c r="B23" s="704" t="s">
        <v>93</v>
      </c>
      <c r="C23" s="794" t="str">
        <f>template_label_number_of_female_board_members_at_the_end_of_the_reporting_period</f>
        <v>Number of female board members at the end of the reporting period</v>
      </c>
      <c r="D23" s="882"/>
      <c r="E23" s="882"/>
      <c r="F23" s="882"/>
      <c r="G23" s="882"/>
      <c r="H23" s="211"/>
      <c r="I23" s="15" t="str">
        <f>IF(AND($H$22=TRUE, H23&lt;&gt;""), template_label_ok, IF(AND($H$22=TRUE, H23=""), template_label_missing_value, ""))</f>
        <v/>
      </c>
      <c r="J23" s="1106" t="str">
        <f>IF(AND(H23&lt;&gt;"",H24&lt;&gt;""),IF(IFERROR(GenderDiversityRatioInGovernanceBody="-",TRUE),template_label_warning_values_greater_than_zero,""),"")</f>
        <v/>
      </c>
    </row>
    <row r="24" spans="1:10" s="10" customFormat="1">
      <c r="A24" s="702"/>
      <c r="B24" s="704"/>
      <c r="C24" s="794" t="str">
        <f>template_label_number_of_male_board_members_at_the_end_of_the_reporting_period</f>
        <v>Number of male board members at the end of the reporting period</v>
      </c>
      <c r="D24" s="882"/>
      <c r="E24" s="882"/>
      <c r="F24" s="882"/>
      <c r="G24" s="882"/>
      <c r="H24" s="211"/>
      <c r="I24" s="15" t="str">
        <f>IF(AND($H$22=TRUE, H24&lt;&gt;""), template_label_ok, IF(AND($H$22=TRUE, H24=""), template_label_missing_value, ""))</f>
        <v/>
      </c>
      <c r="J24" s="1106"/>
    </row>
    <row r="25" spans="1:10" s="10" customFormat="1" ht="15" thickBot="1">
      <c r="A25" s="702"/>
      <c r="B25" s="704"/>
      <c r="C25" s="1190" t="str">
        <f>template_label_gender_diversity_ratio_in_governance_body</f>
        <v>Gender diversity ratio in governance body</v>
      </c>
      <c r="D25" s="1191"/>
      <c r="E25" s="1191"/>
      <c r="F25" s="1191"/>
      <c r="G25" s="1191"/>
      <c r="H25" s="209" t="str">
        <f>IF(OR(H23="",H24=""),"-",IF(H24=0,IF(H23=0,"-",0),H23/H24))</f>
        <v>-</v>
      </c>
      <c r="I25" s="15"/>
      <c r="J25" s="19"/>
    </row>
    <row r="26" spans="1:10" s="10" customFormat="1">
      <c r="I26" s="15"/>
    </row>
    <row r="27" spans="1:10" s="10" customFormat="1" ht="15" thickBot="1">
      <c r="I27" s="15"/>
    </row>
    <row r="28" spans="1:10" s="10" customFormat="1" ht="15" thickBot="1">
      <c r="C28" s="666" t="str">
        <f>template_label_disclosure_of_any_other_governance_and_or_entity_specific_governance_disclosures&amp;" "&amp;template_label_from&amp;" "&amp;template_starting_date_display&amp;" "&amp;template_label_to&amp;" "&amp;template_ending_date_display&amp;" "</f>
        <v xml:space="preserve">Disclosure of any other governance and/or entity specific governance disclosures from - to - </v>
      </c>
      <c r="D28" s="667"/>
      <c r="E28" s="667"/>
      <c r="F28" s="667"/>
      <c r="G28" s="667"/>
      <c r="H28" s="668"/>
      <c r="I28" s="15"/>
    </row>
    <row r="29" spans="1:10" s="10" customFormat="1">
      <c r="C29" s="687">
        <v>12</v>
      </c>
      <c r="D29" s="677"/>
      <c r="E29" s="677"/>
      <c r="F29" s="677"/>
      <c r="G29" s="677"/>
      <c r="H29" s="682"/>
      <c r="I29" s="15"/>
    </row>
    <row r="30" spans="1:10" s="10" customFormat="1" ht="15" thickBot="1">
      <c r="C30" s="1157"/>
      <c r="D30" s="743"/>
      <c r="E30" s="743"/>
      <c r="F30" s="743"/>
      <c r="G30" s="743"/>
      <c r="H30" s="744"/>
      <c r="I30" s="19" t="str">
        <f>IF(C30&lt;&gt;"",template_label_ok, "")</f>
        <v/>
      </c>
    </row>
    <row r="31" spans="1:10" s="10" customFormat="1">
      <c r="I31" s="15"/>
    </row>
    <row r="32" spans="1:10" s="10" customFormat="1">
      <c r="I32" s="15"/>
    </row>
    <row r="33" spans="9:9" s="10" customFormat="1">
      <c r="I33" s="15"/>
    </row>
    <row r="34" spans="9:9" s="10" customFormat="1">
      <c r="I34" s="15"/>
    </row>
    <row r="35" spans="9:9" s="10" customFormat="1">
      <c r="I35" s="15"/>
    </row>
    <row r="36" spans="9:9" s="10" customFormat="1">
      <c r="I36" s="15"/>
    </row>
    <row r="37" spans="9:9" s="10" customFormat="1">
      <c r="I37" s="15"/>
    </row>
    <row r="38" spans="9:9" s="10" customFormat="1">
      <c r="I38" s="15"/>
    </row>
    <row r="39" spans="9:9" s="10" customFormat="1">
      <c r="I39" s="15"/>
    </row>
    <row r="40" spans="9:9" s="10" customFormat="1">
      <c r="I40" s="15"/>
    </row>
    <row r="41" spans="9:9" s="10" customFormat="1">
      <c r="I41" s="15"/>
    </row>
    <row r="42" spans="9:9" s="10" customFormat="1">
      <c r="I42" s="15"/>
    </row>
    <row r="43" spans="9:9" s="10" customFormat="1">
      <c r="I43" s="15"/>
    </row>
    <row r="44" spans="9:9" s="10" customFormat="1">
      <c r="I44" s="15"/>
    </row>
    <row r="45" spans="9:9" s="10" customFormat="1">
      <c r="I45" s="15"/>
    </row>
    <row r="46" spans="9:9" s="10" customFormat="1">
      <c r="I46" s="15"/>
    </row>
    <row r="47" spans="9:9" s="10" customFormat="1">
      <c r="I47" s="15"/>
    </row>
    <row r="48" spans="9:9" s="10" customFormat="1">
      <c r="I48" s="15"/>
    </row>
    <row r="49" spans="9:9" s="10" customFormat="1">
      <c r="I49" s="15"/>
    </row>
    <row r="50" spans="9:9" s="10" customFormat="1">
      <c r="I50" s="15"/>
    </row>
    <row r="51" spans="9:9" s="10" customFormat="1">
      <c r="I51" s="15"/>
    </row>
    <row r="52" spans="9:9" s="10" customFormat="1">
      <c r="I52" s="15"/>
    </row>
    <row r="53" spans="9:9" s="10" customFormat="1">
      <c r="I53" s="15"/>
    </row>
    <row r="54" spans="9:9" s="10" customFormat="1">
      <c r="I54" s="15"/>
    </row>
    <row r="55" spans="9:9" s="10" customFormat="1">
      <c r="I55" s="15"/>
    </row>
    <row r="56" spans="9:9" s="10" customFormat="1">
      <c r="I56" s="15"/>
    </row>
    <row r="57" spans="9:9" s="10" customFormat="1">
      <c r="I57" s="15"/>
    </row>
    <row r="58" spans="9:9" s="10" customFormat="1">
      <c r="I58" s="15"/>
    </row>
    <row r="59" spans="9:9" s="10" customFormat="1">
      <c r="I59" s="15"/>
    </row>
    <row r="60" spans="9:9" s="10" customFormat="1">
      <c r="I60" s="15"/>
    </row>
    <row r="61" spans="9:9" s="10" customFormat="1">
      <c r="I61" s="15"/>
    </row>
    <row r="62" spans="9:9" s="10" customFormat="1">
      <c r="I62" s="15"/>
    </row>
    <row r="63" spans="9:9" s="10" customFormat="1">
      <c r="I63" s="15"/>
    </row>
    <row r="64" spans="9:9" s="10" customFormat="1">
      <c r="I64" s="15"/>
    </row>
    <row r="65" spans="9:9" s="10" customFormat="1">
      <c r="I65" s="15"/>
    </row>
    <row r="66" spans="9:9" s="10" customFormat="1">
      <c r="I66" s="15"/>
    </row>
    <row r="67" spans="9:9" s="10" customFormat="1">
      <c r="I67" s="15"/>
    </row>
    <row r="68" spans="9:9" s="10" customFormat="1">
      <c r="I68" s="15"/>
    </row>
    <row r="69" spans="9:9" s="10" customFormat="1">
      <c r="I69" s="15"/>
    </row>
    <row r="70" spans="9:9" s="10" customFormat="1">
      <c r="I70" s="15"/>
    </row>
    <row r="71" spans="9:9" s="10" customFormat="1">
      <c r="I71" s="15"/>
    </row>
    <row r="72" spans="9:9" s="10" customFormat="1">
      <c r="I72" s="15"/>
    </row>
    <row r="73" spans="9:9" s="10" customFormat="1">
      <c r="I73" s="15"/>
    </row>
    <row r="74" spans="9:9" s="10" customFormat="1">
      <c r="I74" s="15"/>
    </row>
    <row r="75" spans="9:9" s="10" customFormat="1">
      <c r="I75" s="15"/>
    </row>
    <row r="76" spans="9:9" s="10" customFormat="1">
      <c r="I76" s="15"/>
    </row>
    <row r="77" spans="9:9" s="10" customFormat="1">
      <c r="I77" s="15"/>
    </row>
    <row r="78" spans="9:9" s="10" customFormat="1">
      <c r="I78" s="15"/>
    </row>
    <row r="79" spans="9:9" s="10" customFormat="1">
      <c r="I79" s="15"/>
    </row>
    <row r="80" spans="9:9" s="10" customFormat="1">
      <c r="I80" s="15"/>
    </row>
    <row r="81" spans="9:9" s="10" customFormat="1">
      <c r="I81" s="15"/>
    </row>
    <row r="82" spans="9:9" s="10" customFormat="1">
      <c r="I82" s="15"/>
    </row>
    <row r="83" spans="9:9" s="10" customFormat="1">
      <c r="I83" s="15"/>
    </row>
    <row r="84" spans="9:9" s="10" customFormat="1">
      <c r="I84" s="15"/>
    </row>
    <row r="85" spans="9:9" s="10" customFormat="1">
      <c r="I85" s="15"/>
    </row>
    <row r="86" spans="9:9" s="10" customFormat="1">
      <c r="I86" s="15"/>
    </row>
    <row r="87" spans="9:9" s="10" customFormat="1">
      <c r="I87" s="15"/>
    </row>
    <row r="88" spans="9:9" s="10" customFormat="1">
      <c r="I88" s="15"/>
    </row>
    <row r="89" spans="9:9" s="10" customFormat="1">
      <c r="I89" s="15"/>
    </row>
    <row r="90" spans="9:9" s="10" customFormat="1">
      <c r="I90" s="15"/>
    </row>
    <row r="91" spans="9:9" s="10" customFormat="1">
      <c r="I91" s="15"/>
    </row>
    <row r="92" spans="9:9" s="10" customFormat="1">
      <c r="I92" s="15"/>
    </row>
    <row r="93" spans="9:9" s="10" customFormat="1">
      <c r="I93" s="15"/>
    </row>
    <row r="94" spans="9:9" s="10" customFormat="1">
      <c r="I94" s="15"/>
    </row>
    <row r="95" spans="9:9" s="10" customFormat="1">
      <c r="I95" s="15"/>
    </row>
    <row r="96" spans="9:9" s="10" customFormat="1">
      <c r="I96" s="15"/>
    </row>
    <row r="97" spans="9:9" s="10" customFormat="1">
      <c r="I97" s="15"/>
    </row>
    <row r="98" spans="9:9" s="10" customFormat="1">
      <c r="I98" s="15"/>
    </row>
    <row r="99" spans="9:9" s="10" customFormat="1">
      <c r="I99" s="15"/>
    </row>
    <row r="100" spans="9:9" s="10" customFormat="1">
      <c r="I100" s="15"/>
    </row>
    <row r="101" spans="9:9" s="10" customFormat="1">
      <c r="I101" s="15"/>
    </row>
    <row r="102" spans="9:9" s="10" customFormat="1">
      <c r="I102" s="15"/>
    </row>
    <row r="103" spans="9:9" s="10" customFormat="1">
      <c r="I103" s="15"/>
    </row>
    <row r="104" spans="9:9" s="10" customFormat="1">
      <c r="I104" s="15"/>
    </row>
    <row r="105" spans="9:9" s="10" customFormat="1">
      <c r="I105" s="15"/>
    </row>
    <row r="106" spans="9:9" s="10" customFormat="1">
      <c r="I106" s="15"/>
    </row>
    <row r="107" spans="9:9" s="10" customFormat="1">
      <c r="I107" s="15"/>
    </row>
    <row r="108" spans="9:9" s="10" customFormat="1">
      <c r="I108" s="15"/>
    </row>
    <row r="109" spans="9:9" s="10" customFormat="1">
      <c r="I109" s="15"/>
    </row>
    <row r="110" spans="9:9" s="10" customFormat="1">
      <c r="I110" s="15"/>
    </row>
    <row r="111" spans="9:9" s="10" customFormat="1">
      <c r="I111" s="15"/>
    </row>
    <row r="112" spans="9:9" s="10" customFormat="1">
      <c r="I112" s="15"/>
    </row>
    <row r="113" spans="9:9" s="10" customFormat="1">
      <c r="I113" s="15"/>
    </row>
    <row r="114" spans="9:9" s="10" customFormat="1">
      <c r="I114" s="15"/>
    </row>
    <row r="115" spans="9:9" s="10" customFormat="1">
      <c r="I115" s="15"/>
    </row>
    <row r="116" spans="9:9" s="10" customFormat="1">
      <c r="I116" s="15"/>
    </row>
    <row r="117" spans="9:9" s="10" customFormat="1">
      <c r="I117" s="15"/>
    </row>
    <row r="118" spans="9:9" s="10" customFormat="1">
      <c r="I118" s="15"/>
    </row>
    <row r="119" spans="9:9" s="10" customFormat="1">
      <c r="I119" s="15"/>
    </row>
    <row r="120" spans="9:9" s="10" customFormat="1">
      <c r="I120" s="15"/>
    </row>
    <row r="121" spans="9:9" s="10" customFormat="1">
      <c r="I121" s="15"/>
    </row>
    <row r="122" spans="9:9" s="10" customFormat="1">
      <c r="I122" s="15"/>
    </row>
    <row r="123" spans="9:9" s="10" customFormat="1">
      <c r="I123" s="15"/>
    </row>
    <row r="124" spans="9:9" s="10" customFormat="1">
      <c r="I124" s="15"/>
    </row>
    <row r="125" spans="9:9" s="10" customFormat="1">
      <c r="I125" s="15"/>
    </row>
    <row r="126" spans="9:9" s="10" customFormat="1">
      <c r="I126" s="15"/>
    </row>
    <row r="127" spans="9:9" s="10" customFormat="1">
      <c r="I127" s="15"/>
    </row>
    <row r="128" spans="9:9" s="10" customFormat="1">
      <c r="I128" s="15"/>
    </row>
    <row r="129" spans="9:9" s="10" customFormat="1">
      <c r="I129" s="15"/>
    </row>
    <row r="130" spans="9:9" s="10" customFormat="1">
      <c r="I130" s="15"/>
    </row>
    <row r="131" spans="9:9" s="10" customFormat="1">
      <c r="I131" s="15"/>
    </row>
    <row r="132" spans="9:9" s="10" customFormat="1">
      <c r="I132" s="15"/>
    </row>
    <row r="133" spans="9:9" s="10" customFormat="1">
      <c r="I133" s="15"/>
    </row>
    <row r="134" spans="9:9" s="10" customFormat="1">
      <c r="I134" s="15"/>
    </row>
    <row r="135" spans="9:9" s="10" customFormat="1">
      <c r="I135" s="15"/>
    </row>
    <row r="136" spans="9:9" s="10" customFormat="1">
      <c r="I136" s="15"/>
    </row>
    <row r="137" spans="9:9" s="10" customFormat="1">
      <c r="I137" s="15"/>
    </row>
    <row r="138" spans="9:9" s="10" customFormat="1">
      <c r="I138" s="15"/>
    </row>
    <row r="139" spans="9:9" s="10" customFormat="1">
      <c r="I139" s="15"/>
    </row>
    <row r="140" spans="9:9" s="10" customFormat="1">
      <c r="I140" s="15"/>
    </row>
    <row r="141" spans="9:9" s="10" customFormat="1">
      <c r="I141" s="15"/>
    </row>
    <row r="142" spans="9:9" s="10" customFormat="1">
      <c r="I142" s="15"/>
    </row>
    <row r="143" spans="9:9" s="10" customFormat="1">
      <c r="I143" s="15"/>
    </row>
    <row r="144" spans="9:9" s="10" customFormat="1">
      <c r="I144" s="15"/>
    </row>
    <row r="145" spans="9:9" s="10" customFormat="1">
      <c r="I145" s="15"/>
    </row>
    <row r="146" spans="9:9" s="10" customFormat="1">
      <c r="I146" s="15"/>
    </row>
    <row r="147" spans="9:9" s="10" customFormat="1">
      <c r="I147" s="15"/>
    </row>
    <row r="148" spans="9:9" s="10" customFormat="1">
      <c r="I148" s="15"/>
    </row>
    <row r="149" spans="9:9" s="10" customFormat="1">
      <c r="I149" s="15"/>
    </row>
    <row r="150" spans="9:9" s="10" customFormat="1">
      <c r="I150" s="15"/>
    </row>
    <row r="151" spans="9:9" s="10" customFormat="1">
      <c r="I151" s="15"/>
    </row>
    <row r="152" spans="9:9" s="10" customFormat="1">
      <c r="I152" s="15"/>
    </row>
    <row r="153" spans="9:9" s="10" customFormat="1">
      <c r="I153" s="15"/>
    </row>
    <row r="154" spans="9:9" s="10" customFormat="1">
      <c r="I154" s="15"/>
    </row>
    <row r="155" spans="9:9" s="10" customFormat="1">
      <c r="I155" s="15"/>
    </row>
    <row r="156" spans="9:9" s="10" customFormat="1">
      <c r="I156" s="15"/>
    </row>
    <row r="157" spans="9:9" s="10" customFormat="1">
      <c r="I157" s="15"/>
    </row>
    <row r="158" spans="9:9" s="10" customFormat="1">
      <c r="I158" s="15"/>
    </row>
    <row r="159" spans="9:9" s="10" customFormat="1">
      <c r="I159" s="15"/>
    </row>
    <row r="160" spans="9:9" s="10" customFormat="1">
      <c r="I160" s="15"/>
    </row>
    <row r="161" spans="9:9" s="10" customFormat="1">
      <c r="I161" s="15"/>
    </row>
    <row r="162" spans="9:9" s="10" customFormat="1">
      <c r="I162" s="15"/>
    </row>
    <row r="163" spans="9:9" s="10" customFormat="1">
      <c r="I163" s="15"/>
    </row>
    <row r="164" spans="9:9" s="10" customFormat="1">
      <c r="I164" s="15"/>
    </row>
    <row r="165" spans="9:9" s="10" customFormat="1">
      <c r="I165" s="15"/>
    </row>
    <row r="166" spans="9:9" s="10" customFormat="1">
      <c r="I166" s="15"/>
    </row>
    <row r="167" spans="9:9" s="10" customFormat="1">
      <c r="I167" s="15"/>
    </row>
    <row r="168" spans="9:9" s="10" customFormat="1">
      <c r="I168" s="15"/>
    </row>
    <row r="169" spans="9:9" s="10" customFormat="1">
      <c r="I169" s="15"/>
    </row>
    <row r="170" spans="9:9" s="10" customFormat="1">
      <c r="I170" s="15"/>
    </row>
    <row r="171" spans="9:9" s="10" customFormat="1">
      <c r="I171" s="15"/>
    </row>
    <row r="172" spans="9:9" s="10" customFormat="1">
      <c r="I172" s="15"/>
    </row>
    <row r="173" spans="9:9" s="10" customFormat="1">
      <c r="I173" s="15"/>
    </row>
    <row r="174" spans="9:9" s="10" customFormat="1">
      <c r="I174" s="15"/>
    </row>
    <row r="175" spans="9:9" s="10" customFormat="1">
      <c r="I175" s="15"/>
    </row>
    <row r="176" spans="9:9" s="10" customFormat="1">
      <c r="I176" s="15"/>
    </row>
    <row r="177" spans="9:9" s="10" customFormat="1">
      <c r="I177" s="15"/>
    </row>
    <row r="178" spans="9:9" s="10" customFormat="1">
      <c r="I178" s="15"/>
    </row>
    <row r="179" spans="9:9" s="10" customFormat="1">
      <c r="I179" s="15"/>
    </row>
    <row r="180" spans="9:9" s="10" customFormat="1">
      <c r="I180" s="15"/>
    </row>
    <row r="181" spans="9:9" s="10" customFormat="1">
      <c r="I181" s="15"/>
    </row>
    <row r="182" spans="9:9" s="10" customFormat="1">
      <c r="I182" s="15"/>
    </row>
    <row r="183" spans="9:9" s="10" customFormat="1">
      <c r="I183" s="15"/>
    </row>
    <row r="184" spans="9:9" s="10" customFormat="1">
      <c r="I184" s="15"/>
    </row>
    <row r="185" spans="9:9" s="10" customFormat="1">
      <c r="I185" s="15"/>
    </row>
    <row r="186" spans="9:9" s="10" customFormat="1">
      <c r="I186" s="15"/>
    </row>
    <row r="187" spans="9:9" s="10" customFormat="1">
      <c r="I187" s="15"/>
    </row>
    <row r="188" spans="9:9" s="10" customFormat="1">
      <c r="I188" s="15"/>
    </row>
    <row r="189" spans="9:9" s="10" customFormat="1">
      <c r="I189" s="15"/>
    </row>
    <row r="190" spans="9:9" s="10" customFormat="1">
      <c r="I190" s="15"/>
    </row>
    <row r="191" spans="9:9" s="10" customFormat="1">
      <c r="I191" s="15"/>
    </row>
    <row r="192" spans="9:9" s="10" customFormat="1">
      <c r="I192" s="15"/>
    </row>
    <row r="193" spans="9:9" s="10" customFormat="1">
      <c r="I193" s="15"/>
    </row>
    <row r="194" spans="9:9" s="10" customFormat="1">
      <c r="I194" s="15"/>
    </row>
    <row r="195" spans="9:9" s="10" customFormat="1">
      <c r="I195" s="15"/>
    </row>
    <row r="196" spans="9:9" s="10" customFormat="1">
      <c r="I196" s="15"/>
    </row>
    <row r="197" spans="9:9" s="10" customFormat="1">
      <c r="I197" s="15"/>
    </row>
    <row r="198" spans="9:9" s="10" customFormat="1">
      <c r="I198" s="15"/>
    </row>
    <row r="199" spans="9:9" s="10" customFormat="1">
      <c r="I199" s="15"/>
    </row>
    <row r="200" spans="9:9" s="10" customFormat="1">
      <c r="I200" s="15"/>
    </row>
    <row r="201" spans="9:9" s="10" customFormat="1">
      <c r="I201" s="15"/>
    </row>
    <row r="202" spans="9:9" s="10" customFormat="1">
      <c r="I202" s="15"/>
    </row>
    <row r="203" spans="9:9" s="10" customFormat="1">
      <c r="I203" s="15"/>
    </row>
    <row r="204" spans="9:9" s="10" customFormat="1">
      <c r="I204" s="15"/>
    </row>
    <row r="205" spans="9:9" s="10" customFormat="1">
      <c r="I205" s="15"/>
    </row>
    <row r="206" spans="9:9" s="10" customFormat="1">
      <c r="I206" s="15"/>
    </row>
    <row r="207" spans="9:9" s="10" customFormat="1">
      <c r="I207" s="15"/>
    </row>
    <row r="208" spans="9:9" s="10" customFormat="1">
      <c r="I208" s="15"/>
    </row>
    <row r="209" spans="9:9" s="10" customFormat="1">
      <c r="I209" s="15"/>
    </row>
    <row r="210" spans="9:9" s="10" customFormat="1">
      <c r="I210" s="15"/>
    </row>
  </sheetData>
  <sheetProtection formatColumns="0" formatRows="0" insertRows="0"/>
  <mergeCells count="31">
    <mergeCell ref="C2:H2"/>
    <mergeCell ref="C9:H9"/>
    <mergeCell ref="C21:H21"/>
    <mergeCell ref="C3:H3"/>
    <mergeCell ref="C4:H4"/>
    <mergeCell ref="C18:G18"/>
    <mergeCell ref="C11:G11"/>
    <mergeCell ref="C6:G6"/>
    <mergeCell ref="C7:G7"/>
    <mergeCell ref="C16:G16"/>
    <mergeCell ref="C5:G5"/>
    <mergeCell ref="C10:G10"/>
    <mergeCell ref="C30:H30"/>
    <mergeCell ref="C12:G12"/>
    <mergeCell ref="C13:G13"/>
    <mergeCell ref="C14:G14"/>
    <mergeCell ref="C28:H28"/>
    <mergeCell ref="C29:H29"/>
    <mergeCell ref="C15:G15"/>
    <mergeCell ref="C22:G22"/>
    <mergeCell ref="J12:J18"/>
    <mergeCell ref="A23:A25"/>
    <mergeCell ref="B23:B25"/>
    <mergeCell ref="C25:G25"/>
    <mergeCell ref="C23:G23"/>
    <mergeCell ref="C24:G24"/>
    <mergeCell ref="C17:G17"/>
    <mergeCell ref="A14:A16"/>
    <mergeCell ref="B14:B16"/>
    <mergeCell ref="I12:I18"/>
    <mergeCell ref="J23:J24"/>
  </mergeCells>
  <phoneticPr fontId="3" type="noConversion"/>
  <conditionalFormatting sqref="H6:H7">
    <cfRule type="expression" dxfId="102" priority="11">
      <formula>$H$5=TRUE</formula>
    </cfRule>
  </conditionalFormatting>
  <conditionalFormatting sqref="H12:H16">
    <cfRule type="expression" dxfId="101" priority="10">
      <formula>$H$10=TRUE</formula>
    </cfRule>
  </conditionalFormatting>
  <conditionalFormatting sqref="H18">
    <cfRule type="expression" dxfId="100" priority="9">
      <formula>$H$10=TRUE</formula>
    </cfRule>
  </conditionalFormatting>
  <conditionalFormatting sqref="H23:H24">
    <cfRule type="expression" dxfId="99" priority="8">
      <formula>$H$22=TRUE</formula>
    </cfRule>
  </conditionalFormatting>
  <conditionalFormatting sqref="I6:I7">
    <cfRule type="expression" dxfId="98" priority="7">
      <formula>$I6=template_label_missing_value</formula>
    </cfRule>
    <cfRule type="expression" dxfId="97" priority="29">
      <formula>$I6=template_label_ok</formula>
    </cfRule>
  </conditionalFormatting>
  <conditionalFormatting sqref="I12:I18">
    <cfRule type="expression" dxfId="96" priority="5">
      <formula>$I$12=template_label_missing_value</formula>
    </cfRule>
    <cfRule type="expression" dxfId="95" priority="15">
      <formula>$I$12=template_label_value_inconsistency</formula>
    </cfRule>
    <cfRule type="expression" dxfId="94" priority="16">
      <formula>$I$12=template_label_ok</formula>
    </cfRule>
  </conditionalFormatting>
  <conditionalFormatting sqref="I22:I24">
    <cfRule type="expression" dxfId="93" priority="21">
      <formula>$I22=template_label_ok</formula>
    </cfRule>
  </conditionalFormatting>
  <conditionalFormatting sqref="I23:I24">
    <cfRule type="expression" dxfId="92" priority="6">
      <formula>$I23=template_label_missing_value</formula>
    </cfRule>
  </conditionalFormatting>
  <conditionalFormatting sqref="I30">
    <cfRule type="expression" dxfId="91" priority="14">
      <formula>$I$30=template_label_ok</formula>
    </cfRule>
  </conditionalFormatting>
  <conditionalFormatting sqref="J6">
    <cfRule type="expression" dxfId="90" priority="3">
      <formula>$J$6=template_label_warning_values_greater_than_zero</formula>
    </cfRule>
  </conditionalFormatting>
  <conditionalFormatting sqref="J7">
    <cfRule type="expression" dxfId="89" priority="4">
      <formula>$J$7=template_label_warning_values_greater_than_zero</formula>
    </cfRule>
  </conditionalFormatting>
  <conditionalFormatting sqref="J12">
    <cfRule type="expression" dxfId="88" priority="2">
      <formula>$J$12=template_label_warning_values_greater_than_zero</formula>
    </cfRule>
  </conditionalFormatting>
  <conditionalFormatting sqref="J23">
    <cfRule type="expression" dxfId="87" priority="1">
      <formula>$J$23=template_label_warning_values_greater_than_zero</formula>
    </cfRule>
  </conditionalFormatting>
  <dataValidations count="6">
    <dataValidation type="custom" operator="equal" allowBlank="1" showInputMessage="1" showErrorMessage="1" sqref="H7" xr:uid="{6F872197-207D-42B9-A398-224136E9C3BE}">
      <formula1>H7&gt;0</formula1>
    </dataValidation>
    <dataValidation type="whole" operator="equal" allowBlank="1" showInputMessage="1" showErrorMessage="1" sqref="H23 H24" xr:uid="{BDA32504-9D53-471A-AB25-BD511E13155A}">
      <formula1>H23</formula1>
    </dataValidation>
    <dataValidation allowBlank="1" showInputMessage="1" showErrorMessage="1" promptTitle="Board gender diversity ratio" prompt="number of female board members / number of male board members" sqref="C25:G25" xr:uid="{13819AD4-B21A-4575-89EF-B9AD3B7EB561}"/>
    <dataValidation type="custom" showInputMessage="1" showErrorMessage="1" sqref="H11" xr:uid="{8A01336C-2998-40B9-9A10-C1CACA56A005}">
      <formula1>IF(H16=TRUE, FALSE, TRUE)</formula1>
    </dataValidation>
    <dataValidation type="custom" showInputMessage="1" showErrorMessage="1" sqref="H5 H10 H22" xr:uid="{5251F65C-302B-430B-9A74-3504B0782C15}">
      <formula1>OR(H5=TRUE,H5=FALSE)</formula1>
    </dataValidation>
    <dataValidation type="custom" operator="equal" allowBlank="1" showInputMessage="1" showErrorMessage="1" sqref="H6" xr:uid="{08AB2B3B-16B6-44B8-9348-0FD0F300D0CC}">
      <formula1>AND(H6=INT(H6),H6&gt;0)</formula1>
    </dataValidation>
  </dataValidations>
  <hyperlinks>
    <hyperlink ref="C3:H3" r:id="rId1" display="https://knowledgehub.efrag.org/eng/interactive/voluntary-standard/standard-for-voluntary-use/voluntary-standard-official-journal-publication/43" xr:uid="{5C273843-B5E6-42DB-9670-7C6BB42A5F73}"/>
    <hyperlink ref="A12" r:id="rId2" xr:uid="{C615F7D8-42B9-4D7A-AB63-8A75DF01EBEB}"/>
    <hyperlink ref="A13" r:id="rId3" xr:uid="{798A25F5-A749-4655-90C2-2185BFE0067E}"/>
    <hyperlink ref="A14" r:id="rId4" xr:uid="{770F93F1-F6E8-4E9E-BAA7-5C9ABF6B4B01}"/>
    <hyperlink ref="A18" r:id="rId5" xr:uid="{A051D2F5-FDD0-4ECB-B06B-593D1E9E6D4E}"/>
    <hyperlink ref="A23:A25" r:id="rId6" display="https://knowledgehub.efrag.org/eng/interactive/voluntary-standard/standard-for-voluntary-use/voluntary-standard-official-journal-publication/64" xr:uid="{32BF398F-D410-49C5-9061-5F351D87144D}"/>
    <hyperlink ref="C29:H29" r:id="rId7" display="https://knowledgehub.efrag.org/eng/interactive/voluntary-standard/standard-for-voluntary-use/voluntary-standard-official-journal-publication/12" xr:uid="{5C9FBD30-6F73-4646-888D-328CDB80F4BE}"/>
    <hyperlink ref="C4:H4" r:id="rId8" display="138-139" xr:uid="{FFF7A640-A92D-4605-A285-22B14271E9B1}"/>
    <hyperlink ref="B12" r:id="rId9" display="https://knowledgehub.efrag.org/eng/interactive/voluntary-standard-non-mandatory-efrag-guidance/voluntary-standard-non-mandatory-efrag-guidance/2026-efrag-guidance/179" xr:uid="{71DB8F68-AB5A-4040-82C5-43D566E0BC23}"/>
    <hyperlink ref="B18" r:id="rId10" display="https://knowledgehub.efrag.org/eng/interactive/voluntary-standard-non-mandatory-efrag-guidance/voluntary-standard-non-mandatory-efrag-guidance/2026-efrag-guidance/181" xr:uid="{F938748F-8A46-4EDD-99C0-74139E81AF74}"/>
    <hyperlink ref="B23:B25" r:id="rId11" display="182-184" xr:uid="{9BC42060-126C-43BE-AFB7-94E19A0E2663}"/>
    <hyperlink ref="A14:A16" r:id="rId12" display="63(c)" xr:uid="{E55BA21A-2D28-4A0E-9EC1-29706B2C59BD}"/>
  </hyperlinks>
  <pageMargins left="0.7" right="0.7" top="0.75" bottom="0.75" header="0.3" footer="0.3"/>
  <drawing r:id="rId13"/>
  <extLs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Information'!$E$279</xm:f>
          </x14:formula1>
          <xm:sqref>H17</xm:sqref>
        </x14:dataValidation>
        <x14:dataValidation type="custom" showInputMessage="1" showErrorMessage="1" xr:uid="{F6328591-2F0B-4688-A58B-FE2019B26C27}">
          <x14:formula1>
            <xm:f>($H$12+$H$13+$H$14+$H$15+$H$16+$H$18)&lt;='General Information'!$E$279</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3510-1707-4513-9F6C-140BFDB8876A}">
  <dimension ref="A1:Q1525"/>
  <sheetViews>
    <sheetView zoomScale="89" zoomScaleNormal="100" workbookViewId="0">
      <selection activeCell="D47" sqref="D47"/>
    </sheetView>
  </sheetViews>
  <sheetFormatPr defaultColWidth="8.84375" defaultRowHeight="14.6" outlineLevelRow="2" outlineLevelCol="1"/>
  <cols>
    <col min="1" max="1" width="6.4609375" style="10" bestFit="1" customWidth="1"/>
    <col min="2" max="2" width="93.84375" style="10" customWidth="1"/>
    <col min="3" max="3" width="38.4609375" style="10" hidden="1" customWidth="1" outlineLevel="1"/>
    <col min="4" max="4" width="86.84375" style="10" customWidth="1" collapsed="1"/>
    <col min="5" max="8" width="8.84375" style="10"/>
    <col min="9" max="17" width="8.84375" style="10" customWidth="1"/>
    <col min="18" max="16384" width="8.84375" style="10"/>
  </cols>
  <sheetData>
    <row r="1" spans="2:17" ht="37.4" customHeight="1">
      <c r="B1" s="1206" t="str">
        <f>template_label_footnote_instructions</f>
        <v>If you need to add footnotes for the converted VS Digital Template, please select the disclosures in column D and write the related footnote in column B.</v>
      </c>
      <c r="C1" s="1207"/>
      <c r="D1" s="1208"/>
      <c r="E1" s="487"/>
      <c r="F1" s="487"/>
      <c r="G1" s="487"/>
      <c r="H1" s="487"/>
      <c r="I1" s="487"/>
      <c r="J1" s="487"/>
      <c r="K1" s="487"/>
      <c r="L1" s="487"/>
      <c r="M1" s="487"/>
      <c r="N1" s="487"/>
      <c r="O1" s="487"/>
      <c r="P1" s="487"/>
      <c r="Q1" s="487"/>
    </row>
    <row r="2" spans="2:17" ht="19.399999999999999" customHeight="1" thickBot="1">
      <c r="B2" s="1209" t="str">
        <f>template_label_buttons_footnotes</f>
        <v>ℹ️ If needed, the expansion buttons of the left can be used to increase the number of rows and associate the same footnote to several disclosures</v>
      </c>
      <c r="C2" s="1210"/>
      <c r="D2" s="1211"/>
      <c r="E2" s="487"/>
      <c r="F2" s="487"/>
      <c r="G2" s="487"/>
      <c r="H2" s="487"/>
      <c r="I2" s="487"/>
      <c r="J2" s="487"/>
      <c r="K2" s="487"/>
      <c r="L2" s="487"/>
      <c r="M2" s="487"/>
      <c r="N2" s="487"/>
      <c r="O2" s="487"/>
      <c r="P2" s="487"/>
      <c r="Q2" s="487"/>
    </row>
    <row r="3" spans="2:17" ht="15" thickBot="1">
      <c r="B3" s="486" t="str">
        <f>template_label_footnote_text</f>
        <v>Footnote text</v>
      </c>
      <c r="C3" s="486" t="str">
        <f>template_footnote_technical_name</f>
        <v>Dimension (technical name)</v>
      </c>
      <c r="D3" s="486" t="str">
        <f>template_label_disclosure_selection</f>
        <v>Cell to which footnote is associated</v>
      </c>
    </row>
    <row r="4" spans="2:17">
      <c r="B4" s="1214"/>
      <c r="C4" s="507"/>
      <c r="D4" s="508"/>
      <c r="E4" s="1212"/>
      <c r="F4" s="1213"/>
      <c r="G4" s="1213"/>
      <c r="H4" s="1213"/>
      <c r="I4" s="1213"/>
      <c r="J4" s="1213"/>
      <c r="K4" s="1213"/>
      <c r="L4" s="1213"/>
      <c r="M4" s="1213"/>
      <c r="N4" s="1213"/>
      <c r="O4" s="1213"/>
      <c r="P4" s="1213"/>
      <c r="Q4" s="1213"/>
    </row>
    <row r="5" spans="2:17" hidden="1" outlineLevel="1">
      <c r="B5" s="1214"/>
      <c r="C5" s="507"/>
      <c r="D5" s="508"/>
      <c r="E5" s="1212"/>
      <c r="F5" s="1213"/>
      <c r="G5" s="1213"/>
      <c r="H5" s="1213"/>
      <c r="I5" s="1213"/>
      <c r="J5" s="1213"/>
      <c r="K5" s="1213"/>
      <c r="L5" s="1213"/>
      <c r="M5" s="1213"/>
      <c r="N5" s="1213"/>
      <c r="O5" s="1213"/>
      <c r="P5" s="1213"/>
      <c r="Q5" s="1213"/>
    </row>
    <row r="6" spans="2:17" hidden="1" outlineLevel="1">
      <c r="B6" s="1214"/>
      <c r="C6" s="507"/>
      <c r="D6" s="508"/>
      <c r="E6" s="1212"/>
      <c r="F6" s="1213"/>
      <c r="G6" s="1213"/>
      <c r="H6" s="1213"/>
      <c r="I6" s="1213"/>
      <c r="J6" s="1213"/>
      <c r="K6" s="1213"/>
      <c r="L6" s="1213"/>
      <c r="M6" s="1213"/>
      <c r="N6" s="1213"/>
      <c r="O6" s="1213"/>
      <c r="P6" s="1213"/>
      <c r="Q6" s="1213"/>
    </row>
    <row r="7" spans="2:17" hidden="1" outlineLevel="1">
      <c r="B7" s="1214"/>
      <c r="C7" s="507"/>
      <c r="D7" s="508"/>
      <c r="E7" s="1212"/>
      <c r="F7" s="1213"/>
      <c r="G7" s="1213"/>
      <c r="H7" s="1213"/>
      <c r="I7" s="1213"/>
      <c r="J7" s="1213"/>
      <c r="K7" s="1213"/>
      <c r="L7" s="1213"/>
      <c r="M7" s="1213"/>
      <c r="N7" s="1213"/>
      <c r="O7" s="1213"/>
      <c r="P7" s="1213"/>
      <c r="Q7" s="1213"/>
    </row>
    <row r="8" spans="2:17" hidden="1" outlineLevel="1">
      <c r="B8" s="1214"/>
      <c r="C8" s="507"/>
      <c r="D8" s="508"/>
      <c r="E8" s="1212"/>
      <c r="F8" s="1213"/>
      <c r="G8" s="1213"/>
      <c r="H8" s="1213"/>
      <c r="I8" s="1213"/>
      <c r="J8" s="1213"/>
      <c r="K8" s="1213"/>
      <c r="L8" s="1213"/>
      <c r="M8" s="1213"/>
      <c r="N8" s="1213"/>
      <c r="O8" s="1213"/>
      <c r="P8" s="1213"/>
      <c r="Q8" s="1213"/>
    </row>
    <row r="9" spans="2:17" hidden="1" outlineLevel="1">
      <c r="B9" s="1214"/>
      <c r="C9" s="507"/>
      <c r="D9" s="508"/>
      <c r="E9" s="1212"/>
      <c r="F9" s="1213"/>
      <c r="G9" s="1213"/>
      <c r="H9" s="1213"/>
      <c r="I9" s="1213"/>
      <c r="J9" s="1213"/>
      <c r="K9" s="1213"/>
      <c r="L9" s="1213"/>
      <c r="M9" s="1213"/>
      <c r="N9" s="1213"/>
      <c r="O9" s="1213"/>
      <c r="P9" s="1213"/>
      <c r="Q9" s="1213"/>
    </row>
    <row r="10" spans="2:17" hidden="1" outlineLevel="1">
      <c r="B10" s="1214"/>
      <c r="C10" s="507"/>
      <c r="D10" s="508"/>
      <c r="E10" s="1212"/>
      <c r="F10" s="1213"/>
      <c r="G10" s="1213"/>
      <c r="H10" s="1213"/>
      <c r="I10" s="1213"/>
      <c r="J10" s="1213"/>
      <c r="K10" s="1213"/>
      <c r="L10" s="1213"/>
      <c r="M10" s="1213"/>
      <c r="N10" s="1213"/>
      <c r="O10" s="1213"/>
      <c r="P10" s="1213"/>
      <c r="Q10" s="1213"/>
    </row>
    <row r="11" spans="2:17" hidden="1" outlineLevel="1">
      <c r="B11" s="1214"/>
      <c r="C11" s="507"/>
      <c r="D11" s="508"/>
      <c r="E11" s="1212"/>
      <c r="F11" s="1213"/>
      <c r="G11" s="1213"/>
      <c r="H11" s="1213"/>
      <c r="I11" s="1213"/>
      <c r="J11" s="1213"/>
      <c r="K11" s="1213"/>
      <c r="L11" s="1213"/>
      <c r="M11" s="1213"/>
      <c r="N11" s="1213"/>
      <c r="O11" s="1213"/>
      <c r="P11" s="1213"/>
      <c r="Q11" s="1213"/>
    </row>
    <row r="12" spans="2:17" hidden="1" outlineLevel="1">
      <c r="B12" s="1214"/>
      <c r="C12" s="507"/>
      <c r="D12" s="508"/>
      <c r="E12" s="1212"/>
      <c r="F12" s="1213"/>
      <c r="G12" s="1213"/>
      <c r="H12" s="1213"/>
      <c r="I12" s="1213"/>
      <c r="J12" s="1213"/>
      <c r="K12" s="1213"/>
      <c r="L12" s="1213"/>
      <c r="M12" s="1213"/>
      <c r="N12" s="1213"/>
      <c r="O12" s="1213"/>
      <c r="P12" s="1213"/>
      <c r="Q12" s="1213"/>
    </row>
    <row r="13" spans="2:17" hidden="1" outlineLevel="1">
      <c r="B13" s="1214"/>
      <c r="C13" s="507"/>
      <c r="D13" s="508"/>
      <c r="E13" s="1212"/>
      <c r="F13" s="1213"/>
      <c r="G13" s="1213"/>
      <c r="H13" s="1213"/>
      <c r="I13" s="1213"/>
      <c r="J13" s="1213"/>
      <c r="K13" s="1213"/>
      <c r="L13" s="1213"/>
      <c r="M13" s="1213"/>
      <c r="N13" s="1213"/>
      <c r="O13" s="1213"/>
      <c r="P13" s="1213"/>
      <c r="Q13" s="1213"/>
    </row>
    <row r="14" spans="2:17" collapsed="1">
      <c r="B14" s="1214"/>
      <c r="C14" s="507"/>
      <c r="D14" s="508"/>
    </row>
    <row r="15" spans="2:17" hidden="1" outlineLevel="1">
      <c r="B15" s="1214"/>
      <c r="C15" s="507"/>
      <c r="D15" s="508"/>
    </row>
    <row r="16" spans="2:17" hidden="1" outlineLevel="1">
      <c r="B16" s="1214"/>
      <c r="C16" s="507"/>
      <c r="D16" s="508"/>
    </row>
    <row r="17" spans="2:4" hidden="1" outlineLevel="1">
      <c r="B17" s="1214"/>
      <c r="C17" s="507"/>
      <c r="D17" s="508"/>
    </row>
    <row r="18" spans="2:4" hidden="1" outlineLevel="1">
      <c r="B18" s="1214"/>
      <c r="C18" s="507"/>
      <c r="D18" s="508"/>
    </row>
    <row r="19" spans="2:4" hidden="1" outlineLevel="1">
      <c r="B19" s="1214"/>
      <c r="C19" s="507"/>
      <c r="D19" s="508"/>
    </row>
    <row r="20" spans="2:4" hidden="1" outlineLevel="1">
      <c r="B20" s="1214"/>
      <c r="C20" s="507"/>
      <c r="D20" s="508"/>
    </row>
    <row r="21" spans="2:4" hidden="1" outlineLevel="1">
      <c r="B21" s="1214"/>
      <c r="C21" s="507"/>
      <c r="D21" s="508"/>
    </row>
    <row r="22" spans="2:4" hidden="1" outlineLevel="1">
      <c r="B22" s="1214"/>
      <c r="C22" s="507"/>
      <c r="D22" s="508"/>
    </row>
    <row r="23" spans="2:4" hidden="1" outlineLevel="1">
      <c r="B23" s="1214"/>
      <c r="C23" s="507"/>
      <c r="D23" s="508"/>
    </row>
    <row r="24" spans="2:4" collapsed="1">
      <c r="B24" s="1214"/>
      <c r="C24" s="507"/>
      <c r="D24" s="508"/>
    </row>
    <row r="25" spans="2:4" hidden="1" outlineLevel="1">
      <c r="B25" s="1214"/>
      <c r="C25" s="507"/>
      <c r="D25" s="508"/>
    </row>
    <row r="26" spans="2:4" hidden="1" outlineLevel="1">
      <c r="B26" s="1214"/>
      <c r="C26" s="507"/>
      <c r="D26" s="508"/>
    </row>
    <row r="27" spans="2:4" hidden="1" outlineLevel="1">
      <c r="B27" s="1214"/>
      <c r="C27" s="507"/>
      <c r="D27" s="508"/>
    </row>
    <row r="28" spans="2:4" hidden="1" outlineLevel="1">
      <c r="B28" s="1214"/>
      <c r="C28" s="507"/>
      <c r="D28" s="508"/>
    </row>
    <row r="29" spans="2:4" hidden="1" outlineLevel="1">
      <c r="B29" s="1214"/>
      <c r="C29" s="507"/>
      <c r="D29" s="508"/>
    </row>
    <row r="30" spans="2:4" hidden="1" outlineLevel="1">
      <c r="B30" s="1214"/>
      <c r="C30" s="507"/>
      <c r="D30" s="508"/>
    </row>
    <row r="31" spans="2:4" hidden="1" outlineLevel="1">
      <c r="B31" s="1214"/>
      <c r="C31" s="507"/>
      <c r="D31" s="508"/>
    </row>
    <row r="32" spans="2:4" hidden="1" outlineLevel="1">
      <c r="B32" s="1214"/>
      <c r="C32" s="507"/>
      <c r="D32" s="508"/>
    </row>
    <row r="33" spans="2:4" hidden="1" outlineLevel="1">
      <c r="B33" s="1214"/>
      <c r="C33" s="507"/>
      <c r="D33" s="508"/>
    </row>
    <row r="34" spans="2:4" collapsed="1">
      <c r="B34" s="1214"/>
      <c r="C34" s="507"/>
      <c r="D34" s="508"/>
    </row>
    <row r="35" spans="2:4" hidden="1" outlineLevel="1">
      <c r="B35" s="1214"/>
      <c r="C35" s="507"/>
      <c r="D35" s="508"/>
    </row>
    <row r="36" spans="2:4" hidden="1" outlineLevel="1">
      <c r="B36" s="1214"/>
      <c r="C36" s="507"/>
      <c r="D36" s="508"/>
    </row>
    <row r="37" spans="2:4" hidden="1" outlineLevel="1">
      <c r="B37" s="1214"/>
      <c r="C37" s="507"/>
      <c r="D37" s="508"/>
    </row>
    <row r="38" spans="2:4" hidden="1" outlineLevel="1">
      <c r="B38" s="1214"/>
      <c r="C38" s="507"/>
      <c r="D38" s="508"/>
    </row>
    <row r="39" spans="2:4" hidden="1" outlineLevel="1">
      <c r="B39" s="1214"/>
      <c r="C39" s="507"/>
      <c r="D39" s="508"/>
    </row>
    <row r="40" spans="2:4" hidden="1" outlineLevel="1">
      <c r="B40" s="1214"/>
      <c r="C40" s="507"/>
      <c r="D40" s="508"/>
    </row>
    <row r="41" spans="2:4" hidden="1" outlineLevel="1">
      <c r="B41" s="1214"/>
      <c r="C41" s="507"/>
      <c r="D41" s="508"/>
    </row>
    <row r="42" spans="2:4" hidden="1" outlineLevel="1">
      <c r="B42" s="1214"/>
      <c r="C42" s="507"/>
      <c r="D42" s="508"/>
    </row>
    <row r="43" spans="2:4" hidden="1" outlineLevel="1">
      <c r="B43" s="1214"/>
      <c r="C43" s="507"/>
      <c r="D43" s="508"/>
    </row>
    <row r="44" spans="2:4" collapsed="1">
      <c r="B44" s="1214"/>
      <c r="C44" s="507"/>
      <c r="D44" s="508"/>
    </row>
    <row r="45" spans="2:4" outlineLevel="1">
      <c r="B45" s="1214"/>
      <c r="C45" s="507"/>
      <c r="D45" s="508"/>
    </row>
    <row r="46" spans="2:4" outlineLevel="1">
      <c r="B46" s="1214"/>
      <c r="C46" s="507"/>
      <c r="D46" s="508"/>
    </row>
    <row r="47" spans="2:4" outlineLevel="1">
      <c r="B47" s="1214"/>
      <c r="C47" s="507"/>
      <c r="D47" s="508"/>
    </row>
    <row r="48" spans="2:4" outlineLevel="1">
      <c r="B48" s="1214"/>
      <c r="C48" s="507"/>
      <c r="D48" s="508"/>
    </row>
    <row r="49" spans="2:4" outlineLevel="1">
      <c r="B49" s="1214"/>
      <c r="C49" s="507"/>
      <c r="D49" s="508"/>
    </row>
    <row r="50" spans="2:4" outlineLevel="1">
      <c r="B50" s="1214"/>
      <c r="C50" s="507"/>
      <c r="D50" s="508"/>
    </row>
    <row r="51" spans="2:4" outlineLevel="1">
      <c r="B51" s="1214"/>
      <c r="C51" s="507"/>
      <c r="D51" s="508"/>
    </row>
    <row r="52" spans="2:4" outlineLevel="1">
      <c r="B52" s="1214"/>
      <c r="C52" s="507"/>
      <c r="D52" s="508"/>
    </row>
    <row r="53" spans="2:4" outlineLevel="1">
      <c r="B53" s="1214"/>
      <c r="C53" s="507"/>
      <c r="D53" s="508"/>
    </row>
    <row r="54" spans="2:4">
      <c r="B54" s="1214"/>
      <c r="C54" s="507"/>
      <c r="D54" s="508"/>
    </row>
    <row r="55" spans="2:4" hidden="1" outlineLevel="1">
      <c r="B55" s="1214"/>
      <c r="C55" s="507"/>
      <c r="D55" s="508"/>
    </row>
    <row r="56" spans="2:4" hidden="1" outlineLevel="1">
      <c r="B56" s="1214"/>
      <c r="C56" s="507"/>
      <c r="D56" s="508"/>
    </row>
    <row r="57" spans="2:4" hidden="1" outlineLevel="1">
      <c r="B57" s="1214"/>
      <c r="C57" s="507"/>
      <c r="D57" s="508"/>
    </row>
    <row r="58" spans="2:4" hidden="1" outlineLevel="1">
      <c r="B58" s="1214"/>
      <c r="C58" s="507"/>
      <c r="D58" s="508"/>
    </row>
    <row r="59" spans="2:4" hidden="1" outlineLevel="1">
      <c r="B59" s="1214"/>
      <c r="C59" s="507"/>
      <c r="D59" s="508"/>
    </row>
    <row r="60" spans="2:4" hidden="1" outlineLevel="1">
      <c r="B60" s="1214"/>
      <c r="C60" s="507"/>
      <c r="D60" s="508"/>
    </row>
    <row r="61" spans="2:4" hidden="1" outlineLevel="1">
      <c r="B61" s="1214"/>
      <c r="C61" s="507"/>
      <c r="D61" s="508"/>
    </row>
    <row r="62" spans="2:4" hidden="1" outlineLevel="1">
      <c r="B62" s="1214"/>
      <c r="C62" s="507"/>
      <c r="D62" s="508"/>
    </row>
    <row r="63" spans="2:4" hidden="1" outlineLevel="1">
      <c r="B63" s="1214"/>
      <c r="C63" s="507"/>
      <c r="D63" s="508"/>
    </row>
    <row r="64" spans="2:4" collapsed="1">
      <c r="B64" s="1214"/>
      <c r="C64" s="507"/>
      <c r="D64" s="508"/>
    </row>
    <row r="65" spans="2:4" hidden="1" outlineLevel="1">
      <c r="B65" s="1214"/>
      <c r="C65" s="507"/>
      <c r="D65" s="508"/>
    </row>
    <row r="66" spans="2:4" hidden="1" outlineLevel="1">
      <c r="B66" s="1214"/>
      <c r="C66" s="507"/>
      <c r="D66" s="508"/>
    </row>
    <row r="67" spans="2:4" hidden="1" outlineLevel="1">
      <c r="B67" s="1214"/>
      <c r="C67" s="507"/>
      <c r="D67" s="508"/>
    </row>
    <row r="68" spans="2:4" hidden="1" outlineLevel="1">
      <c r="B68" s="1214"/>
      <c r="C68" s="507"/>
      <c r="D68" s="508"/>
    </row>
    <row r="69" spans="2:4" hidden="1" outlineLevel="1">
      <c r="B69" s="1214"/>
      <c r="C69" s="507"/>
      <c r="D69" s="508"/>
    </row>
    <row r="70" spans="2:4" hidden="1" outlineLevel="1">
      <c r="B70" s="1214"/>
      <c r="C70" s="507"/>
      <c r="D70" s="508"/>
    </row>
    <row r="71" spans="2:4" hidden="1" outlineLevel="1">
      <c r="B71" s="1214"/>
      <c r="C71" s="507"/>
      <c r="D71" s="508"/>
    </row>
    <row r="72" spans="2:4" hidden="1" outlineLevel="1">
      <c r="B72" s="1214"/>
      <c r="C72" s="507"/>
      <c r="D72" s="508"/>
    </row>
    <row r="73" spans="2:4" hidden="1" outlineLevel="1">
      <c r="B73" s="1214"/>
      <c r="C73" s="507"/>
      <c r="D73" s="508"/>
    </row>
    <row r="74" spans="2:4" collapsed="1">
      <c r="B74" s="1214"/>
      <c r="C74" s="507"/>
      <c r="D74" s="508"/>
    </row>
    <row r="75" spans="2:4" hidden="1" outlineLevel="1">
      <c r="B75" s="1214"/>
      <c r="C75" s="507"/>
      <c r="D75" s="508"/>
    </row>
    <row r="76" spans="2:4" hidden="1" outlineLevel="1">
      <c r="B76" s="1214"/>
      <c r="C76" s="507"/>
      <c r="D76" s="508"/>
    </row>
    <row r="77" spans="2:4" hidden="1" outlineLevel="1">
      <c r="B77" s="1214"/>
      <c r="C77" s="507"/>
      <c r="D77" s="508"/>
    </row>
    <row r="78" spans="2:4" hidden="1" outlineLevel="1">
      <c r="B78" s="1214"/>
      <c r="C78" s="507"/>
      <c r="D78" s="508"/>
    </row>
    <row r="79" spans="2:4" hidden="1" outlineLevel="1">
      <c r="B79" s="1214"/>
      <c r="C79" s="507"/>
      <c r="D79" s="508"/>
    </row>
    <row r="80" spans="2:4" hidden="1" outlineLevel="1">
      <c r="B80" s="1214"/>
      <c r="C80" s="507"/>
      <c r="D80" s="508"/>
    </row>
    <row r="81" spans="2:4" hidden="1" outlineLevel="1">
      <c r="B81" s="1214"/>
      <c r="C81" s="507"/>
      <c r="D81" s="508"/>
    </row>
    <row r="82" spans="2:4" hidden="1" outlineLevel="1">
      <c r="B82" s="1214"/>
      <c r="C82" s="507"/>
      <c r="D82" s="508"/>
    </row>
    <row r="83" spans="2:4" hidden="1" outlineLevel="1">
      <c r="B83" s="1214"/>
      <c r="C83" s="507"/>
      <c r="D83" s="508"/>
    </row>
    <row r="84" spans="2:4" collapsed="1">
      <c r="B84" s="1214"/>
      <c r="C84" s="507"/>
      <c r="D84" s="508"/>
    </row>
    <row r="85" spans="2:4" outlineLevel="1">
      <c r="B85" s="1214"/>
      <c r="C85" s="507"/>
      <c r="D85" s="508"/>
    </row>
    <row r="86" spans="2:4" outlineLevel="1">
      <c r="B86" s="1214"/>
      <c r="C86" s="507"/>
      <c r="D86" s="508"/>
    </row>
    <row r="87" spans="2:4" outlineLevel="1">
      <c r="B87" s="1214"/>
      <c r="C87" s="507"/>
      <c r="D87" s="508"/>
    </row>
    <row r="88" spans="2:4" outlineLevel="1">
      <c r="B88" s="1214"/>
      <c r="C88" s="507"/>
      <c r="D88" s="508"/>
    </row>
    <row r="89" spans="2:4" outlineLevel="1">
      <c r="B89" s="1214"/>
      <c r="C89" s="507"/>
      <c r="D89" s="508"/>
    </row>
    <row r="90" spans="2:4" outlineLevel="1">
      <c r="B90" s="1214"/>
      <c r="C90" s="507"/>
      <c r="D90" s="508"/>
    </row>
    <row r="91" spans="2:4" outlineLevel="1">
      <c r="B91" s="1214"/>
      <c r="C91" s="507"/>
      <c r="D91" s="508"/>
    </row>
    <row r="92" spans="2:4" outlineLevel="1">
      <c r="B92" s="1214"/>
      <c r="C92" s="507"/>
      <c r="D92" s="508"/>
    </row>
    <row r="93" spans="2:4" outlineLevel="1">
      <c r="B93" s="1214"/>
      <c r="C93" s="507"/>
      <c r="D93" s="508"/>
    </row>
    <row r="94" spans="2:4" ht="15" thickBot="1">
      <c r="B94" s="1214"/>
      <c r="C94" s="509"/>
      <c r="D94" s="508"/>
    </row>
    <row r="95" spans="2:4" hidden="1" outlineLevel="1">
      <c r="B95" s="1214"/>
      <c r="C95" s="510"/>
      <c r="D95" s="508"/>
    </row>
    <row r="96" spans="2:4" hidden="1" outlineLevel="1">
      <c r="B96" s="1214"/>
      <c r="C96" s="507"/>
      <c r="D96" s="508"/>
    </row>
    <row r="97" spans="2:4" hidden="1" outlineLevel="1">
      <c r="B97" s="1214"/>
      <c r="C97" s="507"/>
      <c r="D97" s="508"/>
    </row>
    <row r="98" spans="2:4" hidden="1" outlineLevel="1">
      <c r="B98" s="1214"/>
      <c r="C98" s="507"/>
      <c r="D98" s="508"/>
    </row>
    <row r="99" spans="2:4" hidden="1" outlineLevel="1">
      <c r="B99" s="1214"/>
      <c r="C99" s="507"/>
      <c r="D99" s="508"/>
    </row>
    <row r="100" spans="2:4" hidden="1" outlineLevel="1">
      <c r="B100" s="1214"/>
      <c r="C100" s="507"/>
      <c r="D100" s="508"/>
    </row>
    <row r="101" spans="2:4" hidden="1" outlineLevel="1">
      <c r="B101" s="1214"/>
      <c r="C101" s="507"/>
      <c r="D101" s="508"/>
    </row>
    <row r="102" spans="2:4" hidden="1" outlineLevel="1">
      <c r="B102" s="1214"/>
      <c r="C102" s="507"/>
      <c r="D102" s="508"/>
    </row>
    <row r="103" spans="2:4" hidden="1" outlineLevel="1">
      <c r="B103" s="1214"/>
      <c r="C103" s="507"/>
      <c r="D103" s="508"/>
    </row>
    <row r="104" spans="2:4" hidden="1" outlineLevel="1" collapsed="1">
      <c r="B104" s="1214"/>
      <c r="C104" s="507"/>
      <c r="D104" s="508"/>
    </row>
    <row r="105" spans="2:4" hidden="1" outlineLevel="2">
      <c r="B105" s="1214"/>
      <c r="C105" s="507"/>
      <c r="D105" s="508"/>
    </row>
    <row r="106" spans="2:4" hidden="1" outlineLevel="2">
      <c r="B106" s="1214"/>
      <c r="C106" s="507"/>
      <c r="D106" s="508"/>
    </row>
    <row r="107" spans="2:4" hidden="1" outlineLevel="2">
      <c r="B107" s="1214"/>
      <c r="C107" s="507"/>
      <c r="D107" s="508"/>
    </row>
    <row r="108" spans="2:4" hidden="1" outlineLevel="2">
      <c r="B108" s="1214"/>
      <c r="C108" s="507"/>
      <c r="D108" s="508"/>
    </row>
    <row r="109" spans="2:4" hidden="1" outlineLevel="2">
      <c r="B109" s="1214"/>
      <c r="C109" s="507"/>
      <c r="D109" s="508"/>
    </row>
    <row r="110" spans="2:4" hidden="1" outlineLevel="2">
      <c r="B110" s="1214"/>
      <c r="C110" s="507"/>
      <c r="D110" s="508"/>
    </row>
    <row r="111" spans="2:4" hidden="1" outlineLevel="2">
      <c r="B111" s="1214"/>
      <c r="C111" s="507"/>
      <c r="D111" s="508"/>
    </row>
    <row r="112" spans="2:4" hidden="1" outlineLevel="2">
      <c r="B112" s="1214"/>
      <c r="C112" s="507"/>
      <c r="D112" s="508"/>
    </row>
    <row r="113" spans="2:4" hidden="1" outlineLevel="2">
      <c r="B113" s="1214"/>
      <c r="C113" s="507"/>
      <c r="D113" s="508"/>
    </row>
    <row r="114" spans="2:4" hidden="1" outlineLevel="1">
      <c r="B114" s="1214"/>
      <c r="C114" s="507"/>
      <c r="D114" s="508"/>
    </row>
    <row r="115" spans="2:4" hidden="1" outlineLevel="2">
      <c r="B115" s="1214"/>
      <c r="C115" s="507"/>
      <c r="D115" s="508"/>
    </row>
    <row r="116" spans="2:4" hidden="1" outlineLevel="2">
      <c r="B116" s="1214"/>
      <c r="C116" s="507"/>
      <c r="D116" s="508"/>
    </row>
    <row r="117" spans="2:4" hidden="1" outlineLevel="2">
      <c r="B117" s="1214"/>
      <c r="C117" s="507"/>
      <c r="D117" s="508"/>
    </row>
    <row r="118" spans="2:4" hidden="1" outlineLevel="2">
      <c r="B118" s="1214"/>
      <c r="C118" s="507"/>
      <c r="D118" s="508"/>
    </row>
    <row r="119" spans="2:4" hidden="1" outlineLevel="2">
      <c r="B119" s="1214"/>
      <c r="C119" s="507"/>
      <c r="D119" s="508"/>
    </row>
    <row r="120" spans="2:4" hidden="1" outlineLevel="2">
      <c r="B120" s="1214"/>
      <c r="C120" s="507"/>
      <c r="D120" s="508"/>
    </row>
    <row r="121" spans="2:4" hidden="1" outlineLevel="2">
      <c r="B121" s="1214"/>
      <c r="C121" s="507"/>
      <c r="D121" s="508"/>
    </row>
    <row r="122" spans="2:4" hidden="1" outlineLevel="2">
      <c r="B122" s="1214"/>
      <c r="C122" s="507"/>
      <c r="D122" s="508"/>
    </row>
    <row r="123" spans="2:4" hidden="1" outlineLevel="2">
      <c r="B123" s="1214"/>
      <c r="C123" s="507"/>
      <c r="D123" s="508"/>
    </row>
    <row r="124" spans="2:4" hidden="1" outlineLevel="1">
      <c r="B124" s="1214"/>
      <c r="C124" s="507"/>
      <c r="D124" s="508"/>
    </row>
    <row r="125" spans="2:4" hidden="1" outlineLevel="2">
      <c r="B125" s="1214"/>
      <c r="C125" s="507"/>
      <c r="D125" s="508"/>
    </row>
    <row r="126" spans="2:4" hidden="1" outlineLevel="2">
      <c r="B126" s="1214"/>
      <c r="C126" s="507"/>
      <c r="D126" s="508"/>
    </row>
    <row r="127" spans="2:4" hidden="1" outlineLevel="2">
      <c r="B127" s="1214"/>
      <c r="C127" s="507"/>
      <c r="D127" s="508"/>
    </row>
    <row r="128" spans="2:4" hidden="1" outlineLevel="2">
      <c r="B128" s="1214"/>
      <c r="C128" s="507"/>
      <c r="D128" s="508"/>
    </row>
    <row r="129" spans="2:4" hidden="1" outlineLevel="2">
      <c r="B129" s="1214"/>
      <c r="C129" s="507"/>
      <c r="D129" s="508"/>
    </row>
    <row r="130" spans="2:4" hidden="1" outlineLevel="2">
      <c r="B130" s="1214"/>
      <c r="C130" s="507"/>
      <c r="D130" s="508"/>
    </row>
    <row r="131" spans="2:4" hidden="1" outlineLevel="2">
      <c r="B131" s="1214"/>
      <c r="C131" s="507"/>
      <c r="D131" s="508"/>
    </row>
    <row r="132" spans="2:4" hidden="1" outlineLevel="2">
      <c r="B132" s="1214"/>
      <c r="C132" s="507"/>
      <c r="D132" s="508"/>
    </row>
    <row r="133" spans="2:4" hidden="1" outlineLevel="2">
      <c r="B133" s="1214"/>
      <c r="C133" s="507"/>
      <c r="D133" s="508"/>
    </row>
    <row r="134" spans="2:4" hidden="1" outlineLevel="1">
      <c r="B134" s="1214"/>
      <c r="C134" s="507"/>
      <c r="D134" s="508"/>
    </row>
    <row r="135" spans="2:4" hidden="1" outlineLevel="2">
      <c r="B135" s="1214"/>
      <c r="C135" s="507"/>
      <c r="D135" s="508"/>
    </row>
    <row r="136" spans="2:4" hidden="1" outlineLevel="2">
      <c r="B136" s="1214"/>
      <c r="C136" s="507"/>
      <c r="D136" s="508"/>
    </row>
    <row r="137" spans="2:4" hidden="1" outlineLevel="2">
      <c r="B137" s="1214"/>
      <c r="C137" s="507"/>
      <c r="D137" s="508"/>
    </row>
    <row r="138" spans="2:4" hidden="1" outlineLevel="2">
      <c r="B138" s="1214"/>
      <c r="C138" s="507"/>
      <c r="D138" s="508"/>
    </row>
    <row r="139" spans="2:4" hidden="1" outlineLevel="2">
      <c r="B139" s="1214"/>
      <c r="C139" s="507"/>
      <c r="D139" s="508"/>
    </row>
    <row r="140" spans="2:4" hidden="1" outlineLevel="2">
      <c r="B140" s="1214"/>
      <c r="C140" s="507"/>
      <c r="D140" s="508"/>
    </row>
    <row r="141" spans="2:4" hidden="1" outlineLevel="2">
      <c r="B141" s="1214"/>
      <c r="C141" s="507"/>
      <c r="D141" s="508"/>
    </row>
    <row r="142" spans="2:4" hidden="1" outlineLevel="2">
      <c r="B142" s="1214"/>
      <c r="C142" s="507"/>
      <c r="D142" s="508"/>
    </row>
    <row r="143" spans="2:4" hidden="1" outlineLevel="2">
      <c r="B143" s="1214"/>
      <c r="C143" s="507"/>
      <c r="D143" s="508"/>
    </row>
    <row r="144" spans="2:4" hidden="1" outlineLevel="1">
      <c r="B144" s="1214"/>
      <c r="C144" s="507"/>
      <c r="D144" s="508"/>
    </row>
    <row r="145" spans="2:4" hidden="1" outlineLevel="1">
      <c r="B145" s="1214"/>
      <c r="C145" s="507"/>
      <c r="D145" s="508"/>
    </row>
    <row r="146" spans="2:4" hidden="1" outlineLevel="1">
      <c r="B146" s="1214"/>
      <c r="C146" s="507"/>
      <c r="D146" s="508"/>
    </row>
    <row r="147" spans="2:4" hidden="1" outlineLevel="1">
      <c r="B147" s="1214"/>
      <c r="C147" s="507"/>
      <c r="D147" s="508"/>
    </row>
    <row r="148" spans="2:4" hidden="1" outlineLevel="1">
      <c r="B148" s="1214"/>
      <c r="C148" s="507"/>
      <c r="D148" s="508"/>
    </row>
    <row r="149" spans="2:4" hidden="1" outlineLevel="1">
      <c r="B149" s="1214"/>
      <c r="C149" s="507"/>
      <c r="D149" s="508"/>
    </row>
    <row r="150" spans="2:4" hidden="1" outlineLevel="1">
      <c r="B150" s="1214"/>
      <c r="C150" s="507"/>
      <c r="D150" s="508"/>
    </row>
    <row r="151" spans="2:4" hidden="1" outlineLevel="1">
      <c r="B151" s="1214"/>
      <c r="C151" s="507"/>
      <c r="D151" s="508"/>
    </row>
    <row r="152" spans="2:4" hidden="1" outlineLevel="1">
      <c r="B152" s="1214"/>
      <c r="C152" s="507"/>
      <c r="D152" s="508"/>
    </row>
    <row r="153" spans="2:4" hidden="1" outlineLevel="1">
      <c r="B153" s="1214"/>
      <c r="C153" s="507"/>
      <c r="D153" s="508"/>
    </row>
    <row r="154" spans="2:4" hidden="1" outlineLevel="1">
      <c r="B154" s="1214"/>
      <c r="C154" s="507"/>
      <c r="D154" s="508"/>
    </row>
    <row r="155" spans="2:4" hidden="1" outlineLevel="2">
      <c r="B155" s="1214"/>
      <c r="C155" s="507"/>
      <c r="D155" s="508"/>
    </row>
    <row r="156" spans="2:4" hidden="1" outlineLevel="2">
      <c r="B156" s="1214"/>
      <c r="C156" s="507"/>
      <c r="D156" s="508"/>
    </row>
    <row r="157" spans="2:4" hidden="1" outlineLevel="2">
      <c r="B157" s="1214"/>
      <c r="C157" s="507"/>
      <c r="D157" s="508"/>
    </row>
    <row r="158" spans="2:4" hidden="1" outlineLevel="2">
      <c r="B158" s="1214"/>
      <c r="C158" s="507"/>
      <c r="D158" s="508"/>
    </row>
    <row r="159" spans="2:4" hidden="1" outlineLevel="2">
      <c r="B159" s="1214"/>
      <c r="C159" s="507"/>
      <c r="D159" s="508"/>
    </row>
    <row r="160" spans="2:4" hidden="1" outlineLevel="2">
      <c r="B160" s="1214"/>
      <c r="C160" s="507"/>
      <c r="D160" s="508"/>
    </row>
    <row r="161" spans="2:4" hidden="1" outlineLevel="2">
      <c r="B161" s="1214"/>
      <c r="C161" s="507"/>
      <c r="D161" s="508"/>
    </row>
    <row r="162" spans="2:4" hidden="1" outlineLevel="2">
      <c r="B162" s="1214"/>
      <c r="C162" s="507"/>
      <c r="D162" s="508"/>
    </row>
    <row r="163" spans="2:4" hidden="1" outlineLevel="2">
      <c r="B163" s="1214"/>
      <c r="C163" s="507"/>
      <c r="D163" s="508"/>
    </row>
    <row r="164" spans="2:4" hidden="1" outlineLevel="1">
      <c r="B164" s="1214"/>
      <c r="C164" s="507"/>
      <c r="D164" s="508"/>
    </row>
    <row r="165" spans="2:4" hidden="1" outlineLevel="2">
      <c r="B165" s="1214"/>
      <c r="C165" s="507"/>
      <c r="D165" s="508"/>
    </row>
    <row r="166" spans="2:4" hidden="1" outlineLevel="2">
      <c r="B166" s="1214"/>
      <c r="C166" s="507"/>
      <c r="D166" s="508"/>
    </row>
    <row r="167" spans="2:4" hidden="1" outlineLevel="2">
      <c r="B167" s="1214"/>
      <c r="C167" s="507"/>
      <c r="D167" s="508"/>
    </row>
    <row r="168" spans="2:4" hidden="1" outlineLevel="2">
      <c r="B168" s="1214"/>
      <c r="C168" s="507"/>
      <c r="D168" s="508"/>
    </row>
    <row r="169" spans="2:4" hidden="1" outlineLevel="2">
      <c r="B169" s="1214"/>
      <c r="C169" s="507"/>
      <c r="D169" s="508"/>
    </row>
    <row r="170" spans="2:4" hidden="1" outlineLevel="2">
      <c r="B170" s="1214"/>
      <c r="C170" s="507"/>
      <c r="D170" s="508"/>
    </row>
    <row r="171" spans="2:4" hidden="1" outlineLevel="2">
      <c r="B171" s="1214"/>
      <c r="C171" s="507"/>
      <c r="D171" s="508"/>
    </row>
    <row r="172" spans="2:4" hidden="1" outlineLevel="2">
      <c r="B172" s="1214"/>
      <c r="C172" s="507"/>
      <c r="D172" s="508"/>
    </row>
    <row r="173" spans="2:4" hidden="1" outlineLevel="2">
      <c r="B173" s="1214"/>
      <c r="C173" s="507"/>
      <c r="D173" s="508"/>
    </row>
    <row r="174" spans="2:4" hidden="1" outlineLevel="1">
      <c r="B174" s="1214"/>
      <c r="C174" s="507"/>
      <c r="D174" s="508"/>
    </row>
    <row r="175" spans="2:4" hidden="1" outlineLevel="2">
      <c r="B175" s="1214"/>
      <c r="C175" s="507"/>
      <c r="D175" s="508"/>
    </row>
    <row r="176" spans="2:4" hidden="1" outlineLevel="2">
      <c r="B176" s="1214"/>
      <c r="C176" s="507"/>
      <c r="D176" s="508"/>
    </row>
    <row r="177" spans="2:4" hidden="1" outlineLevel="2">
      <c r="B177" s="1214"/>
      <c r="C177" s="507"/>
      <c r="D177" s="508"/>
    </row>
    <row r="178" spans="2:4" hidden="1" outlineLevel="2">
      <c r="B178" s="1214"/>
      <c r="C178" s="507"/>
      <c r="D178" s="508"/>
    </row>
    <row r="179" spans="2:4" hidden="1" outlineLevel="2">
      <c r="B179" s="1214"/>
      <c r="C179" s="507"/>
      <c r="D179" s="508"/>
    </row>
    <row r="180" spans="2:4" hidden="1" outlineLevel="2">
      <c r="B180" s="1214"/>
      <c r="C180" s="507"/>
      <c r="D180" s="508"/>
    </row>
    <row r="181" spans="2:4" hidden="1" outlineLevel="2">
      <c r="B181" s="1214"/>
      <c r="C181" s="507"/>
      <c r="D181" s="508"/>
    </row>
    <row r="182" spans="2:4" hidden="1" outlineLevel="2">
      <c r="B182" s="1214"/>
      <c r="C182" s="507"/>
      <c r="D182" s="508"/>
    </row>
    <row r="183" spans="2:4" hidden="1" outlineLevel="2">
      <c r="B183" s="1214"/>
      <c r="C183" s="507"/>
      <c r="D183" s="508"/>
    </row>
    <row r="184" spans="2:4" hidden="1" outlineLevel="1">
      <c r="B184" s="1214"/>
      <c r="C184" s="507"/>
      <c r="D184" s="508"/>
    </row>
    <row r="185" spans="2:4" hidden="1" outlineLevel="2">
      <c r="B185" s="1214"/>
      <c r="C185" s="507"/>
      <c r="D185" s="508"/>
    </row>
    <row r="186" spans="2:4" hidden="1" outlineLevel="2">
      <c r="B186" s="1214"/>
      <c r="C186" s="507"/>
      <c r="D186" s="508"/>
    </row>
    <row r="187" spans="2:4" hidden="1" outlineLevel="2">
      <c r="B187" s="1214"/>
      <c r="C187" s="507"/>
      <c r="D187" s="508"/>
    </row>
    <row r="188" spans="2:4" hidden="1" outlineLevel="2">
      <c r="B188" s="1214"/>
      <c r="C188" s="507"/>
      <c r="D188" s="508"/>
    </row>
    <row r="189" spans="2:4" hidden="1" outlineLevel="2">
      <c r="B189" s="1214"/>
      <c r="C189" s="507"/>
      <c r="D189" s="508"/>
    </row>
    <row r="190" spans="2:4" hidden="1" outlineLevel="2">
      <c r="B190" s="1214"/>
      <c r="C190" s="507"/>
      <c r="D190" s="508"/>
    </row>
    <row r="191" spans="2:4" hidden="1" outlineLevel="2">
      <c r="B191" s="1214"/>
      <c r="C191" s="507"/>
      <c r="D191" s="508"/>
    </row>
    <row r="192" spans="2:4" hidden="1" outlineLevel="2">
      <c r="B192" s="1214"/>
      <c r="C192" s="507"/>
      <c r="D192" s="508"/>
    </row>
    <row r="193" spans="2:4" hidden="1" outlineLevel="2">
      <c r="B193" s="1214"/>
      <c r="C193" s="507"/>
      <c r="D193" s="508"/>
    </row>
    <row r="194" spans="2:4" ht="15" hidden="1" outlineLevel="1" thickBot="1">
      <c r="B194" s="1214"/>
      <c r="C194" s="509"/>
      <c r="D194" s="508"/>
    </row>
    <row r="195" spans="2:4" hidden="1" outlineLevel="2">
      <c r="B195" s="1214"/>
      <c r="C195" s="510"/>
      <c r="D195" s="508"/>
    </row>
    <row r="196" spans="2:4" hidden="1" outlineLevel="2">
      <c r="B196" s="1214"/>
      <c r="C196" s="507"/>
      <c r="D196" s="508"/>
    </row>
    <row r="197" spans="2:4" hidden="1" outlineLevel="2">
      <c r="B197" s="1214"/>
      <c r="C197" s="507"/>
      <c r="D197" s="508"/>
    </row>
    <row r="198" spans="2:4" hidden="1" outlineLevel="2">
      <c r="B198" s="1214"/>
      <c r="C198" s="507"/>
      <c r="D198" s="508"/>
    </row>
    <row r="199" spans="2:4" hidden="1" outlineLevel="2">
      <c r="B199" s="1214"/>
      <c r="C199" s="507"/>
      <c r="D199" s="508"/>
    </row>
    <row r="200" spans="2:4" hidden="1" outlineLevel="2">
      <c r="B200" s="1214"/>
      <c r="C200" s="507"/>
      <c r="D200" s="508"/>
    </row>
    <row r="201" spans="2:4" hidden="1" outlineLevel="2">
      <c r="B201" s="1214"/>
      <c r="C201" s="507"/>
      <c r="D201" s="508"/>
    </row>
    <row r="202" spans="2:4" hidden="1" outlineLevel="2">
      <c r="B202" s="1214"/>
      <c r="C202" s="507"/>
      <c r="D202" s="508"/>
    </row>
    <row r="203" spans="2:4" hidden="1" outlineLevel="2">
      <c r="B203" s="1214"/>
      <c r="C203" s="507"/>
      <c r="D203" s="508"/>
    </row>
    <row r="204" spans="2:4" hidden="1" outlineLevel="1">
      <c r="B204" s="1214"/>
      <c r="C204" s="507"/>
      <c r="D204" s="508"/>
    </row>
    <row r="205" spans="2:4" hidden="1" outlineLevel="2">
      <c r="B205" s="1214"/>
      <c r="C205" s="507"/>
      <c r="D205" s="508"/>
    </row>
    <row r="206" spans="2:4" hidden="1" outlineLevel="2">
      <c r="B206" s="1214"/>
      <c r="C206" s="507"/>
      <c r="D206" s="508"/>
    </row>
    <row r="207" spans="2:4" hidden="1" outlineLevel="2">
      <c r="B207" s="1214"/>
      <c r="C207" s="507"/>
      <c r="D207" s="508"/>
    </row>
    <row r="208" spans="2:4" hidden="1" outlineLevel="2">
      <c r="B208" s="1214"/>
      <c r="C208" s="507"/>
      <c r="D208" s="508"/>
    </row>
    <row r="209" spans="2:4" hidden="1" outlineLevel="2">
      <c r="B209" s="1214"/>
      <c r="C209" s="507"/>
      <c r="D209" s="508"/>
    </row>
    <row r="210" spans="2:4" hidden="1" outlineLevel="2">
      <c r="B210" s="1214"/>
      <c r="C210" s="507"/>
      <c r="D210" s="508"/>
    </row>
    <row r="211" spans="2:4" hidden="1" outlineLevel="2">
      <c r="B211" s="1214"/>
      <c r="C211" s="507"/>
      <c r="D211" s="508"/>
    </row>
    <row r="212" spans="2:4" hidden="1" outlineLevel="2">
      <c r="B212" s="1214"/>
      <c r="C212" s="507"/>
      <c r="D212" s="508"/>
    </row>
    <row r="213" spans="2:4" hidden="1" outlineLevel="2">
      <c r="B213" s="1214"/>
      <c r="C213" s="507"/>
      <c r="D213" s="508"/>
    </row>
    <row r="214" spans="2:4" hidden="1" outlineLevel="1">
      <c r="B214" s="1214"/>
      <c r="C214" s="507"/>
      <c r="D214" s="508"/>
    </row>
    <row r="215" spans="2:4" hidden="1" outlineLevel="2">
      <c r="B215" s="1214"/>
      <c r="C215" s="507"/>
      <c r="D215" s="508"/>
    </row>
    <row r="216" spans="2:4" hidden="1" outlineLevel="2">
      <c r="B216" s="1214"/>
      <c r="C216" s="507"/>
      <c r="D216" s="508"/>
    </row>
    <row r="217" spans="2:4" hidden="1" outlineLevel="2">
      <c r="B217" s="1214"/>
      <c r="C217" s="507"/>
      <c r="D217" s="508"/>
    </row>
    <row r="218" spans="2:4" hidden="1" outlineLevel="2">
      <c r="B218" s="1214"/>
      <c r="C218" s="507"/>
      <c r="D218" s="508"/>
    </row>
    <row r="219" spans="2:4" hidden="1" outlineLevel="2">
      <c r="B219" s="1214"/>
      <c r="C219" s="507"/>
      <c r="D219" s="508"/>
    </row>
    <row r="220" spans="2:4" hidden="1" outlineLevel="2">
      <c r="B220" s="1214"/>
      <c r="C220" s="507"/>
      <c r="D220" s="508"/>
    </row>
    <row r="221" spans="2:4" hidden="1" outlineLevel="2">
      <c r="B221" s="1214"/>
      <c r="C221" s="507"/>
      <c r="D221" s="508"/>
    </row>
    <row r="222" spans="2:4" hidden="1" outlineLevel="2">
      <c r="B222" s="1214"/>
      <c r="C222" s="507"/>
      <c r="D222" s="508"/>
    </row>
    <row r="223" spans="2:4" hidden="1" outlineLevel="2">
      <c r="B223" s="1214"/>
      <c r="C223" s="507"/>
      <c r="D223" s="508"/>
    </row>
    <row r="224" spans="2:4" hidden="1" outlineLevel="1">
      <c r="B224" s="1214"/>
      <c r="C224" s="507"/>
      <c r="D224" s="508"/>
    </row>
    <row r="225" spans="2:4" hidden="1" outlineLevel="2">
      <c r="B225" s="1214"/>
      <c r="C225" s="507"/>
      <c r="D225" s="508"/>
    </row>
    <row r="226" spans="2:4" hidden="1" outlineLevel="2">
      <c r="B226" s="1214"/>
      <c r="C226" s="507"/>
      <c r="D226" s="508"/>
    </row>
    <row r="227" spans="2:4" hidden="1" outlineLevel="2">
      <c r="B227" s="1214"/>
      <c r="C227" s="507"/>
      <c r="D227" s="508"/>
    </row>
    <row r="228" spans="2:4" hidden="1" outlineLevel="2">
      <c r="B228" s="1214"/>
      <c r="C228" s="507"/>
      <c r="D228" s="508"/>
    </row>
    <row r="229" spans="2:4" hidden="1" outlineLevel="2">
      <c r="B229" s="1214"/>
      <c r="C229" s="507"/>
      <c r="D229" s="508"/>
    </row>
    <row r="230" spans="2:4" hidden="1" outlineLevel="2">
      <c r="B230" s="1214"/>
      <c r="C230" s="507"/>
      <c r="D230" s="508"/>
    </row>
    <row r="231" spans="2:4" hidden="1" outlineLevel="2">
      <c r="B231" s="1214"/>
      <c r="C231" s="507"/>
      <c r="D231" s="508"/>
    </row>
    <row r="232" spans="2:4" hidden="1" outlineLevel="2">
      <c r="B232" s="1214"/>
      <c r="C232" s="507"/>
      <c r="D232" s="508"/>
    </row>
    <row r="233" spans="2:4" hidden="1" outlineLevel="2">
      <c r="B233" s="1214"/>
      <c r="C233" s="507"/>
      <c r="D233" s="508"/>
    </row>
    <row r="234" spans="2:4" hidden="1" outlineLevel="1">
      <c r="B234" s="1214"/>
      <c r="C234" s="507"/>
      <c r="D234" s="508"/>
    </row>
    <row r="235" spans="2:4" hidden="1" outlineLevel="2">
      <c r="B235" s="1214"/>
      <c r="C235" s="507"/>
      <c r="D235" s="508"/>
    </row>
    <row r="236" spans="2:4" hidden="1" outlineLevel="2">
      <c r="B236" s="1214"/>
      <c r="C236" s="507"/>
      <c r="D236" s="508"/>
    </row>
    <row r="237" spans="2:4" hidden="1" outlineLevel="2">
      <c r="B237" s="1214"/>
      <c r="C237" s="507"/>
      <c r="D237" s="508"/>
    </row>
    <row r="238" spans="2:4" hidden="1" outlineLevel="2">
      <c r="B238" s="1214"/>
      <c r="C238" s="507"/>
      <c r="D238" s="508"/>
    </row>
    <row r="239" spans="2:4" hidden="1" outlineLevel="2">
      <c r="B239" s="1214"/>
      <c r="C239" s="507"/>
      <c r="D239" s="508"/>
    </row>
    <row r="240" spans="2:4" hidden="1" outlineLevel="2">
      <c r="B240" s="1214"/>
      <c r="C240" s="507"/>
      <c r="D240" s="508"/>
    </row>
    <row r="241" spans="2:4" hidden="1" outlineLevel="2">
      <c r="B241" s="1214"/>
      <c r="C241" s="507"/>
      <c r="D241" s="508"/>
    </row>
    <row r="242" spans="2:4" hidden="1" outlineLevel="2">
      <c r="B242" s="1214"/>
      <c r="C242" s="507"/>
      <c r="D242" s="508"/>
    </row>
    <row r="243" spans="2:4" hidden="1" outlineLevel="2">
      <c r="B243" s="1214"/>
      <c r="C243" s="507"/>
      <c r="D243" s="508"/>
    </row>
    <row r="244" spans="2:4" hidden="1" outlineLevel="1">
      <c r="B244" s="1214"/>
      <c r="C244" s="507"/>
      <c r="D244" s="508"/>
    </row>
    <row r="245" spans="2:4" hidden="1" outlineLevel="2">
      <c r="B245" s="1214"/>
      <c r="C245" s="507"/>
      <c r="D245" s="508"/>
    </row>
    <row r="246" spans="2:4" hidden="1" outlineLevel="2">
      <c r="B246" s="1214"/>
      <c r="C246" s="507"/>
      <c r="D246" s="508"/>
    </row>
    <row r="247" spans="2:4" hidden="1" outlineLevel="2">
      <c r="B247" s="1214"/>
      <c r="C247" s="507"/>
      <c r="D247" s="508"/>
    </row>
    <row r="248" spans="2:4" hidden="1" outlineLevel="2">
      <c r="B248" s="1214"/>
      <c r="C248" s="507"/>
      <c r="D248" s="508"/>
    </row>
    <row r="249" spans="2:4" hidden="1" outlineLevel="2">
      <c r="B249" s="1214"/>
      <c r="C249" s="507"/>
      <c r="D249" s="508"/>
    </row>
    <row r="250" spans="2:4" hidden="1" outlineLevel="2">
      <c r="B250" s="1214"/>
      <c r="C250" s="507"/>
      <c r="D250" s="508"/>
    </row>
    <row r="251" spans="2:4" hidden="1" outlineLevel="2">
      <c r="B251" s="1214"/>
      <c r="C251" s="507"/>
      <c r="D251" s="508"/>
    </row>
    <row r="252" spans="2:4" hidden="1" outlineLevel="2">
      <c r="B252" s="1214"/>
      <c r="C252" s="507"/>
      <c r="D252" s="508"/>
    </row>
    <row r="253" spans="2:4" hidden="1" outlineLevel="2">
      <c r="B253" s="1214"/>
      <c r="C253" s="507"/>
      <c r="D253" s="508"/>
    </row>
    <row r="254" spans="2:4" hidden="1" outlineLevel="1">
      <c r="B254" s="1214"/>
      <c r="C254" s="507"/>
      <c r="D254" s="508"/>
    </row>
    <row r="255" spans="2:4" hidden="1" outlineLevel="2">
      <c r="B255" s="1214"/>
      <c r="C255" s="507"/>
      <c r="D255" s="508"/>
    </row>
    <row r="256" spans="2:4" hidden="1" outlineLevel="2">
      <c r="B256" s="1214"/>
      <c r="C256" s="507"/>
      <c r="D256" s="508"/>
    </row>
    <row r="257" spans="2:4" hidden="1" outlineLevel="2">
      <c r="B257" s="1214"/>
      <c r="C257" s="507"/>
      <c r="D257" s="508"/>
    </row>
    <row r="258" spans="2:4" hidden="1" outlineLevel="2">
      <c r="B258" s="1214"/>
      <c r="C258" s="507"/>
      <c r="D258" s="508"/>
    </row>
    <row r="259" spans="2:4" hidden="1" outlineLevel="2">
      <c r="B259" s="1214"/>
      <c r="C259" s="507"/>
      <c r="D259" s="508"/>
    </row>
    <row r="260" spans="2:4" hidden="1" outlineLevel="2">
      <c r="B260" s="1214"/>
      <c r="C260" s="507"/>
      <c r="D260" s="508"/>
    </row>
    <row r="261" spans="2:4" hidden="1" outlineLevel="2">
      <c r="B261" s="1214"/>
      <c r="C261" s="507"/>
      <c r="D261" s="508"/>
    </row>
    <row r="262" spans="2:4" hidden="1" outlineLevel="2">
      <c r="B262" s="1214"/>
      <c r="C262" s="507"/>
      <c r="D262" s="508"/>
    </row>
    <row r="263" spans="2:4" hidden="1" outlineLevel="2">
      <c r="B263" s="1214"/>
      <c r="C263" s="507"/>
      <c r="D263" s="508"/>
    </row>
    <row r="264" spans="2:4" hidden="1" outlineLevel="1">
      <c r="B264" s="1214"/>
      <c r="C264" s="507"/>
      <c r="D264" s="508"/>
    </row>
    <row r="265" spans="2:4" hidden="1" outlineLevel="2">
      <c r="B265" s="1214"/>
      <c r="C265" s="507"/>
      <c r="D265" s="508"/>
    </row>
    <row r="266" spans="2:4" hidden="1" outlineLevel="2">
      <c r="B266" s="1214"/>
      <c r="C266" s="507"/>
      <c r="D266" s="508"/>
    </row>
    <row r="267" spans="2:4" hidden="1" outlineLevel="2">
      <c r="B267" s="1214"/>
      <c r="C267" s="507"/>
      <c r="D267" s="508"/>
    </row>
    <row r="268" spans="2:4" hidden="1" outlineLevel="2">
      <c r="B268" s="1214"/>
      <c r="C268" s="507"/>
      <c r="D268" s="508"/>
    </row>
    <row r="269" spans="2:4" hidden="1" outlineLevel="2">
      <c r="B269" s="1214"/>
      <c r="C269" s="507"/>
      <c r="D269" s="508"/>
    </row>
    <row r="270" spans="2:4" hidden="1" outlineLevel="2">
      <c r="B270" s="1214"/>
      <c r="C270" s="507"/>
      <c r="D270" s="508"/>
    </row>
    <row r="271" spans="2:4" hidden="1" outlineLevel="2">
      <c r="B271" s="1214"/>
      <c r="C271" s="507"/>
      <c r="D271" s="508"/>
    </row>
    <row r="272" spans="2:4" hidden="1" outlineLevel="2">
      <c r="B272" s="1214"/>
      <c r="C272" s="507"/>
      <c r="D272" s="508"/>
    </row>
    <row r="273" spans="2:4" hidden="1" outlineLevel="2">
      <c r="B273" s="1214"/>
      <c r="C273" s="507"/>
      <c r="D273" s="508"/>
    </row>
    <row r="274" spans="2:4" hidden="1" outlineLevel="1">
      <c r="B274" s="1214"/>
      <c r="C274" s="507"/>
      <c r="D274" s="508"/>
    </row>
    <row r="275" spans="2:4" hidden="1" outlineLevel="2">
      <c r="B275" s="1214"/>
      <c r="C275" s="507"/>
      <c r="D275" s="508"/>
    </row>
    <row r="276" spans="2:4" hidden="1" outlineLevel="2">
      <c r="B276" s="1214"/>
      <c r="C276" s="507"/>
      <c r="D276" s="508"/>
    </row>
    <row r="277" spans="2:4" hidden="1" outlineLevel="2">
      <c r="B277" s="1214"/>
      <c r="C277" s="507"/>
      <c r="D277" s="508"/>
    </row>
    <row r="278" spans="2:4" hidden="1" outlineLevel="2">
      <c r="B278" s="1214"/>
      <c r="C278" s="507"/>
      <c r="D278" s="508"/>
    </row>
    <row r="279" spans="2:4" hidden="1" outlineLevel="2">
      <c r="B279" s="1214"/>
      <c r="C279" s="507"/>
      <c r="D279" s="508"/>
    </row>
    <row r="280" spans="2:4" hidden="1" outlineLevel="2">
      <c r="B280" s="1214"/>
      <c r="C280" s="507"/>
      <c r="D280" s="508"/>
    </row>
    <row r="281" spans="2:4" hidden="1" outlineLevel="2">
      <c r="B281" s="1214"/>
      <c r="C281" s="507"/>
      <c r="D281" s="508"/>
    </row>
    <row r="282" spans="2:4" hidden="1" outlineLevel="2">
      <c r="B282" s="1214"/>
      <c r="C282" s="507"/>
      <c r="D282" s="508"/>
    </row>
    <row r="283" spans="2:4" hidden="1" outlineLevel="2">
      <c r="B283" s="1214"/>
      <c r="C283" s="507"/>
      <c r="D283" s="508"/>
    </row>
    <row r="284" spans="2:4" hidden="1" outlineLevel="1">
      <c r="B284" s="1214"/>
      <c r="C284" s="507"/>
      <c r="D284" s="508"/>
    </row>
    <row r="285" spans="2:4" hidden="1" outlineLevel="2">
      <c r="B285" s="1214"/>
      <c r="C285" s="507"/>
      <c r="D285" s="508"/>
    </row>
    <row r="286" spans="2:4" hidden="1" outlineLevel="2">
      <c r="B286" s="1214"/>
      <c r="C286" s="507"/>
      <c r="D286" s="508"/>
    </row>
    <row r="287" spans="2:4" hidden="1" outlineLevel="2">
      <c r="B287" s="1214"/>
      <c r="C287" s="507"/>
      <c r="D287" s="508"/>
    </row>
    <row r="288" spans="2:4" hidden="1" outlineLevel="2">
      <c r="B288" s="1214"/>
      <c r="C288" s="507"/>
      <c r="D288" s="508"/>
    </row>
    <row r="289" spans="2:4" hidden="1" outlineLevel="2">
      <c r="B289" s="1214"/>
      <c r="C289" s="507"/>
      <c r="D289" s="508"/>
    </row>
    <row r="290" spans="2:4" hidden="1" outlineLevel="2">
      <c r="B290" s="1214"/>
      <c r="C290" s="507"/>
      <c r="D290" s="508"/>
    </row>
    <row r="291" spans="2:4" hidden="1" outlineLevel="2">
      <c r="B291" s="1214"/>
      <c r="C291" s="507"/>
      <c r="D291" s="508"/>
    </row>
    <row r="292" spans="2:4" hidden="1" outlineLevel="2">
      <c r="B292" s="1214"/>
      <c r="C292" s="507"/>
      <c r="D292" s="508"/>
    </row>
    <row r="293" spans="2:4" hidden="1" outlineLevel="2">
      <c r="B293" s="1214"/>
      <c r="C293" s="507"/>
      <c r="D293" s="508"/>
    </row>
    <row r="294" spans="2:4" hidden="1" outlineLevel="1">
      <c r="B294" s="1214"/>
      <c r="C294" s="507"/>
      <c r="D294" s="508"/>
    </row>
    <row r="295" spans="2:4" hidden="1" outlineLevel="2">
      <c r="B295" s="1214"/>
      <c r="C295" s="507"/>
      <c r="D295" s="508"/>
    </row>
    <row r="296" spans="2:4" hidden="1" outlineLevel="2">
      <c r="B296" s="1214"/>
      <c r="C296" s="507"/>
      <c r="D296" s="508"/>
    </row>
    <row r="297" spans="2:4" hidden="1" outlineLevel="2">
      <c r="B297" s="1214"/>
      <c r="C297" s="507"/>
      <c r="D297" s="508"/>
    </row>
    <row r="298" spans="2:4" hidden="1" outlineLevel="2">
      <c r="B298" s="1214"/>
      <c r="C298" s="507"/>
      <c r="D298" s="508"/>
    </row>
    <row r="299" spans="2:4" hidden="1" outlineLevel="2">
      <c r="B299" s="1214"/>
      <c r="C299" s="507"/>
      <c r="D299" s="508"/>
    </row>
    <row r="300" spans="2:4" hidden="1" outlineLevel="2">
      <c r="B300" s="1214"/>
      <c r="C300" s="507"/>
      <c r="D300" s="508"/>
    </row>
    <row r="301" spans="2:4" hidden="1" outlineLevel="2">
      <c r="B301" s="1214"/>
      <c r="C301" s="507"/>
      <c r="D301" s="508"/>
    </row>
    <row r="302" spans="2:4" hidden="1" outlineLevel="2">
      <c r="B302" s="1214"/>
      <c r="C302" s="507"/>
      <c r="D302" s="508"/>
    </row>
    <row r="303" spans="2:4" hidden="1" outlineLevel="2">
      <c r="B303" s="1214"/>
      <c r="C303" s="507"/>
      <c r="D303" s="508"/>
    </row>
    <row r="304" spans="2:4" hidden="1" outlineLevel="1">
      <c r="B304" s="1214"/>
      <c r="C304" s="507"/>
      <c r="D304" s="508"/>
    </row>
    <row r="305" spans="2:4" hidden="1" outlineLevel="2">
      <c r="B305" s="1214"/>
      <c r="C305" s="507"/>
      <c r="D305" s="508"/>
    </row>
    <row r="306" spans="2:4" hidden="1" outlineLevel="2">
      <c r="B306" s="1214"/>
      <c r="C306" s="507"/>
      <c r="D306" s="508"/>
    </row>
    <row r="307" spans="2:4" hidden="1" outlineLevel="2">
      <c r="B307" s="1214"/>
      <c r="C307" s="507"/>
      <c r="D307" s="508"/>
    </row>
    <row r="308" spans="2:4" hidden="1" outlineLevel="2">
      <c r="B308" s="1214"/>
      <c r="C308" s="507"/>
      <c r="D308" s="508"/>
    </row>
    <row r="309" spans="2:4" hidden="1" outlineLevel="2">
      <c r="B309" s="1214"/>
      <c r="C309" s="507"/>
      <c r="D309" s="508"/>
    </row>
    <row r="310" spans="2:4" hidden="1" outlineLevel="2">
      <c r="B310" s="1214"/>
      <c r="C310" s="507"/>
      <c r="D310" s="508"/>
    </row>
    <row r="311" spans="2:4" hidden="1" outlineLevel="2">
      <c r="B311" s="1214"/>
      <c r="C311" s="507"/>
      <c r="D311" s="508"/>
    </row>
    <row r="312" spans="2:4" hidden="1" outlineLevel="2">
      <c r="B312" s="1214"/>
      <c r="C312" s="507"/>
      <c r="D312" s="508"/>
    </row>
    <row r="313" spans="2:4" hidden="1" outlineLevel="2">
      <c r="B313" s="1214"/>
      <c r="C313" s="507"/>
      <c r="D313" s="508"/>
    </row>
    <row r="314" spans="2:4" hidden="1" outlineLevel="1">
      <c r="B314" s="1214"/>
      <c r="C314" s="507"/>
      <c r="D314" s="508"/>
    </row>
    <row r="315" spans="2:4" hidden="1" outlineLevel="2">
      <c r="B315" s="1214"/>
      <c r="C315" s="507"/>
      <c r="D315" s="508"/>
    </row>
    <row r="316" spans="2:4" hidden="1" outlineLevel="2">
      <c r="B316" s="1214"/>
      <c r="C316" s="507"/>
      <c r="D316" s="508"/>
    </row>
    <row r="317" spans="2:4" hidden="1" outlineLevel="2">
      <c r="B317" s="1214"/>
      <c r="C317" s="507"/>
      <c r="D317" s="508"/>
    </row>
    <row r="318" spans="2:4" hidden="1" outlineLevel="2">
      <c r="B318" s="1214"/>
      <c r="C318" s="507"/>
      <c r="D318" s="508"/>
    </row>
    <row r="319" spans="2:4" hidden="1" outlineLevel="2">
      <c r="B319" s="1214"/>
      <c r="C319" s="507"/>
      <c r="D319" s="508"/>
    </row>
    <row r="320" spans="2:4" hidden="1" outlineLevel="2">
      <c r="B320" s="1214"/>
      <c r="C320" s="507"/>
      <c r="D320" s="508"/>
    </row>
    <row r="321" spans="2:4" hidden="1" outlineLevel="2">
      <c r="B321" s="1214"/>
      <c r="C321" s="507"/>
      <c r="D321" s="508"/>
    </row>
    <row r="322" spans="2:4" hidden="1" outlineLevel="2">
      <c r="B322" s="1214"/>
      <c r="C322" s="507"/>
      <c r="D322" s="508"/>
    </row>
    <row r="323" spans="2:4" hidden="1" outlineLevel="2">
      <c r="B323" s="1214"/>
      <c r="C323" s="507"/>
      <c r="D323" s="508"/>
    </row>
    <row r="324" spans="2:4" hidden="1" outlineLevel="1">
      <c r="B324" s="1214"/>
      <c r="C324" s="507"/>
      <c r="D324" s="508"/>
    </row>
    <row r="325" spans="2:4" hidden="1" outlineLevel="2">
      <c r="B325" s="1214"/>
      <c r="C325" s="507"/>
      <c r="D325" s="508"/>
    </row>
    <row r="326" spans="2:4" hidden="1" outlineLevel="2">
      <c r="B326" s="1214"/>
      <c r="C326" s="507"/>
      <c r="D326" s="508"/>
    </row>
    <row r="327" spans="2:4" hidden="1" outlineLevel="2">
      <c r="B327" s="1214"/>
      <c r="C327" s="507"/>
      <c r="D327" s="508"/>
    </row>
    <row r="328" spans="2:4" hidden="1" outlineLevel="2">
      <c r="B328" s="1214"/>
      <c r="C328" s="507"/>
      <c r="D328" s="508"/>
    </row>
    <row r="329" spans="2:4" hidden="1" outlineLevel="2">
      <c r="B329" s="1214"/>
      <c r="C329" s="507"/>
      <c r="D329" s="508"/>
    </row>
    <row r="330" spans="2:4" hidden="1" outlineLevel="2">
      <c r="B330" s="1214"/>
      <c r="C330" s="507"/>
      <c r="D330" s="508"/>
    </row>
    <row r="331" spans="2:4" hidden="1" outlineLevel="2">
      <c r="B331" s="1214"/>
      <c r="C331" s="507"/>
      <c r="D331" s="508"/>
    </row>
    <row r="332" spans="2:4" hidden="1" outlineLevel="2">
      <c r="B332" s="1214"/>
      <c r="C332" s="507"/>
      <c r="D332" s="508"/>
    </row>
    <row r="333" spans="2:4" hidden="1" outlineLevel="2">
      <c r="B333" s="1214"/>
      <c r="C333" s="507"/>
      <c r="D333" s="508"/>
    </row>
    <row r="334" spans="2:4" hidden="1" outlineLevel="1">
      <c r="B334" s="1214"/>
      <c r="C334" s="507"/>
      <c r="D334" s="508"/>
    </row>
    <row r="335" spans="2:4" hidden="1" outlineLevel="2">
      <c r="B335" s="1214"/>
      <c r="C335" s="507"/>
      <c r="D335" s="508"/>
    </row>
    <row r="336" spans="2:4" hidden="1" outlineLevel="2">
      <c r="B336" s="1214"/>
      <c r="C336" s="507"/>
      <c r="D336" s="508"/>
    </row>
    <row r="337" spans="2:4" hidden="1" outlineLevel="2">
      <c r="B337" s="1214"/>
      <c r="C337" s="507"/>
      <c r="D337" s="508"/>
    </row>
    <row r="338" spans="2:4" hidden="1" outlineLevel="2">
      <c r="B338" s="1214"/>
      <c r="C338" s="507"/>
      <c r="D338" s="508"/>
    </row>
    <row r="339" spans="2:4" hidden="1" outlineLevel="2">
      <c r="B339" s="1214"/>
      <c r="C339" s="507"/>
      <c r="D339" s="508"/>
    </row>
    <row r="340" spans="2:4" hidden="1" outlineLevel="2">
      <c r="B340" s="1214"/>
      <c r="C340" s="507"/>
      <c r="D340" s="508"/>
    </row>
    <row r="341" spans="2:4" hidden="1" outlineLevel="2">
      <c r="B341" s="1214"/>
      <c r="C341" s="507"/>
      <c r="D341" s="508"/>
    </row>
    <row r="342" spans="2:4" hidden="1" outlineLevel="2">
      <c r="B342" s="1214"/>
      <c r="C342" s="507"/>
      <c r="D342" s="508"/>
    </row>
    <row r="343" spans="2:4" hidden="1" outlineLevel="2">
      <c r="B343" s="1214"/>
      <c r="C343" s="507"/>
      <c r="D343" s="508"/>
    </row>
    <row r="344" spans="2:4" hidden="1" outlineLevel="1">
      <c r="B344" s="1214"/>
      <c r="C344" s="507"/>
      <c r="D344" s="508"/>
    </row>
    <row r="345" spans="2:4" hidden="1" outlineLevel="2">
      <c r="B345" s="1214"/>
      <c r="C345" s="507"/>
      <c r="D345" s="508"/>
    </row>
    <row r="346" spans="2:4" hidden="1" outlineLevel="2">
      <c r="B346" s="1214"/>
      <c r="C346" s="507"/>
      <c r="D346" s="508"/>
    </row>
    <row r="347" spans="2:4" hidden="1" outlineLevel="2">
      <c r="B347" s="1214"/>
      <c r="C347" s="507"/>
      <c r="D347" s="508"/>
    </row>
    <row r="348" spans="2:4" hidden="1" outlineLevel="2">
      <c r="B348" s="1214"/>
      <c r="C348" s="507"/>
      <c r="D348" s="508"/>
    </row>
    <row r="349" spans="2:4" hidden="1" outlineLevel="2">
      <c r="B349" s="1214"/>
      <c r="C349" s="507"/>
      <c r="D349" s="508"/>
    </row>
    <row r="350" spans="2:4" hidden="1" outlineLevel="2">
      <c r="B350" s="1214"/>
      <c r="C350" s="507"/>
      <c r="D350" s="508"/>
    </row>
    <row r="351" spans="2:4" hidden="1" outlineLevel="2">
      <c r="B351" s="1214"/>
      <c r="C351" s="507"/>
      <c r="D351" s="508"/>
    </row>
    <row r="352" spans="2:4" hidden="1" outlineLevel="2">
      <c r="B352" s="1214"/>
      <c r="C352" s="507"/>
      <c r="D352" s="508"/>
    </row>
    <row r="353" spans="2:4" hidden="1" outlineLevel="2">
      <c r="B353" s="1214"/>
      <c r="C353" s="507"/>
      <c r="D353" s="508"/>
    </row>
    <row r="354" spans="2:4" hidden="1" outlineLevel="1">
      <c r="B354" s="1214"/>
      <c r="C354" s="507"/>
      <c r="D354" s="508"/>
    </row>
    <row r="355" spans="2:4" hidden="1" outlineLevel="2">
      <c r="B355" s="1214"/>
      <c r="C355" s="507"/>
      <c r="D355" s="508"/>
    </row>
    <row r="356" spans="2:4" hidden="1" outlineLevel="2">
      <c r="B356" s="1214"/>
      <c r="C356" s="507"/>
      <c r="D356" s="508"/>
    </row>
    <row r="357" spans="2:4" hidden="1" outlineLevel="2">
      <c r="B357" s="1214"/>
      <c r="C357" s="507"/>
      <c r="D357" s="508"/>
    </row>
    <row r="358" spans="2:4" hidden="1" outlineLevel="2">
      <c r="B358" s="1214"/>
      <c r="C358" s="507"/>
      <c r="D358" s="508"/>
    </row>
    <row r="359" spans="2:4" hidden="1" outlineLevel="2">
      <c r="B359" s="1214"/>
      <c r="C359" s="507"/>
      <c r="D359" s="508"/>
    </row>
    <row r="360" spans="2:4" hidden="1" outlineLevel="2">
      <c r="B360" s="1214"/>
      <c r="C360" s="507"/>
      <c r="D360" s="508"/>
    </row>
    <row r="361" spans="2:4" hidden="1" outlineLevel="2">
      <c r="B361" s="1214"/>
      <c r="C361" s="507"/>
      <c r="D361" s="508"/>
    </row>
    <row r="362" spans="2:4" hidden="1" outlineLevel="2">
      <c r="B362" s="1214"/>
      <c r="C362" s="507"/>
      <c r="D362" s="508"/>
    </row>
    <row r="363" spans="2:4" hidden="1" outlineLevel="2">
      <c r="B363" s="1214"/>
      <c r="C363" s="507"/>
      <c r="D363" s="508"/>
    </row>
    <row r="364" spans="2:4" hidden="1" outlineLevel="1">
      <c r="B364" s="1214"/>
      <c r="C364" s="507"/>
      <c r="D364" s="508"/>
    </row>
    <row r="365" spans="2:4" hidden="1" outlineLevel="2">
      <c r="B365" s="1214"/>
      <c r="C365" s="507"/>
      <c r="D365" s="508"/>
    </row>
    <row r="366" spans="2:4" hidden="1" outlineLevel="2">
      <c r="B366" s="1214"/>
      <c r="C366" s="507"/>
      <c r="D366" s="508"/>
    </row>
    <row r="367" spans="2:4" hidden="1" outlineLevel="2">
      <c r="B367" s="1214"/>
      <c r="C367" s="507"/>
      <c r="D367" s="508"/>
    </row>
    <row r="368" spans="2:4" hidden="1" outlineLevel="2">
      <c r="B368" s="1214"/>
      <c r="C368" s="507"/>
      <c r="D368" s="508"/>
    </row>
    <row r="369" spans="2:4" hidden="1" outlineLevel="2">
      <c r="B369" s="1214"/>
      <c r="C369" s="507"/>
      <c r="D369" s="508"/>
    </row>
    <row r="370" spans="2:4" hidden="1" outlineLevel="2">
      <c r="B370" s="1214"/>
      <c r="C370" s="507"/>
      <c r="D370" s="508"/>
    </row>
    <row r="371" spans="2:4" hidden="1" outlineLevel="2">
      <c r="B371" s="1214"/>
      <c r="C371" s="507"/>
      <c r="D371" s="508"/>
    </row>
    <row r="372" spans="2:4" hidden="1" outlineLevel="2">
      <c r="B372" s="1214"/>
      <c r="C372" s="507"/>
      <c r="D372" s="508"/>
    </row>
    <row r="373" spans="2:4" hidden="1" outlineLevel="2">
      <c r="B373" s="1214"/>
      <c r="C373" s="507"/>
      <c r="D373" s="508"/>
    </row>
    <row r="374" spans="2:4" hidden="1" outlineLevel="1">
      <c r="B374" s="1214"/>
      <c r="C374" s="507"/>
      <c r="D374" s="508"/>
    </row>
    <row r="375" spans="2:4" hidden="1" outlineLevel="2">
      <c r="B375" s="1214"/>
      <c r="C375" s="507"/>
      <c r="D375" s="508"/>
    </row>
    <row r="376" spans="2:4" hidden="1" outlineLevel="2">
      <c r="B376" s="1214"/>
      <c r="C376" s="507"/>
      <c r="D376" s="508"/>
    </row>
    <row r="377" spans="2:4" hidden="1" outlineLevel="2">
      <c r="B377" s="1214"/>
      <c r="C377" s="507"/>
      <c r="D377" s="508"/>
    </row>
    <row r="378" spans="2:4" hidden="1" outlineLevel="2">
      <c r="B378" s="1214"/>
      <c r="C378" s="507"/>
      <c r="D378" s="508"/>
    </row>
    <row r="379" spans="2:4" hidden="1" outlineLevel="2">
      <c r="B379" s="1214"/>
      <c r="C379" s="507"/>
      <c r="D379" s="508"/>
    </row>
    <row r="380" spans="2:4" hidden="1" outlineLevel="2">
      <c r="B380" s="1214"/>
      <c r="C380" s="507"/>
      <c r="D380" s="508"/>
    </row>
    <row r="381" spans="2:4" hidden="1" outlineLevel="2">
      <c r="B381" s="1214"/>
      <c r="C381" s="507"/>
      <c r="D381" s="508"/>
    </row>
    <row r="382" spans="2:4" hidden="1" outlineLevel="2">
      <c r="B382" s="1214"/>
      <c r="C382" s="507"/>
      <c r="D382" s="508"/>
    </row>
    <row r="383" spans="2:4" hidden="1" outlineLevel="2">
      <c r="B383" s="1214"/>
      <c r="C383" s="507"/>
      <c r="D383" s="508"/>
    </row>
    <row r="384" spans="2:4" hidden="1" outlineLevel="1">
      <c r="B384" s="1214"/>
      <c r="C384" s="507"/>
      <c r="D384" s="508"/>
    </row>
    <row r="385" spans="2:4" hidden="1" outlineLevel="2">
      <c r="B385" s="1214"/>
      <c r="C385" s="507"/>
      <c r="D385" s="508"/>
    </row>
    <row r="386" spans="2:4" hidden="1" outlineLevel="2">
      <c r="B386" s="1214"/>
      <c r="C386" s="507"/>
      <c r="D386" s="508"/>
    </row>
    <row r="387" spans="2:4" hidden="1" outlineLevel="2">
      <c r="B387" s="1214"/>
      <c r="C387" s="507"/>
      <c r="D387" s="508"/>
    </row>
    <row r="388" spans="2:4" hidden="1" outlineLevel="2">
      <c r="B388" s="1214"/>
      <c r="C388" s="507"/>
      <c r="D388" s="508"/>
    </row>
    <row r="389" spans="2:4" hidden="1" outlineLevel="2">
      <c r="B389" s="1214"/>
      <c r="C389" s="507"/>
      <c r="D389" s="508"/>
    </row>
    <row r="390" spans="2:4" hidden="1" outlineLevel="2">
      <c r="B390" s="1214"/>
      <c r="C390" s="507"/>
      <c r="D390" s="508"/>
    </row>
    <row r="391" spans="2:4" hidden="1" outlineLevel="2">
      <c r="B391" s="1214"/>
      <c r="C391" s="507"/>
      <c r="D391" s="508"/>
    </row>
    <row r="392" spans="2:4" hidden="1" outlineLevel="2">
      <c r="B392" s="1214"/>
      <c r="C392" s="507"/>
      <c r="D392" s="508"/>
    </row>
    <row r="393" spans="2:4" hidden="1" outlineLevel="2">
      <c r="B393" s="1214"/>
      <c r="C393" s="507"/>
      <c r="D393" s="508"/>
    </row>
    <row r="394" spans="2:4" hidden="1" outlineLevel="1">
      <c r="B394" s="1214"/>
      <c r="C394" s="507"/>
      <c r="D394" s="508"/>
    </row>
    <row r="395" spans="2:4" hidden="1" outlineLevel="2">
      <c r="B395" s="1214"/>
      <c r="C395" s="507"/>
      <c r="D395" s="508"/>
    </row>
    <row r="396" spans="2:4" hidden="1" outlineLevel="2">
      <c r="B396" s="1214"/>
      <c r="C396" s="507"/>
      <c r="D396" s="508"/>
    </row>
    <row r="397" spans="2:4" hidden="1" outlineLevel="2">
      <c r="B397" s="1214"/>
      <c r="C397" s="507"/>
      <c r="D397" s="508"/>
    </row>
    <row r="398" spans="2:4" hidden="1" outlineLevel="2">
      <c r="B398" s="1214"/>
      <c r="C398" s="507"/>
      <c r="D398" s="508"/>
    </row>
    <row r="399" spans="2:4" hidden="1" outlineLevel="2">
      <c r="B399" s="1214"/>
      <c r="C399" s="507"/>
      <c r="D399" s="508"/>
    </row>
    <row r="400" spans="2:4" hidden="1" outlineLevel="2">
      <c r="B400" s="1214"/>
      <c r="C400" s="507"/>
      <c r="D400" s="508"/>
    </row>
    <row r="401" spans="2:4" hidden="1" outlineLevel="2">
      <c r="B401" s="1214"/>
      <c r="C401" s="507"/>
      <c r="D401" s="508"/>
    </row>
    <row r="402" spans="2:4" hidden="1" outlineLevel="2">
      <c r="B402" s="1214"/>
      <c r="C402" s="507"/>
      <c r="D402" s="508"/>
    </row>
    <row r="403" spans="2:4" hidden="1" outlineLevel="2">
      <c r="B403" s="1214"/>
      <c r="C403" s="507"/>
      <c r="D403" s="508"/>
    </row>
    <row r="404" spans="2:4" hidden="1" outlineLevel="1">
      <c r="B404" s="1214"/>
      <c r="C404" s="507"/>
      <c r="D404" s="508"/>
    </row>
    <row r="405" spans="2:4" hidden="1" outlineLevel="2">
      <c r="B405" s="1214"/>
      <c r="C405" s="507"/>
      <c r="D405" s="508"/>
    </row>
    <row r="406" spans="2:4" hidden="1" outlineLevel="2">
      <c r="B406" s="1214"/>
      <c r="C406" s="507"/>
      <c r="D406" s="508"/>
    </row>
    <row r="407" spans="2:4" hidden="1" outlineLevel="2">
      <c r="B407" s="1214"/>
      <c r="C407" s="507"/>
      <c r="D407" s="508"/>
    </row>
    <row r="408" spans="2:4" hidden="1" outlineLevel="2">
      <c r="B408" s="1214"/>
      <c r="C408" s="507"/>
      <c r="D408" s="508"/>
    </row>
    <row r="409" spans="2:4" hidden="1" outlineLevel="2">
      <c r="B409" s="1214"/>
      <c r="C409" s="507"/>
      <c r="D409" s="508"/>
    </row>
    <row r="410" spans="2:4" hidden="1" outlineLevel="2">
      <c r="B410" s="1214"/>
      <c r="C410" s="507"/>
      <c r="D410" s="508"/>
    </row>
    <row r="411" spans="2:4" hidden="1" outlineLevel="2">
      <c r="B411" s="1214"/>
      <c r="C411" s="507"/>
      <c r="D411" s="508"/>
    </row>
    <row r="412" spans="2:4" hidden="1" outlineLevel="2">
      <c r="B412" s="1214"/>
      <c r="C412" s="507"/>
      <c r="D412" s="508"/>
    </row>
    <row r="413" spans="2:4" hidden="1" outlineLevel="2">
      <c r="B413" s="1214"/>
      <c r="C413" s="507"/>
      <c r="D413" s="508"/>
    </row>
    <row r="414" spans="2:4" hidden="1" outlineLevel="1">
      <c r="B414" s="1214"/>
      <c r="C414" s="507"/>
      <c r="D414" s="508"/>
    </row>
    <row r="415" spans="2:4" hidden="1" outlineLevel="2">
      <c r="B415" s="1214"/>
      <c r="C415" s="507"/>
      <c r="D415" s="508"/>
    </row>
    <row r="416" spans="2:4" hidden="1" outlineLevel="2">
      <c r="B416" s="1214"/>
      <c r="C416" s="507"/>
      <c r="D416" s="508"/>
    </row>
    <row r="417" spans="2:4" hidden="1" outlineLevel="2">
      <c r="B417" s="1214"/>
      <c r="C417" s="507"/>
      <c r="D417" s="508"/>
    </row>
    <row r="418" spans="2:4" hidden="1" outlineLevel="2">
      <c r="B418" s="1214"/>
      <c r="C418" s="507"/>
      <c r="D418" s="508"/>
    </row>
    <row r="419" spans="2:4" hidden="1" outlineLevel="2">
      <c r="B419" s="1214"/>
      <c r="C419" s="507"/>
      <c r="D419" s="508"/>
    </row>
    <row r="420" spans="2:4" hidden="1" outlineLevel="2">
      <c r="B420" s="1214"/>
      <c r="C420" s="507"/>
      <c r="D420" s="508"/>
    </row>
    <row r="421" spans="2:4" hidden="1" outlineLevel="2">
      <c r="B421" s="1214"/>
      <c r="C421" s="507"/>
      <c r="D421" s="508"/>
    </row>
    <row r="422" spans="2:4" hidden="1" outlineLevel="2">
      <c r="B422" s="1214"/>
      <c r="C422" s="507"/>
      <c r="D422" s="508"/>
    </row>
    <row r="423" spans="2:4" hidden="1" outlineLevel="2">
      <c r="B423" s="1214"/>
      <c r="C423" s="507"/>
      <c r="D423" s="508"/>
    </row>
    <row r="424" spans="2:4" hidden="1" outlineLevel="1">
      <c r="B424" s="1214"/>
      <c r="C424" s="507"/>
      <c r="D424" s="508"/>
    </row>
    <row r="425" spans="2:4" hidden="1" outlineLevel="2">
      <c r="B425" s="1214"/>
      <c r="C425" s="507"/>
      <c r="D425" s="508"/>
    </row>
    <row r="426" spans="2:4" hidden="1" outlineLevel="2">
      <c r="B426" s="1214"/>
      <c r="C426" s="507"/>
      <c r="D426" s="508"/>
    </row>
    <row r="427" spans="2:4" hidden="1" outlineLevel="2">
      <c r="B427" s="1214"/>
      <c r="C427" s="507"/>
      <c r="D427" s="508"/>
    </row>
    <row r="428" spans="2:4" hidden="1" outlineLevel="2">
      <c r="B428" s="1214"/>
      <c r="C428" s="507"/>
      <c r="D428" s="508"/>
    </row>
    <row r="429" spans="2:4" hidden="1" outlineLevel="2">
      <c r="B429" s="1214"/>
      <c r="C429" s="507"/>
      <c r="D429" s="508"/>
    </row>
    <row r="430" spans="2:4" hidden="1" outlineLevel="2">
      <c r="B430" s="1214"/>
      <c r="C430" s="507"/>
      <c r="D430" s="508"/>
    </row>
    <row r="431" spans="2:4" hidden="1" outlineLevel="2">
      <c r="B431" s="1214"/>
      <c r="C431" s="507"/>
      <c r="D431" s="508"/>
    </row>
    <row r="432" spans="2:4" hidden="1" outlineLevel="2">
      <c r="B432" s="1214"/>
      <c r="C432" s="507"/>
      <c r="D432" s="508"/>
    </row>
    <row r="433" spans="2:4" hidden="1" outlineLevel="2">
      <c r="B433" s="1214"/>
      <c r="C433" s="507"/>
      <c r="D433" s="508"/>
    </row>
    <row r="434" spans="2:4" hidden="1" outlineLevel="1">
      <c r="B434" s="1214"/>
      <c r="C434" s="507"/>
      <c r="D434" s="508"/>
    </row>
    <row r="435" spans="2:4" hidden="1" outlineLevel="2">
      <c r="B435" s="1214"/>
      <c r="C435" s="507"/>
      <c r="D435" s="508"/>
    </row>
    <row r="436" spans="2:4" hidden="1" outlineLevel="2">
      <c r="B436" s="1214"/>
      <c r="C436" s="507"/>
      <c r="D436" s="508"/>
    </row>
    <row r="437" spans="2:4" hidden="1" outlineLevel="2">
      <c r="B437" s="1214"/>
      <c r="C437" s="507"/>
      <c r="D437" s="508"/>
    </row>
    <row r="438" spans="2:4" hidden="1" outlineLevel="2">
      <c r="B438" s="1214"/>
      <c r="C438" s="507"/>
      <c r="D438" s="508"/>
    </row>
    <row r="439" spans="2:4" hidden="1" outlineLevel="2">
      <c r="B439" s="1214"/>
      <c r="C439" s="507"/>
      <c r="D439" s="508"/>
    </row>
    <row r="440" spans="2:4" hidden="1" outlineLevel="2">
      <c r="B440" s="1214"/>
      <c r="C440" s="507"/>
      <c r="D440" s="508"/>
    </row>
    <row r="441" spans="2:4" hidden="1" outlineLevel="2">
      <c r="B441" s="1214"/>
      <c r="C441" s="507"/>
      <c r="D441" s="508"/>
    </row>
    <row r="442" spans="2:4" hidden="1" outlineLevel="2">
      <c r="B442" s="1214"/>
      <c r="C442" s="507"/>
      <c r="D442" s="508"/>
    </row>
    <row r="443" spans="2:4" hidden="1" outlineLevel="2">
      <c r="B443" s="1214"/>
      <c r="C443" s="507"/>
      <c r="D443" s="508"/>
    </row>
    <row r="444" spans="2:4" hidden="1" outlineLevel="1">
      <c r="B444" s="1214"/>
      <c r="C444" s="507"/>
      <c r="D444" s="508"/>
    </row>
    <row r="445" spans="2:4" hidden="1" outlineLevel="2">
      <c r="B445" s="1214"/>
      <c r="C445" s="507"/>
      <c r="D445" s="508"/>
    </row>
    <row r="446" spans="2:4" hidden="1" outlineLevel="2">
      <c r="B446" s="1214"/>
      <c r="C446" s="507"/>
      <c r="D446" s="508"/>
    </row>
    <row r="447" spans="2:4" hidden="1" outlineLevel="2">
      <c r="B447" s="1214"/>
      <c r="C447" s="507"/>
      <c r="D447" s="508"/>
    </row>
    <row r="448" spans="2:4" hidden="1" outlineLevel="2">
      <c r="B448" s="1214"/>
      <c r="C448" s="507"/>
      <c r="D448" s="508"/>
    </row>
    <row r="449" spans="2:4" hidden="1" outlineLevel="2">
      <c r="B449" s="1214"/>
      <c r="C449" s="507"/>
      <c r="D449" s="508"/>
    </row>
    <row r="450" spans="2:4" hidden="1" outlineLevel="2">
      <c r="B450" s="1214"/>
      <c r="C450" s="507"/>
      <c r="D450" s="508"/>
    </row>
    <row r="451" spans="2:4" hidden="1" outlineLevel="2">
      <c r="B451" s="1214"/>
      <c r="C451" s="507"/>
      <c r="D451" s="508"/>
    </row>
    <row r="452" spans="2:4" hidden="1" outlineLevel="2">
      <c r="B452" s="1214"/>
      <c r="C452" s="507"/>
      <c r="D452" s="508"/>
    </row>
    <row r="453" spans="2:4" hidden="1" outlineLevel="2">
      <c r="B453" s="1214"/>
      <c r="C453" s="507"/>
      <c r="D453" s="508"/>
    </row>
    <row r="454" spans="2:4" hidden="1" outlineLevel="1">
      <c r="B454" s="1214"/>
      <c r="C454" s="507"/>
      <c r="D454" s="508"/>
    </row>
    <row r="455" spans="2:4" hidden="1" outlineLevel="2">
      <c r="B455" s="1214"/>
      <c r="C455" s="507"/>
      <c r="D455" s="508"/>
    </row>
    <row r="456" spans="2:4" hidden="1" outlineLevel="2">
      <c r="B456" s="1214"/>
      <c r="C456" s="507"/>
      <c r="D456" s="508"/>
    </row>
    <row r="457" spans="2:4" hidden="1" outlineLevel="2">
      <c r="B457" s="1214"/>
      <c r="C457" s="507"/>
      <c r="D457" s="508"/>
    </row>
    <row r="458" spans="2:4" hidden="1" outlineLevel="2">
      <c r="B458" s="1214"/>
      <c r="C458" s="507"/>
      <c r="D458" s="508"/>
    </row>
    <row r="459" spans="2:4" hidden="1" outlineLevel="2">
      <c r="B459" s="1214"/>
      <c r="C459" s="507"/>
      <c r="D459" s="508"/>
    </row>
    <row r="460" spans="2:4" hidden="1" outlineLevel="2">
      <c r="B460" s="1214"/>
      <c r="C460" s="507"/>
      <c r="D460" s="508"/>
    </row>
    <row r="461" spans="2:4" hidden="1" outlineLevel="2">
      <c r="B461" s="1214"/>
      <c r="C461" s="507"/>
      <c r="D461" s="508"/>
    </row>
    <row r="462" spans="2:4" hidden="1" outlineLevel="2">
      <c r="B462" s="1214"/>
      <c r="C462" s="507"/>
      <c r="D462" s="508"/>
    </row>
    <row r="463" spans="2:4" hidden="1" outlineLevel="2">
      <c r="B463" s="1214"/>
      <c r="C463" s="507"/>
      <c r="D463" s="508"/>
    </row>
    <row r="464" spans="2:4" hidden="1" outlineLevel="1">
      <c r="B464" s="1214"/>
      <c r="C464" s="507"/>
      <c r="D464" s="508"/>
    </row>
    <row r="465" spans="2:4" hidden="1" outlineLevel="2">
      <c r="B465" s="1214"/>
      <c r="C465" s="507"/>
      <c r="D465" s="508"/>
    </row>
    <row r="466" spans="2:4" hidden="1" outlineLevel="2">
      <c r="B466" s="1214"/>
      <c r="C466" s="507"/>
      <c r="D466" s="508"/>
    </row>
    <row r="467" spans="2:4" hidden="1" outlineLevel="2">
      <c r="B467" s="1214"/>
      <c r="C467" s="507"/>
      <c r="D467" s="508"/>
    </row>
    <row r="468" spans="2:4" hidden="1" outlineLevel="2">
      <c r="B468" s="1214"/>
      <c r="C468" s="507"/>
      <c r="D468" s="508"/>
    </row>
    <row r="469" spans="2:4" hidden="1" outlineLevel="2">
      <c r="B469" s="1214"/>
      <c r="C469" s="507"/>
      <c r="D469" s="508"/>
    </row>
    <row r="470" spans="2:4" hidden="1" outlineLevel="2">
      <c r="B470" s="1214"/>
      <c r="C470" s="507"/>
      <c r="D470" s="508"/>
    </row>
    <row r="471" spans="2:4" hidden="1" outlineLevel="2">
      <c r="B471" s="1214"/>
      <c r="C471" s="507"/>
      <c r="D471" s="508"/>
    </row>
    <row r="472" spans="2:4" hidden="1" outlineLevel="2">
      <c r="B472" s="1214"/>
      <c r="C472" s="507"/>
      <c r="D472" s="508"/>
    </row>
    <row r="473" spans="2:4" hidden="1" outlineLevel="2">
      <c r="B473" s="1214"/>
      <c r="C473" s="507"/>
      <c r="D473" s="508"/>
    </row>
    <row r="474" spans="2:4" hidden="1" outlineLevel="1">
      <c r="B474" s="1214"/>
      <c r="C474" s="507"/>
      <c r="D474" s="508"/>
    </row>
    <row r="475" spans="2:4" hidden="1" outlineLevel="2">
      <c r="B475" s="1214"/>
      <c r="C475" s="507"/>
      <c r="D475" s="508"/>
    </row>
    <row r="476" spans="2:4" hidden="1" outlineLevel="2">
      <c r="B476" s="1214"/>
      <c r="C476" s="507"/>
      <c r="D476" s="508"/>
    </row>
    <row r="477" spans="2:4" hidden="1" outlineLevel="2">
      <c r="B477" s="1214"/>
      <c r="C477" s="507"/>
      <c r="D477" s="508"/>
    </row>
    <row r="478" spans="2:4" hidden="1" outlineLevel="2">
      <c r="B478" s="1214"/>
      <c r="C478" s="507"/>
      <c r="D478" s="508"/>
    </row>
    <row r="479" spans="2:4" hidden="1" outlineLevel="2">
      <c r="B479" s="1214"/>
      <c r="C479" s="507"/>
      <c r="D479" s="508"/>
    </row>
    <row r="480" spans="2:4" hidden="1" outlineLevel="2">
      <c r="B480" s="1214"/>
      <c r="C480" s="507"/>
      <c r="D480" s="508"/>
    </row>
    <row r="481" spans="2:4" hidden="1" outlineLevel="2">
      <c r="B481" s="1214"/>
      <c r="C481" s="507"/>
      <c r="D481" s="508"/>
    </row>
    <row r="482" spans="2:4" hidden="1" outlineLevel="2">
      <c r="B482" s="1214"/>
      <c r="C482" s="507"/>
      <c r="D482" s="508"/>
    </row>
    <row r="483" spans="2:4" hidden="1" outlineLevel="2">
      <c r="B483" s="1214"/>
      <c r="C483" s="507"/>
      <c r="D483" s="508"/>
    </row>
    <row r="484" spans="2:4" hidden="1" outlineLevel="1">
      <c r="B484" s="1214"/>
      <c r="C484" s="507"/>
      <c r="D484" s="508"/>
    </row>
    <row r="485" spans="2:4" hidden="1" outlineLevel="2">
      <c r="B485" s="1214"/>
      <c r="C485" s="507"/>
      <c r="D485" s="508"/>
    </row>
    <row r="486" spans="2:4" hidden="1" outlineLevel="2">
      <c r="B486" s="1214"/>
      <c r="C486" s="507"/>
      <c r="D486" s="508"/>
    </row>
    <row r="487" spans="2:4" hidden="1" outlineLevel="2">
      <c r="B487" s="1214"/>
      <c r="C487" s="507"/>
      <c r="D487" s="508"/>
    </row>
    <row r="488" spans="2:4" hidden="1" outlineLevel="2">
      <c r="B488" s="1214"/>
      <c r="C488" s="507"/>
      <c r="D488" s="508"/>
    </row>
    <row r="489" spans="2:4" hidden="1" outlineLevel="2">
      <c r="B489" s="1214"/>
      <c r="C489" s="507"/>
      <c r="D489" s="508"/>
    </row>
    <row r="490" spans="2:4" hidden="1" outlineLevel="2">
      <c r="B490" s="1214"/>
      <c r="C490" s="507"/>
      <c r="D490" s="508"/>
    </row>
    <row r="491" spans="2:4" hidden="1" outlineLevel="2">
      <c r="B491" s="1214"/>
      <c r="C491" s="507"/>
      <c r="D491" s="508"/>
    </row>
    <row r="492" spans="2:4" hidden="1" outlineLevel="2">
      <c r="B492" s="1214"/>
      <c r="C492" s="507"/>
      <c r="D492" s="508"/>
    </row>
    <row r="493" spans="2:4" hidden="1" outlineLevel="2">
      <c r="B493" s="1214"/>
      <c r="C493" s="507"/>
      <c r="D493" s="508"/>
    </row>
    <row r="494" spans="2:4" hidden="1" outlineLevel="1">
      <c r="B494" s="1214"/>
      <c r="C494" s="507"/>
      <c r="D494" s="508"/>
    </row>
    <row r="495" spans="2:4" hidden="1" outlineLevel="2">
      <c r="B495" s="1214"/>
      <c r="C495" s="507"/>
      <c r="D495" s="508"/>
    </row>
    <row r="496" spans="2:4" hidden="1" outlineLevel="2">
      <c r="B496" s="1214"/>
      <c r="C496" s="507"/>
      <c r="D496" s="508"/>
    </row>
    <row r="497" spans="2:4" hidden="1" outlineLevel="2">
      <c r="B497" s="1214"/>
      <c r="C497" s="507"/>
      <c r="D497" s="508"/>
    </row>
    <row r="498" spans="2:4" hidden="1" outlineLevel="2">
      <c r="B498" s="1214"/>
      <c r="C498" s="507"/>
      <c r="D498" s="508"/>
    </row>
    <row r="499" spans="2:4" hidden="1" outlineLevel="2">
      <c r="B499" s="1214"/>
      <c r="C499" s="507"/>
      <c r="D499" s="508"/>
    </row>
    <row r="500" spans="2:4" hidden="1" outlineLevel="2">
      <c r="B500" s="1214"/>
      <c r="C500" s="507"/>
      <c r="D500" s="508"/>
    </row>
    <row r="501" spans="2:4" hidden="1" outlineLevel="2">
      <c r="B501" s="1214"/>
      <c r="C501" s="507"/>
      <c r="D501" s="508"/>
    </row>
    <row r="502" spans="2:4" hidden="1" outlineLevel="2">
      <c r="B502" s="1214"/>
      <c r="C502" s="507"/>
      <c r="D502" s="508"/>
    </row>
    <row r="503" spans="2:4" hidden="1" outlineLevel="2">
      <c r="B503" s="1214"/>
      <c r="C503" s="507"/>
      <c r="D503" s="508"/>
    </row>
    <row r="504" spans="2:4" hidden="1" outlineLevel="1">
      <c r="B504" s="1214"/>
      <c r="C504" s="507"/>
      <c r="D504" s="508"/>
    </row>
    <row r="505" spans="2:4" hidden="1" outlineLevel="2">
      <c r="B505" s="1214"/>
      <c r="C505" s="507"/>
      <c r="D505" s="508"/>
    </row>
    <row r="506" spans="2:4" hidden="1" outlineLevel="2">
      <c r="B506" s="1214"/>
      <c r="C506" s="507"/>
      <c r="D506" s="508"/>
    </row>
    <row r="507" spans="2:4" hidden="1" outlineLevel="2">
      <c r="B507" s="1214"/>
      <c r="C507" s="507"/>
      <c r="D507" s="508"/>
    </row>
    <row r="508" spans="2:4" hidden="1" outlineLevel="2">
      <c r="B508" s="1214"/>
      <c r="C508" s="507"/>
      <c r="D508" s="508"/>
    </row>
    <row r="509" spans="2:4" hidden="1" outlineLevel="2">
      <c r="B509" s="1214"/>
      <c r="C509" s="507"/>
      <c r="D509" s="508"/>
    </row>
    <row r="510" spans="2:4" hidden="1" outlineLevel="2">
      <c r="B510" s="1214"/>
      <c r="C510" s="507"/>
      <c r="D510" s="508"/>
    </row>
    <row r="511" spans="2:4" hidden="1" outlineLevel="2">
      <c r="B511" s="1214"/>
      <c r="C511" s="507"/>
      <c r="D511" s="508"/>
    </row>
    <row r="512" spans="2:4" hidden="1" outlineLevel="2">
      <c r="B512" s="1214"/>
      <c r="C512" s="507"/>
      <c r="D512" s="508"/>
    </row>
    <row r="513" spans="2:4" hidden="1" outlineLevel="2">
      <c r="B513" s="1214"/>
      <c r="C513" s="507"/>
      <c r="D513" s="508"/>
    </row>
    <row r="514" spans="2:4" hidden="1" outlineLevel="1">
      <c r="B514" s="1214"/>
      <c r="C514" s="507"/>
      <c r="D514" s="508"/>
    </row>
    <row r="515" spans="2:4" hidden="1" outlineLevel="2">
      <c r="B515" s="1214"/>
      <c r="C515" s="507"/>
      <c r="D515" s="508"/>
    </row>
    <row r="516" spans="2:4" hidden="1" outlineLevel="2">
      <c r="B516" s="1214"/>
      <c r="C516" s="507"/>
      <c r="D516" s="508"/>
    </row>
    <row r="517" spans="2:4" hidden="1" outlineLevel="2">
      <c r="B517" s="1214"/>
      <c r="C517" s="507"/>
      <c r="D517" s="508"/>
    </row>
    <row r="518" spans="2:4" hidden="1" outlineLevel="2">
      <c r="B518" s="1214"/>
      <c r="C518" s="507"/>
      <c r="D518" s="508"/>
    </row>
    <row r="519" spans="2:4" hidden="1" outlineLevel="2">
      <c r="B519" s="1214"/>
      <c r="C519" s="507"/>
      <c r="D519" s="508"/>
    </row>
    <row r="520" spans="2:4" hidden="1" outlineLevel="2">
      <c r="B520" s="1214"/>
      <c r="C520" s="507"/>
      <c r="D520" s="508"/>
    </row>
    <row r="521" spans="2:4" hidden="1" outlineLevel="2">
      <c r="B521" s="1214"/>
      <c r="C521" s="507"/>
      <c r="D521" s="508"/>
    </row>
    <row r="522" spans="2:4" hidden="1" outlineLevel="2">
      <c r="B522" s="1214"/>
      <c r="C522" s="507"/>
      <c r="D522" s="508"/>
    </row>
    <row r="523" spans="2:4" hidden="1" outlineLevel="2">
      <c r="B523" s="1214"/>
      <c r="C523" s="507"/>
      <c r="D523" s="508"/>
    </row>
    <row r="524" spans="2:4" hidden="1" outlineLevel="1">
      <c r="B524" s="1214"/>
      <c r="C524" s="507"/>
      <c r="D524" s="508"/>
    </row>
    <row r="525" spans="2:4" hidden="1" outlineLevel="2">
      <c r="B525" s="1214"/>
      <c r="C525" s="507"/>
      <c r="D525" s="508"/>
    </row>
    <row r="526" spans="2:4" hidden="1" outlineLevel="2">
      <c r="B526" s="1214"/>
      <c r="C526" s="507"/>
      <c r="D526" s="508"/>
    </row>
    <row r="527" spans="2:4" hidden="1" outlineLevel="2">
      <c r="B527" s="1214"/>
      <c r="C527" s="507"/>
      <c r="D527" s="508"/>
    </row>
    <row r="528" spans="2:4" hidden="1" outlineLevel="2">
      <c r="B528" s="1214"/>
      <c r="C528" s="507"/>
      <c r="D528" s="508"/>
    </row>
    <row r="529" spans="2:4" hidden="1" outlineLevel="2">
      <c r="B529" s="1214"/>
      <c r="C529" s="507"/>
      <c r="D529" s="508"/>
    </row>
    <row r="530" spans="2:4" hidden="1" outlineLevel="2">
      <c r="B530" s="1214"/>
      <c r="C530" s="507"/>
      <c r="D530" s="508"/>
    </row>
    <row r="531" spans="2:4" hidden="1" outlineLevel="2">
      <c r="B531" s="1214"/>
      <c r="C531" s="507"/>
      <c r="D531" s="508"/>
    </row>
    <row r="532" spans="2:4" hidden="1" outlineLevel="2">
      <c r="B532" s="1214"/>
      <c r="C532" s="507"/>
      <c r="D532" s="508"/>
    </row>
    <row r="533" spans="2:4" hidden="1" outlineLevel="2">
      <c r="B533" s="1214"/>
      <c r="C533" s="507"/>
      <c r="D533" s="508"/>
    </row>
    <row r="534" spans="2:4" hidden="1" outlineLevel="1">
      <c r="B534" s="1214"/>
      <c r="C534" s="507"/>
      <c r="D534" s="508"/>
    </row>
    <row r="535" spans="2:4" hidden="1" outlineLevel="2">
      <c r="B535" s="1214"/>
      <c r="C535" s="507"/>
      <c r="D535" s="508"/>
    </row>
    <row r="536" spans="2:4" hidden="1" outlineLevel="2">
      <c r="B536" s="1214"/>
      <c r="C536" s="507"/>
      <c r="D536" s="508"/>
    </row>
    <row r="537" spans="2:4" hidden="1" outlineLevel="2">
      <c r="B537" s="1214"/>
      <c r="C537" s="507"/>
      <c r="D537" s="508"/>
    </row>
    <row r="538" spans="2:4" hidden="1" outlineLevel="2">
      <c r="B538" s="1214"/>
      <c r="C538" s="507"/>
      <c r="D538" s="508"/>
    </row>
    <row r="539" spans="2:4" hidden="1" outlineLevel="2">
      <c r="B539" s="1214"/>
      <c r="C539" s="507"/>
      <c r="D539" s="508"/>
    </row>
    <row r="540" spans="2:4" hidden="1" outlineLevel="2">
      <c r="B540" s="1214"/>
      <c r="C540" s="507"/>
      <c r="D540" s="508"/>
    </row>
    <row r="541" spans="2:4" hidden="1" outlineLevel="2">
      <c r="B541" s="1214"/>
      <c r="C541" s="507"/>
      <c r="D541" s="508"/>
    </row>
    <row r="542" spans="2:4" hidden="1" outlineLevel="2">
      <c r="B542" s="1214"/>
      <c r="C542" s="507"/>
      <c r="D542" s="508"/>
    </row>
    <row r="543" spans="2:4" hidden="1" outlineLevel="2">
      <c r="B543" s="1214"/>
      <c r="C543" s="507"/>
      <c r="D543" s="508"/>
    </row>
    <row r="544" spans="2:4" hidden="1" outlineLevel="1">
      <c r="B544" s="1214"/>
      <c r="C544" s="507"/>
      <c r="D544" s="508"/>
    </row>
    <row r="545" spans="2:4" hidden="1" outlineLevel="2">
      <c r="B545" s="1214"/>
      <c r="C545" s="507"/>
      <c r="D545" s="508"/>
    </row>
    <row r="546" spans="2:4" hidden="1" outlineLevel="2">
      <c r="B546" s="1214"/>
      <c r="C546" s="507"/>
      <c r="D546" s="508"/>
    </row>
    <row r="547" spans="2:4" hidden="1" outlineLevel="2">
      <c r="B547" s="1214"/>
      <c r="C547" s="507"/>
      <c r="D547" s="508"/>
    </row>
    <row r="548" spans="2:4" hidden="1" outlineLevel="2">
      <c r="B548" s="1214"/>
      <c r="C548" s="507"/>
      <c r="D548" s="508"/>
    </row>
    <row r="549" spans="2:4" hidden="1" outlineLevel="2">
      <c r="B549" s="1214"/>
      <c r="C549" s="507"/>
      <c r="D549" s="508"/>
    </row>
    <row r="550" spans="2:4" hidden="1" outlineLevel="2">
      <c r="B550" s="1214"/>
      <c r="C550" s="507"/>
      <c r="D550" s="508"/>
    </row>
    <row r="551" spans="2:4" hidden="1" outlineLevel="2">
      <c r="B551" s="1214"/>
      <c r="C551" s="507"/>
      <c r="D551" s="508"/>
    </row>
    <row r="552" spans="2:4" hidden="1" outlineLevel="2">
      <c r="B552" s="1214"/>
      <c r="C552" s="507"/>
      <c r="D552" s="508"/>
    </row>
    <row r="553" spans="2:4" hidden="1" outlineLevel="2">
      <c r="B553" s="1214"/>
      <c r="C553" s="507"/>
      <c r="D553" s="508"/>
    </row>
    <row r="554" spans="2:4" hidden="1" outlineLevel="1">
      <c r="B554" s="1214"/>
      <c r="C554" s="507"/>
      <c r="D554" s="508"/>
    </row>
    <row r="555" spans="2:4" hidden="1" outlineLevel="2">
      <c r="B555" s="1214"/>
      <c r="C555" s="507"/>
      <c r="D555" s="508"/>
    </row>
    <row r="556" spans="2:4" hidden="1" outlineLevel="2">
      <c r="B556" s="1214"/>
      <c r="C556" s="507"/>
      <c r="D556" s="508"/>
    </row>
    <row r="557" spans="2:4" hidden="1" outlineLevel="2">
      <c r="B557" s="1214"/>
      <c r="C557" s="507"/>
      <c r="D557" s="508"/>
    </row>
    <row r="558" spans="2:4" hidden="1" outlineLevel="2">
      <c r="B558" s="1214"/>
      <c r="C558" s="507"/>
      <c r="D558" s="508"/>
    </row>
    <row r="559" spans="2:4" hidden="1" outlineLevel="2">
      <c r="B559" s="1214"/>
      <c r="C559" s="507"/>
      <c r="D559" s="508"/>
    </row>
    <row r="560" spans="2:4" hidden="1" outlineLevel="2">
      <c r="B560" s="1214"/>
      <c r="C560" s="507"/>
      <c r="D560" s="508"/>
    </row>
    <row r="561" spans="2:4" hidden="1" outlineLevel="2">
      <c r="B561" s="1214"/>
      <c r="C561" s="507"/>
      <c r="D561" s="508"/>
    </row>
    <row r="562" spans="2:4" hidden="1" outlineLevel="2">
      <c r="B562" s="1214"/>
      <c r="C562" s="507"/>
      <c r="D562" s="508"/>
    </row>
    <row r="563" spans="2:4" hidden="1" outlineLevel="2">
      <c r="B563" s="1214"/>
      <c r="C563" s="507"/>
      <c r="D563" s="508"/>
    </row>
    <row r="564" spans="2:4" hidden="1" outlineLevel="1">
      <c r="B564" s="1214"/>
      <c r="C564" s="507"/>
      <c r="D564" s="508"/>
    </row>
    <row r="565" spans="2:4" hidden="1" outlineLevel="2">
      <c r="B565" s="1214"/>
      <c r="C565" s="507"/>
      <c r="D565" s="508"/>
    </row>
    <row r="566" spans="2:4" hidden="1" outlineLevel="2">
      <c r="B566" s="1214"/>
      <c r="C566" s="507"/>
      <c r="D566" s="508"/>
    </row>
    <row r="567" spans="2:4" hidden="1" outlineLevel="2">
      <c r="B567" s="1214"/>
      <c r="C567" s="507"/>
      <c r="D567" s="508"/>
    </row>
    <row r="568" spans="2:4" hidden="1" outlineLevel="2">
      <c r="B568" s="1214"/>
      <c r="C568" s="507"/>
      <c r="D568" s="508"/>
    </row>
    <row r="569" spans="2:4" hidden="1" outlineLevel="2">
      <c r="B569" s="1214"/>
      <c r="C569" s="507"/>
      <c r="D569" s="508"/>
    </row>
    <row r="570" spans="2:4" hidden="1" outlineLevel="2">
      <c r="B570" s="1214"/>
      <c r="C570" s="507"/>
      <c r="D570" s="508"/>
    </row>
    <row r="571" spans="2:4" hidden="1" outlineLevel="2">
      <c r="B571" s="1214"/>
      <c r="C571" s="507"/>
      <c r="D571" s="508"/>
    </row>
    <row r="572" spans="2:4" hidden="1" outlineLevel="2">
      <c r="B572" s="1214"/>
      <c r="C572" s="507"/>
      <c r="D572" s="508"/>
    </row>
    <row r="573" spans="2:4" hidden="1" outlineLevel="2">
      <c r="B573" s="1214"/>
      <c r="C573" s="507"/>
      <c r="D573" s="508"/>
    </row>
    <row r="574" spans="2:4" hidden="1" outlineLevel="1">
      <c r="B574" s="1214"/>
      <c r="C574" s="507"/>
      <c r="D574" s="508"/>
    </row>
    <row r="575" spans="2:4" hidden="1" outlineLevel="2">
      <c r="B575" s="1214"/>
      <c r="C575" s="507"/>
      <c r="D575" s="508"/>
    </row>
    <row r="576" spans="2:4" hidden="1" outlineLevel="2">
      <c r="B576" s="1214"/>
      <c r="C576" s="507"/>
      <c r="D576" s="508"/>
    </row>
    <row r="577" spans="2:4" hidden="1" outlineLevel="2">
      <c r="B577" s="1214"/>
      <c r="C577" s="507"/>
      <c r="D577" s="508"/>
    </row>
    <row r="578" spans="2:4" hidden="1" outlineLevel="2">
      <c r="B578" s="1214"/>
      <c r="C578" s="507"/>
      <c r="D578" s="508"/>
    </row>
    <row r="579" spans="2:4" hidden="1" outlineLevel="2">
      <c r="B579" s="1214"/>
      <c r="C579" s="507"/>
      <c r="D579" s="508"/>
    </row>
    <row r="580" spans="2:4" hidden="1" outlineLevel="2">
      <c r="B580" s="1214"/>
      <c r="C580" s="507"/>
      <c r="D580" s="508"/>
    </row>
    <row r="581" spans="2:4" hidden="1" outlineLevel="2">
      <c r="B581" s="1214"/>
      <c r="C581" s="507"/>
      <c r="D581" s="508"/>
    </row>
    <row r="582" spans="2:4" hidden="1" outlineLevel="2">
      <c r="B582" s="1214"/>
      <c r="C582" s="507"/>
      <c r="D582" s="508"/>
    </row>
    <row r="583" spans="2:4" hidden="1" outlineLevel="2">
      <c r="B583" s="1214"/>
      <c r="C583" s="507"/>
      <c r="D583" s="508"/>
    </row>
    <row r="584" spans="2:4" hidden="1" outlineLevel="1">
      <c r="B584" s="1214"/>
      <c r="C584" s="507"/>
      <c r="D584" s="508"/>
    </row>
    <row r="585" spans="2:4" hidden="1" outlineLevel="2">
      <c r="B585" s="1214"/>
      <c r="C585" s="507"/>
      <c r="D585" s="508"/>
    </row>
    <row r="586" spans="2:4" hidden="1" outlineLevel="2">
      <c r="B586" s="1214"/>
      <c r="C586" s="507"/>
      <c r="D586" s="508"/>
    </row>
    <row r="587" spans="2:4" hidden="1" outlineLevel="2">
      <c r="B587" s="1214"/>
      <c r="C587" s="507"/>
      <c r="D587" s="508"/>
    </row>
    <row r="588" spans="2:4" hidden="1" outlineLevel="2">
      <c r="B588" s="1214"/>
      <c r="C588" s="507"/>
      <c r="D588" s="508"/>
    </row>
    <row r="589" spans="2:4" hidden="1" outlineLevel="2">
      <c r="B589" s="1214"/>
      <c r="C589" s="507"/>
      <c r="D589" s="508"/>
    </row>
    <row r="590" spans="2:4" hidden="1" outlineLevel="2">
      <c r="B590" s="1214"/>
      <c r="C590" s="507"/>
      <c r="D590" s="508"/>
    </row>
    <row r="591" spans="2:4" hidden="1" outlineLevel="2">
      <c r="B591" s="1214"/>
      <c r="C591" s="507"/>
      <c r="D591" s="508"/>
    </row>
    <row r="592" spans="2:4" hidden="1" outlineLevel="2">
      <c r="B592" s="1214"/>
      <c r="C592" s="507"/>
      <c r="D592" s="508"/>
    </row>
    <row r="593" spans="2:4" hidden="1" outlineLevel="2">
      <c r="B593" s="1214"/>
      <c r="C593" s="507"/>
      <c r="D593" s="508"/>
    </row>
    <row r="594" spans="2:4" hidden="1" outlineLevel="1">
      <c r="B594" s="1214"/>
      <c r="C594" s="507"/>
      <c r="D594" s="508"/>
    </row>
    <row r="595" spans="2:4" hidden="1" outlineLevel="2">
      <c r="B595" s="1214"/>
      <c r="C595" s="507"/>
      <c r="D595" s="508"/>
    </row>
    <row r="596" spans="2:4" hidden="1" outlineLevel="2">
      <c r="B596" s="1214"/>
      <c r="C596" s="507"/>
      <c r="D596" s="508"/>
    </row>
    <row r="597" spans="2:4" hidden="1" outlineLevel="2">
      <c r="B597" s="1214"/>
      <c r="C597" s="507"/>
      <c r="D597" s="508"/>
    </row>
    <row r="598" spans="2:4" hidden="1" outlineLevel="2">
      <c r="B598" s="1214"/>
      <c r="C598" s="507"/>
      <c r="D598" s="508"/>
    </row>
    <row r="599" spans="2:4" hidden="1" outlineLevel="2">
      <c r="B599" s="1214"/>
      <c r="C599" s="507"/>
      <c r="D599" s="508"/>
    </row>
    <row r="600" spans="2:4" hidden="1" outlineLevel="2">
      <c r="B600" s="1214"/>
      <c r="C600" s="507"/>
      <c r="D600" s="508"/>
    </row>
    <row r="601" spans="2:4" hidden="1" outlineLevel="2">
      <c r="B601" s="1214"/>
      <c r="C601" s="507"/>
      <c r="D601" s="508"/>
    </row>
    <row r="602" spans="2:4" hidden="1" outlineLevel="2">
      <c r="B602" s="1214"/>
      <c r="C602" s="507"/>
      <c r="D602" s="508"/>
    </row>
    <row r="603" spans="2:4" hidden="1" outlineLevel="2">
      <c r="B603" s="1214"/>
      <c r="C603" s="507"/>
      <c r="D603" s="508"/>
    </row>
    <row r="604" spans="2:4" hidden="1" outlineLevel="1">
      <c r="B604" s="1214"/>
      <c r="C604" s="507"/>
      <c r="D604" s="508"/>
    </row>
    <row r="605" spans="2:4" hidden="1" outlineLevel="2">
      <c r="B605" s="1214"/>
      <c r="C605" s="507"/>
      <c r="D605" s="508"/>
    </row>
    <row r="606" spans="2:4" hidden="1" outlineLevel="2">
      <c r="B606" s="1214"/>
      <c r="C606" s="507"/>
      <c r="D606" s="508"/>
    </row>
    <row r="607" spans="2:4" hidden="1" outlineLevel="2">
      <c r="B607" s="1214"/>
      <c r="C607" s="507"/>
      <c r="D607" s="508"/>
    </row>
    <row r="608" spans="2:4" hidden="1" outlineLevel="2">
      <c r="B608" s="1214"/>
      <c r="C608" s="507"/>
      <c r="D608" s="508"/>
    </row>
    <row r="609" spans="2:4" hidden="1" outlineLevel="2">
      <c r="B609" s="1214"/>
      <c r="C609" s="507"/>
      <c r="D609" s="508"/>
    </row>
    <row r="610" spans="2:4" hidden="1" outlineLevel="2">
      <c r="B610" s="1214"/>
      <c r="C610" s="507"/>
      <c r="D610" s="508"/>
    </row>
    <row r="611" spans="2:4" hidden="1" outlineLevel="2">
      <c r="B611" s="1214"/>
      <c r="C611" s="507"/>
      <c r="D611" s="508"/>
    </row>
    <row r="612" spans="2:4" hidden="1" outlineLevel="2">
      <c r="B612" s="1214"/>
      <c r="C612" s="507"/>
      <c r="D612" s="508"/>
    </row>
    <row r="613" spans="2:4" hidden="1" outlineLevel="2">
      <c r="B613" s="1214"/>
      <c r="C613" s="507"/>
      <c r="D613" s="508"/>
    </row>
    <row r="614" spans="2:4" hidden="1" outlineLevel="1">
      <c r="B614" s="1214"/>
      <c r="C614" s="507"/>
      <c r="D614" s="508"/>
    </row>
    <row r="615" spans="2:4" hidden="1" outlineLevel="2">
      <c r="B615" s="1214"/>
      <c r="C615" s="507"/>
      <c r="D615" s="508"/>
    </row>
    <row r="616" spans="2:4" hidden="1" outlineLevel="2">
      <c r="B616" s="1214"/>
      <c r="C616" s="507"/>
      <c r="D616" s="508"/>
    </row>
    <row r="617" spans="2:4" hidden="1" outlineLevel="2">
      <c r="B617" s="1214"/>
      <c r="C617" s="507"/>
      <c r="D617" s="508"/>
    </row>
    <row r="618" spans="2:4" hidden="1" outlineLevel="2">
      <c r="B618" s="1214"/>
      <c r="C618" s="507"/>
      <c r="D618" s="508"/>
    </row>
    <row r="619" spans="2:4" hidden="1" outlineLevel="2">
      <c r="B619" s="1214"/>
      <c r="C619" s="507"/>
      <c r="D619" s="508"/>
    </row>
    <row r="620" spans="2:4" hidden="1" outlineLevel="2">
      <c r="B620" s="1214"/>
      <c r="C620" s="507"/>
      <c r="D620" s="508"/>
    </row>
    <row r="621" spans="2:4" hidden="1" outlineLevel="2">
      <c r="B621" s="1214"/>
      <c r="C621" s="507"/>
      <c r="D621" s="508"/>
    </row>
    <row r="622" spans="2:4" hidden="1" outlineLevel="2">
      <c r="B622" s="1214"/>
      <c r="C622" s="507"/>
      <c r="D622" s="508"/>
    </row>
    <row r="623" spans="2:4" hidden="1" outlineLevel="2">
      <c r="B623" s="1214"/>
      <c r="C623" s="507"/>
      <c r="D623" s="508"/>
    </row>
    <row r="624" spans="2:4" hidden="1" outlineLevel="1">
      <c r="B624" s="1214"/>
      <c r="C624" s="507"/>
      <c r="D624" s="508"/>
    </row>
    <row r="625" spans="2:4" hidden="1" outlineLevel="2">
      <c r="B625" s="1214"/>
      <c r="C625" s="507"/>
      <c r="D625" s="508"/>
    </row>
    <row r="626" spans="2:4" hidden="1" outlineLevel="2">
      <c r="B626" s="1214"/>
      <c r="C626" s="507"/>
      <c r="D626" s="508"/>
    </row>
    <row r="627" spans="2:4" hidden="1" outlineLevel="2">
      <c r="B627" s="1214"/>
      <c r="C627" s="507"/>
      <c r="D627" s="508"/>
    </row>
    <row r="628" spans="2:4" hidden="1" outlineLevel="2">
      <c r="B628" s="1214"/>
      <c r="C628" s="507"/>
      <c r="D628" s="508"/>
    </row>
    <row r="629" spans="2:4" hidden="1" outlineLevel="2">
      <c r="B629" s="1214"/>
      <c r="C629" s="507"/>
      <c r="D629" s="508"/>
    </row>
    <row r="630" spans="2:4" hidden="1" outlineLevel="2">
      <c r="B630" s="1214"/>
      <c r="C630" s="507"/>
      <c r="D630" s="508"/>
    </row>
    <row r="631" spans="2:4" hidden="1" outlineLevel="2">
      <c r="B631" s="1214"/>
      <c r="C631" s="507"/>
      <c r="D631" s="508"/>
    </row>
    <row r="632" spans="2:4" hidden="1" outlineLevel="2">
      <c r="B632" s="1214"/>
      <c r="C632" s="507"/>
      <c r="D632" s="508"/>
    </row>
    <row r="633" spans="2:4" hidden="1" outlineLevel="2">
      <c r="B633" s="1214"/>
      <c r="C633" s="507"/>
      <c r="D633" s="508"/>
    </row>
    <row r="634" spans="2:4" hidden="1" outlineLevel="1">
      <c r="B634" s="1214"/>
      <c r="C634" s="507"/>
      <c r="D634" s="508"/>
    </row>
    <row r="635" spans="2:4" hidden="1" outlineLevel="2">
      <c r="B635" s="1214"/>
      <c r="C635" s="507"/>
      <c r="D635" s="508"/>
    </row>
    <row r="636" spans="2:4" hidden="1" outlineLevel="2">
      <c r="B636" s="1214"/>
      <c r="C636" s="507"/>
      <c r="D636" s="508"/>
    </row>
    <row r="637" spans="2:4" hidden="1" outlineLevel="2">
      <c r="B637" s="1214"/>
      <c r="C637" s="507"/>
      <c r="D637" s="508"/>
    </row>
    <row r="638" spans="2:4" hidden="1" outlineLevel="2">
      <c r="B638" s="1214"/>
      <c r="C638" s="507"/>
      <c r="D638" s="508"/>
    </row>
    <row r="639" spans="2:4" hidden="1" outlineLevel="2">
      <c r="B639" s="1214"/>
      <c r="C639" s="507"/>
      <c r="D639" s="508"/>
    </row>
    <row r="640" spans="2:4" hidden="1" outlineLevel="2">
      <c r="B640" s="1214"/>
      <c r="C640" s="507"/>
      <c r="D640" s="508"/>
    </row>
    <row r="641" spans="2:4" hidden="1" outlineLevel="2">
      <c r="B641" s="1214"/>
      <c r="C641" s="507"/>
      <c r="D641" s="508"/>
    </row>
    <row r="642" spans="2:4" hidden="1" outlineLevel="2">
      <c r="B642" s="1214"/>
      <c r="C642" s="507"/>
      <c r="D642" s="508"/>
    </row>
    <row r="643" spans="2:4" hidden="1" outlineLevel="2">
      <c r="B643" s="1214"/>
      <c r="C643" s="507"/>
      <c r="D643" s="508"/>
    </row>
    <row r="644" spans="2:4" hidden="1" outlineLevel="1">
      <c r="B644" s="1214"/>
      <c r="C644" s="507"/>
      <c r="D644" s="508"/>
    </row>
    <row r="645" spans="2:4" hidden="1" outlineLevel="2">
      <c r="B645" s="1214"/>
      <c r="C645" s="507"/>
      <c r="D645" s="508"/>
    </row>
    <row r="646" spans="2:4" hidden="1" outlineLevel="2">
      <c r="B646" s="1214"/>
      <c r="C646" s="507"/>
      <c r="D646" s="508"/>
    </row>
    <row r="647" spans="2:4" hidden="1" outlineLevel="2">
      <c r="B647" s="1214"/>
      <c r="C647" s="507"/>
      <c r="D647" s="508"/>
    </row>
    <row r="648" spans="2:4" hidden="1" outlineLevel="2">
      <c r="B648" s="1214"/>
      <c r="C648" s="507"/>
      <c r="D648" s="508"/>
    </row>
    <row r="649" spans="2:4" hidden="1" outlineLevel="2">
      <c r="B649" s="1214"/>
      <c r="C649" s="507"/>
      <c r="D649" s="508"/>
    </row>
    <row r="650" spans="2:4" hidden="1" outlineLevel="2">
      <c r="B650" s="1214"/>
      <c r="C650" s="507"/>
      <c r="D650" s="508"/>
    </row>
    <row r="651" spans="2:4" hidden="1" outlineLevel="2">
      <c r="B651" s="1214"/>
      <c r="C651" s="507"/>
      <c r="D651" s="508"/>
    </row>
    <row r="652" spans="2:4" hidden="1" outlineLevel="2">
      <c r="B652" s="1214"/>
      <c r="C652" s="507"/>
      <c r="D652" s="508"/>
    </row>
    <row r="653" spans="2:4" hidden="1" outlineLevel="2">
      <c r="B653" s="1214"/>
      <c r="C653" s="507"/>
      <c r="D653" s="508"/>
    </row>
    <row r="654" spans="2:4" hidden="1" outlineLevel="1">
      <c r="B654" s="1214"/>
      <c r="C654" s="507"/>
      <c r="D654" s="508"/>
    </row>
    <row r="655" spans="2:4" hidden="1" outlineLevel="2">
      <c r="B655" s="1214"/>
      <c r="C655" s="507"/>
      <c r="D655" s="508"/>
    </row>
    <row r="656" spans="2:4" hidden="1" outlineLevel="2">
      <c r="B656" s="1214"/>
      <c r="C656" s="507"/>
      <c r="D656" s="508"/>
    </row>
    <row r="657" spans="2:4" hidden="1" outlineLevel="2">
      <c r="B657" s="1214"/>
      <c r="C657" s="507"/>
      <c r="D657" s="508"/>
    </row>
    <row r="658" spans="2:4" hidden="1" outlineLevel="2">
      <c r="B658" s="1214"/>
      <c r="C658" s="507"/>
      <c r="D658" s="508"/>
    </row>
    <row r="659" spans="2:4" hidden="1" outlineLevel="2">
      <c r="B659" s="1214"/>
      <c r="C659" s="507"/>
      <c r="D659" s="508"/>
    </row>
    <row r="660" spans="2:4" hidden="1" outlineLevel="2">
      <c r="B660" s="1214"/>
      <c r="C660" s="507"/>
      <c r="D660" s="508"/>
    </row>
    <row r="661" spans="2:4" hidden="1" outlineLevel="2">
      <c r="B661" s="1214"/>
      <c r="C661" s="507"/>
      <c r="D661" s="508"/>
    </row>
    <row r="662" spans="2:4" hidden="1" outlineLevel="2">
      <c r="B662" s="1214"/>
      <c r="C662" s="507"/>
      <c r="D662" s="508"/>
    </row>
    <row r="663" spans="2:4" hidden="1" outlineLevel="2">
      <c r="B663" s="1214"/>
      <c r="C663" s="507"/>
      <c r="D663" s="508"/>
    </row>
    <row r="664" spans="2:4" hidden="1" outlineLevel="1">
      <c r="B664" s="1214"/>
      <c r="C664" s="507"/>
      <c r="D664" s="508"/>
    </row>
    <row r="665" spans="2:4" hidden="1" outlineLevel="2">
      <c r="B665" s="1214"/>
      <c r="C665" s="507"/>
      <c r="D665" s="508"/>
    </row>
    <row r="666" spans="2:4" hidden="1" outlineLevel="2">
      <c r="B666" s="1214"/>
      <c r="C666" s="507"/>
      <c r="D666" s="508"/>
    </row>
    <row r="667" spans="2:4" hidden="1" outlineLevel="2">
      <c r="B667" s="1214"/>
      <c r="C667" s="507"/>
      <c r="D667" s="508"/>
    </row>
    <row r="668" spans="2:4" hidden="1" outlineLevel="2">
      <c r="B668" s="1214"/>
      <c r="C668" s="507"/>
      <c r="D668" s="508"/>
    </row>
    <row r="669" spans="2:4" hidden="1" outlineLevel="2">
      <c r="B669" s="1214"/>
      <c r="C669" s="507"/>
      <c r="D669" s="508"/>
    </row>
    <row r="670" spans="2:4" hidden="1" outlineLevel="2">
      <c r="B670" s="1214"/>
      <c r="C670" s="507"/>
      <c r="D670" s="508"/>
    </row>
    <row r="671" spans="2:4" hidden="1" outlineLevel="2">
      <c r="B671" s="1214"/>
      <c r="C671" s="507"/>
      <c r="D671" s="508"/>
    </row>
    <row r="672" spans="2:4" hidden="1" outlineLevel="2">
      <c r="B672" s="1214"/>
      <c r="C672" s="507"/>
      <c r="D672" s="508"/>
    </row>
    <row r="673" spans="2:4" hidden="1" outlineLevel="2">
      <c r="B673" s="1214"/>
      <c r="C673" s="507"/>
      <c r="D673" s="508"/>
    </row>
    <row r="674" spans="2:4" hidden="1" outlineLevel="1">
      <c r="B674" s="1214"/>
      <c r="C674" s="507"/>
      <c r="D674" s="508"/>
    </row>
    <row r="675" spans="2:4" hidden="1" outlineLevel="2">
      <c r="B675" s="1214"/>
      <c r="C675" s="507"/>
      <c r="D675" s="508"/>
    </row>
    <row r="676" spans="2:4" hidden="1" outlineLevel="2">
      <c r="B676" s="1214"/>
      <c r="C676" s="507"/>
      <c r="D676" s="508"/>
    </row>
    <row r="677" spans="2:4" hidden="1" outlineLevel="2">
      <c r="B677" s="1214"/>
      <c r="C677" s="507"/>
      <c r="D677" s="508"/>
    </row>
    <row r="678" spans="2:4" hidden="1" outlineLevel="2">
      <c r="B678" s="1214"/>
      <c r="C678" s="507"/>
      <c r="D678" s="508"/>
    </row>
    <row r="679" spans="2:4" hidden="1" outlineLevel="2">
      <c r="B679" s="1214"/>
      <c r="C679" s="507"/>
      <c r="D679" s="508"/>
    </row>
    <row r="680" spans="2:4" hidden="1" outlineLevel="2">
      <c r="B680" s="1214"/>
      <c r="C680" s="507"/>
      <c r="D680" s="508"/>
    </row>
    <row r="681" spans="2:4" hidden="1" outlineLevel="2">
      <c r="B681" s="1214"/>
      <c r="C681" s="507"/>
      <c r="D681" s="508"/>
    </row>
    <row r="682" spans="2:4" hidden="1" outlineLevel="2">
      <c r="B682" s="1214"/>
      <c r="C682" s="507"/>
      <c r="D682" s="508"/>
    </row>
    <row r="683" spans="2:4" hidden="1" outlineLevel="2">
      <c r="B683" s="1214"/>
      <c r="C683" s="507"/>
      <c r="D683" s="508"/>
    </row>
    <row r="684" spans="2:4" hidden="1" outlineLevel="1">
      <c r="B684" s="1214"/>
      <c r="C684" s="507"/>
      <c r="D684" s="508"/>
    </row>
    <row r="685" spans="2:4" hidden="1" outlineLevel="2">
      <c r="B685" s="1214"/>
      <c r="C685" s="507"/>
      <c r="D685" s="508"/>
    </row>
    <row r="686" spans="2:4" hidden="1" outlineLevel="2">
      <c r="B686" s="1214"/>
      <c r="C686" s="507"/>
      <c r="D686" s="508"/>
    </row>
    <row r="687" spans="2:4" hidden="1" outlineLevel="2">
      <c r="B687" s="1214"/>
      <c r="C687" s="507"/>
      <c r="D687" s="508"/>
    </row>
    <row r="688" spans="2:4" hidden="1" outlineLevel="2">
      <c r="B688" s="1214"/>
      <c r="C688" s="507"/>
      <c r="D688" s="508"/>
    </row>
    <row r="689" spans="2:4" hidden="1" outlineLevel="2">
      <c r="B689" s="1214"/>
      <c r="C689" s="507"/>
      <c r="D689" s="508"/>
    </row>
    <row r="690" spans="2:4" hidden="1" outlineLevel="2">
      <c r="B690" s="1214"/>
      <c r="C690" s="507"/>
      <c r="D690" s="508"/>
    </row>
    <row r="691" spans="2:4" hidden="1" outlineLevel="2">
      <c r="B691" s="1214"/>
      <c r="C691" s="507"/>
      <c r="D691" s="508"/>
    </row>
    <row r="692" spans="2:4" hidden="1" outlineLevel="2">
      <c r="B692" s="1214"/>
      <c r="C692" s="507"/>
      <c r="D692" s="508"/>
    </row>
    <row r="693" spans="2:4" hidden="1" outlineLevel="2">
      <c r="B693" s="1214"/>
      <c r="C693" s="507"/>
      <c r="D693" s="508"/>
    </row>
    <row r="694" spans="2:4" hidden="1" outlineLevel="1">
      <c r="B694" s="1214"/>
      <c r="C694" s="507"/>
      <c r="D694" s="508"/>
    </row>
    <row r="695" spans="2:4" hidden="1" outlineLevel="2">
      <c r="B695" s="1214"/>
      <c r="C695" s="507"/>
      <c r="D695" s="508"/>
    </row>
    <row r="696" spans="2:4" hidden="1" outlineLevel="2">
      <c r="B696" s="1214"/>
      <c r="C696" s="507"/>
      <c r="D696" s="508"/>
    </row>
    <row r="697" spans="2:4" hidden="1" outlineLevel="2">
      <c r="B697" s="1214"/>
      <c r="C697" s="507"/>
      <c r="D697" s="508"/>
    </row>
    <row r="698" spans="2:4" hidden="1" outlineLevel="2">
      <c r="B698" s="1214"/>
      <c r="C698" s="507"/>
      <c r="D698" s="508"/>
    </row>
    <row r="699" spans="2:4" hidden="1" outlineLevel="2">
      <c r="B699" s="1214"/>
      <c r="C699" s="507"/>
      <c r="D699" s="508"/>
    </row>
    <row r="700" spans="2:4" hidden="1" outlineLevel="2">
      <c r="B700" s="1214"/>
      <c r="C700" s="507"/>
      <c r="D700" s="508"/>
    </row>
    <row r="701" spans="2:4" hidden="1" outlineLevel="2">
      <c r="B701" s="1214"/>
      <c r="C701" s="507"/>
      <c r="D701" s="508"/>
    </row>
    <row r="702" spans="2:4" hidden="1" outlineLevel="2">
      <c r="B702" s="1214"/>
      <c r="C702" s="507"/>
      <c r="D702" s="508"/>
    </row>
    <row r="703" spans="2:4" hidden="1" outlineLevel="2">
      <c r="B703" s="1214"/>
      <c r="C703" s="507"/>
      <c r="D703" s="508"/>
    </row>
    <row r="704" spans="2:4" hidden="1" outlineLevel="1">
      <c r="B704" s="1214"/>
      <c r="C704" s="507"/>
      <c r="D704" s="508"/>
    </row>
    <row r="705" spans="2:4" hidden="1" outlineLevel="2">
      <c r="B705" s="1214"/>
      <c r="C705" s="507"/>
      <c r="D705" s="508"/>
    </row>
    <row r="706" spans="2:4" hidden="1" outlineLevel="2">
      <c r="B706" s="1214"/>
      <c r="C706" s="507"/>
      <c r="D706" s="508"/>
    </row>
    <row r="707" spans="2:4" hidden="1" outlineLevel="2">
      <c r="B707" s="1214"/>
      <c r="C707" s="507"/>
      <c r="D707" s="508"/>
    </row>
    <row r="708" spans="2:4" hidden="1" outlineLevel="2">
      <c r="B708" s="1214"/>
      <c r="C708" s="507"/>
      <c r="D708" s="508"/>
    </row>
    <row r="709" spans="2:4" hidden="1" outlineLevel="2">
      <c r="B709" s="1214"/>
      <c r="C709" s="507"/>
      <c r="D709" s="508"/>
    </row>
    <row r="710" spans="2:4" hidden="1" outlineLevel="2">
      <c r="B710" s="1214"/>
      <c r="C710" s="507"/>
      <c r="D710" s="508"/>
    </row>
    <row r="711" spans="2:4" hidden="1" outlineLevel="2">
      <c r="B711" s="1214"/>
      <c r="C711" s="507"/>
      <c r="D711" s="508"/>
    </row>
    <row r="712" spans="2:4" hidden="1" outlineLevel="2">
      <c r="B712" s="1214"/>
      <c r="C712" s="507"/>
      <c r="D712" s="508"/>
    </row>
    <row r="713" spans="2:4" hidden="1" outlineLevel="2">
      <c r="B713" s="1214"/>
      <c r="C713" s="507"/>
      <c r="D713" s="508"/>
    </row>
    <row r="714" spans="2:4" hidden="1" outlineLevel="1">
      <c r="B714" s="1214"/>
      <c r="C714" s="507"/>
      <c r="D714" s="508"/>
    </row>
    <row r="715" spans="2:4" hidden="1" outlineLevel="2">
      <c r="B715" s="1214"/>
      <c r="C715" s="507"/>
      <c r="D715" s="508"/>
    </row>
    <row r="716" spans="2:4" hidden="1" outlineLevel="2">
      <c r="B716" s="1214"/>
      <c r="C716" s="507"/>
      <c r="D716" s="508"/>
    </row>
    <row r="717" spans="2:4" hidden="1" outlineLevel="2">
      <c r="B717" s="1214"/>
      <c r="C717" s="507"/>
      <c r="D717" s="508"/>
    </row>
    <row r="718" spans="2:4" hidden="1" outlineLevel="2">
      <c r="B718" s="1214"/>
      <c r="C718" s="507"/>
      <c r="D718" s="508"/>
    </row>
    <row r="719" spans="2:4" hidden="1" outlineLevel="2">
      <c r="B719" s="1214"/>
      <c r="C719" s="507"/>
      <c r="D719" s="508"/>
    </row>
    <row r="720" spans="2:4" hidden="1" outlineLevel="2">
      <c r="B720" s="1214"/>
      <c r="C720" s="507"/>
      <c r="D720" s="508"/>
    </row>
    <row r="721" spans="2:4" hidden="1" outlineLevel="2">
      <c r="B721" s="1214"/>
      <c r="C721" s="507"/>
      <c r="D721" s="508"/>
    </row>
    <row r="722" spans="2:4" hidden="1" outlineLevel="2">
      <c r="B722" s="1214"/>
      <c r="C722" s="507"/>
      <c r="D722" s="508"/>
    </row>
    <row r="723" spans="2:4" hidden="1" outlineLevel="2">
      <c r="B723" s="1214"/>
      <c r="C723" s="507"/>
      <c r="D723" s="508"/>
    </row>
    <row r="724" spans="2:4" hidden="1" outlineLevel="1">
      <c r="B724" s="1214"/>
      <c r="C724" s="507"/>
      <c r="D724" s="508"/>
    </row>
    <row r="725" spans="2:4" hidden="1" outlineLevel="2">
      <c r="B725" s="1214"/>
      <c r="C725" s="507"/>
      <c r="D725" s="508"/>
    </row>
    <row r="726" spans="2:4" hidden="1" outlineLevel="2">
      <c r="B726" s="1214"/>
      <c r="C726" s="507"/>
      <c r="D726" s="508"/>
    </row>
    <row r="727" spans="2:4" hidden="1" outlineLevel="2">
      <c r="B727" s="1214"/>
      <c r="C727" s="507"/>
      <c r="D727" s="508"/>
    </row>
    <row r="728" spans="2:4" hidden="1" outlineLevel="2">
      <c r="B728" s="1214"/>
      <c r="C728" s="507"/>
      <c r="D728" s="508"/>
    </row>
    <row r="729" spans="2:4" hidden="1" outlineLevel="2">
      <c r="B729" s="1214"/>
      <c r="C729" s="507"/>
      <c r="D729" s="508"/>
    </row>
    <row r="730" spans="2:4" hidden="1" outlineLevel="2">
      <c r="B730" s="1214"/>
      <c r="C730" s="507"/>
      <c r="D730" s="508"/>
    </row>
    <row r="731" spans="2:4" hidden="1" outlineLevel="2">
      <c r="B731" s="1214"/>
      <c r="C731" s="507"/>
      <c r="D731" s="508"/>
    </row>
    <row r="732" spans="2:4" hidden="1" outlineLevel="2">
      <c r="B732" s="1214"/>
      <c r="C732" s="507"/>
      <c r="D732" s="508"/>
    </row>
    <row r="733" spans="2:4" hidden="1" outlineLevel="2">
      <c r="B733" s="1214"/>
      <c r="C733" s="507"/>
      <c r="D733" s="508"/>
    </row>
    <row r="734" spans="2:4" hidden="1" outlineLevel="1">
      <c r="B734" s="1214"/>
      <c r="C734" s="507"/>
      <c r="D734" s="508"/>
    </row>
    <row r="735" spans="2:4" hidden="1" outlineLevel="2">
      <c r="B735" s="1214"/>
      <c r="C735" s="507"/>
      <c r="D735" s="508"/>
    </row>
    <row r="736" spans="2:4" hidden="1" outlineLevel="2">
      <c r="B736" s="1214"/>
      <c r="C736" s="507"/>
      <c r="D736" s="508"/>
    </row>
    <row r="737" spans="2:4" hidden="1" outlineLevel="2">
      <c r="B737" s="1214"/>
      <c r="C737" s="507"/>
      <c r="D737" s="508"/>
    </row>
    <row r="738" spans="2:4" hidden="1" outlineLevel="2">
      <c r="B738" s="1214"/>
      <c r="C738" s="507"/>
      <c r="D738" s="508"/>
    </row>
    <row r="739" spans="2:4" hidden="1" outlineLevel="2">
      <c r="B739" s="1214"/>
      <c r="C739" s="507"/>
      <c r="D739" s="508"/>
    </row>
    <row r="740" spans="2:4" hidden="1" outlineLevel="2">
      <c r="B740" s="1214"/>
      <c r="C740" s="507"/>
      <c r="D740" s="508"/>
    </row>
    <row r="741" spans="2:4" hidden="1" outlineLevel="2">
      <c r="B741" s="1214"/>
      <c r="C741" s="507"/>
      <c r="D741" s="508"/>
    </row>
    <row r="742" spans="2:4" hidden="1" outlineLevel="2">
      <c r="B742" s="1214"/>
      <c r="C742" s="507"/>
      <c r="D742" s="508"/>
    </row>
    <row r="743" spans="2:4" hidden="1" outlineLevel="2">
      <c r="B743" s="1214"/>
      <c r="C743" s="507"/>
      <c r="D743" s="508"/>
    </row>
    <row r="744" spans="2:4" hidden="1" outlineLevel="1">
      <c r="B744" s="1214"/>
      <c r="C744" s="507"/>
      <c r="D744" s="508"/>
    </row>
    <row r="745" spans="2:4" hidden="1" outlineLevel="2">
      <c r="B745" s="1214"/>
      <c r="C745" s="507"/>
      <c r="D745" s="508"/>
    </row>
    <row r="746" spans="2:4" hidden="1" outlineLevel="2">
      <c r="B746" s="1214"/>
      <c r="C746" s="507"/>
      <c r="D746" s="508"/>
    </row>
    <row r="747" spans="2:4" hidden="1" outlineLevel="2">
      <c r="B747" s="1214"/>
      <c r="C747" s="507"/>
      <c r="D747" s="508"/>
    </row>
    <row r="748" spans="2:4" hidden="1" outlineLevel="2">
      <c r="B748" s="1214"/>
      <c r="C748" s="507"/>
      <c r="D748" s="508"/>
    </row>
    <row r="749" spans="2:4" hidden="1" outlineLevel="2">
      <c r="B749" s="1214"/>
      <c r="C749" s="507"/>
      <c r="D749" s="508"/>
    </row>
    <row r="750" spans="2:4" hidden="1" outlineLevel="2">
      <c r="B750" s="1214"/>
      <c r="C750" s="507"/>
      <c r="D750" s="508"/>
    </row>
    <row r="751" spans="2:4" hidden="1" outlineLevel="2">
      <c r="B751" s="1214"/>
      <c r="C751" s="507"/>
      <c r="D751" s="508"/>
    </row>
    <row r="752" spans="2:4" hidden="1" outlineLevel="2">
      <c r="B752" s="1214"/>
      <c r="C752" s="507"/>
      <c r="D752" s="508"/>
    </row>
    <row r="753" spans="2:4" hidden="1" outlineLevel="2">
      <c r="B753" s="1214"/>
      <c r="C753" s="507"/>
      <c r="D753" s="508"/>
    </row>
    <row r="754" spans="2:4" hidden="1" outlineLevel="1">
      <c r="B754" s="1214"/>
      <c r="C754" s="507"/>
      <c r="D754" s="508"/>
    </row>
    <row r="755" spans="2:4" hidden="1" outlineLevel="2">
      <c r="B755" s="1214"/>
      <c r="C755" s="507"/>
      <c r="D755" s="508"/>
    </row>
    <row r="756" spans="2:4" hidden="1" outlineLevel="2">
      <c r="B756" s="1214"/>
      <c r="C756" s="507"/>
      <c r="D756" s="508"/>
    </row>
    <row r="757" spans="2:4" hidden="1" outlineLevel="2">
      <c r="B757" s="1214"/>
      <c r="C757" s="507"/>
      <c r="D757" s="508"/>
    </row>
    <row r="758" spans="2:4" hidden="1" outlineLevel="2">
      <c r="B758" s="1214"/>
      <c r="C758" s="507"/>
      <c r="D758" s="508"/>
    </row>
    <row r="759" spans="2:4" hidden="1" outlineLevel="2">
      <c r="B759" s="1214"/>
      <c r="C759" s="507"/>
      <c r="D759" s="508"/>
    </row>
    <row r="760" spans="2:4" hidden="1" outlineLevel="2">
      <c r="B760" s="1214"/>
      <c r="C760" s="507"/>
      <c r="D760" s="508"/>
    </row>
    <row r="761" spans="2:4" hidden="1" outlineLevel="2">
      <c r="B761" s="1214"/>
      <c r="C761" s="507"/>
      <c r="D761" s="508"/>
    </row>
    <row r="762" spans="2:4" hidden="1" outlineLevel="2">
      <c r="B762" s="1214"/>
      <c r="C762" s="507"/>
      <c r="D762" s="508"/>
    </row>
    <row r="763" spans="2:4" hidden="1" outlineLevel="2">
      <c r="B763" s="1214"/>
      <c r="C763" s="507"/>
      <c r="D763" s="508"/>
    </row>
    <row r="764" spans="2:4" hidden="1" outlineLevel="1">
      <c r="B764" s="1214"/>
      <c r="C764" s="507"/>
      <c r="D764" s="508"/>
    </row>
    <row r="765" spans="2:4" hidden="1" outlineLevel="2">
      <c r="B765" s="1214"/>
      <c r="C765" s="507"/>
      <c r="D765" s="508"/>
    </row>
    <row r="766" spans="2:4" hidden="1" outlineLevel="2">
      <c r="B766" s="1214"/>
      <c r="C766" s="507"/>
      <c r="D766" s="508"/>
    </row>
    <row r="767" spans="2:4" hidden="1" outlineLevel="2">
      <c r="B767" s="1214"/>
      <c r="C767" s="507"/>
      <c r="D767" s="508"/>
    </row>
    <row r="768" spans="2:4" hidden="1" outlineLevel="2">
      <c r="B768" s="1214"/>
      <c r="C768" s="507"/>
      <c r="D768" s="508"/>
    </row>
    <row r="769" spans="2:4" hidden="1" outlineLevel="2">
      <c r="B769" s="1214"/>
      <c r="C769" s="507"/>
      <c r="D769" s="508"/>
    </row>
    <row r="770" spans="2:4" hidden="1" outlineLevel="2">
      <c r="B770" s="1214"/>
      <c r="C770" s="507"/>
      <c r="D770" s="508"/>
    </row>
    <row r="771" spans="2:4" hidden="1" outlineLevel="2">
      <c r="B771" s="1214"/>
      <c r="C771" s="507"/>
      <c r="D771" s="508"/>
    </row>
    <row r="772" spans="2:4" hidden="1" outlineLevel="2">
      <c r="B772" s="1214"/>
      <c r="C772" s="507"/>
      <c r="D772" s="508"/>
    </row>
    <row r="773" spans="2:4" hidden="1" outlineLevel="2">
      <c r="B773" s="1214"/>
      <c r="C773" s="507"/>
      <c r="D773" s="508"/>
    </row>
    <row r="774" spans="2:4" hidden="1" outlineLevel="1">
      <c r="B774" s="1214"/>
      <c r="C774" s="507"/>
      <c r="D774" s="508"/>
    </row>
    <row r="775" spans="2:4" hidden="1" outlineLevel="2">
      <c r="B775" s="1214"/>
      <c r="C775" s="507"/>
      <c r="D775" s="508"/>
    </row>
    <row r="776" spans="2:4" hidden="1" outlineLevel="2">
      <c r="B776" s="1214"/>
      <c r="C776" s="507"/>
      <c r="D776" s="508"/>
    </row>
    <row r="777" spans="2:4" hidden="1" outlineLevel="2">
      <c r="B777" s="1214"/>
      <c r="C777" s="507"/>
      <c r="D777" s="508"/>
    </row>
    <row r="778" spans="2:4" hidden="1" outlineLevel="2">
      <c r="B778" s="1214"/>
      <c r="C778" s="507"/>
      <c r="D778" s="508"/>
    </row>
    <row r="779" spans="2:4" hidden="1" outlineLevel="2">
      <c r="B779" s="1214"/>
      <c r="C779" s="507"/>
      <c r="D779" s="508"/>
    </row>
    <row r="780" spans="2:4" hidden="1" outlineLevel="2">
      <c r="B780" s="1214"/>
      <c r="C780" s="507"/>
      <c r="D780" s="508"/>
    </row>
    <row r="781" spans="2:4" hidden="1" outlineLevel="2">
      <c r="B781" s="1214"/>
      <c r="C781" s="507"/>
      <c r="D781" s="508"/>
    </row>
    <row r="782" spans="2:4" hidden="1" outlineLevel="2">
      <c r="B782" s="1214"/>
      <c r="C782" s="507"/>
      <c r="D782" s="508"/>
    </row>
    <row r="783" spans="2:4" hidden="1" outlineLevel="2">
      <c r="B783" s="1214"/>
      <c r="C783" s="507"/>
      <c r="D783" s="508"/>
    </row>
    <row r="784" spans="2:4" hidden="1" outlineLevel="1">
      <c r="B784" s="1214"/>
      <c r="C784" s="507"/>
      <c r="D784" s="508"/>
    </row>
    <row r="785" spans="2:4" hidden="1" outlineLevel="2">
      <c r="B785" s="1214"/>
      <c r="C785" s="507"/>
      <c r="D785" s="508"/>
    </row>
    <row r="786" spans="2:4" hidden="1" outlineLevel="2">
      <c r="B786" s="1214"/>
      <c r="C786" s="507"/>
      <c r="D786" s="508"/>
    </row>
    <row r="787" spans="2:4" hidden="1" outlineLevel="2">
      <c r="B787" s="1214"/>
      <c r="C787" s="507"/>
      <c r="D787" s="508"/>
    </row>
    <row r="788" spans="2:4" hidden="1" outlineLevel="2">
      <c r="B788" s="1214"/>
      <c r="C788" s="507"/>
      <c r="D788" s="508"/>
    </row>
    <row r="789" spans="2:4" hidden="1" outlineLevel="2">
      <c r="B789" s="1214"/>
      <c r="C789" s="507"/>
      <c r="D789" s="508"/>
    </row>
    <row r="790" spans="2:4" hidden="1" outlineLevel="2">
      <c r="B790" s="1214"/>
      <c r="C790" s="507"/>
      <c r="D790" s="508"/>
    </row>
    <row r="791" spans="2:4" hidden="1" outlineLevel="2">
      <c r="B791" s="1214"/>
      <c r="C791" s="507"/>
      <c r="D791" s="508"/>
    </row>
    <row r="792" spans="2:4" hidden="1" outlineLevel="2">
      <c r="B792" s="1214"/>
      <c r="C792" s="507"/>
      <c r="D792" s="508"/>
    </row>
    <row r="793" spans="2:4" hidden="1" outlineLevel="2">
      <c r="B793" s="1214"/>
      <c r="C793" s="507"/>
      <c r="D793" s="508"/>
    </row>
    <row r="794" spans="2:4" hidden="1" outlineLevel="1">
      <c r="B794" s="1214"/>
      <c r="C794" s="507"/>
      <c r="D794" s="508"/>
    </row>
    <row r="795" spans="2:4" hidden="1" outlineLevel="2">
      <c r="B795" s="1214"/>
      <c r="C795" s="507"/>
      <c r="D795" s="508"/>
    </row>
    <row r="796" spans="2:4" hidden="1" outlineLevel="2">
      <c r="B796" s="1214"/>
      <c r="C796" s="507"/>
      <c r="D796" s="508"/>
    </row>
    <row r="797" spans="2:4" hidden="1" outlineLevel="2">
      <c r="B797" s="1214"/>
      <c r="C797" s="507"/>
      <c r="D797" s="508"/>
    </row>
    <row r="798" spans="2:4" hidden="1" outlineLevel="2">
      <c r="B798" s="1214"/>
      <c r="C798" s="507"/>
      <c r="D798" s="508"/>
    </row>
    <row r="799" spans="2:4" hidden="1" outlineLevel="2">
      <c r="B799" s="1214"/>
      <c r="C799" s="507"/>
      <c r="D799" s="508"/>
    </row>
    <row r="800" spans="2:4" hidden="1" outlineLevel="2">
      <c r="B800" s="1214"/>
      <c r="C800" s="507"/>
      <c r="D800" s="508"/>
    </row>
    <row r="801" spans="2:4" hidden="1" outlineLevel="2">
      <c r="B801" s="1214"/>
      <c r="C801" s="507"/>
      <c r="D801" s="508"/>
    </row>
    <row r="802" spans="2:4" hidden="1" outlineLevel="2">
      <c r="B802" s="1214"/>
      <c r="C802" s="507"/>
      <c r="D802" s="508"/>
    </row>
    <row r="803" spans="2:4" hidden="1" outlineLevel="2">
      <c r="B803" s="1214"/>
      <c r="C803" s="507"/>
      <c r="D803" s="508"/>
    </row>
    <row r="804" spans="2:4" hidden="1" outlineLevel="1">
      <c r="B804" s="1214"/>
      <c r="C804" s="507"/>
      <c r="D804" s="508"/>
    </row>
    <row r="805" spans="2:4" hidden="1" outlineLevel="2">
      <c r="B805" s="1214"/>
      <c r="C805" s="507"/>
      <c r="D805" s="508"/>
    </row>
    <row r="806" spans="2:4" hidden="1" outlineLevel="2">
      <c r="B806" s="1214"/>
      <c r="C806" s="507"/>
      <c r="D806" s="508"/>
    </row>
    <row r="807" spans="2:4" hidden="1" outlineLevel="2">
      <c r="B807" s="1214"/>
      <c r="C807" s="507"/>
      <c r="D807" s="508"/>
    </row>
    <row r="808" spans="2:4" hidden="1" outlineLevel="2">
      <c r="B808" s="1214"/>
      <c r="C808" s="507"/>
      <c r="D808" s="508"/>
    </row>
    <row r="809" spans="2:4" hidden="1" outlineLevel="2">
      <c r="B809" s="1214"/>
      <c r="C809" s="507"/>
      <c r="D809" s="508"/>
    </row>
    <row r="810" spans="2:4" hidden="1" outlineLevel="2">
      <c r="B810" s="1214"/>
      <c r="C810" s="507"/>
      <c r="D810" s="508"/>
    </row>
    <row r="811" spans="2:4" hidden="1" outlineLevel="2">
      <c r="B811" s="1214"/>
      <c r="C811" s="507"/>
      <c r="D811" s="508"/>
    </row>
    <row r="812" spans="2:4" hidden="1" outlineLevel="2">
      <c r="B812" s="1214"/>
      <c r="C812" s="507"/>
      <c r="D812" s="508"/>
    </row>
    <row r="813" spans="2:4" hidden="1" outlineLevel="2">
      <c r="B813" s="1214"/>
      <c r="C813" s="507"/>
      <c r="D813" s="508"/>
    </row>
    <row r="814" spans="2:4" hidden="1" outlineLevel="1">
      <c r="B814" s="1214"/>
      <c r="C814" s="507"/>
      <c r="D814" s="508"/>
    </row>
    <row r="815" spans="2:4" hidden="1" outlineLevel="2">
      <c r="B815" s="1214"/>
      <c r="C815" s="507"/>
      <c r="D815" s="508"/>
    </row>
    <row r="816" spans="2:4" hidden="1" outlineLevel="2">
      <c r="B816" s="1214"/>
      <c r="C816" s="507"/>
      <c r="D816" s="508"/>
    </row>
    <row r="817" spans="2:4" hidden="1" outlineLevel="2">
      <c r="B817" s="1214"/>
      <c r="C817" s="507"/>
      <c r="D817" s="508"/>
    </row>
    <row r="818" spans="2:4" hidden="1" outlineLevel="2">
      <c r="B818" s="1214"/>
      <c r="C818" s="507"/>
      <c r="D818" s="508"/>
    </row>
    <row r="819" spans="2:4" hidden="1" outlineLevel="2">
      <c r="B819" s="1214"/>
      <c r="C819" s="507"/>
      <c r="D819" s="508"/>
    </row>
    <row r="820" spans="2:4" hidden="1" outlineLevel="2">
      <c r="B820" s="1214"/>
      <c r="C820" s="507"/>
      <c r="D820" s="508"/>
    </row>
    <row r="821" spans="2:4" hidden="1" outlineLevel="2">
      <c r="B821" s="1214"/>
      <c r="C821" s="507"/>
      <c r="D821" s="508"/>
    </row>
    <row r="822" spans="2:4" hidden="1" outlineLevel="2">
      <c r="B822" s="1214"/>
      <c r="C822" s="507"/>
      <c r="D822" s="508"/>
    </row>
    <row r="823" spans="2:4" hidden="1" outlineLevel="2">
      <c r="B823" s="1214"/>
      <c r="C823" s="507"/>
      <c r="D823" s="508"/>
    </row>
    <row r="824" spans="2:4" hidden="1" outlineLevel="1">
      <c r="B824" s="1214"/>
      <c r="C824" s="507"/>
      <c r="D824" s="508"/>
    </row>
    <row r="825" spans="2:4" hidden="1" outlineLevel="2">
      <c r="B825" s="1214"/>
      <c r="C825" s="507"/>
      <c r="D825" s="508"/>
    </row>
    <row r="826" spans="2:4" hidden="1" outlineLevel="2">
      <c r="B826" s="1214"/>
      <c r="C826" s="507"/>
      <c r="D826" s="508"/>
    </row>
    <row r="827" spans="2:4" hidden="1" outlineLevel="2">
      <c r="B827" s="1214"/>
      <c r="C827" s="507"/>
      <c r="D827" s="508"/>
    </row>
    <row r="828" spans="2:4" hidden="1" outlineLevel="2">
      <c r="B828" s="1214"/>
      <c r="C828" s="507"/>
      <c r="D828" s="508"/>
    </row>
    <row r="829" spans="2:4" hidden="1" outlineLevel="2">
      <c r="B829" s="1214"/>
      <c r="C829" s="507"/>
      <c r="D829" s="508"/>
    </row>
    <row r="830" spans="2:4" hidden="1" outlineLevel="2">
      <c r="B830" s="1214"/>
      <c r="C830" s="507"/>
      <c r="D830" s="508"/>
    </row>
    <row r="831" spans="2:4" hidden="1" outlineLevel="2">
      <c r="B831" s="1214"/>
      <c r="C831" s="507"/>
      <c r="D831" s="508"/>
    </row>
    <row r="832" spans="2:4" hidden="1" outlineLevel="2">
      <c r="B832" s="1214"/>
      <c r="C832" s="507"/>
      <c r="D832" s="508"/>
    </row>
    <row r="833" spans="2:4" hidden="1" outlineLevel="2">
      <c r="B833" s="1214"/>
      <c r="C833" s="507"/>
      <c r="D833" s="508"/>
    </row>
    <row r="834" spans="2:4" hidden="1" outlineLevel="1">
      <c r="B834" s="1214"/>
      <c r="C834" s="507"/>
      <c r="D834" s="508"/>
    </row>
    <row r="835" spans="2:4" hidden="1" outlineLevel="2">
      <c r="B835" s="1214"/>
      <c r="C835" s="507"/>
      <c r="D835" s="508"/>
    </row>
    <row r="836" spans="2:4" hidden="1" outlineLevel="2">
      <c r="B836" s="1214"/>
      <c r="C836" s="507"/>
      <c r="D836" s="508"/>
    </row>
    <row r="837" spans="2:4" hidden="1" outlineLevel="2">
      <c r="B837" s="1214"/>
      <c r="C837" s="507"/>
      <c r="D837" s="508"/>
    </row>
    <row r="838" spans="2:4" hidden="1" outlineLevel="2">
      <c r="B838" s="1214"/>
      <c r="C838" s="507"/>
      <c r="D838" s="508"/>
    </row>
    <row r="839" spans="2:4" hidden="1" outlineLevel="2">
      <c r="B839" s="1214"/>
      <c r="C839" s="507"/>
      <c r="D839" s="508"/>
    </row>
    <row r="840" spans="2:4" hidden="1" outlineLevel="2">
      <c r="B840" s="1214"/>
      <c r="C840" s="507"/>
      <c r="D840" s="508"/>
    </row>
    <row r="841" spans="2:4" hidden="1" outlineLevel="2">
      <c r="B841" s="1214"/>
      <c r="C841" s="507"/>
      <c r="D841" s="508"/>
    </row>
    <row r="842" spans="2:4" hidden="1" outlineLevel="2">
      <c r="B842" s="1214"/>
      <c r="C842" s="507"/>
      <c r="D842" s="508"/>
    </row>
    <row r="843" spans="2:4" hidden="1" outlineLevel="2">
      <c r="B843" s="1214"/>
      <c r="C843" s="507"/>
      <c r="D843" s="508"/>
    </row>
    <row r="844" spans="2:4" hidden="1" outlineLevel="1">
      <c r="B844" s="1214"/>
      <c r="C844" s="507"/>
      <c r="D844" s="508"/>
    </row>
    <row r="845" spans="2:4" hidden="1" outlineLevel="2">
      <c r="B845" s="1214"/>
      <c r="C845" s="507"/>
      <c r="D845" s="508"/>
    </row>
    <row r="846" spans="2:4" hidden="1" outlineLevel="2">
      <c r="B846" s="1214"/>
      <c r="C846" s="507"/>
      <c r="D846" s="508"/>
    </row>
    <row r="847" spans="2:4" hidden="1" outlineLevel="2">
      <c r="B847" s="1214"/>
      <c r="C847" s="507"/>
      <c r="D847" s="508"/>
    </row>
    <row r="848" spans="2:4" hidden="1" outlineLevel="2">
      <c r="B848" s="1214"/>
      <c r="C848" s="507"/>
      <c r="D848" s="508"/>
    </row>
    <row r="849" spans="2:4" hidden="1" outlineLevel="2">
      <c r="B849" s="1214"/>
      <c r="C849" s="507"/>
      <c r="D849" s="508"/>
    </row>
    <row r="850" spans="2:4" hidden="1" outlineLevel="2">
      <c r="B850" s="1214"/>
      <c r="C850" s="507"/>
      <c r="D850" s="508"/>
    </row>
    <row r="851" spans="2:4" hidden="1" outlineLevel="2">
      <c r="B851" s="1214"/>
      <c r="C851" s="507"/>
      <c r="D851" s="508"/>
    </row>
    <row r="852" spans="2:4" hidden="1" outlineLevel="2">
      <c r="B852" s="1214"/>
      <c r="C852" s="507"/>
      <c r="D852" s="508"/>
    </row>
    <row r="853" spans="2:4" hidden="1" outlineLevel="2">
      <c r="B853" s="1214"/>
      <c r="C853" s="507"/>
      <c r="D853" s="508"/>
    </row>
    <row r="854" spans="2:4" hidden="1" outlineLevel="1">
      <c r="B854" s="1214"/>
      <c r="C854" s="507"/>
      <c r="D854" s="508"/>
    </row>
    <row r="855" spans="2:4" hidden="1" outlineLevel="2">
      <c r="B855" s="1214"/>
      <c r="C855" s="507"/>
      <c r="D855" s="508"/>
    </row>
    <row r="856" spans="2:4" hidden="1" outlineLevel="2">
      <c r="B856" s="1214"/>
      <c r="C856" s="507"/>
      <c r="D856" s="508"/>
    </row>
    <row r="857" spans="2:4" hidden="1" outlineLevel="2">
      <c r="B857" s="1214"/>
      <c r="C857" s="507"/>
      <c r="D857" s="508"/>
    </row>
    <row r="858" spans="2:4" hidden="1" outlineLevel="2">
      <c r="B858" s="1214"/>
      <c r="C858" s="507"/>
      <c r="D858" s="508"/>
    </row>
    <row r="859" spans="2:4" hidden="1" outlineLevel="2">
      <c r="B859" s="1214"/>
      <c r="C859" s="507"/>
      <c r="D859" s="508"/>
    </row>
    <row r="860" spans="2:4" hidden="1" outlineLevel="2">
      <c r="B860" s="1214"/>
      <c r="C860" s="507"/>
      <c r="D860" s="508"/>
    </row>
    <row r="861" spans="2:4" hidden="1" outlineLevel="2">
      <c r="B861" s="1214"/>
      <c r="C861" s="507"/>
      <c r="D861" s="508"/>
    </row>
    <row r="862" spans="2:4" hidden="1" outlineLevel="2">
      <c r="B862" s="1214"/>
      <c r="C862" s="507"/>
      <c r="D862" s="508"/>
    </row>
    <row r="863" spans="2:4" hidden="1" outlineLevel="2">
      <c r="B863" s="1214"/>
      <c r="C863" s="507"/>
      <c r="D863" s="508"/>
    </row>
    <row r="864" spans="2:4" hidden="1" outlineLevel="1">
      <c r="B864" s="1214"/>
      <c r="C864" s="507"/>
      <c r="D864" s="508"/>
    </row>
    <row r="865" spans="2:4" hidden="1" outlineLevel="2">
      <c r="B865" s="1214"/>
      <c r="C865" s="507"/>
      <c r="D865" s="508"/>
    </row>
    <row r="866" spans="2:4" hidden="1" outlineLevel="2">
      <c r="B866" s="1214"/>
      <c r="C866" s="507"/>
      <c r="D866" s="508"/>
    </row>
    <row r="867" spans="2:4" hidden="1" outlineLevel="2">
      <c r="B867" s="1214"/>
      <c r="C867" s="507"/>
      <c r="D867" s="508"/>
    </row>
    <row r="868" spans="2:4" hidden="1" outlineLevel="2">
      <c r="B868" s="1214"/>
      <c r="C868" s="507"/>
      <c r="D868" s="508"/>
    </row>
    <row r="869" spans="2:4" hidden="1" outlineLevel="2">
      <c r="B869" s="1214"/>
      <c r="C869" s="507"/>
      <c r="D869" s="508"/>
    </row>
    <row r="870" spans="2:4" hidden="1" outlineLevel="2">
      <c r="B870" s="1214"/>
      <c r="C870" s="507"/>
      <c r="D870" s="508"/>
    </row>
    <row r="871" spans="2:4" hidden="1" outlineLevel="2">
      <c r="B871" s="1214"/>
      <c r="C871" s="507"/>
      <c r="D871" s="508"/>
    </row>
    <row r="872" spans="2:4" hidden="1" outlineLevel="2">
      <c r="B872" s="1214"/>
      <c r="C872" s="507"/>
      <c r="D872" s="508"/>
    </row>
    <row r="873" spans="2:4" hidden="1" outlineLevel="2">
      <c r="B873" s="1214"/>
      <c r="C873" s="507"/>
      <c r="D873" s="508"/>
    </row>
    <row r="874" spans="2:4" hidden="1" outlineLevel="1">
      <c r="B874" s="1214"/>
      <c r="C874" s="507"/>
      <c r="D874" s="508"/>
    </row>
    <row r="875" spans="2:4" hidden="1" outlineLevel="2">
      <c r="B875" s="1214"/>
      <c r="C875" s="507"/>
      <c r="D875" s="508"/>
    </row>
    <row r="876" spans="2:4" hidden="1" outlineLevel="2">
      <c r="B876" s="1214"/>
      <c r="C876" s="507"/>
      <c r="D876" s="508"/>
    </row>
    <row r="877" spans="2:4" hidden="1" outlineLevel="2">
      <c r="B877" s="1214"/>
      <c r="C877" s="507"/>
      <c r="D877" s="508"/>
    </row>
    <row r="878" spans="2:4" hidden="1" outlineLevel="2">
      <c r="B878" s="1214"/>
      <c r="C878" s="507"/>
      <c r="D878" s="508"/>
    </row>
    <row r="879" spans="2:4" hidden="1" outlineLevel="2">
      <c r="B879" s="1214"/>
      <c r="C879" s="507"/>
      <c r="D879" s="508"/>
    </row>
    <row r="880" spans="2:4" hidden="1" outlineLevel="2">
      <c r="B880" s="1214"/>
      <c r="C880" s="507"/>
      <c r="D880" s="508"/>
    </row>
    <row r="881" spans="2:4" hidden="1" outlineLevel="2">
      <c r="B881" s="1214"/>
      <c r="C881" s="507"/>
      <c r="D881" s="508"/>
    </row>
    <row r="882" spans="2:4" hidden="1" outlineLevel="2">
      <c r="B882" s="1214"/>
      <c r="C882" s="507"/>
      <c r="D882" s="508"/>
    </row>
    <row r="883" spans="2:4" hidden="1" outlineLevel="2">
      <c r="B883" s="1214"/>
      <c r="C883" s="507"/>
      <c r="D883" s="508"/>
    </row>
    <row r="884" spans="2:4" hidden="1" outlineLevel="1">
      <c r="B884" s="1214"/>
      <c r="C884" s="507"/>
      <c r="D884" s="508"/>
    </row>
    <row r="885" spans="2:4" hidden="1" outlineLevel="2">
      <c r="B885" s="1214"/>
      <c r="C885" s="507"/>
      <c r="D885" s="508"/>
    </row>
    <row r="886" spans="2:4" hidden="1" outlineLevel="2">
      <c r="B886" s="1214"/>
      <c r="C886" s="507"/>
      <c r="D886" s="508"/>
    </row>
    <row r="887" spans="2:4" hidden="1" outlineLevel="2">
      <c r="B887" s="1214"/>
      <c r="C887" s="507"/>
      <c r="D887" s="508"/>
    </row>
    <row r="888" spans="2:4" hidden="1" outlineLevel="2">
      <c r="B888" s="1214"/>
      <c r="C888" s="507"/>
      <c r="D888" s="508"/>
    </row>
    <row r="889" spans="2:4" hidden="1" outlineLevel="2">
      <c r="B889" s="1214"/>
      <c r="C889" s="507"/>
      <c r="D889" s="508"/>
    </row>
    <row r="890" spans="2:4" hidden="1" outlineLevel="2">
      <c r="B890" s="1214"/>
      <c r="C890" s="507"/>
      <c r="D890" s="508"/>
    </row>
    <row r="891" spans="2:4" hidden="1" outlineLevel="2">
      <c r="B891" s="1214"/>
      <c r="C891" s="507"/>
      <c r="D891" s="508"/>
    </row>
    <row r="892" spans="2:4" hidden="1" outlineLevel="2">
      <c r="B892" s="1214"/>
      <c r="C892" s="507"/>
      <c r="D892" s="508"/>
    </row>
    <row r="893" spans="2:4" hidden="1" outlineLevel="2">
      <c r="B893" s="1214"/>
      <c r="C893" s="507"/>
      <c r="D893" s="508"/>
    </row>
    <row r="894" spans="2:4" hidden="1" outlineLevel="1">
      <c r="B894" s="1214"/>
      <c r="C894" s="507"/>
      <c r="D894" s="508"/>
    </row>
    <row r="895" spans="2:4" hidden="1" outlineLevel="2">
      <c r="B895" s="1214"/>
      <c r="C895" s="507"/>
      <c r="D895" s="508"/>
    </row>
    <row r="896" spans="2:4" hidden="1" outlineLevel="2">
      <c r="B896" s="1214"/>
      <c r="C896" s="507"/>
      <c r="D896" s="508"/>
    </row>
    <row r="897" spans="2:4" hidden="1" outlineLevel="2">
      <c r="B897" s="1214"/>
      <c r="C897" s="507"/>
      <c r="D897" s="508"/>
    </row>
    <row r="898" spans="2:4" hidden="1" outlineLevel="2">
      <c r="B898" s="1214"/>
      <c r="C898" s="507"/>
      <c r="D898" s="508"/>
    </row>
    <row r="899" spans="2:4" hidden="1" outlineLevel="2">
      <c r="B899" s="1214"/>
      <c r="C899" s="507"/>
      <c r="D899" s="508"/>
    </row>
    <row r="900" spans="2:4" hidden="1" outlineLevel="2">
      <c r="B900" s="1214"/>
      <c r="C900" s="507"/>
      <c r="D900" s="508"/>
    </row>
    <row r="901" spans="2:4" hidden="1" outlineLevel="2">
      <c r="B901" s="1214"/>
      <c r="C901" s="507"/>
      <c r="D901" s="508"/>
    </row>
    <row r="902" spans="2:4" hidden="1" outlineLevel="2">
      <c r="B902" s="1214"/>
      <c r="C902" s="507"/>
      <c r="D902" s="508"/>
    </row>
    <row r="903" spans="2:4" hidden="1" outlineLevel="2">
      <c r="B903" s="1214"/>
      <c r="C903" s="507"/>
      <c r="D903" s="508"/>
    </row>
    <row r="904" spans="2:4" hidden="1" outlineLevel="1">
      <c r="B904" s="1214"/>
      <c r="C904" s="507"/>
      <c r="D904" s="508"/>
    </row>
    <row r="905" spans="2:4" hidden="1" outlineLevel="2">
      <c r="B905" s="1214"/>
      <c r="C905" s="507"/>
      <c r="D905" s="508"/>
    </row>
    <row r="906" spans="2:4" hidden="1" outlineLevel="2">
      <c r="B906" s="1214"/>
      <c r="C906" s="507"/>
      <c r="D906" s="508"/>
    </row>
    <row r="907" spans="2:4" hidden="1" outlineLevel="2">
      <c r="B907" s="1214"/>
      <c r="C907" s="507"/>
      <c r="D907" s="508"/>
    </row>
    <row r="908" spans="2:4" hidden="1" outlineLevel="2">
      <c r="B908" s="1214"/>
      <c r="C908" s="507"/>
      <c r="D908" s="508"/>
    </row>
    <row r="909" spans="2:4" hidden="1" outlineLevel="2">
      <c r="B909" s="1214"/>
      <c r="C909" s="507"/>
      <c r="D909" s="508"/>
    </row>
    <row r="910" spans="2:4" hidden="1" outlineLevel="2">
      <c r="B910" s="1214"/>
      <c r="C910" s="507"/>
      <c r="D910" s="508"/>
    </row>
    <row r="911" spans="2:4" hidden="1" outlineLevel="2">
      <c r="B911" s="1214"/>
      <c r="C911" s="507"/>
      <c r="D911" s="508"/>
    </row>
    <row r="912" spans="2:4" hidden="1" outlineLevel="2">
      <c r="B912" s="1214"/>
      <c r="C912" s="507"/>
      <c r="D912" s="508"/>
    </row>
    <row r="913" spans="2:4" hidden="1" outlineLevel="2">
      <c r="B913" s="1214"/>
      <c r="C913" s="507"/>
      <c r="D913" s="508"/>
    </row>
    <row r="914" spans="2:4" hidden="1" outlineLevel="1">
      <c r="B914" s="1214"/>
      <c r="C914" s="507"/>
      <c r="D914" s="508"/>
    </row>
    <row r="915" spans="2:4" hidden="1" outlineLevel="2">
      <c r="B915" s="1214"/>
      <c r="C915" s="507"/>
      <c r="D915" s="508"/>
    </row>
    <row r="916" spans="2:4" hidden="1" outlineLevel="2">
      <c r="B916" s="1214"/>
      <c r="C916" s="507"/>
      <c r="D916" s="508"/>
    </row>
    <row r="917" spans="2:4" hidden="1" outlineLevel="2">
      <c r="B917" s="1214"/>
      <c r="C917" s="507"/>
      <c r="D917" s="508"/>
    </row>
    <row r="918" spans="2:4" hidden="1" outlineLevel="2">
      <c r="B918" s="1214"/>
      <c r="C918" s="507"/>
      <c r="D918" s="508"/>
    </row>
    <row r="919" spans="2:4" hidden="1" outlineLevel="2">
      <c r="B919" s="1214"/>
      <c r="C919" s="507"/>
      <c r="D919" s="508"/>
    </row>
    <row r="920" spans="2:4" hidden="1" outlineLevel="2">
      <c r="B920" s="1214"/>
      <c r="C920" s="507"/>
      <c r="D920" s="508"/>
    </row>
    <row r="921" spans="2:4" hidden="1" outlineLevel="2">
      <c r="B921" s="1214"/>
      <c r="C921" s="507"/>
      <c r="D921" s="508"/>
    </row>
    <row r="922" spans="2:4" hidden="1" outlineLevel="2">
      <c r="B922" s="1214"/>
      <c r="C922" s="507"/>
      <c r="D922" s="508"/>
    </row>
    <row r="923" spans="2:4" hidden="1" outlineLevel="2">
      <c r="B923" s="1214"/>
      <c r="C923" s="507"/>
      <c r="D923" s="508"/>
    </row>
    <row r="924" spans="2:4" hidden="1" outlineLevel="1">
      <c r="B924" s="1214"/>
      <c r="C924" s="507"/>
      <c r="D924" s="508"/>
    </row>
    <row r="925" spans="2:4" hidden="1" outlineLevel="2">
      <c r="B925" s="1214"/>
      <c r="C925" s="507"/>
      <c r="D925" s="508"/>
    </row>
    <row r="926" spans="2:4" hidden="1" outlineLevel="2">
      <c r="B926" s="1214"/>
      <c r="C926" s="507"/>
      <c r="D926" s="508"/>
    </row>
    <row r="927" spans="2:4" hidden="1" outlineLevel="2">
      <c r="B927" s="1214"/>
      <c r="C927" s="507"/>
      <c r="D927" s="508"/>
    </row>
    <row r="928" spans="2:4" hidden="1" outlineLevel="2">
      <c r="B928" s="1214"/>
      <c r="C928" s="507"/>
      <c r="D928" s="508"/>
    </row>
    <row r="929" spans="2:4" hidden="1" outlineLevel="2">
      <c r="B929" s="1214"/>
      <c r="C929" s="507"/>
      <c r="D929" s="508"/>
    </row>
    <row r="930" spans="2:4" hidden="1" outlineLevel="2">
      <c r="B930" s="1214"/>
      <c r="C930" s="507"/>
      <c r="D930" s="508"/>
    </row>
    <row r="931" spans="2:4" hidden="1" outlineLevel="2">
      <c r="B931" s="1214"/>
      <c r="C931" s="507"/>
      <c r="D931" s="508"/>
    </row>
    <row r="932" spans="2:4" hidden="1" outlineLevel="2">
      <c r="B932" s="1214"/>
      <c r="C932" s="507"/>
      <c r="D932" s="508"/>
    </row>
    <row r="933" spans="2:4" hidden="1" outlineLevel="2">
      <c r="B933" s="1214"/>
      <c r="C933" s="507"/>
      <c r="D933" s="508"/>
    </row>
    <row r="934" spans="2:4" hidden="1" outlineLevel="1">
      <c r="B934" s="1214"/>
      <c r="C934" s="507"/>
      <c r="D934" s="508"/>
    </row>
    <row r="935" spans="2:4" hidden="1" outlineLevel="2">
      <c r="B935" s="1214"/>
      <c r="C935" s="507"/>
      <c r="D935" s="508"/>
    </row>
    <row r="936" spans="2:4" hidden="1" outlineLevel="2">
      <c r="B936" s="1214"/>
      <c r="C936" s="507"/>
      <c r="D936" s="508"/>
    </row>
    <row r="937" spans="2:4" hidden="1" outlineLevel="2">
      <c r="B937" s="1214"/>
      <c r="C937" s="507"/>
      <c r="D937" s="508"/>
    </row>
    <row r="938" spans="2:4" hidden="1" outlineLevel="2">
      <c r="B938" s="1214"/>
      <c r="C938" s="507"/>
      <c r="D938" s="508"/>
    </row>
    <row r="939" spans="2:4" hidden="1" outlineLevel="2">
      <c r="B939" s="1214"/>
      <c r="C939" s="507"/>
      <c r="D939" s="508"/>
    </row>
    <row r="940" spans="2:4" hidden="1" outlineLevel="2">
      <c r="B940" s="1214"/>
      <c r="C940" s="507"/>
      <c r="D940" s="508"/>
    </row>
    <row r="941" spans="2:4" hidden="1" outlineLevel="2">
      <c r="B941" s="1214"/>
      <c r="C941" s="507"/>
      <c r="D941" s="508"/>
    </row>
    <row r="942" spans="2:4" hidden="1" outlineLevel="2">
      <c r="B942" s="1214"/>
      <c r="C942" s="507"/>
      <c r="D942" s="508"/>
    </row>
    <row r="943" spans="2:4" hidden="1" outlineLevel="2">
      <c r="B943" s="1214"/>
      <c r="C943" s="507"/>
      <c r="D943" s="508"/>
    </row>
    <row r="944" spans="2:4" hidden="1" outlineLevel="1">
      <c r="B944" s="1214"/>
      <c r="C944" s="507"/>
      <c r="D944" s="508"/>
    </row>
    <row r="945" spans="2:4" hidden="1" outlineLevel="2">
      <c r="B945" s="1214"/>
      <c r="C945" s="507"/>
      <c r="D945" s="508"/>
    </row>
    <row r="946" spans="2:4" hidden="1" outlineLevel="2">
      <c r="B946" s="1214"/>
      <c r="C946" s="507"/>
      <c r="D946" s="508"/>
    </row>
    <row r="947" spans="2:4" hidden="1" outlineLevel="2">
      <c r="B947" s="1214"/>
      <c r="C947" s="507"/>
      <c r="D947" s="508"/>
    </row>
    <row r="948" spans="2:4" hidden="1" outlineLevel="2">
      <c r="B948" s="1214"/>
      <c r="C948" s="507"/>
      <c r="D948" s="508"/>
    </row>
    <row r="949" spans="2:4" hidden="1" outlineLevel="2">
      <c r="B949" s="1214"/>
      <c r="C949" s="507"/>
      <c r="D949" s="508"/>
    </row>
    <row r="950" spans="2:4" hidden="1" outlineLevel="2">
      <c r="B950" s="1214"/>
      <c r="C950" s="507"/>
      <c r="D950" s="508"/>
    </row>
    <row r="951" spans="2:4" hidden="1" outlineLevel="2">
      <c r="B951" s="1214"/>
      <c r="C951" s="507"/>
      <c r="D951" s="508"/>
    </row>
    <row r="952" spans="2:4" hidden="1" outlineLevel="2">
      <c r="B952" s="1214"/>
      <c r="C952" s="507"/>
      <c r="D952" s="508"/>
    </row>
    <row r="953" spans="2:4" hidden="1" outlineLevel="2">
      <c r="B953" s="1214"/>
      <c r="C953" s="507"/>
      <c r="D953" s="508"/>
    </row>
    <row r="954" spans="2:4" hidden="1" outlineLevel="1">
      <c r="B954" s="1214"/>
      <c r="C954" s="507"/>
      <c r="D954" s="508"/>
    </row>
    <row r="955" spans="2:4" hidden="1" outlineLevel="2">
      <c r="B955" s="1214"/>
      <c r="C955" s="507"/>
      <c r="D955" s="508"/>
    </row>
    <row r="956" spans="2:4" hidden="1" outlineLevel="2">
      <c r="B956" s="1214"/>
      <c r="C956" s="507"/>
      <c r="D956" s="508"/>
    </row>
    <row r="957" spans="2:4" hidden="1" outlineLevel="2">
      <c r="B957" s="1214"/>
      <c r="C957" s="507"/>
      <c r="D957" s="508"/>
    </row>
    <row r="958" spans="2:4" hidden="1" outlineLevel="2">
      <c r="B958" s="1214"/>
      <c r="C958" s="507"/>
      <c r="D958" s="508"/>
    </row>
    <row r="959" spans="2:4" hidden="1" outlineLevel="2">
      <c r="B959" s="1214"/>
      <c r="C959" s="507"/>
      <c r="D959" s="508"/>
    </row>
    <row r="960" spans="2:4" hidden="1" outlineLevel="2">
      <c r="B960" s="1214"/>
      <c r="C960" s="507"/>
      <c r="D960" s="508"/>
    </row>
    <row r="961" spans="2:4" hidden="1" outlineLevel="2">
      <c r="B961" s="1214"/>
      <c r="C961" s="507"/>
      <c r="D961" s="508"/>
    </row>
    <row r="962" spans="2:4" hidden="1" outlineLevel="2">
      <c r="B962" s="1214"/>
      <c r="C962" s="507"/>
      <c r="D962" s="508"/>
    </row>
    <row r="963" spans="2:4" hidden="1" outlineLevel="2">
      <c r="B963" s="1214"/>
      <c r="C963" s="507"/>
      <c r="D963" s="508"/>
    </row>
    <row r="964" spans="2:4" hidden="1" outlineLevel="1">
      <c r="B964" s="1214"/>
      <c r="C964" s="507"/>
      <c r="D964" s="508"/>
    </row>
    <row r="965" spans="2:4" hidden="1" outlineLevel="2">
      <c r="B965" s="1214"/>
      <c r="C965" s="507"/>
      <c r="D965" s="508"/>
    </row>
    <row r="966" spans="2:4" hidden="1" outlineLevel="2">
      <c r="B966" s="1214"/>
      <c r="C966" s="507"/>
      <c r="D966" s="508"/>
    </row>
    <row r="967" spans="2:4" hidden="1" outlineLevel="2">
      <c r="B967" s="1214"/>
      <c r="C967" s="507"/>
      <c r="D967" s="508"/>
    </row>
    <row r="968" spans="2:4" hidden="1" outlineLevel="2">
      <c r="B968" s="1214"/>
      <c r="C968" s="507"/>
      <c r="D968" s="508"/>
    </row>
    <row r="969" spans="2:4" hidden="1" outlineLevel="2">
      <c r="B969" s="1214"/>
      <c r="C969" s="507"/>
      <c r="D969" s="508"/>
    </row>
    <row r="970" spans="2:4" hidden="1" outlineLevel="2">
      <c r="B970" s="1214"/>
      <c r="C970" s="507"/>
      <c r="D970" s="508"/>
    </row>
    <row r="971" spans="2:4" hidden="1" outlineLevel="2">
      <c r="B971" s="1214"/>
      <c r="C971" s="507"/>
      <c r="D971" s="508"/>
    </row>
    <row r="972" spans="2:4" hidden="1" outlineLevel="2">
      <c r="B972" s="1214"/>
      <c r="C972" s="507"/>
      <c r="D972" s="508"/>
    </row>
    <row r="973" spans="2:4" hidden="1" outlineLevel="2">
      <c r="B973" s="1214"/>
      <c r="C973" s="507"/>
      <c r="D973" s="508"/>
    </row>
    <row r="974" spans="2:4" hidden="1" outlineLevel="1">
      <c r="B974" s="1214"/>
      <c r="C974" s="507"/>
      <c r="D974" s="508"/>
    </row>
    <row r="975" spans="2:4" hidden="1" outlineLevel="2">
      <c r="B975" s="1214"/>
      <c r="C975" s="507"/>
      <c r="D975" s="508"/>
    </row>
    <row r="976" spans="2:4" hidden="1" outlineLevel="2">
      <c r="B976" s="1214"/>
      <c r="C976" s="507"/>
      <c r="D976" s="508"/>
    </row>
    <row r="977" spans="2:4" hidden="1" outlineLevel="2">
      <c r="B977" s="1214"/>
      <c r="C977" s="507"/>
      <c r="D977" s="508"/>
    </row>
    <row r="978" spans="2:4" hidden="1" outlineLevel="2">
      <c r="B978" s="1214"/>
      <c r="C978" s="507"/>
      <c r="D978" s="508"/>
    </row>
    <row r="979" spans="2:4" hidden="1" outlineLevel="2">
      <c r="B979" s="1214"/>
      <c r="C979" s="507"/>
      <c r="D979" s="508"/>
    </row>
    <row r="980" spans="2:4" hidden="1" outlineLevel="2">
      <c r="B980" s="1214"/>
      <c r="C980" s="507"/>
      <c r="D980" s="508"/>
    </row>
    <row r="981" spans="2:4" hidden="1" outlineLevel="2">
      <c r="B981" s="1214"/>
      <c r="C981" s="507"/>
      <c r="D981" s="508"/>
    </row>
    <row r="982" spans="2:4" hidden="1" outlineLevel="2">
      <c r="B982" s="1214"/>
      <c r="C982" s="507"/>
      <c r="D982" s="508"/>
    </row>
    <row r="983" spans="2:4" hidden="1" outlineLevel="2">
      <c r="B983" s="1214"/>
      <c r="C983" s="507"/>
      <c r="D983" s="508"/>
    </row>
    <row r="984" spans="2:4" hidden="1" outlineLevel="1">
      <c r="B984" s="1214"/>
      <c r="C984" s="507"/>
      <c r="D984" s="508"/>
    </row>
    <row r="985" spans="2:4" hidden="1" outlineLevel="2">
      <c r="B985" s="1214"/>
      <c r="C985" s="507"/>
      <c r="D985" s="508"/>
    </row>
    <row r="986" spans="2:4" hidden="1" outlineLevel="2">
      <c r="B986" s="1214"/>
      <c r="C986" s="507"/>
      <c r="D986" s="508"/>
    </row>
    <row r="987" spans="2:4" hidden="1" outlineLevel="2">
      <c r="B987" s="1214"/>
      <c r="C987" s="507"/>
      <c r="D987" s="508"/>
    </row>
    <row r="988" spans="2:4" hidden="1" outlineLevel="2">
      <c r="B988" s="1214"/>
      <c r="C988" s="507"/>
      <c r="D988" s="508"/>
    </row>
    <row r="989" spans="2:4" hidden="1" outlineLevel="2">
      <c r="B989" s="1214"/>
      <c r="C989" s="507"/>
      <c r="D989" s="508"/>
    </row>
    <row r="990" spans="2:4" hidden="1" outlineLevel="2">
      <c r="B990" s="1214"/>
      <c r="C990" s="507"/>
      <c r="D990" s="508"/>
    </row>
    <row r="991" spans="2:4" hidden="1" outlineLevel="2">
      <c r="B991" s="1214"/>
      <c r="C991" s="507"/>
      <c r="D991" s="508"/>
    </row>
    <row r="992" spans="2:4" hidden="1" outlineLevel="2">
      <c r="B992" s="1214"/>
      <c r="C992" s="507"/>
      <c r="D992" s="508"/>
    </row>
    <row r="993" spans="2:4" hidden="1" outlineLevel="2">
      <c r="B993" s="1214"/>
      <c r="C993" s="507"/>
      <c r="D993" s="508"/>
    </row>
    <row r="994" spans="2:4" hidden="1" outlineLevel="1">
      <c r="B994" s="1214"/>
      <c r="C994" s="507"/>
      <c r="D994" s="508"/>
    </row>
    <row r="995" spans="2:4" hidden="1" outlineLevel="2">
      <c r="B995" s="1214"/>
      <c r="C995" s="507"/>
      <c r="D995" s="508"/>
    </row>
    <row r="996" spans="2:4" hidden="1" outlineLevel="2">
      <c r="B996" s="1214"/>
      <c r="C996" s="507"/>
      <c r="D996" s="508"/>
    </row>
    <row r="997" spans="2:4" hidden="1" outlineLevel="2">
      <c r="B997" s="1214"/>
      <c r="C997" s="507"/>
      <c r="D997" s="508"/>
    </row>
    <row r="998" spans="2:4" hidden="1" outlineLevel="2">
      <c r="B998" s="1214"/>
      <c r="C998" s="507"/>
      <c r="D998" s="508"/>
    </row>
    <row r="999" spans="2:4" hidden="1" outlineLevel="2">
      <c r="B999" s="1214"/>
      <c r="C999" s="507"/>
      <c r="D999" s="508"/>
    </row>
    <row r="1000" spans="2:4" hidden="1" outlineLevel="2">
      <c r="B1000" s="1214"/>
      <c r="C1000" s="507"/>
      <c r="D1000" s="508"/>
    </row>
    <row r="1001" spans="2:4" hidden="1" outlineLevel="2">
      <c r="B1001" s="1214"/>
      <c r="C1001" s="507"/>
      <c r="D1001" s="508"/>
    </row>
    <row r="1002" spans="2:4" hidden="1" outlineLevel="2">
      <c r="B1002" s="1214"/>
      <c r="C1002" s="507"/>
      <c r="D1002" s="508"/>
    </row>
    <row r="1003" spans="2:4" hidden="1" outlineLevel="2">
      <c r="B1003" s="1214"/>
      <c r="C1003" s="507"/>
      <c r="D1003" s="508"/>
    </row>
    <row r="1004" spans="2:4" hidden="1" outlineLevel="1">
      <c r="B1004" s="1214"/>
      <c r="C1004" s="507"/>
      <c r="D1004" s="508"/>
    </row>
    <row r="1005" spans="2:4" hidden="1" outlineLevel="2">
      <c r="B1005" s="1214"/>
      <c r="C1005" s="507"/>
      <c r="D1005" s="508"/>
    </row>
    <row r="1006" spans="2:4" hidden="1" outlineLevel="2">
      <c r="B1006" s="1214"/>
      <c r="C1006" s="507"/>
      <c r="D1006" s="508"/>
    </row>
    <row r="1007" spans="2:4" hidden="1" outlineLevel="2">
      <c r="B1007" s="1214"/>
      <c r="C1007" s="507"/>
      <c r="D1007" s="508"/>
    </row>
    <row r="1008" spans="2:4" hidden="1" outlineLevel="2">
      <c r="B1008" s="1214"/>
      <c r="C1008" s="507"/>
      <c r="D1008" s="508"/>
    </row>
    <row r="1009" spans="2:4" hidden="1" outlineLevel="2">
      <c r="B1009" s="1214"/>
      <c r="C1009" s="507"/>
      <c r="D1009" s="508"/>
    </row>
    <row r="1010" spans="2:4" hidden="1" outlineLevel="2">
      <c r="B1010" s="1214"/>
      <c r="C1010" s="507"/>
      <c r="D1010" s="508"/>
    </row>
    <row r="1011" spans="2:4" hidden="1" outlineLevel="2">
      <c r="B1011" s="1214"/>
      <c r="C1011" s="507"/>
      <c r="D1011" s="508"/>
    </row>
    <row r="1012" spans="2:4" hidden="1" outlineLevel="2">
      <c r="B1012" s="1214"/>
      <c r="C1012" s="507"/>
      <c r="D1012" s="508"/>
    </row>
    <row r="1013" spans="2:4" hidden="1" outlineLevel="2">
      <c r="B1013" s="1214"/>
      <c r="C1013" s="507"/>
      <c r="D1013" s="508"/>
    </row>
    <row r="1014" spans="2:4" hidden="1" outlineLevel="1">
      <c r="B1014" s="1214"/>
      <c r="C1014" s="507"/>
      <c r="D1014" s="508"/>
    </row>
    <row r="1015" spans="2:4" hidden="1" outlineLevel="2">
      <c r="B1015" s="1214"/>
      <c r="C1015" s="507"/>
      <c r="D1015" s="508"/>
    </row>
    <row r="1016" spans="2:4" hidden="1" outlineLevel="2">
      <c r="B1016" s="1214"/>
      <c r="C1016" s="507"/>
      <c r="D1016" s="508"/>
    </row>
    <row r="1017" spans="2:4" hidden="1" outlineLevel="2">
      <c r="B1017" s="1214"/>
      <c r="C1017" s="507"/>
      <c r="D1017" s="508"/>
    </row>
    <row r="1018" spans="2:4" hidden="1" outlineLevel="2">
      <c r="B1018" s="1214"/>
      <c r="C1018" s="507"/>
      <c r="D1018" s="508"/>
    </row>
    <row r="1019" spans="2:4" hidden="1" outlineLevel="2">
      <c r="B1019" s="1214"/>
      <c r="C1019" s="507"/>
      <c r="D1019" s="508"/>
    </row>
    <row r="1020" spans="2:4" hidden="1" outlineLevel="2">
      <c r="B1020" s="1214"/>
      <c r="C1020" s="507"/>
      <c r="D1020" s="508"/>
    </row>
    <row r="1021" spans="2:4" hidden="1" outlineLevel="2">
      <c r="B1021" s="1214"/>
      <c r="C1021" s="507"/>
      <c r="D1021" s="508"/>
    </row>
    <row r="1022" spans="2:4" hidden="1" outlineLevel="2">
      <c r="B1022" s="1214"/>
      <c r="C1022" s="507"/>
      <c r="D1022" s="508"/>
    </row>
    <row r="1023" spans="2:4" hidden="1" outlineLevel="2">
      <c r="B1023" s="1214"/>
      <c r="C1023" s="507"/>
      <c r="D1023" s="508"/>
    </row>
    <row r="1024" spans="2:4" hidden="1" outlineLevel="1">
      <c r="B1024" s="1214"/>
      <c r="C1024" s="507"/>
      <c r="D1024" s="508"/>
    </row>
    <row r="1025" spans="2:4" hidden="1" outlineLevel="2">
      <c r="B1025" s="1214"/>
      <c r="C1025" s="507"/>
      <c r="D1025" s="508"/>
    </row>
    <row r="1026" spans="2:4" hidden="1" outlineLevel="2">
      <c r="B1026" s="1214"/>
      <c r="C1026" s="507"/>
      <c r="D1026" s="508"/>
    </row>
    <row r="1027" spans="2:4" hidden="1" outlineLevel="2">
      <c r="B1027" s="1214"/>
      <c r="C1027" s="507"/>
      <c r="D1027" s="508"/>
    </row>
    <row r="1028" spans="2:4" hidden="1" outlineLevel="2">
      <c r="B1028" s="1214"/>
      <c r="C1028" s="507"/>
      <c r="D1028" s="508"/>
    </row>
    <row r="1029" spans="2:4" hidden="1" outlineLevel="2">
      <c r="B1029" s="1214"/>
      <c r="C1029" s="507"/>
      <c r="D1029" s="508"/>
    </row>
    <row r="1030" spans="2:4" hidden="1" outlineLevel="2">
      <c r="B1030" s="1214"/>
      <c r="C1030" s="507"/>
      <c r="D1030" s="508"/>
    </row>
    <row r="1031" spans="2:4" hidden="1" outlineLevel="2">
      <c r="B1031" s="1214"/>
      <c r="C1031" s="507"/>
      <c r="D1031" s="508"/>
    </row>
    <row r="1032" spans="2:4" hidden="1" outlineLevel="2">
      <c r="B1032" s="1214"/>
      <c r="C1032" s="507"/>
      <c r="D1032" s="508"/>
    </row>
    <row r="1033" spans="2:4" hidden="1" outlineLevel="2">
      <c r="B1033" s="1214"/>
      <c r="C1033" s="507"/>
      <c r="D1033" s="508"/>
    </row>
    <row r="1034" spans="2:4" hidden="1" outlineLevel="1">
      <c r="B1034" s="1214"/>
      <c r="C1034" s="507"/>
      <c r="D1034" s="508"/>
    </row>
    <row r="1035" spans="2:4" hidden="1" outlineLevel="2">
      <c r="B1035" s="1214"/>
      <c r="C1035" s="507"/>
      <c r="D1035" s="508"/>
    </row>
    <row r="1036" spans="2:4" hidden="1" outlineLevel="2">
      <c r="B1036" s="1214"/>
      <c r="C1036" s="507"/>
      <c r="D1036" s="508"/>
    </row>
    <row r="1037" spans="2:4" hidden="1" outlineLevel="2">
      <c r="B1037" s="1214"/>
      <c r="C1037" s="507"/>
      <c r="D1037" s="508"/>
    </row>
    <row r="1038" spans="2:4" hidden="1" outlineLevel="2">
      <c r="B1038" s="1214"/>
      <c r="C1038" s="507"/>
      <c r="D1038" s="508"/>
    </row>
    <row r="1039" spans="2:4" hidden="1" outlineLevel="2">
      <c r="B1039" s="1214"/>
      <c r="C1039" s="507"/>
      <c r="D1039" s="508"/>
    </row>
    <row r="1040" spans="2:4" hidden="1" outlineLevel="2">
      <c r="B1040" s="1214"/>
      <c r="C1040" s="507"/>
      <c r="D1040" s="508"/>
    </row>
    <row r="1041" spans="2:4" hidden="1" outlineLevel="2">
      <c r="B1041" s="1214"/>
      <c r="C1041" s="507"/>
      <c r="D1041" s="508"/>
    </row>
    <row r="1042" spans="2:4" hidden="1" outlineLevel="2">
      <c r="B1042" s="1214"/>
      <c r="C1042" s="507"/>
      <c r="D1042" s="508"/>
    </row>
    <row r="1043" spans="2:4" hidden="1" outlineLevel="2">
      <c r="B1043" s="1214"/>
      <c r="C1043" s="507"/>
      <c r="D1043" s="508"/>
    </row>
    <row r="1044" spans="2:4" hidden="1" outlineLevel="1">
      <c r="B1044" s="1214"/>
      <c r="C1044" s="507"/>
      <c r="D1044" s="508"/>
    </row>
    <row r="1045" spans="2:4" hidden="1" outlineLevel="2">
      <c r="B1045" s="1214"/>
      <c r="C1045" s="507"/>
      <c r="D1045" s="508"/>
    </row>
    <row r="1046" spans="2:4" hidden="1" outlineLevel="2">
      <c r="B1046" s="1214"/>
      <c r="C1046" s="507"/>
      <c r="D1046" s="508"/>
    </row>
    <row r="1047" spans="2:4" hidden="1" outlineLevel="2">
      <c r="B1047" s="1214"/>
      <c r="C1047" s="507"/>
      <c r="D1047" s="508"/>
    </row>
    <row r="1048" spans="2:4" hidden="1" outlineLevel="2">
      <c r="B1048" s="1214"/>
      <c r="C1048" s="507"/>
      <c r="D1048" s="508"/>
    </row>
    <row r="1049" spans="2:4" hidden="1" outlineLevel="2">
      <c r="B1049" s="1214"/>
      <c r="C1049" s="507"/>
      <c r="D1049" s="508"/>
    </row>
    <row r="1050" spans="2:4" hidden="1" outlineLevel="2">
      <c r="B1050" s="1214"/>
      <c r="C1050" s="507"/>
      <c r="D1050" s="508"/>
    </row>
    <row r="1051" spans="2:4" hidden="1" outlineLevel="2">
      <c r="B1051" s="1214"/>
      <c r="C1051" s="507"/>
      <c r="D1051" s="508"/>
    </row>
    <row r="1052" spans="2:4" hidden="1" outlineLevel="2">
      <c r="B1052" s="1214"/>
      <c r="C1052" s="507"/>
      <c r="D1052" s="508"/>
    </row>
    <row r="1053" spans="2:4" hidden="1" outlineLevel="2">
      <c r="B1053" s="1214"/>
      <c r="C1053" s="507"/>
      <c r="D1053" s="508"/>
    </row>
    <row r="1054" spans="2:4" hidden="1" outlineLevel="1">
      <c r="B1054" s="1214"/>
      <c r="C1054" s="507"/>
      <c r="D1054" s="508"/>
    </row>
    <row r="1055" spans="2:4" hidden="1" outlineLevel="2">
      <c r="B1055" s="1214"/>
      <c r="C1055" s="507"/>
      <c r="D1055" s="508"/>
    </row>
    <row r="1056" spans="2:4" hidden="1" outlineLevel="2">
      <c r="B1056" s="1214"/>
      <c r="C1056" s="507"/>
      <c r="D1056" s="508"/>
    </row>
    <row r="1057" spans="2:4" hidden="1" outlineLevel="2">
      <c r="B1057" s="1214"/>
      <c r="C1057" s="507"/>
      <c r="D1057" s="508"/>
    </row>
    <row r="1058" spans="2:4" hidden="1" outlineLevel="2">
      <c r="B1058" s="1214"/>
      <c r="C1058" s="507"/>
      <c r="D1058" s="508"/>
    </row>
    <row r="1059" spans="2:4" hidden="1" outlineLevel="2">
      <c r="B1059" s="1214"/>
      <c r="C1059" s="507"/>
      <c r="D1059" s="508"/>
    </row>
    <row r="1060" spans="2:4" hidden="1" outlineLevel="2">
      <c r="B1060" s="1214"/>
      <c r="C1060" s="507"/>
      <c r="D1060" s="508"/>
    </row>
    <row r="1061" spans="2:4" hidden="1" outlineLevel="2">
      <c r="B1061" s="1214"/>
      <c r="C1061" s="507"/>
      <c r="D1061" s="508"/>
    </row>
    <row r="1062" spans="2:4" hidden="1" outlineLevel="2">
      <c r="B1062" s="1214"/>
      <c r="C1062" s="507"/>
      <c r="D1062" s="508"/>
    </row>
    <row r="1063" spans="2:4" hidden="1" outlineLevel="2">
      <c r="B1063" s="1214"/>
      <c r="C1063" s="507"/>
      <c r="D1063" s="508"/>
    </row>
    <row r="1064" spans="2:4" hidden="1" outlineLevel="1">
      <c r="B1064" s="1214"/>
      <c r="C1064" s="507"/>
      <c r="D1064" s="508"/>
    </row>
    <row r="1065" spans="2:4" hidden="1" outlineLevel="2">
      <c r="B1065" s="1214"/>
      <c r="C1065" s="507"/>
      <c r="D1065" s="508"/>
    </row>
    <row r="1066" spans="2:4" hidden="1" outlineLevel="2">
      <c r="B1066" s="1214"/>
      <c r="C1066" s="507"/>
      <c r="D1066" s="508"/>
    </row>
    <row r="1067" spans="2:4" hidden="1" outlineLevel="2">
      <c r="B1067" s="1214"/>
      <c r="C1067" s="507"/>
      <c r="D1067" s="508"/>
    </row>
    <row r="1068" spans="2:4" hidden="1" outlineLevel="2">
      <c r="B1068" s="1214"/>
      <c r="C1068" s="507"/>
      <c r="D1068" s="508"/>
    </row>
    <row r="1069" spans="2:4" hidden="1" outlineLevel="2">
      <c r="B1069" s="1214"/>
      <c r="C1069" s="507"/>
      <c r="D1069" s="508"/>
    </row>
    <row r="1070" spans="2:4" hidden="1" outlineLevel="2">
      <c r="B1070" s="1214"/>
      <c r="C1070" s="507"/>
      <c r="D1070" s="508"/>
    </row>
    <row r="1071" spans="2:4" hidden="1" outlineLevel="2">
      <c r="B1071" s="1214"/>
      <c r="C1071" s="507"/>
      <c r="D1071" s="508"/>
    </row>
    <row r="1072" spans="2:4" hidden="1" outlineLevel="2">
      <c r="B1072" s="1214"/>
      <c r="C1072" s="507"/>
      <c r="D1072" s="508"/>
    </row>
    <row r="1073" spans="2:4" hidden="1" outlineLevel="2">
      <c r="B1073" s="1214"/>
      <c r="C1073" s="507"/>
      <c r="D1073" s="508"/>
    </row>
    <row r="1074" spans="2:4" hidden="1" outlineLevel="1">
      <c r="B1074" s="1214"/>
      <c r="C1074" s="507"/>
      <c r="D1074" s="508"/>
    </row>
    <row r="1075" spans="2:4" hidden="1" outlineLevel="2">
      <c r="B1075" s="1214"/>
      <c r="C1075" s="507"/>
      <c r="D1075" s="508"/>
    </row>
    <row r="1076" spans="2:4" hidden="1" outlineLevel="2">
      <c r="B1076" s="1214"/>
      <c r="C1076" s="507"/>
      <c r="D1076" s="508"/>
    </row>
    <row r="1077" spans="2:4" hidden="1" outlineLevel="2">
      <c r="B1077" s="1214"/>
      <c r="C1077" s="507"/>
      <c r="D1077" s="508"/>
    </row>
    <row r="1078" spans="2:4" hidden="1" outlineLevel="2">
      <c r="B1078" s="1214"/>
      <c r="C1078" s="507"/>
      <c r="D1078" s="508"/>
    </row>
    <row r="1079" spans="2:4" hidden="1" outlineLevel="2">
      <c r="B1079" s="1214"/>
      <c r="C1079" s="507"/>
      <c r="D1079" s="508"/>
    </row>
    <row r="1080" spans="2:4" hidden="1" outlineLevel="2">
      <c r="B1080" s="1214"/>
      <c r="C1080" s="507"/>
      <c r="D1080" s="508"/>
    </row>
    <row r="1081" spans="2:4" hidden="1" outlineLevel="2">
      <c r="B1081" s="1214"/>
      <c r="C1081" s="507"/>
      <c r="D1081" s="508"/>
    </row>
    <row r="1082" spans="2:4" hidden="1" outlineLevel="2">
      <c r="B1082" s="1214"/>
      <c r="C1082" s="507"/>
      <c r="D1082" s="508"/>
    </row>
    <row r="1083" spans="2:4" hidden="1" outlineLevel="2">
      <c r="B1083" s="1214"/>
      <c r="C1083" s="507"/>
      <c r="D1083" s="508"/>
    </row>
    <row r="1084" spans="2:4" hidden="1" outlineLevel="1">
      <c r="B1084" s="1214"/>
      <c r="C1084" s="507"/>
      <c r="D1084" s="508"/>
    </row>
    <row r="1085" spans="2:4" hidden="1" outlineLevel="2">
      <c r="B1085" s="1214"/>
      <c r="C1085" s="507"/>
      <c r="D1085" s="508"/>
    </row>
    <row r="1086" spans="2:4" hidden="1" outlineLevel="2">
      <c r="B1086" s="1214"/>
      <c r="C1086" s="507"/>
      <c r="D1086" s="508"/>
    </row>
    <row r="1087" spans="2:4" hidden="1" outlineLevel="2">
      <c r="B1087" s="1214"/>
      <c r="C1087" s="507"/>
      <c r="D1087" s="508"/>
    </row>
    <row r="1088" spans="2:4" hidden="1" outlineLevel="2">
      <c r="B1088" s="1214"/>
      <c r="C1088" s="507"/>
      <c r="D1088" s="508"/>
    </row>
    <row r="1089" spans="2:4" hidden="1" outlineLevel="2">
      <c r="B1089" s="1214"/>
      <c r="C1089" s="507"/>
      <c r="D1089" s="508"/>
    </row>
    <row r="1090" spans="2:4" hidden="1" outlineLevel="2">
      <c r="B1090" s="1214"/>
      <c r="C1090" s="507"/>
      <c r="D1090" s="508"/>
    </row>
    <row r="1091" spans="2:4" hidden="1" outlineLevel="2">
      <c r="B1091" s="1214"/>
      <c r="C1091" s="507"/>
      <c r="D1091" s="508"/>
    </row>
    <row r="1092" spans="2:4" hidden="1" outlineLevel="2">
      <c r="B1092" s="1214"/>
      <c r="C1092" s="507"/>
      <c r="D1092" s="508"/>
    </row>
    <row r="1093" spans="2:4" hidden="1" outlineLevel="2">
      <c r="B1093" s="1214"/>
      <c r="C1093" s="507"/>
      <c r="D1093" s="508"/>
    </row>
    <row r="1094" spans="2:4" hidden="1" outlineLevel="1">
      <c r="B1094" s="1214"/>
      <c r="C1094" s="507"/>
      <c r="D1094" s="508"/>
    </row>
    <row r="1095" spans="2:4" hidden="1" outlineLevel="2">
      <c r="B1095" s="1214"/>
      <c r="C1095" s="507"/>
      <c r="D1095" s="508"/>
    </row>
    <row r="1096" spans="2:4" hidden="1" outlineLevel="2">
      <c r="B1096" s="1214"/>
      <c r="C1096" s="507"/>
      <c r="D1096" s="508"/>
    </row>
    <row r="1097" spans="2:4" hidden="1" outlineLevel="2">
      <c r="B1097" s="1214"/>
      <c r="C1097" s="507"/>
      <c r="D1097" s="508"/>
    </row>
    <row r="1098" spans="2:4" hidden="1" outlineLevel="2">
      <c r="B1098" s="1214"/>
      <c r="C1098" s="507"/>
      <c r="D1098" s="508"/>
    </row>
    <row r="1099" spans="2:4" hidden="1" outlineLevel="2">
      <c r="B1099" s="1214"/>
      <c r="C1099" s="507"/>
      <c r="D1099" s="508"/>
    </row>
    <row r="1100" spans="2:4" hidden="1" outlineLevel="2">
      <c r="B1100" s="1214"/>
      <c r="C1100" s="507"/>
      <c r="D1100" s="508"/>
    </row>
    <row r="1101" spans="2:4" hidden="1" outlineLevel="2">
      <c r="B1101" s="1214"/>
      <c r="C1101" s="507"/>
      <c r="D1101" s="508"/>
    </row>
    <row r="1102" spans="2:4" hidden="1" outlineLevel="2">
      <c r="B1102" s="1214"/>
      <c r="C1102" s="507"/>
      <c r="D1102" s="508"/>
    </row>
    <row r="1103" spans="2:4" hidden="1" outlineLevel="2">
      <c r="B1103" s="1214"/>
      <c r="C1103" s="507"/>
      <c r="D1103" s="508"/>
    </row>
    <row r="1104" spans="2:4" hidden="1" outlineLevel="1">
      <c r="B1104" s="1214"/>
      <c r="C1104" s="507"/>
      <c r="D1104" s="508"/>
    </row>
    <row r="1105" spans="2:4" hidden="1" outlineLevel="2">
      <c r="B1105" s="1214"/>
      <c r="C1105" s="507"/>
      <c r="D1105" s="508"/>
    </row>
    <row r="1106" spans="2:4" hidden="1" outlineLevel="2">
      <c r="B1106" s="1214"/>
      <c r="C1106" s="507"/>
      <c r="D1106" s="508"/>
    </row>
    <row r="1107" spans="2:4" hidden="1" outlineLevel="2">
      <c r="B1107" s="1214"/>
      <c r="C1107" s="507"/>
      <c r="D1107" s="508"/>
    </row>
    <row r="1108" spans="2:4" hidden="1" outlineLevel="2">
      <c r="B1108" s="1214"/>
      <c r="C1108" s="507"/>
      <c r="D1108" s="508"/>
    </row>
    <row r="1109" spans="2:4" hidden="1" outlineLevel="2">
      <c r="B1109" s="1214"/>
      <c r="C1109" s="507"/>
      <c r="D1109" s="508"/>
    </row>
    <row r="1110" spans="2:4" hidden="1" outlineLevel="2">
      <c r="B1110" s="1214"/>
      <c r="C1110" s="507"/>
      <c r="D1110" s="508"/>
    </row>
    <row r="1111" spans="2:4" hidden="1" outlineLevel="2">
      <c r="B1111" s="1214"/>
      <c r="C1111" s="507"/>
      <c r="D1111" s="508"/>
    </row>
    <row r="1112" spans="2:4" hidden="1" outlineLevel="2">
      <c r="B1112" s="1214"/>
      <c r="C1112" s="507"/>
      <c r="D1112" s="508"/>
    </row>
    <row r="1113" spans="2:4" hidden="1" outlineLevel="2">
      <c r="B1113" s="1214"/>
      <c r="C1113" s="507"/>
      <c r="D1113" s="508"/>
    </row>
    <row r="1114" spans="2:4" hidden="1" outlineLevel="1">
      <c r="B1114" s="1214"/>
      <c r="C1114" s="507"/>
      <c r="D1114" s="508"/>
    </row>
    <row r="1115" spans="2:4" hidden="1" outlineLevel="2">
      <c r="B1115" s="1214"/>
      <c r="C1115" s="507"/>
      <c r="D1115" s="508"/>
    </row>
    <row r="1116" spans="2:4" hidden="1" outlineLevel="2">
      <c r="B1116" s="1214"/>
      <c r="C1116" s="507"/>
      <c r="D1116" s="508"/>
    </row>
    <row r="1117" spans="2:4" hidden="1" outlineLevel="2">
      <c r="B1117" s="1214"/>
      <c r="C1117" s="507"/>
      <c r="D1117" s="508"/>
    </row>
    <row r="1118" spans="2:4" hidden="1" outlineLevel="2">
      <c r="B1118" s="1214"/>
      <c r="C1118" s="507"/>
      <c r="D1118" s="508"/>
    </row>
    <row r="1119" spans="2:4" hidden="1" outlineLevel="2">
      <c r="B1119" s="1214"/>
      <c r="C1119" s="507"/>
      <c r="D1119" s="508"/>
    </row>
    <row r="1120" spans="2:4" hidden="1" outlineLevel="2">
      <c r="B1120" s="1214"/>
      <c r="C1120" s="507"/>
      <c r="D1120" s="508"/>
    </row>
    <row r="1121" spans="2:4" hidden="1" outlineLevel="2">
      <c r="B1121" s="1214"/>
      <c r="C1121" s="507"/>
      <c r="D1121" s="508"/>
    </row>
    <row r="1122" spans="2:4" hidden="1" outlineLevel="2">
      <c r="B1122" s="1214"/>
      <c r="C1122" s="507"/>
      <c r="D1122" s="508"/>
    </row>
    <row r="1123" spans="2:4" hidden="1" outlineLevel="2">
      <c r="B1123" s="1214"/>
      <c r="C1123" s="507"/>
      <c r="D1123" s="508"/>
    </row>
    <row r="1124" spans="2:4" hidden="1" outlineLevel="1">
      <c r="B1124" s="1214"/>
      <c r="C1124" s="507"/>
      <c r="D1124" s="508"/>
    </row>
    <row r="1125" spans="2:4" hidden="1" outlineLevel="2">
      <c r="B1125" s="1214"/>
      <c r="C1125" s="507"/>
      <c r="D1125" s="508"/>
    </row>
    <row r="1126" spans="2:4" hidden="1" outlineLevel="2">
      <c r="B1126" s="1214"/>
      <c r="C1126" s="507"/>
      <c r="D1126" s="508"/>
    </row>
    <row r="1127" spans="2:4" hidden="1" outlineLevel="2">
      <c r="B1127" s="1214"/>
      <c r="C1127" s="507"/>
      <c r="D1127" s="508"/>
    </row>
    <row r="1128" spans="2:4" hidden="1" outlineLevel="2">
      <c r="B1128" s="1214"/>
      <c r="C1128" s="507"/>
      <c r="D1128" s="508"/>
    </row>
    <row r="1129" spans="2:4" hidden="1" outlineLevel="2">
      <c r="B1129" s="1214"/>
      <c r="C1129" s="507"/>
      <c r="D1129" s="508"/>
    </row>
    <row r="1130" spans="2:4" hidden="1" outlineLevel="2">
      <c r="B1130" s="1214"/>
      <c r="C1130" s="507"/>
      <c r="D1130" s="508"/>
    </row>
    <row r="1131" spans="2:4" hidden="1" outlineLevel="2">
      <c r="B1131" s="1214"/>
      <c r="C1131" s="507"/>
      <c r="D1131" s="508"/>
    </row>
    <row r="1132" spans="2:4" hidden="1" outlineLevel="2">
      <c r="B1132" s="1214"/>
      <c r="C1132" s="507"/>
      <c r="D1132" s="508"/>
    </row>
    <row r="1133" spans="2:4" hidden="1" outlineLevel="2">
      <c r="B1133" s="1214"/>
      <c r="C1133" s="507"/>
      <c r="D1133" s="508"/>
    </row>
    <row r="1134" spans="2:4" hidden="1" outlineLevel="1">
      <c r="B1134" s="1214"/>
      <c r="C1134" s="507"/>
      <c r="D1134" s="508"/>
    </row>
    <row r="1135" spans="2:4" hidden="1" outlineLevel="2">
      <c r="B1135" s="1214"/>
      <c r="C1135" s="507"/>
      <c r="D1135" s="508"/>
    </row>
    <row r="1136" spans="2:4" hidden="1" outlineLevel="2">
      <c r="B1136" s="1214"/>
      <c r="C1136" s="507"/>
      <c r="D1136" s="508"/>
    </row>
    <row r="1137" spans="2:4" hidden="1" outlineLevel="2">
      <c r="B1137" s="1214"/>
      <c r="C1137" s="507"/>
      <c r="D1137" s="508"/>
    </row>
    <row r="1138" spans="2:4" hidden="1" outlineLevel="2">
      <c r="B1138" s="1214"/>
      <c r="C1138" s="507"/>
      <c r="D1138" s="508"/>
    </row>
    <row r="1139" spans="2:4" hidden="1" outlineLevel="2">
      <c r="B1139" s="1214"/>
      <c r="C1139" s="507"/>
      <c r="D1139" s="508"/>
    </row>
    <row r="1140" spans="2:4" hidden="1" outlineLevel="2">
      <c r="B1140" s="1214"/>
      <c r="C1140" s="507"/>
      <c r="D1140" s="508"/>
    </row>
    <row r="1141" spans="2:4" hidden="1" outlineLevel="2">
      <c r="B1141" s="1214"/>
      <c r="C1141" s="507"/>
      <c r="D1141" s="508"/>
    </row>
    <row r="1142" spans="2:4" hidden="1" outlineLevel="2">
      <c r="B1142" s="1214"/>
      <c r="C1142" s="507"/>
      <c r="D1142" s="508"/>
    </row>
    <row r="1143" spans="2:4" hidden="1" outlineLevel="2">
      <c r="B1143" s="1214"/>
      <c r="C1143" s="507"/>
      <c r="D1143" s="508"/>
    </row>
    <row r="1144" spans="2:4" hidden="1" outlineLevel="1">
      <c r="B1144" s="1214"/>
      <c r="C1144" s="507"/>
      <c r="D1144" s="508"/>
    </row>
    <row r="1145" spans="2:4" hidden="1" outlineLevel="2">
      <c r="B1145" s="1214"/>
      <c r="C1145" s="507"/>
      <c r="D1145" s="508"/>
    </row>
    <row r="1146" spans="2:4" hidden="1" outlineLevel="2">
      <c r="B1146" s="1214"/>
      <c r="C1146" s="507"/>
      <c r="D1146" s="508"/>
    </row>
    <row r="1147" spans="2:4" hidden="1" outlineLevel="2">
      <c r="B1147" s="1214"/>
      <c r="C1147" s="507"/>
      <c r="D1147" s="508"/>
    </row>
    <row r="1148" spans="2:4" hidden="1" outlineLevel="2">
      <c r="B1148" s="1214"/>
      <c r="C1148" s="507"/>
      <c r="D1148" s="508"/>
    </row>
    <row r="1149" spans="2:4" hidden="1" outlineLevel="2">
      <c r="B1149" s="1214"/>
      <c r="C1149" s="507"/>
      <c r="D1149" s="508"/>
    </row>
    <row r="1150" spans="2:4" hidden="1" outlineLevel="2">
      <c r="B1150" s="1214"/>
      <c r="C1150" s="507"/>
      <c r="D1150" s="508"/>
    </row>
    <row r="1151" spans="2:4" hidden="1" outlineLevel="2">
      <c r="B1151" s="1214"/>
      <c r="C1151" s="507"/>
      <c r="D1151" s="508"/>
    </row>
    <row r="1152" spans="2:4" hidden="1" outlineLevel="2">
      <c r="B1152" s="1214"/>
      <c r="C1152" s="507"/>
      <c r="D1152" s="508"/>
    </row>
    <row r="1153" spans="2:4" hidden="1" outlineLevel="2">
      <c r="B1153" s="1214"/>
      <c r="C1153" s="507"/>
      <c r="D1153" s="508"/>
    </row>
    <row r="1154" spans="2:4" hidden="1" outlineLevel="1">
      <c r="B1154" s="1214"/>
      <c r="C1154" s="507"/>
      <c r="D1154" s="508"/>
    </row>
    <row r="1155" spans="2:4" hidden="1" outlineLevel="2">
      <c r="B1155" s="1214"/>
      <c r="C1155" s="507"/>
      <c r="D1155" s="508"/>
    </row>
    <row r="1156" spans="2:4" hidden="1" outlineLevel="2">
      <c r="B1156" s="1214"/>
      <c r="C1156" s="507"/>
      <c r="D1156" s="508"/>
    </row>
    <row r="1157" spans="2:4" hidden="1" outlineLevel="2">
      <c r="B1157" s="1214"/>
      <c r="C1157" s="507"/>
      <c r="D1157" s="508"/>
    </row>
    <row r="1158" spans="2:4" hidden="1" outlineLevel="2">
      <c r="B1158" s="1214"/>
      <c r="C1158" s="507"/>
      <c r="D1158" s="508"/>
    </row>
    <row r="1159" spans="2:4" hidden="1" outlineLevel="2">
      <c r="B1159" s="1214"/>
      <c r="C1159" s="507"/>
      <c r="D1159" s="508"/>
    </row>
    <row r="1160" spans="2:4" hidden="1" outlineLevel="2">
      <c r="B1160" s="1214"/>
      <c r="C1160" s="507"/>
      <c r="D1160" s="508"/>
    </row>
    <row r="1161" spans="2:4" hidden="1" outlineLevel="2">
      <c r="B1161" s="1214"/>
      <c r="C1161" s="507"/>
      <c r="D1161" s="508"/>
    </row>
    <row r="1162" spans="2:4" hidden="1" outlineLevel="2">
      <c r="B1162" s="1214"/>
      <c r="C1162" s="507"/>
      <c r="D1162" s="508"/>
    </row>
    <row r="1163" spans="2:4" hidden="1" outlineLevel="2">
      <c r="B1163" s="1214"/>
      <c r="C1163" s="507"/>
      <c r="D1163" s="508"/>
    </row>
    <row r="1164" spans="2:4" hidden="1" outlineLevel="1">
      <c r="B1164" s="1214"/>
      <c r="C1164" s="507"/>
      <c r="D1164" s="508"/>
    </row>
    <row r="1165" spans="2:4" hidden="1" outlineLevel="2">
      <c r="B1165" s="1214"/>
      <c r="C1165" s="507"/>
      <c r="D1165" s="508"/>
    </row>
    <row r="1166" spans="2:4" hidden="1" outlineLevel="2">
      <c r="B1166" s="1214"/>
      <c r="C1166" s="507"/>
      <c r="D1166" s="508"/>
    </row>
    <row r="1167" spans="2:4" hidden="1" outlineLevel="2">
      <c r="B1167" s="1214"/>
      <c r="C1167" s="507"/>
      <c r="D1167" s="508"/>
    </row>
    <row r="1168" spans="2:4" hidden="1" outlineLevel="2">
      <c r="B1168" s="1214"/>
      <c r="C1168" s="507"/>
      <c r="D1168" s="508"/>
    </row>
    <row r="1169" spans="2:4" hidden="1" outlineLevel="2">
      <c r="B1169" s="1214"/>
      <c r="C1169" s="507"/>
      <c r="D1169" s="508"/>
    </row>
    <row r="1170" spans="2:4" hidden="1" outlineLevel="2">
      <c r="B1170" s="1214"/>
      <c r="C1170" s="507"/>
      <c r="D1170" s="508"/>
    </row>
    <row r="1171" spans="2:4" hidden="1" outlineLevel="2">
      <c r="B1171" s="1214"/>
      <c r="C1171" s="507"/>
      <c r="D1171" s="508"/>
    </row>
    <row r="1172" spans="2:4" hidden="1" outlineLevel="2">
      <c r="B1172" s="1214"/>
      <c r="C1172" s="507"/>
      <c r="D1172" s="508"/>
    </row>
    <row r="1173" spans="2:4" hidden="1" outlineLevel="2">
      <c r="B1173" s="1214"/>
      <c r="C1173" s="507"/>
      <c r="D1173" s="508"/>
    </row>
    <row r="1174" spans="2:4" hidden="1" outlineLevel="1">
      <c r="B1174" s="1214"/>
      <c r="C1174" s="507"/>
      <c r="D1174" s="508"/>
    </row>
    <row r="1175" spans="2:4" hidden="1" outlineLevel="2">
      <c r="B1175" s="1214"/>
      <c r="C1175" s="507"/>
      <c r="D1175" s="508"/>
    </row>
    <row r="1176" spans="2:4" hidden="1" outlineLevel="2">
      <c r="B1176" s="1214"/>
      <c r="C1176" s="507"/>
      <c r="D1176" s="508"/>
    </row>
    <row r="1177" spans="2:4" hidden="1" outlineLevel="2">
      <c r="B1177" s="1214"/>
      <c r="C1177" s="507"/>
      <c r="D1177" s="508"/>
    </row>
    <row r="1178" spans="2:4" hidden="1" outlineLevel="2">
      <c r="B1178" s="1214"/>
      <c r="C1178" s="507"/>
      <c r="D1178" s="508"/>
    </row>
    <row r="1179" spans="2:4" hidden="1" outlineLevel="2">
      <c r="B1179" s="1214"/>
      <c r="C1179" s="507"/>
      <c r="D1179" s="508"/>
    </row>
    <row r="1180" spans="2:4" hidden="1" outlineLevel="2">
      <c r="B1180" s="1214"/>
      <c r="C1180" s="507"/>
      <c r="D1180" s="508"/>
    </row>
    <row r="1181" spans="2:4" hidden="1" outlineLevel="2">
      <c r="B1181" s="1214"/>
      <c r="C1181" s="507"/>
      <c r="D1181" s="508"/>
    </row>
    <row r="1182" spans="2:4" hidden="1" outlineLevel="2">
      <c r="B1182" s="1214"/>
      <c r="C1182" s="507"/>
      <c r="D1182" s="508"/>
    </row>
    <row r="1183" spans="2:4" hidden="1" outlineLevel="2">
      <c r="B1183" s="1214"/>
      <c r="C1183" s="507"/>
      <c r="D1183" s="508"/>
    </row>
    <row r="1184" spans="2:4" hidden="1" outlineLevel="1">
      <c r="B1184" s="1214"/>
      <c r="C1184" s="507"/>
      <c r="D1184" s="508"/>
    </row>
    <row r="1185" spans="2:4" hidden="1" outlineLevel="2">
      <c r="B1185" s="1214"/>
      <c r="C1185" s="507"/>
      <c r="D1185" s="508"/>
    </row>
    <row r="1186" spans="2:4" hidden="1" outlineLevel="2">
      <c r="B1186" s="1214"/>
      <c r="C1186" s="507"/>
      <c r="D1186" s="508"/>
    </row>
    <row r="1187" spans="2:4" hidden="1" outlineLevel="2">
      <c r="B1187" s="1214"/>
      <c r="C1187" s="507"/>
      <c r="D1187" s="508"/>
    </row>
    <row r="1188" spans="2:4" hidden="1" outlineLevel="2">
      <c r="B1188" s="1214"/>
      <c r="C1188" s="507"/>
      <c r="D1188" s="508"/>
    </row>
    <row r="1189" spans="2:4" hidden="1" outlineLevel="2">
      <c r="B1189" s="1214"/>
      <c r="C1189" s="507"/>
      <c r="D1189" s="508"/>
    </row>
    <row r="1190" spans="2:4" hidden="1" outlineLevel="2">
      <c r="B1190" s="1214"/>
      <c r="C1190" s="507"/>
      <c r="D1190" s="508"/>
    </row>
    <row r="1191" spans="2:4" hidden="1" outlineLevel="2">
      <c r="B1191" s="1214"/>
      <c r="C1191" s="507"/>
      <c r="D1191" s="508"/>
    </row>
    <row r="1192" spans="2:4" hidden="1" outlineLevel="2">
      <c r="B1192" s="1214"/>
      <c r="C1192" s="507"/>
      <c r="D1192" s="508"/>
    </row>
    <row r="1193" spans="2:4" hidden="1" outlineLevel="2">
      <c r="B1193" s="1214"/>
      <c r="C1193" s="507"/>
      <c r="D1193" s="508"/>
    </row>
    <row r="1194" spans="2:4" hidden="1" outlineLevel="1">
      <c r="B1194" s="1214"/>
      <c r="C1194" s="507"/>
      <c r="D1194" s="508"/>
    </row>
    <row r="1195" spans="2:4" hidden="1" outlineLevel="2">
      <c r="B1195" s="1214"/>
      <c r="C1195" s="507"/>
      <c r="D1195" s="508"/>
    </row>
    <row r="1196" spans="2:4" hidden="1" outlineLevel="2">
      <c r="B1196" s="1214"/>
      <c r="C1196" s="507"/>
      <c r="D1196" s="508"/>
    </row>
    <row r="1197" spans="2:4" hidden="1" outlineLevel="2">
      <c r="B1197" s="1214"/>
      <c r="C1197" s="507"/>
      <c r="D1197" s="508"/>
    </row>
    <row r="1198" spans="2:4" hidden="1" outlineLevel="2">
      <c r="B1198" s="1214"/>
      <c r="C1198" s="507"/>
      <c r="D1198" s="508"/>
    </row>
    <row r="1199" spans="2:4" hidden="1" outlineLevel="2">
      <c r="B1199" s="1214"/>
      <c r="C1199" s="507"/>
      <c r="D1199" s="508"/>
    </row>
    <row r="1200" spans="2:4" hidden="1" outlineLevel="2">
      <c r="B1200" s="1214"/>
      <c r="C1200" s="507"/>
      <c r="D1200" s="508"/>
    </row>
    <row r="1201" spans="2:4" hidden="1" outlineLevel="2">
      <c r="B1201" s="1214"/>
      <c r="C1201" s="507"/>
      <c r="D1201" s="508"/>
    </row>
    <row r="1202" spans="2:4" hidden="1" outlineLevel="2">
      <c r="B1202" s="1214"/>
      <c r="C1202" s="507"/>
      <c r="D1202" s="508"/>
    </row>
    <row r="1203" spans="2:4" hidden="1" outlineLevel="2">
      <c r="B1203" s="1214"/>
      <c r="C1203" s="507"/>
      <c r="D1203" s="508"/>
    </row>
    <row r="1204" spans="2:4" hidden="1" outlineLevel="1">
      <c r="B1204" s="1214"/>
      <c r="C1204" s="507"/>
      <c r="D1204" s="508"/>
    </row>
    <row r="1205" spans="2:4" hidden="1" outlineLevel="2">
      <c r="B1205" s="1214"/>
      <c r="C1205" s="507"/>
      <c r="D1205" s="508"/>
    </row>
    <row r="1206" spans="2:4" hidden="1" outlineLevel="2">
      <c r="B1206" s="1214"/>
      <c r="C1206" s="507"/>
      <c r="D1206" s="508"/>
    </row>
    <row r="1207" spans="2:4" hidden="1" outlineLevel="2">
      <c r="B1207" s="1214"/>
      <c r="C1207" s="507"/>
      <c r="D1207" s="508"/>
    </row>
    <row r="1208" spans="2:4" hidden="1" outlineLevel="2">
      <c r="B1208" s="1214"/>
      <c r="C1208" s="507"/>
      <c r="D1208" s="508"/>
    </row>
    <row r="1209" spans="2:4" hidden="1" outlineLevel="2">
      <c r="B1209" s="1214"/>
      <c r="C1209" s="507"/>
      <c r="D1209" s="508"/>
    </row>
    <row r="1210" spans="2:4" hidden="1" outlineLevel="2">
      <c r="B1210" s="1214"/>
      <c r="C1210" s="507"/>
      <c r="D1210" s="508"/>
    </row>
    <row r="1211" spans="2:4" hidden="1" outlineLevel="2">
      <c r="B1211" s="1214"/>
      <c r="C1211" s="507"/>
      <c r="D1211" s="508"/>
    </row>
    <row r="1212" spans="2:4" hidden="1" outlineLevel="2">
      <c r="B1212" s="1214"/>
      <c r="C1212" s="507"/>
      <c r="D1212" s="508"/>
    </row>
    <row r="1213" spans="2:4" hidden="1" outlineLevel="2">
      <c r="B1213" s="1214"/>
      <c r="C1213" s="507"/>
      <c r="D1213" s="508"/>
    </row>
    <row r="1214" spans="2:4" hidden="1" outlineLevel="1">
      <c r="B1214" s="1214"/>
      <c r="C1214" s="507"/>
      <c r="D1214" s="508"/>
    </row>
    <row r="1215" spans="2:4" hidden="1" outlineLevel="2">
      <c r="B1215" s="1214"/>
      <c r="C1215" s="507"/>
      <c r="D1215" s="508"/>
    </row>
    <row r="1216" spans="2:4" hidden="1" outlineLevel="2">
      <c r="B1216" s="1214"/>
      <c r="C1216" s="507"/>
      <c r="D1216" s="508"/>
    </row>
    <row r="1217" spans="2:4" hidden="1" outlineLevel="2">
      <c r="B1217" s="1214"/>
      <c r="C1217" s="507"/>
      <c r="D1217" s="508"/>
    </row>
    <row r="1218" spans="2:4" hidden="1" outlineLevel="2">
      <c r="B1218" s="1214"/>
      <c r="C1218" s="507"/>
      <c r="D1218" s="508"/>
    </row>
    <row r="1219" spans="2:4" hidden="1" outlineLevel="2">
      <c r="B1219" s="1214"/>
      <c r="C1219" s="507"/>
      <c r="D1219" s="508"/>
    </row>
    <row r="1220" spans="2:4" hidden="1" outlineLevel="2">
      <c r="B1220" s="1214"/>
      <c r="C1220" s="507"/>
      <c r="D1220" s="508"/>
    </row>
    <row r="1221" spans="2:4" hidden="1" outlineLevel="2">
      <c r="B1221" s="1214"/>
      <c r="C1221" s="507"/>
      <c r="D1221" s="508"/>
    </row>
    <row r="1222" spans="2:4" hidden="1" outlineLevel="2">
      <c r="B1222" s="1214"/>
      <c r="C1222" s="507"/>
      <c r="D1222" s="508"/>
    </row>
    <row r="1223" spans="2:4" hidden="1" outlineLevel="2">
      <c r="B1223" s="1214"/>
      <c r="C1223" s="507"/>
      <c r="D1223" s="508"/>
    </row>
    <row r="1224" spans="2:4" hidden="1" outlineLevel="1">
      <c r="B1224" s="1214"/>
      <c r="C1224" s="507"/>
      <c r="D1224" s="508"/>
    </row>
    <row r="1225" spans="2:4" hidden="1" outlineLevel="2">
      <c r="B1225" s="1214"/>
      <c r="C1225" s="507"/>
      <c r="D1225" s="508"/>
    </row>
    <row r="1226" spans="2:4" hidden="1" outlineLevel="2">
      <c r="B1226" s="1214"/>
      <c r="C1226" s="507"/>
      <c r="D1226" s="508"/>
    </row>
    <row r="1227" spans="2:4" hidden="1" outlineLevel="2">
      <c r="B1227" s="1214"/>
      <c r="C1227" s="507"/>
      <c r="D1227" s="508"/>
    </row>
    <row r="1228" spans="2:4" hidden="1" outlineLevel="2">
      <c r="B1228" s="1214"/>
      <c r="C1228" s="507"/>
      <c r="D1228" s="508"/>
    </row>
    <row r="1229" spans="2:4" hidden="1" outlineLevel="2">
      <c r="B1229" s="1214"/>
      <c r="C1229" s="507"/>
      <c r="D1229" s="508"/>
    </row>
    <row r="1230" spans="2:4" hidden="1" outlineLevel="2">
      <c r="B1230" s="1214"/>
      <c r="C1230" s="507"/>
      <c r="D1230" s="508"/>
    </row>
    <row r="1231" spans="2:4" hidden="1" outlineLevel="2">
      <c r="B1231" s="1214"/>
      <c r="C1231" s="507"/>
      <c r="D1231" s="508"/>
    </row>
    <row r="1232" spans="2:4" hidden="1" outlineLevel="2">
      <c r="B1232" s="1214"/>
      <c r="C1232" s="507"/>
      <c r="D1232" s="508"/>
    </row>
    <row r="1233" spans="2:4" hidden="1" outlineLevel="2">
      <c r="B1233" s="1214"/>
      <c r="C1233" s="507"/>
      <c r="D1233" s="508"/>
    </row>
    <row r="1234" spans="2:4" hidden="1" outlineLevel="1">
      <c r="B1234" s="1214"/>
      <c r="C1234" s="507"/>
      <c r="D1234" s="508"/>
    </row>
    <row r="1235" spans="2:4" hidden="1" outlineLevel="2">
      <c r="B1235" s="1214"/>
      <c r="C1235" s="507"/>
      <c r="D1235" s="508"/>
    </row>
    <row r="1236" spans="2:4" hidden="1" outlineLevel="2">
      <c r="B1236" s="1214"/>
      <c r="C1236" s="507"/>
      <c r="D1236" s="508"/>
    </row>
    <row r="1237" spans="2:4" hidden="1" outlineLevel="2">
      <c r="B1237" s="1214"/>
      <c r="C1237" s="507"/>
      <c r="D1237" s="508"/>
    </row>
    <row r="1238" spans="2:4" hidden="1" outlineLevel="2">
      <c r="B1238" s="1214"/>
      <c r="C1238" s="507"/>
      <c r="D1238" s="508"/>
    </row>
    <row r="1239" spans="2:4" hidden="1" outlineLevel="2">
      <c r="B1239" s="1214"/>
      <c r="C1239" s="507"/>
      <c r="D1239" s="508"/>
    </row>
    <row r="1240" spans="2:4" hidden="1" outlineLevel="2">
      <c r="B1240" s="1214"/>
      <c r="C1240" s="507"/>
      <c r="D1240" s="508"/>
    </row>
    <row r="1241" spans="2:4" hidden="1" outlineLevel="2">
      <c r="B1241" s="1214"/>
      <c r="C1241" s="507"/>
      <c r="D1241" s="508"/>
    </row>
    <row r="1242" spans="2:4" hidden="1" outlineLevel="2">
      <c r="B1242" s="1214"/>
      <c r="C1242" s="507"/>
      <c r="D1242" s="508"/>
    </row>
    <row r="1243" spans="2:4" hidden="1" outlineLevel="2">
      <c r="B1243" s="1214"/>
      <c r="C1243" s="507"/>
      <c r="D1243" s="508"/>
    </row>
    <row r="1244" spans="2:4" hidden="1" outlineLevel="1">
      <c r="B1244" s="1214"/>
      <c r="C1244" s="507"/>
      <c r="D1244" s="508"/>
    </row>
    <row r="1245" spans="2:4" hidden="1" outlineLevel="2">
      <c r="B1245" s="1214"/>
      <c r="C1245" s="507"/>
      <c r="D1245" s="508"/>
    </row>
    <row r="1246" spans="2:4" hidden="1" outlineLevel="2">
      <c r="B1246" s="1214"/>
      <c r="C1246" s="507"/>
      <c r="D1246" s="508"/>
    </row>
    <row r="1247" spans="2:4" hidden="1" outlineLevel="2">
      <c r="B1247" s="1214"/>
      <c r="C1247" s="507"/>
      <c r="D1247" s="508"/>
    </row>
    <row r="1248" spans="2:4" hidden="1" outlineLevel="2">
      <c r="B1248" s="1214"/>
      <c r="C1248" s="507"/>
      <c r="D1248" s="508"/>
    </row>
    <row r="1249" spans="2:4" hidden="1" outlineLevel="2">
      <c r="B1249" s="1214"/>
      <c r="C1249" s="507"/>
      <c r="D1249" s="508"/>
    </row>
    <row r="1250" spans="2:4" hidden="1" outlineLevel="2">
      <c r="B1250" s="1214"/>
      <c r="C1250" s="507"/>
      <c r="D1250" s="508"/>
    </row>
    <row r="1251" spans="2:4" hidden="1" outlineLevel="2">
      <c r="B1251" s="1214"/>
      <c r="C1251" s="507"/>
      <c r="D1251" s="508"/>
    </row>
    <row r="1252" spans="2:4" hidden="1" outlineLevel="2">
      <c r="B1252" s="1214"/>
      <c r="C1252" s="507"/>
      <c r="D1252" s="508"/>
    </row>
    <row r="1253" spans="2:4" hidden="1" outlineLevel="2">
      <c r="B1253" s="1214"/>
      <c r="C1253" s="507"/>
      <c r="D1253" s="508"/>
    </row>
    <row r="1254" spans="2:4" hidden="1" outlineLevel="1">
      <c r="B1254" s="1214"/>
      <c r="C1254" s="507"/>
      <c r="D1254" s="508"/>
    </row>
    <row r="1255" spans="2:4" hidden="1" outlineLevel="2">
      <c r="B1255" s="1214"/>
      <c r="C1255" s="507"/>
      <c r="D1255" s="508"/>
    </row>
    <row r="1256" spans="2:4" hidden="1" outlineLevel="2">
      <c r="B1256" s="1214"/>
      <c r="C1256" s="507"/>
      <c r="D1256" s="508"/>
    </row>
    <row r="1257" spans="2:4" hidden="1" outlineLevel="2">
      <c r="B1257" s="1214"/>
      <c r="C1257" s="507"/>
      <c r="D1257" s="508"/>
    </row>
    <row r="1258" spans="2:4" hidden="1" outlineLevel="2">
      <c r="B1258" s="1214"/>
      <c r="C1258" s="507"/>
      <c r="D1258" s="508"/>
    </row>
    <row r="1259" spans="2:4" hidden="1" outlineLevel="2">
      <c r="B1259" s="1214"/>
      <c r="C1259" s="507"/>
      <c r="D1259" s="508"/>
    </row>
    <row r="1260" spans="2:4" hidden="1" outlineLevel="2">
      <c r="B1260" s="1214"/>
      <c r="C1260" s="507"/>
      <c r="D1260" s="508"/>
    </row>
    <row r="1261" spans="2:4" hidden="1" outlineLevel="2">
      <c r="B1261" s="1214"/>
      <c r="C1261" s="507"/>
      <c r="D1261" s="508"/>
    </row>
    <row r="1262" spans="2:4" hidden="1" outlineLevel="2">
      <c r="B1262" s="1214"/>
      <c r="C1262" s="507"/>
      <c r="D1262" s="508"/>
    </row>
    <row r="1263" spans="2:4" hidden="1" outlineLevel="2">
      <c r="B1263" s="1214"/>
      <c r="C1263" s="507"/>
      <c r="D1263" s="508"/>
    </row>
    <row r="1264" spans="2:4" hidden="1" outlineLevel="1">
      <c r="B1264" s="1214"/>
      <c r="C1264" s="507"/>
      <c r="D1264" s="508"/>
    </row>
    <row r="1265" spans="2:4" hidden="1" outlineLevel="2">
      <c r="B1265" s="1214"/>
      <c r="C1265" s="507"/>
      <c r="D1265" s="508"/>
    </row>
    <row r="1266" spans="2:4" hidden="1" outlineLevel="2">
      <c r="B1266" s="1214"/>
      <c r="C1266" s="507"/>
      <c r="D1266" s="508"/>
    </row>
    <row r="1267" spans="2:4" hidden="1" outlineLevel="2">
      <c r="B1267" s="1214"/>
      <c r="C1267" s="507"/>
      <c r="D1267" s="508"/>
    </row>
    <row r="1268" spans="2:4" hidden="1" outlineLevel="2">
      <c r="B1268" s="1214"/>
      <c r="C1268" s="507"/>
      <c r="D1268" s="508"/>
    </row>
    <row r="1269" spans="2:4" hidden="1" outlineLevel="2">
      <c r="B1269" s="1214"/>
      <c r="C1269" s="507"/>
      <c r="D1269" s="508"/>
    </row>
    <row r="1270" spans="2:4" hidden="1" outlineLevel="2">
      <c r="B1270" s="1214"/>
      <c r="C1270" s="507"/>
      <c r="D1270" s="508"/>
    </row>
    <row r="1271" spans="2:4" hidden="1" outlineLevel="2">
      <c r="B1271" s="1214"/>
      <c r="C1271" s="507"/>
      <c r="D1271" s="508"/>
    </row>
    <row r="1272" spans="2:4" hidden="1" outlineLevel="2">
      <c r="B1272" s="1214"/>
      <c r="C1272" s="507"/>
      <c r="D1272" s="508"/>
    </row>
    <row r="1273" spans="2:4" hidden="1" outlineLevel="2">
      <c r="B1273" s="1214"/>
      <c r="C1273" s="507"/>
      <c r="D1273" s="508"/>
    </row>
    <row r="1274" spans="2:4" hidden="1" outlineLevel="1">
      <c r="B1274" s="1214"/>
      <c r="C1274" s="507"/>
      <c r="D1274" s="508"/>
    </row>
    <row r="1275" spans="2:4" hidden="1" outlineLevel="2">
      <c r="B1275" s="1214"/>
      <c r="C1275" s="507"/>
      <c r="D1275" s="508"/>
    </row>
    <row r="1276" spans="2:4" hidden="1" outlineLevel="2">
      <c r="B1276" s="1214"/>
      <c r="C1276" s="507"/>
      <c r="D1276" s="508"/>
    </row>
    <row r="1277" spans="2:4" hidden="1" outlineLevel="2">
      <c r="B1277" s="1214"/>
      <c r="C1277" s="507"/>
      <c r="D1277" s="508"/>
    </row>
    <row r="1278" spans="2:4" hidden="1" outlineLevel="2">
      <c r="B1278" s="1214"/>
      <c r="C1278" s="507"/>
      <c r="D1278" s="508"/>
    </row>
    <row r="1279" spans="2:4" hidden="1" outlineLevel="2">
      <c r="B1279" s="1214"/>
      <c r="C1279" s="507"/>
      <c r="D1279" s="508"/>
    </row>
    <row r="1280" spans="2:4" hidden="1" outlineLevel="2">
      <c r="B1280" s="1214"/>
      <c r="C1280" s="507"/>
      <c r="D1280" s="508"/>
    </row>
    <row r="1281" spans="2:4" hidden="1" outlineLevel="2">
      <c r="B1281" s="1214"/>
      <c r="C1281" s="507"/>
      <c r="D1281" s="508"/>
    </row>
    <row r="1282" spans="2:4" hidden="1" outlineLevel="2">
      <c r="B1282" s="1214"/>
      <c r="C1282" s="507"/>
      <c r="D1282" s="508"/>
    </row>
    <row r="1283" spans="2:4" hidden="1" outlineLevel="2">
      <c r="B1283" s="1214"/>
      <c r="C1283" s="507"/>
      <c r="D1283" s="508"/>
    </row>
    <row r="1284" spans="2:4" hidden="1" outlineLevel="1">
      <c r="B1284" s="1214"/>
      <c r="C1284" s="507"/>
      <c r="D1284" s="508"/>
    </row>
    <row r="1285" spans="2:4" hidden="1" outlineLevel="2">
      <c r="B1285" s="1214"/>
      <c r="C1285" s="507"/>
      <c r="D1285" s="508"/>
    </row>
    <row r="1286" spans="2:4" hidden="1" outlineLevel="2">
      <c r="B1286" s="1214"/>
      <c r="C1286" s="507"/>
      <c r="D1286" s="508"/>
    </row>
    <row r="1287" spans="2:4" hidden="1" outlineLevel="2">
      <c r="B1287" s="1214"/>
      <c r="C1287" s="507"/>
      <c r="D1287" s="508"/>
    </row>
    <row r="1288" spans="2:4" hidden="1" outlineLevel="2">
      <c r="B1288" s="1214"/>
      <c r="C1288" s="507"/>
      <c r="D1288" s="508"/>
    </row>
    <row r="1289" spans="2:4" hidden="1" outlineLevel="2">
      <c r="B1289" s="1214"/>
      <c r="C1289" s="507"/>
      <c r="D1289" s="508"/>
    </row>
    <row r="1290" spans="2:4" hidden="1" outlineLevel="2">
      <c r="B1290" s="1214"/>
      <c r="C1290" s="507"/>
      <c r="D1290" s="508"/>
    </row>
    <row r="1291" spans="2:4" hidden="1" outlineLevel="2">
      <c r="B1291" s="1214"/>
      <c r="C1291" s="507"/>
      <c r="D1291" s="508"/>
    </row>
    <row r="1292" spans="2:4" hidden="1" outlineLevel="2">
      <c r="B1292" s="1214"/>
      <c r="C1292" s="507"/>
      <c r="D1292" s="508"/>
    </row>
    <row r="1293" spans="2:4" hidden="1" outlineLevel="2">
      <c r="B1293" s="1214"/>
      <c r="C1293" s="507"/>
      <c r="D1293" s="508"/>
    </row>
    <row r="1294" spans="2:4" hidden="1" outlineLevel="1">
      <c r="B1294" s="1214"/>
      <c r="C1294" s="507"/>
      <c r="D1294" s="508"/>
    </row>
    <row r="1295" spans="2:4" hidden="1" outlineLevel="2">
      <c r="B1295" s="1214"/>
      <c r="C1295" s="507"/>
      <c r="D1295" s="508"/>
    </row>
    <row r="1296" spans="2:4" hidden="1" outlineLevel="2">
      <c r="B1296" s="1214"/>
      <c r="C1296" s="507"/>
      <c r="D1296" s="508"/>
    </row>
    <row r="1297" spans="2:4" hidden="1" outlineLevel="2">
      <c r="B1297" s="1214"/>
      <c r="C1297" s="507"/>
      <c r="D1297" s="508"/>
    </row>
    <row r="1298" spans="2:4" hidden="1" outlineLevel="2">
      <c r="B1298" s="1214"/>
      <c r="C1298" s="507"/>
      <c r="D1298" s="508"/>
    </row>
    <row r="1299" spans="2:4" hidden="1" outlineLevel="2">
      <c r="B1299" s="1214"/>
      <c r="C1299" s="507"/>
      <c r="D1299" s="508"/>
    </row>
    <row r="1300" spans="2:4" hidden="1" outlineLevel="2">
      <c r="B1300" s="1214"/>
      <c r="C1300" s="507"/>
      <c r="D1300" s="508"/>
    </row>
    <row r="1301" spans="2:4" hidden="1" outlineLevel="2">
      <c r="B1301" s="1214"/>
      <c r="C1301" s="507"/>
      <c r="D1301" s="508"/>
    </row>
    <row r="1302" spans="2:4" hidden="1" outlineLevel="2">
      <c r="B1302" s="1214"/>
      <c r="C1302" s="507"/>
      <c r="D1302" s="508"/>
    </row>
    <row r="1303" spans="2:4" hidden="1" outlineLevel="2">
      <c r="B1303" s="1214"/>
      <c r="C1303" s="507"/>
      <c r="D1303" s="508"/>
    </row>
    <row r="1304" spans="2:4" hidden="1" outlineLevel="1">
      <c r="B1304" s="1214"/>
      <c r="C1304" s="507"/>
      <c r="D1304" s="508"/>
    </row>
    <row r="1305" spans="2:4" hidden="1" outlineLevel="2">
      <c r="B1305" s="1214"/>
      <c r="C1305" s="507"/>
      <c r="D1305" s="508"/>
    </row>
    <row r="1306" spans="2:4" hidden="1" outlineLevel="2">
      <c r="B1306" s="1214"/>
      <c r="C1306" s="507"/>
      <c r="D1306" s="508"/>
    </row>
    <row r="1307" spans="2:4" hidden="1" outlineLevel="2">
      <c r="B1307" s="1214"/>
      <c r="C1307" s="507"/>
      <c r="D1307" s="508"/>
    </row>
    <row r="1308" spans="2:4" hidden="1" outlineLevel="2">
      <c r="B1308" s="1214"/>
      <c r="C1308" s="507"/>
      <c r="D1308" s="508"/>
    </row>
    <row r="1309" spans="2:4" hidden="1" outlineLevel="2">
      <c r="B1309" s="1214"/>
      <c r="C1309" s="507"/>
      <c r="D1309" s="508"/>
    </row>
    <row r="1310" spans="2:4" hidden="1" outlineLevel="2">
      <c r="B1310" s="1214"/>
      <c r="C1310" s="507"/>
      <c r="D1310" s="508"/>
    </row>
    <row r="1311" spans="2:4" hidden="1" outlineLevel="2">
      <c r="B1311" s="1214"/>
      <c r="C1311" s="507"/>
      <c r="D1311" s="508"/>
    </row>
    <row r="1312" spans="2:4" hidden="1" outlineLevel="2">
      <c r="B1312" s="1214"/>
      <c r="C1312" s="507"/>
      <c r="D1312" s="508"/>
    </row>
    <row r="1313" spans="2:4" hidden="1" outlineLevel="2">
      <c r="B1313" s="1214"/>
      <c r="C1313" s="507"/>
      <c r="D1313" s="508"/>
    </row>
    <row r="1314" spans="2:4" hidden="1" outlineLevel="1">
      <c r="B1314" s="1214"/>
      <c r="C1314" s="507"/>
      <c r="D1314" s="508"/>
    </row>
    <row r="1315" spans="2:4" hidden="1" outlineLevel="2">
      <c r="B1315" s="1214"/>
      <c r="C1315" s="507"/>
      <c r="D1315" s="508"/>
    </row>
    <row r="1316" spans="2:4" hidden="1" outlineLevel="2">
      <c r="B1316" s="1214"/>
      <c r="C1316" s="507"/>
      <c r="D1316" s="508"/>
    </row>
    <row r="1317" spans="2:4" hidden="1" outlineLevel="2">
      <c r="B1317" s="1214"/>
      <c r="C1317" s="507"/>
      <c r="D1317" s="508"/>
    </row>
    <row r="1318" spans="2:4" hidden="1" outlineLevel="2">
      <c r="B1318" s="1214"/>
      <c r="C1318" s="507"/>
      <c r="D1318" s="508"/>
    </row>
    <row r="1319" spans="2:4" hidden="1" outlineLevel="2">
      <c r="B1319" s="1214"/>
      <c r="C1319" s="507"/>
      <c r="D1319" s="508"/>
    </row>
    <row r="1320" spans="2:4" hidden="1" outlineLevel="2">
      <c r="B1320" s="1214"/>
      <c r="C1320" s="507"/>
      <c r="D1320" s="508"/>
    </row>
    <row r="1321" spans="2:4" hidden="1" outlineLevel="2">
      <c r="B1321" s="1214"/>
      <c r="C1321" s="507"/>
      <c r="D1321" s="508"/>
    </row>
    <row r="1322" spans="2:4" hidden="1" outlineLevel="2">
      <c r="B1322" s="1214"/>
      <c r="C1322" s="507"/>
      <c r="D1322" s="508"/>
    </row>
    <row r="1323" spans="2:4" hidden="1" outlineLevel="2">
      <c r="B1323" s="1214"/>
      <c r="C1323" s="507"/>
      <c r="D1323" s="508"/>
    </row>
    <row r="1324" spans="2:4" hidden="1" outlineLevel="1">
      <c r="B1324" s="1214"/>
      <c r="C1324" s="507"/>
      <c r="D1324" s="508"/>
    </row>
    <row r="1325" spans="2:4" hidden="1" outlineLevel="2">
      <c r="B1325" s="1214"/>
      <c r="C1325" s="507"/>
      <c r="D1325" s="508"/>
    </row>
    <row r="1326" spans="2:4" hidden="1" outlineLevel="2">
      <c r="B1326" s="1214"/>
      <c r="C1326" s="507"/>
      <c r="D1326" s="508"/>
    </row>
    <row r="1327" spans="2:4" hidden="1" outlineLevel="2">
      <c r="B1327" s="1214"/>
      <c r="C1327" s="507"/>
      <c r="D1327" s="508"/>
    </row>
    <row r="1328" spans="2:4" hidden="1" outlineLevel="2">
      <c r="B1328" s="1214"/>
      <c r="C1328" s="507"/>
      <c r="D1328" s="508"/>
    </row>
    <row r="1329" spans="2:4" hidden="1" outlineLevel="2">
      <c r="B1329" s="1214"/>
      <c r="C1329" s="507"/>
      <c r="D1329" s="508"/>
    </row>
    <row r="1330" spans="2:4" hidden="1" outlineLevel="2">
      <c r="B1330" s="1214"/>
      <c r="C1330" s="507"/>
      <c r="D1330" s="508"/>
    </row>
    <row r="1331" spans="2:4" hidden="1" outlineLevel="2">
      <c r="B1331" s="1214"/>
      <c r="C1331" s="507"/>
      <c r="D1331" s="508"/>
    </row>
    <row r="1332" spans="2:4" hidden="1" outlineLevel="2">
      <c r="B1332" s="1214"/>
      <c r="C1332" s="507"/>
      <c r="D1332" s="508"/>
    </row>
    <row r="1333" spans="2:4" hidden="1" outlineLevel="2">
      <c r="B1333" s="1214"/>
      <c r="C1333" s="507"/>
      <c r="D1333" s="508"/>
    </row>
    <row r="1334" spans="2:4" hidden="1" outlineLevel="1">
      <c r="B1334" s="1214"/>
      <c r="C1334" s="507"/>
      <c r="D1334" s="508"/>
    </row>
    <row r="1335" spans="2:4" hidden="1" outlineLevel="2">
      <c r="B1335" s="1214"/>
      <c r="C1335" s="507"/>
      <c r="D1335" s="508"/>
    </row>
    <row r="1336" spans="2:4" hidden="1" outlineLevel="2">
      <c r="B1336" s="1214"/>
      <c r="C1336" s="507"/>
      <c r="D1336" s="508"/>
    </row>
    <row r="1337" spans="2:4" hidden="1" outlineLevel="2">
      <c r="B1337" s="1214"/>
      <c r="C1337" s="507"/>
      <c r="D1337" s="508"/>
    </row>
    <row r="1338" spans="2:4" hidden="1" outlineLevel="2">
      <c r="B1338" s="1214"/>
      <c r="C1338" s="507"/>
      <c r="D1338" s="508"/>
    </row>
    <row r="1339" spans="2:4" hidden="1" outlineLevel="2">
      <c r="B1339" s="1214"/>
      <c r="C1339" s="507"/>
      <c r="D1339" s="508"/>
    </row>
    <row r="1340" spans="2:4" hidden="1" outlineLevel="2">
      <c r="B1340" s="1214"/>
      <c r="C1340" s="507"/>
      <c r="D1340" s="508"/>
    </row>
    <row r="1341" spans="2:4" hidden="1" outlineLevel="2">
      <c r="B1341" s="1214"/>
      <c r="C1341" s="507"/>
      <c r="D1341" s="508"/>
    </row>
    <row r="1342" spans="2:4" hidden="1" outlineLevel="2">
      <c r="B1342" s="1214"/>
      <c r="C1342" s="507"/>
      <c r="D1342" s="508"/>
    </row>
    <row r="1343" spans="2:4" hidden="1" outlineLevel="2">
      <c r="B1343" s="1214"/>
      <c r="C1343" s="507"/>
      <c r="D1343" s="508"/>
    </row>
    <row r="1344" spans="2:4" hidden="1" outlineLevel="1">
      <c r="B1344" s="1214"/>
      <c r="C1344" s="507"/>
      <c r="D1344" s="508"/>
    </row>
    <row r="1345" spans="2:4" hidden="1" outlineLevel="2">
      <c r="B1345" s="1214"/>
      <c r="C1345" s="507"/>
      <c r="D1345" s="508"/>
    </row>
    <row r="1346" spans="2:4" hidden="1" outlineLevel="2">
      <c r="B1346" s="1214"/>
      <c r="C1346" s="507"/>
      <c r="D1346" s="508"/>
    </row>
    <row r="1347" spans="2:4" hidden="1" outlineLevel="2">
      <c r="B1347" s="1214"/>
      <c r="C1347" s="507"/>
      <c r="D1347" s="508"/>
    </row>
    <row r="1348" spans="2:4" hidden="1" outlineLevel="2">
      <c r="B1348" s="1214"/>
      <c r="C1348" s="507"/>
      <c r="D1348" s="508"/>
    </row>
    <row r="1349" spans="2:4" hidden="1" outlineLevel="2">
      <c r="B1349" s="1214"/>
      <c r="C1349" s="507"/>
      <c r="D1349" s="508"/>
    </row>
    <row r="1350" spans="2:4" hidden="1" outlineLevel="2">
      <c r="B1350" s="1214"/>
      <c r="C1350" s="507"/>
      <c r="D1350" s="508"/>
    </row>
    <row r="1351" spans="2:4" hidden="1" outlineLevel="2">
      <c r="B1351" s="1214"/>
      <c r="C1351" s="507"/>
      <c r="D1351" s="508"/>
    </row>
    <row r="1352" spans="2:4" hidden="1" outlineLevel="2">
      <c r="B1352" s="1214"/>
      <c r="C1352" s="507"/>
      <c r="D1352" s="508"/>
    </row>
    <row r="1353" spans="2:4" hidden="1" outlineLevel="2">
      <c r="B1353" s="1214"/>
      <c r="C1353" s="507"/>
      <c r="D1353" s="508"/>
    </row>
    <row r="1354" spans="2:4" hidden="1" outlineLevel="1">
      <c r="B1354" s="1214"/>
      <c r="C1354" s="507"/>
      <c r="D1354" s="508"/>
    </row>
    <row r="1355" spans="2:4" hidden="1" outlineLevel="2">
      <c r="B1355" s="1214"/>
      <c r="C1355" s="507"/>
      <c r="D1355" s="508"/>
    </row>
    <row r="1356" spans="2:4" hidden="1" outlineLevel="2">
      <c r="B1356" s="1214"/>
      <c r="C1356" s="507"/>
      <c r="D1356" s="508"/>
    </row>
    <row r="1357" spans="2:4" hidden="1" outlineLevel="2">
      <c r="B1357" s="1214"/>
      <c r="C1357" s="507"/>
      <c r="D1357" s="508"/>
    </row>
    <row r="1358" spans="2:4" hidden="1" outlineLevel="2">
      <c r="B1358" s="1214"/>
      <c r="C1358" s="507"/>
      <c r="D1358" s="508"/>
    </row>
    <row r="1359" spans="2:4" hidden="1" outlineLevel="2">
      <c r="B1359" s="1214"/>
      <c r="C1359" s="507"/>
      <c r="D1359" s="508"/>
    </row>
    <row r="1360" spans="2:4" hidden="1" outlineLevel="2">
      <c r="B1360" s="1214"/>
      <c r="C1360" s="507"/>
      <c r="D1360" s="508"/>
    </row>
    <row r="1361" spans="2:4" hidden="1" outlineLevel="2">
      <c r="B1361" s="1214"/>
      <c r="C1361" s="507"/>
      <c r="D1361" s="508"/>
    </row>
    <row r="1362" spans="2:4" hidden="1" outlineLevel="2">
      <c r="B1362" s="1214"/>
      <c r="C1362" s="507"/>
      <c r="D1362" s="508"/>
    </row>
    <row r="1363" spans="2:4" hidden="1" outlineLevel="2">
      <c r="B1363" s="1214"/>
      <c r="C1363" s="507"/>
      <c r="D1363" s="508"/>
    </row>
    <row r="1364" spans="2:4" hidden="1" outlineLevel="1">
      <c r="B1364" s="1214"/>
      <c r="C1364" s="507"/>
      <c r="D1364" s="508"/>
    </row>
    <row r="1365" spans="2:4" hidden="1" outlineLevel="2">
      <c r="B1365" s="1214"/>
      <c r="C1365" s="507"/>
      <c r="D1365" s="508"/>
    </row>
    <row r="1366" spans="2:4" hidden="1" outlineLevel="2">
      <c r="B1366" s="1214"/>
      <c r="C1366" s="507"/>
      <c r="D1366" s="508"/>
    </row>
    <row r="1367" spans="2:4" hidden="1" outlineLevel="2">
      <c r="B1367" s="1214"/>
      <c r="C1367" s="507"/>
      <c r="D1367" s="508"/>
    </row>
    <row r="1368" spans="2:4" hidden="1" outlineLevel="2">
      <c r="B1368" s="1214"/>
      <c r="C1368" s="507"/>
      <c r="D1368" s="508"/>
    </row>
    <row r="1369" spans="2:4" hidden="1" outlineLevel="2">
      <c r="B1369" s="1214"/>
      <c r="C1369" s="507"/>
      <c r="D1369" s="508"/>
    </row>
    <row r="1370" spans="2:4" hidden="1" outlineLevel="2">
      <c r="B1370" s="1214"/>
      <c r="C1370" s="507"/>
      <c r="D1370" s="508"/>
    </row>
    <row r="1371" spans="2:4" hidden="1" outlineLevel="2">
      <c r="B1371" s="1214"/>
      <c r="C1371" s="507"/>
      <c r="D1371" s="508"/>
    </row>
    <row r="1372" spans="2:4" hidden="1" outlineLevel="2">
      <c r="B1372" s="1214"/>
      <c r="C1372" s="507"/>
      <c r="D1372" s="508"/>
    </row>
    <row r="1373" spans="2:4" hidden="1" outlineLevel="2">
      <c r="B1373" s="1214"/>
      <c r="C1373" s="507"/>
      <c r="D1373" s="508"/>
    </row>
    <row r="1374" spans="2:4" hidden="1" outlineLevel="1">
      <c r="B1374" s="1214"/>
      <c r="C1374" s="507"/>
      <c r="D1374" s="508"/>
    </row>
    <row r="1375" spans="2:4" hidden="1" outlineLevel="2">
      <c r="B1375" s="1214"/>
      <c r="C1375" s="507"/>
      <c r="D1375" s="508"/>
    </row>
    <row r="1376" spans="2:4" hidden="1" outlineLevel="2">
      <c r="B1376" s="1214"/>
      <c r="C1376" s="507"/>
      <c r="D1376" s="508"/>
    </row>
    <row r="1377" spans="2:4" hidden="1" outlineLevel="2">
      <c r="B1377" s="1214"/>
      <c r="C1377" s="507"/>
      <c r="D1377" s="508"/>
    </row>
    <row r="1378" spans="2:4" hidden="1" outlineLevel="2">
      <c r="B1378" s="1214"/>
      <c r="C1378" s="507"/>
      <c r="D1378" s="508"/>
    </row>
    <row r="1379" spans="2:4" hidden="1" outlineLevel="2">
      <c r="B1379" s="1214"/>
      <c r="C1379" s="507"/>
      <c r="D1379" s="508"/>
    </row>
    <row r="1380" spans="2:4" hidden="1" outlineLevel="2">
      <c r="B1380" s="1214"/>
      <c r="C1380" s="507"/>
      <c r="D1380" s="508"/>
    </row>
    <row r="1381" spans="2:4" hidden="1" outlineLevel="2">
      <c r="B1381" s="1214"/>
      <c r="C1381" s="507"/>
      <c r="D1381" s="508"/>
    </row>
    <row r="1382" spans="2:4" hidden="1" outlineLevel="2">
      <c r="B1382" s="1214"/>
      <c r="C1382" s="507"/>
      <c r="D1382" s="508"/>
    </row>
    <row r="1383" spans="2:4" hidden="1" outlineLevel="2">
      <c r="B1383" s="1214"/>
      <c r="C1383" s="507"/>
      <c r="D1383" s="508"/>
    </row>
    <row r="1384" spans="2:4" hidden="1" outlineLevel="1">
      <c r="B1384" s="1214"/>
      <c r="C1384" s="507"/>
      <c r="D1384" s="508"/>
    </row>
    <row r="1385" spans="2:4" hidden="1" outlineLevel="2">
      <c r="B1385" s="1214"/>
      <c r="C1385" s="507"/>
      <c r="D1385" s="508"/>
    </row>
    <row r="1386" spans="2:4" hidden="1" outlineLevel="2">
      <c r="B1386" s="1214"/>
      <c r="C1386" s="507"/>
      <c r="D1386" s="508"/>
    </row>
    <row r="1387" spans="2:4" hidden="1" outlineLevel="2">
      <c r="B1387" s="1214"/>
      <c r="C1387" s="507"/>
      <c r="D1387" s="508"/>
    </row>
    <row r="1388" spans="2:4" hidden="1" outlineLevel="2">
      <c r="B1388" s="1214"/>
      <c r="C1388" s="507"/>
      <c r="D1388" s="508"/>
    </row>
    <row r="1389" spans="2:4" hidden="1" outlineLevel="2">
      <c r="B1389" s="1214"/>
      <c r="C1389" s="507"/>
      <c r="D1389" s="508"/>
    </row>
    <row r="1390" spans="2:4" hidden="1" outlineLevel="2">
      <c r="B1390" s="1214"/>
      <c r="C1390" s="507"/>
      <c r="D1390" s="508"/>
    </row>
    <row r="1391" spans="2:4" hidden="1" outlineLevel="2">
      <c r="B1391" s="1214"/>
      <c r="C1391" s="507"/>
      <c r="D1391" s="508"/>
    </row>
    <row r="1392" spans="2:4" hidden="1" outlineLevel="2">
      <c r="B1392" s="1214"/>
      <c r="C1392" s="507"/>
      <c r="D1392" s="508"/>
    </row>
    <row r="1393" spans="2:4" hidden="1" outlineLevel="2">
      <c r="B1393" s="1214"/>
      <c r="C1393" s="507"/>
      <c r="D1393" s="508"/>
    </row>
    <row r="1394" spans="2:4" hidden="1" outlineLevel="1">
      <c r="B1394" s="1214"/>
      <c r="C1394" s="507"/>
      <c r="D1394" s="508"/>
    </row>
    <row r="1395" spans="2:4" hidden="1" outlineLevel="2">
      <c r="B1395" s="1214"/>
      <c r="C1395" s="507"/>
      <c r="D1395" s="508"/>
    </row>
    <row r="1396" spans="2:4" hidden="1" outlineLevel="2">
      <c r="B1396" s="1214"/>
      <c r="C1396" s="507"/>
      <c r="D1396" s="508"/>
    </row>
    <row r="1397" spans="2:4" hidden="1" outlineLevel="2">
      <c r="B1397" s="1214"/>
      <c r="C1397" s="507"/>
      <c r="D1397" s="508"/>
    </row>
    <row r="1398" spans="2:4" hidden="1" outlineLevel="2">
      <c r="B1398" s="1214"/>
      <c r="C1398" s="507"/>
      <c r="D1398" s="508"/>
    </row>
    <row r="1399" spans="2:4" hidden="1" outlineLevel="2">
      <c r="B1399" s="1214"/>
      <c r="C1399" s="507"/>
      <c r="D1399" s="508"/>
    </row>
    <row r="1400" spans="2:4" hidden="1" outlineLevel="2">
      <c r="B1400" s="1214"/>
      <c r="C1400" s="507"/>
      <c r="D1400" s="508"/>
    </row>
    <row r="1401" spans="2:4" hidden="1" outlineLevel="2">
      <c r="B1401" s="1214"/>
      <c r="C1401" s="507"/>
      <c r="D1401" s="508"/>
    </row>
    <row r="1402" spans="2:4" hidden="1" outlineLevel="2">
      <c r="B1402" s="1214"/>
      <c r="C1402" s="507"/>
      <c r="D1402" s="508"/>
    </row>
    <row r="1403" spans="2:4" hidden="1" outlineLevel="2">
      <c r="B1403" s="1214"/>
      <c r="C1403" s="507"/>
      <c r="D1403" s="508"/>
    </row>
    <row r="1404" spans="2:4" hidden="1" outlineLevel="1">
      <c r="B1404" s="1214"/>
      <c r="C1404" s="507"/>
      <c r="D1404" s="508"/>
    </row>
    <row r="1405" spans="2:4" hidden="1" outlineLevel="2">
      <c r="B1405" s="1214"/>
      <c r="C1405" s="507"/>
      <c r="D1405" s="508"/>
    </row>
    <row r="1406" spans="2:4" hidden="1" outlineLevel="2">
      <c r="B1406" s="1214"/>
      <c r="C1406" s="507"/>
      <c r="D1406" s="508"/>
    </row>
    <row r="1407" spans="2:4" hidden="1" outlineLevel="2">
      <c r="B1407" s="1214"/>
      <c r="C1407" s="507"/>
      <c r="D1407" s="508"/>
    </row>
    <row r="1408" spans="2:4" hidden="1" outlineLevel="2">
      <c r="B1408" s="1214"/>
      <c r="C1408" s="507"/>
      <c r="D1408" s="508"/>
    </row>
    <row r="1409" spans="2:4" hidden="1" outlineLevel="2">
      <c r="B1409" s="1214"/>
      <c r="C1409" s="507"/>
      <c r="D1409" s="508"/>
    </row>
    <row r="1410" spans="2:4" hidden="1" outlineLevel="2">
      <c r="B1410" s="1214"/>
      <c r="C1410" s="507"/>
      <c r="D1410" s="508"/>
    </row>
    <row r="1411" spans="2:4" hidden="1" outlineLevel="2">
      <c r="B1411" s="1214"/>
      <c r="C1411" s="507"/>
      <c r="D1411" s="508"/>
    </row>
    <row r="1412" spans="2:4" hidden="1" outlineLevel="2">
      <c r="B1412" s="1214"/>
      <c r="C1412" s="507"/>
      <c r="D1412" s="508"/>
    </row>
    <row r="1413" spans="2:4" hidden="1" outlineLevel="2">
      <c r="B1413" s="1214"/>
      <c r="C1413" s="507"/>
      <c r="D1413" s="508"/>
    </row>
    <row r="1414" spans="2:4" hidden="1" outlineLevel="1">
      <c r="B1414" s="1214"/>
      <c r="C1414" s="507"/>
      <c r="D1414" s="508"/>
    </row>
    <row r="1415" spans="2:4" hidden="1" outlineLevel="2">
      <c r="B1415" s="1214"/>
      <c r="C1415" s="507"/>
      <c r="D1415" s="508"/>
    </row>
    <row r="1416" spans="2:4" hidden="1" outlineLevel="2">
      <c r="B1416" s="1214"/>
      <c r="C1416" s="507"/>
      <c r="D1416" s="508"/>
    </row>
    <row r="1417" spans="2:4" hidden="1" outlineLevel="2">
      <c r="B1417" s="1214"/>
      <c r="C1417" s="507"/>
      <c r="D1417" s="508"/>
    </row>
    <row r="1418" spans="2:4" hidden="1" outlineLevel="2">
      <c r="B1418" s="1214"/>
      <c r="C1418" s="507"/>
      <c r="D1418" s="508"/>
    </row>
    <row r="1419" spans="2:4" hidden="1" outlineLevel="2">
      <c r="B1419" s="1214"/>
      <c r="C1419" s="507"/>
      <c r="D1419" s="508"/>
    </row>
    <row r="1420" spans="2:4" hidden="1" outlineLevel="2">
      <c r="B1420" s="1214"/>
      <c r="C1420" s="507"/>
      <c r="D1420" s="508"/>
    </row>
    <row r="1421" spans="2:4" hidden="1" outlineLevel="2">
      <c r="B1421" s="1214"/>
      <c r="C1421" s="507"/>
      <c r="D1421" s="508"/>
    </row>
    <row r="1422" spans="2:4" hidden="1" outlineLevel="2">
      <c r="B1422" s="1214"/>
      <c r="C1422" s="507"/>
      <c r="D1422" s="508"/>
    </row>
    <row r="1423" spans="2:4" hidden="1" outlineLevel="2">
      <c r="B1423" s="1214"/>
      <c r="C1423" s="507"/>
      <c r="D1423" s="508"/>
    </row>
    <row r="1424" spans="2:4" hidden="1" outlineLevel="1">
      <c r="B1424" s="1214"/>
      <c r="C1424" s="507"/>
      <c r="D1424" s="508"/>
    </row>
    <row r="1425" spans="2:4" hidden="1" outlineLevel="2">
      <c r="B1425" s="1214"/>
      <c r="C1425" s="507"/>
      <c r="D1425" s="508"/>
    </row>
    <row r="1426" spans="2:4" hidden="1" outlineLevel="2">
      <c r="B1426" s="1214"/>
      <c r="C1426" s="507"/>
      <c r="D1426" s="508"/>
    </row>
    <row r="1427" spans="2:4" hidden="1" outlineLevel="2">
      <c r="B1427" s="1214"/>
      <c r="C1427" s="507"/>
      <c r="D1427" s="508"/>
    </row>
    <row r="1428" spans="2:4" hidden="1" outlineLevel="2">
      <c r="B1428" s="1214"/>
      <c r="C1428" s="507"/>
      <c r="D1428" s="508"/>
    </row>
    <row r="1429" spans="2:4" hidden="1" outlineLevel="2">
      <c r="B1429" s="1214"/>
      <c r="C1429" s="507"/>
      <c r="D1429" s="508"/>
    </row>
    <row r="1430" spans="2:4" hidden="1" outlineLevel="2">
      <c r="B1430" s="1214"/>
      <c r="C1430" s="507"/>
      <c r="D1430" s="508"/>
    </row>
    <row r="1431" spans="2:4" hidden="1" outlineLevel="2">
      <c r="B1431" s="1214"/>
      <c r="C1431" s="507"/>
      <c r="D1431" s="508"/>
    </row>
    <row r="1432" spans="2:4" hidden="1" outlineLevel="2">
      <c r="B1432" s="1214"/>
      <c r="C1432" s="507"/>
      <c r="D1432" s="508"/>
    </row>
    <row r="1433" spans="2:4" hidden="1" outlineLevel="2">
      <c r="B1433" s="1214"/>
      <c r="C1433" s="507"/>
      <c r="D1433" s="508"/>
    </row>
    <row r="1434" spans="2:4" hidden="1" outlineLevel="1">
      <c r="B1434" s="1214"/>
      <c r="C1434" s="507"/>
      <c r="D1434" s="508"/>
    </row>
    <row r="1435" spans="2:4" hidden="1" outlineLevel="2">
      <c r="B1435" s="1214"/>
      <c r="C1435" s="507"/>
      <c r="D1435" s="508"/>
    </row>
    <row r="1436" spans="2:4" hidden="1" outlineLevel="2">
      <c r="B1436" s="1214"/>
      <c r="C1436" s="507"/>
      <c r="D1436" s="508"/>
    </row>
    <row r="1437" spans="2:4" hidden="1" outlineLevel="2">
      <c r="B1437" s="1214"/>
      <c r="C1437" s="507"/>
      <c r="D1437" s="508"/>
    </row>
    <row r="1438" spans="2:4" hidden="1" outlineLevel="2">
      <c r="B1438" s="1214"/>
      <c r="C1438" s="507"/>
      <c r="D1438" s="508"/>
    </row>
    <row r="1439" spans="2:4" hidden="1" outlineLevel="2">
      <c r="B1439" s="1214"/>
      <c r="C1439" s="507"/>
      <c r="D1439" s="508"/>
    </row>
    <row r="1440" spans="2:4" hidden="1" outlineLevel="2">
      <c r="B1440" s="1214"/>
      <c r="C1440" s="507"/>
      <c r="D1440" s="508"/>
    </row>
    <row r="1441" spans="2:4" hidden="1" outlineLevel="2">
      <c r="B1441" s="1214"/>
      <c r="C1441" s="507"/>
      <c r="D1441" s="508"/>
    </row>
    <row r="1442" spans="2:4" hidden="1" outlineLevel="2">
      <c r="B1442" s="1214"/>
      <c r="C1442" s="507"/>
      <c r="D1442" s="508"/>
    </row>
    <row r="1443" spans="2:4" hidden="1" outlineLevel="2">
      <c r="B1443" s="1214"/>
      <c r="C1443" s="507"/>
      <c r="D1443" s="508"/>
    </row>
    <row r="1444" spans="2:4" hidden="1" outlineLevel="1">
      <c r="B1444" s="1214"/>
      <c r="C1444" s="507"/>
      <c r="D1444" s="508"/>
    </row>
    <row r="1445" spans="2:4" hidden="1" outlineLevel="2">
      <c r="B1445" s="1214"/>
      <c r="C1445" s="507"/>
      <c r="D1445" s="508"/>
    </row>
    <row r="1446" spans="2:4" hidden="1" outlineLevel="2">
      <c r="B1446" s="1214"/>
      <c r="C1446" s="507"/>
      <c r="D1446" s="508"/>
    </row>
    <row r="1447" spans="2:4" hidden="1" outlineLevel="2">
      <c r="B1447" s="1214"/>
      <c r="C1447" s="507"/>
      <c r="D1447" s="508"/>
    </row>
    <row r="1448" spans="2:4" hidden="1" outlineLevel="2">
      <c r="B1448" s="1214"/>
      <c r="C1448" s="507"/>
      <c r="D1448" s="508"/>
    </row>
    <row r="1449" spans="2:4" hidden="1" outlineLevel="2">
      <c r="B1449" s="1214"/>
      <c r="C1449" s="507"/>
      <c r="D1449" s="508"/>
    </row>
    <row r="1450" spans="2:4" hidden="1" outlineLevel="2">
      <c r="B1450" s="1214"/>
      <c r="C1450" s="507"/>
      <c r="D1450" s="508"/>
    </row>
    <row r="1451" spans="2:4" hidden="1" outlineLevel="2">
      <c r="B1451" s="1214"/>
      <c r="C1451" s="507"/>
      <c r="D1451" s="508"/>
    </row>
    <row r="1452" spans="2:4" hidden="1" outlineLevel="2">
      <c r="B1452" s="1214"/>
      <c r="C1452" s="507"/>
      <c r="D1452" s="508"/>
    </row>
    <row r="1453" spans="2:4" hidden="1" outlineLevel="2">
      <c r="B1453" s="1214"/>
      <c r="C1453" s="507"/>
      <c r="D1453" s="508"/>
    </row>
    <row r="1454" spans="2:4" hidden="1" outlineLevel="1">
      <c r="B1454" s="1214"/>
      <c r="C1454" s="507"/>
      <c r="D1454" s="508"/>
    </row>
    <row r="1455" spans="2:4" hidden="1" outlineLevel="2">
      <c r="B1455" s="1214"/>
      <c r="C1455" s="507"/>
      <c r="D1455" s="508"/>
    </row>
    <row r="1456" spans="2:4" hidden="1" outlineLevel="2">
      <c r="B1456" s="1214"/>
      <c r="C1456" s="507"/>
      <c r="D1456" s="508"/>
    </row>
    <row r="1457" spans="2:4" hidden="1" outlineLevel="2">
      <c r="B1457" s="1214"/>
      <c r="C1457" s="507"/>
      <c r="D1457" s="508"/>
    </row>
    <row r="1458" spans="2:4" hidden="1" outlineLevel="2">
      <c r="B1458" s="1214"/>
      <c r="C1458" s="507"/>
      <c r="D1458" s="508"/>
    </row>
    <row r="1459" spans="2:4" hidden="1" outlineLevel="2">
      <c r="B1459" s="1214"/>
      <c r="C1459" s="507"/>
      <c r="D1459" s="508"/>
    </row>
    <row r="1460" spans="2:4" hidden="1" outlineLevel="2">
      <c r="B1460" s="1214"/>
      <c r="C1460" s="507"/>
      <c r="D1460" s="508"/>
    </row>
    <row r="1461" spans="2:4" hidden="1" outlineLevel="2">
      <c r="B1461" s="1214"/>
      <c r="C1461" s="507"/>
      <c r="D1461" s="508"/>
    </row>
    <row r="1462" spans="2:4" hidden="1" outlineLevel="2">
      <c r="B1462" s="1214"/>
      <c r="C1462" s="507"/>
      <c r="D1462" s="508"/>
    </row>
    <row r="1463" spans="2:4" hidden="1" outlineLevel="2">
      <c r="B1463" s="1214"/>
      <c r="C1463" s="507"/>
      <c r="D1463" s="508"/>
    </row>
    <row r="1464" spans="2:4" hidden="1" outlineLevel="1">
      <c r="B1464" s="1214"/>
      <c r="C1464" s="507"/>
      <c r="D1464" s="508"/>
    </row>
    <row r="1465" spans="2:4" hidden="1" outlineLevel="2">
      <c r="B1465" s="1214"/>
      <c r="C1465" s="507"/>
      <c r="D1465" s="508"/>
    </row>
    <row r="1466" spans="2:4" hidden="1" outlineLevel="2">
      <c r="B1466" s="1214"/>
      <c r="C1466" s="507"/>
      <c r="D1466" s="508"/>
    </row>
    <row r="1467" spans="2:4" hidden="1" outlineLevel="2">
      <c r="B1467" s="1214"/>
      <c r="C1467" s="507"/>
      <c r="D1467" s="508"/>
    </row>
    <row r="1468" spans="2:4" hidden="1" outlineLevel="2">
      <c r="B1468" s="1214"/>
      <c r="C1468" s="507"/>
      <c r="D1468" s="508"/>
    </row>
    <row r="1469" spans="2:4" hidden="1" outlineLevel="2">
      <c r="B1469" s="1214"/>
      <c r="C1469" s="507"/>
      <c r="D1469" s="508"/>
    </row>
    <row r="1470" spans="2:4" hidden="1" outlineLevel="2">
      <c r="B1470" s="1214"/>
      <c r="C1470" s="507"/>
      <c r="D1470" s="508"/>
    </row>
    <row r="1471" spans="2:4" hidden="1" outlineLevel="2">
      <c r="B1471" s="1214"/>
      <c r="C1471" s="507"/>
      <c r="D1471" s="508"/>
    </row>
    <row r="1472" spans="2:4" hidden="1" outlineLevel="2">
      <c r="B1472" s="1214"/>
      <c r="C1472" s="507"/>
      <c r="D1472" s="508"/>
    </row>
    <row r="1473" spans="2:4" hidden="1" outlineLevel="2">
      <c r="B1473" s="1214"/>
      <c r="C1473" s="507"/>
      <c r="D1473" s="508"/>
    </row>
    <row r="1474" spans="2:4" hidden="1" outlineLevel="1">
      <c r="B1474" s="1214"/>
      <c r="C1474" s="507"/>
      <c r="D1474" s="508"/>
    </row>
    <row r="1475" spans="2:4" hidden="1" outlineLevel="2">
      <c r="B1475" s="1214"/>
      <c r="C1475" s="507"/>
      <c r="D1475" s="508"/>
    </row>
    <row r="1476" spans="2:4" hidden="1" outlineLevel="2">
      <c r="B1476" s="1214"/>
      <c r="C1476" s="507"/>
      <c r="D1476" s="508"/>
    </row>
    <row r="1477" spans="2:4" hidden="1" outlineLevel="2">
      <c r="B1477" s="1214"/>
      <c r="C1477" s="507"/>
      <c r="D1477" s="508"/>
    </row>
    <row r="1478" spans="2:4" hidden="1" outlineLevel="2">
      <c r="B1478" s="1214"/>
      <c r="C1478" s="507"/>
      <c r="D1478" s="508"/>
    </row>
    <row r="1479" spans="2:4" hidden="1" outlineLevel="2">
      <c r="B1479" s="1214"/>
      <c r="C1479" s="507"/>
      <c r="D1479" s="508"/>
    </row>
    <row r="1480" spans="2:4" hidden="1" outlineLevel="2">
      <c r="B1480" s="1214"/>
      <c r="C1480" s="507"/>
      <c r="D1480" s="508"/>
    </row>
    <row r="1481" spans="2:4" hidden="1" outlineLevel="2">
      <c r="B1481" s="1214"/>
      <c r="C1481" s="507"/>
      <c r="D1481" s="508"/>
    </row>
    <row r="1482" spans="2:4" hidden="1" outlineLevel="2">
      <c r="B1482" s="1214"/>
      <c r="C1482" s="507"/>
      <c r="D1482" s="508"/>
    </row>
    <row r="1483" spans="2:4" hidden="1" outlineLevel="2">
      <c r="B1483" s="1214"/>
      <c r="C1483" s="507"/>
      <c r="D1483" s="508"/>
    </row>
    <row r="1484" spans="2:4" hidden="1" outlineLevel="1">
      <c r="B1484" s="1214"/>
      <c r="C1484" s="507"/>
      <c r="D1484" s="508"/>
    </row>
    <row r="1485" spans="2:4" hidden="1" outlineLevel="2">
      <c r="B1485" s="1214"/>
      <c r="C1485" s="507"/>
      <c r="D1485" s="508"/>
    </row>
    <row r="1486" spans="2:4" hidden="1" outlineLevel="2">
      <c r="B1486" s="1214"/>
      <c r="C1486" s="507"/>
      <c r="D1486" s="508"/>
    </row>
    <row r="1487" spans="2:4" hidden="1" outlineLevel="2">
      <c r="B1487" s="1214"/>
      <c r="C1487" s="507"/>
      <c r="D1487" s="508"/>
    </row>
    <row r="1488" spans="2:4" hidden="1" outlineLevel="2">
      <c r="B1488" s="1214"/>
      <c r="C1488" s="507"/>
      <c r="D1488" s="508"/>
    </row>
    <row r="1489" spans="2:4" hidden="1" outlineLevel="2">
      <c r="B1489" s="1214"/>
      <c r="C1489" s="507"/>
      <c r="D1489" s="508"/>
    </row>
    <row r="1490" spans="2:4" hidden="1" outlineLevel="2">
      <c r="B1490" s="1214"/>
      <c r="C1490" s="507"/>
      <c r="D1490" s="508"/>
    </row>
    <row r="1491" spans="2:4" hidden="1" outlineLevel="2">
      <c r="B1491" s="1214"/>
      <c r="C1491" s="507"/>
      <c r="D1491" s="508"/>
    </row>
    <row r="1492" spans="2:4" hidden="1" outlineLevel="2">
      <c r="B1492" s="1214"/>
      <c r="C1492" s="507"/>
      <c r="D1492" s="508"/>
    </row>
    <row r="1493" spans="2:4" hidden="1" outlineLevel="2">
      <c r="B1493" s="1214"/>
      <c r="C1493" s="507"/>
      <c r="D1493" s="508"/>
    </row>
    <row r="1494" spans="2:4" hidden="1" outlineLevel="1">
      <c r="B1494" s="1214"/>
      <c r="C1494" s="507"/>
      <c r="D1494" s="508"/>
    </row>
    <row r="1495" spans="2:4" hidden="1" outlineLevel="2">
      <c r="B1495" s="1214"/>
      <c r="C1495" s="507"/>
      <c r="D1495" s="508"/>
    </row>
    <row r="1496" spans="2:4" hidden="1" outlineLevel="2">
      <c r="B1496" s="1214"/>
      <c r="C1496" s="507"/>
      <c r="D1496" s="508"/>
    </row>
    <row r="1497" spans="2:4" hidden="1" outlineLevel="2">
      <c r="B1497" s="1214"/>
      <c r="C1497" s="507"/>
      <c r="D1497" s="508"/>
    </row>
    <row r="1498" spans="2:4" hidden="1" outlineLevel="2">
      <c r="B1498" s="1214"/>
      <c r="C1498" s="507"/>
      <c r="D1498" s="508"/>
    </row>
    <row r="1499" spans="2:4" hidden="1" outlineLevel="2">
      <c r="B1499" s="1214"/>
      <c r="C1499" s="507"/>
      <c r="D1499" s="508"/>
    </row>
    <row r="1500" spans="2:4" hidden="1" outlineLevel="2">
      <c r="B1500" s="1214"/>
      <c r="C1500" s="507"/>
      <c r="D1500" s="508"/>
    </row>
    <row r="1501" spans="2:4" hidden="1" outlineLevel="2">
      <c r="B1501" s="1214"/>
      <c r="C1501" s="507"/>
      <c r="D1501" s="508"/>
    </row>
    <row r="1502" spans="2:4" hidden="1" outlineLevel="2">
      <c r="B1502" s="1214"/>
      <c r="C1502" s="507"/>
      <c r="D1502" s="508"/>
    </row>
    <row r="1503" spans="2:4" hidden="1" outlineLevel="2">
      <c r="B1503" s="1214"/>
      <c r="C1503" s="507"/>
      <c r="D1503" s="508"/>
    </row>
    <row r="1504" spans="2:4" hidden="1" outlineLevel="1">
      <c r="B1504" s="1214"/>
      <c r="C1504" s="507"/>
      <c r="D1504" s="508"/>
    </row>
    <row r="1505" spans="2:4" hidden="1" outlineLevel="2">
      <c r="B1505" s="1214"/>
      <c r="C1505" s="507"/>
      <c r="D1505" s="508"/>
    </row>
    <row r="1506" spans="2:4" hidden="1" outlineLevel="2">
      <c r="B1506" s="1214"/>
      <c r="C1506" s="507"/>
      <c r="D1506" s="508"/>
    </row>
    <row r="1507" spans="2:4" hidden="1" outlineLevel="2">
      <c r="B1507" s="1214"/>
      <c r="C1507" s="507"/>
      <c r="D1507" s="508"/>
    </row>
    <row r="1508" spans="2:4" hidden="1" outlineLevel="2">
      <c r="B1508" s="1214"/>
      <c r="C1508" s="507"/>
      <c r="D1508" s="508"/>
    </row>
    <row r="1509" spans="2:4" hidden="1" outlineLevel="2">
      <c r="B1509" s="1214"/>
      <c r="C1509" s="507"/>
      <c r="D1509" s="508"/>
    </row>
    <row r="1510" spans="2:4" hidden="1" outlineLevel="2">
      <c r="B1510" s="1214"/>
      <c r="C1510" s="507"/>
      <c r="D1510" s="508"/>
    </row>
    <row r="1511" spans="2:4" hidden="1" outlineLevel="2">
      <c r="B1511" s="1214"/>
      <c r="C1511" s="507"/>
      <c r="D1511" s="508"/>
    </row>
    <row r="1512" spans="2:4" hidden="1" outlineLevel="2">
      <c r="B1512" s="1214"/>
      <c r="C1512" s="507"/>
      <c r="D1512" s="508"/>
    </row>
    <row r="1513" spans="2:4" hidden="1" outlineLevel="2">
      <c r="B1513" s="1214"/>
      <c r="C1513" s="507"/>
      <c r="D1513" s="508"/>
    </row>
    <row r="1514" spans="2:4" hidden="1" outlineLevel="1">
      <c r="B1514" s="1214"/>
      <c r="C1514" s="507"/>
      <c r="D1514" s="508"/>
    </row>
    <row r="1515" spans="2:4" hidden="1" outlineLevel="2">
      <c r="B1515" s="1214"/>
      <c r="C1515" s="507"/>
      <c r="D1515" s="508"/>
    </row>
    <row r="1516" spans="2:4" hidden="1" outlineLevel="2">
      <c r="B1516" s="1214"/>
      <c r="C1516" s="507"/>
      <c r="D1516" s="508"/>
    </row>
    <row r="1517" spans="2:4" hidden="1" outlineLevel="2">
      <c r="B1517" s="1214"/>
      <c r="C1517" s="507"/>
      <c r="D1517" s="508"/>
    </row>
    <row r="1518" spans="2:4" hidden="1" outlineLevel="2">
      <c r="B1518" s="1214"/>
      <c r="C1518" s="507"/>
      <c r="D1518" s="508"/>
    </row>
    <row r="1519" spans="2:4" hidden="1" outlineLevel="2">
      <c r="B1519" s="1214"/>
      <c r="C1519" s="507"/>
      <c r="D1519" s="508"/>
    </row>
    <row r="1520" spans="2:4" hidden="1" outlineLevel="2">
      <c r="B1520" s="1214"/>
      <c r="C1520" s="507"/>
      <c r="D1520" s="508"/>
    </row>
    <row r="1521" spans="1:10" hidden="1" outlineLevel="2">
      <c r="B1521" s="1214"/>
      <c r="C1521" s="507"/>
      <c r="D1521" s="508"/>
    </row>
    <row r="1522" spans="1:10" hidden="1" outlineLevel="2">
      <c r="B1522" s="1214"/>
      <c r="C1522" s="507"/>
      <c r="D1522" s="508"/>
    </row>
    <row r="1523" spans="1:10" ht="15" hidden="1" outlineLevel="2" thickBot="1">
      <c r="B1523" s="1214"/>
      <c r="C1523" s="507"/>
      <c r="D1523" s="508"/>
    </row>
    <row r="1524" spans="1:10" ht="15" hidden="1" outlineLevel="1" thickBot="1">
      <c r="B1524" s="506"/>
      <c r="C1524" s="488"/>
      <c r="D1524" s="489"/>
      <c r="E1524" s="43"/>
    </row>
    <row r="1525" spans="1:10" ht="79.400000000000006" customHeight="1" collapsed="1" thickBot="1">
      <c r="A1525" s="504" t="s">
        <v>1</v>
      </c>
      <c r="B1525" s="505" t="str">
        <f>template_footnote_expansion_button</f>
        <v>Click on the expansion button on the left if you need to include more footnotes</v>
      </c>
      <c r="C1525" s="503"/>
      <c r="D1525" s="491"/>
      <c r="E1525" s="490"/>
      <c r="F1525" s="490"/>
      <c r="G1525" s="490"/>
      <c r="H1525" s="490"/>
      <c r="I1525" s="490"/>
      <c r="J1525" s="490"/>
    </row>
  </sheetData>
  <sheetProtection algorithmName="SHA-512" hashValue="L8N1NCBtH2DuMXyZ3yGqPu7/oJh53ekm7KNl56GTQKnpl+B/NXpb/5x2mFIlRhJxkA1An/Bm/ewEWYy49iRdFw==" saltValue="0oZxeQgFegsLKqpdu3/kPg==" spinCount="100000" sheet="1" objects="1" scenarios="1" formatCells="0" formatColumns="0" formatRows="0" insertColumns="0" insertRows="0" insertHyperlinks="0"/>
  <mergeCells count="155">
    <mergeCell ref="B1444:B1453"/>
    <mergeCell ref="B1454:B1463"/>
    <mergeCell ref="B1464:B1473"/>
    <mergeCell ref="B1414:B1423"/>
    <mergeCell ref="B1424:B1433"/>
    <mergeCell ref="B1434:B1443"/>
    <mergeCell ref="B1504:B1513"/>
    <mergeCell ref="B1514:B1523"/>
    <mergeCell ref="B1474:B1483"/>
    <mergeCell ref="B1484:B1493"/>
    <mergeCell ref="B1494:B1503"/>
    <mergeCell ref="B1324:B1333"/>
    <mergeCell ref="B1334:B1343"/>
    <mergeCell ref="B1344:B1353"/>
    <mergeCell ref="B1294:B1303"/>
    <mergeCell ref="B1304:B1313"/>
    <mergeCell ref="B1314:B1323"/>
    <mergeCell ref="B1384:B1393"/>
    <mergeCell ref="B1394:B1403"/>
    <mergeCell ref="B1404:B1413"/>
    <mergeCell ref="B1354:B1363"/>
    <mergeCell ref="B1364:B1373"/>
    <mergeCell ref="B1374:B1383"/>
    <mergeCell ref="B1204:B1213"/>
    <mergeCell ref="B1214:B1223"/>
    <mergeCell ref="B1224:B1233"/>
    <mergeCell ref="B1174:B1183"/>
    <mergeCell ref="B1184:B1193"/>
    <mergeCell ref="B1194:B1203"/>
    <mergeCell ref="B1264:B1273"/>
    <mergeCell ref="B1274:B1283"/>
    <mergeCell ref="B1284:B1293"/>
    <mergeCell ref="B1234:B1243"/>
    <mergeCell ref="B1244:B1253"/>
    <mergeCell ref="B1254:B1263"/>
    <mergeCell ref="B1084:B1093"/>
    <mergeCell ref="B1094:B1103"/>
    <mergeCell ref="B1104:B1113"/>
    <mergeCell ref="B1054:B1063"/>
    <mergeCell ref="B1064:B1073"/>
    <mergeCell ref="B1074:B1083"/>
    <mergeCell ref="B1144:B1153"/>
    <mergeCell ref="B1154:B1163"/>
    <mergeCell ref="B1164:B1173"/>
    <mergeCell ref="B1114:B1123"/>
    <mergeCell ref="B1124:B1133"/>
    <mergeCell ref="B1134:B1143"/>
    <mergeCell ref="B964:B973"/>
    <mergeCell ref="B974:B983"/>
    <mergeCell ref="B984:B993"/>
    <mergeCell ref="B934:B943"/>
    <mergeCell ref="B944:B953"/>
    <mergeCell ref="B954:B963"/>
    <mergeCell ref="B1024:B1033"/>
    <mergeCell ref="B1034:B1043"/>
    <mergeCell ref="B1044:B1053"/>
    <mergeCell ref="B994:B1003"/>
    <mergeCell ref="B1004:B1013"/>
    <mergeCell ref="B1014:B1023"/>
    <mergeCell ref="B844:B853"/>
    <mergeCell ref="B854:B863"/>
    <mergeCell ref="B864:B873"/>
    <mergeCell ref="B814:B823"/>
    <mergeCell ref="B824:B833"/>
    <mergeCell ref="B834:B843"/>
    <mergeCell ref="B904:B913"/>
    <mergeCell ref="B914:B923"/>
    <mergeCell ref="B924:B933"/>
    <mergeCell ref="B874:B883"/>
    <mergeCell ref="B884:B893"/>
    <mergeCell ref="B894:B903"/>
    <mergeCell ref="B724:B733"/>
    <mergeCell ref="B734:B743"/>
    <mergeCell ref="B744:B753"/>
    <mergeCell ref="B694:B703"/>
    <mergeCell ref="B704:B713"/>
    <mergeCell ref="B714:B723"/>
    <mergeCell ref="B784:B793"/>
    <mergeCell ref="B794:B803"/>
    <mergeCell ref="B804:B813"/>
    <mergeCell ref="B754:B763"/>
    <mergeCell ref="B764:B773"/>
    <mergeCell ref="B774:B783"/>
    <mergeCell ref="B604:B613"/>
    <mergeCell ref="B614:B623"/>
    <mergeCell ref="B624:B633"/>
    <mergeCell ref="B574:B583"/>
    <mergeCell ref="B584:B593"/>
    <mergeCell ref="B594:B603"/>
    <mergeCell ref="B664:B673"/>
    <mergeCell ref="B674:B683"/>
    <mergeCell ref="B684:B693"/>
    <mergeCell ref="B634:B643"/>
    <mergeCell ref="B644:B653"/>
    <mergeCell ref="B654:B663"/>
    <mergeCell ref="B484:B493"/>
    <mergeCell ref="B494:B503"/>
    <mergeCell ref="B504:B513"/>
    <mergeCell ref="B454:B463"/>
    <mergeCell ref="B464:B473"/>
    <mergeCell ref="B474:B483"/>
    <mergeCell ref="B544:B553"/>
    <mergeCell ref="B554:B563"/>
    <mergeCell ref="B564:B573"/>
    <mergeCell ref="B514:B523"/>
    <mergeCell ref="B524:B533"/>
    <mergeCell ref="B534:B543"/>
    <mergeCell ref="B364:B373"/>
    <mergeCell ref="B374:B383"/>
    <mergeCell ref="B384:B393"/>
    <mergeCell ref="B334:B343"/>
    <mergeCell ref="B344:B353"/>
    <mergeCell ref="B354:B363"/>
    <mergeCell ref="B424:B433"/>
    <mergeCell ref="B434:B443"/>
    <mergeCell ref="B444:B453"/>
    <mergeCell ref="B394:B403"/>
    <mergeCell ref="B404:B413"/>
    <mergeCell ref="B414:B423"/>
    <mergeCell ref="B244:B253"/>
    <mergeCell ref="B254:B263"/>
    <mergeCell ref="B264:B273"/>
    <mergeCell ref="B214:B223"/>
    <mergeCell ref="B224:B233"/>
    <mergeCell ref="B234:B243"/>
    <mergeCell ref="B304:B313"/>
    <mergeCell ref="B314:B323"/>
    <mergeCell ref="B324:B333"/>
    <mergeCell ref="B274:B283"/>
    <mergeCell ref="B284:B293"/>
    <mergeCell ref="B294:B303"/>
    <mergeCell ref="B124:B133"/>
    <mergeCell ref="B134:B143"/>
    <mergeCell ref="B144:B153"/>
    <mergeCell ref="B94:B103"/>
    <mergeCell ref="B104:B113"/>
    <mergeCell ref="B114:B123"/>
    <mergeCell ref="B184:B193"/>
    <mergeCell ref="B194:B203"/>
    <mergeCell ref="B204:B213"/>
    <mergeCell ref="B154:B163"/>
    <mergeCell ref="B164:B173"/>
    <mergeCell ref="B174:B183"/>
    <mergeCell ref="B1:D1"/>
    <mergeCell ref="B2:D2"/>
    <mergeCell ref="E4:Q13"/>
    <mergeCell ref="B4:B13"/>
    <mergeCell ref="B14:B23"/>
    <mergeCell ref="B24:B33"/>
    <mergeCell ref="B64:B73"/>
    <mergeCell ref="B74:B83"/>
    <mergeCell ref="B84:B93"/>
    <mergeCell ref="B34:B43"/>
    <mergeCell ref="B44:B53"/>
    <mergeCell ref="B54:B63"/>
  </mergeCells>
  <dataValidations count="1">
    <dataValidation type="list" allowBlank="1" showInputMessage="1" showErrorMessage="1" sqref="D4:D1523" xr:uid="{EEC87A16-BB54-4FFE-B78C-02BE95583850}">
      <formula1>template_footnote_labels_taxonomy</formula1>
    </dataValidation>
  </dataValidations>
  <pageMargins left="0.7" right="0.7" top="0.75" bottom="0.75" header="0.3" footer="0.3"/>
  <pageSetup paperSize="9" orientation="portrait" horizontalDpi="4294967293" verticalDpi="4294967293"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pageSetUpPr autoPageBreaks="0"/>
  </sheetPr>
  <dimension ref="A1:BB140"/>
  <sheetViews>
    <sheetView topLeftCell="A8" zoomScale="77" zoomScaleNormal="100" workbookViewId="0">
      <selection activeCell="B10" sqref="B10"/>
    </sheetView>
  </sheetViews>
  <sheetFormatPr defaultColWidth="9.4609375" defaultRowHeight="14.6"/>
  <cols>
    <col min="1" max="1" width="28.53515625" bestFit="1" customWidth="1"/>
    <col min="2" max="2" width="32.4609375" customWidth="1"/>
    <col min="3" max="3" width="19.53515625" style="10" bestFit="1" customWidth="1"/>
    <col min="4" max="4" width="17.53515625" style="10" bestFit="1" customWidth="1"/>
    <col min="5" max="5" width="21.4609375" style="10" bestFit="1" customWidth="1"/>
    <col min="6" max="6" width="24.07421875" style="10" bestFit="1" customWidth="1"/>
    <col min="7" max="7" width="33.07421875" style="10" bestFit="1" customWidth="1"/>
    <col min="8" max="8" width="32.4609375" style="10" customWidth="1"/>
    <col min="9" max="9" width="20.53515625" style="10" customWidth="1"/>
    <col min="10" max="10" width="23.53515625" style="10" customWidth="1"/>
    <col min="11" max="11" width="14.53515625" style="10" customWidth="1"/>
    <col min="12" max="12" width="24.53515625" style="10" customWidth="1"/>
    <col min="13" max="13" width="25" style="10" customWidth="1"/>
    <col min="14" max="14" width="67.53515625" style="10" hidden="1" customWidth="1"/>
    <col min="15" max="15" width="24.4609375" style="10" hidden="1" customWidth="1"/>
    <col min="16" max="16" width="24.53515625" style="10" hidden="1" customWidth="1"/>
    <col min="17" max="17" width="25" style="10" hidden="1" customWidth="1"/>
    <col min="18" max="18" width="62.4609375" style="10" hidden="1" customWidth="1"/>
    <col min="19" max="19" width="22.53515625" style="10" hidden="1" customWidth="1"/>
    <col min="20" max="20" width="24.53515625" style="10" hidden="1" customWidth="1"/>
    <col min="21" max="21" width="25" style="10" hidden="1" customWidth="1"/>
    <col min="22" max="22" width="34.53515625" style="10" hidden="1" customWidth="1"/>
    <col min="23" max="23" width="23.53515625" style="10" hidden="1" customWidth="1"/>
    <col min="24" max="24" width="24.53515625" style="10" hidden="1" customWidth="1"/>
    <col min="25" max="25" width="25" style="10" hidden="1" customWidth="1"/>
    <col min="26" max="26" width="33.53515625" style="10" hidden="1" customWidth="1"/>
    <col min="27" max="27" width="30.53515625" style="10" hidden="1" customWidth="1"/>
    <col min="28" max="28" width="41.4609375" style="10" hidden="1" customWidth="1"/>
    <col min="29" max="29" width="25" style="10" hidden="1" customWidth="1"/>
    <col min="30" max="30" width="46.4609375" style="10" hidden="1" customWidth="1"/>
    <col min="31" max="31" width="27" style="10" hidden="1" customWidth="1"/>
    <col min="32" max="32" width="33.84375" style="10" hidden="1" customWidth="1"/>
    <col min="33" max="33" width="25" style="10" hidden="1" customWidth="1"/>
    <col min="34" max="34" width="42" style="10" hidden="1" customWidth="1"/>
    <col min="35" max="35" width="29.53515625" style="10" hidden="1" customWidth="1"/>
    <col min="36" max="36" width="31.4609375" style="10" hidden="1" customWidth="1"/>
    <col min="37" max="37" width="25" style="10" hidden="1" customWidth="1"/>
    <col min="38" max="38" width="39.53515625" hidden="1" customWidth="1"/>
    <col min="39" max="39" width="26" style="10" hidden="1" customWidth="1"/>
    <col min="40" max="40" width="24.53515625" hidden="1" customWidth="1"/>
    <col min="41" max="41" width="25" hidden="1" customWidth="1"/>
    <col min="42" max="42" width="42.4609375" hidden="1" customWidth="1"/>
    <col min="43" max="43" width="29.84375" style="10" hidden="1" customWidth="1"/>
    <col min="44" max="44" width="38.53515625" style="10" hidden="1" customWidth="1"/>
    <col min="45" max="45" width="25" style="10" hidden="1" customWidth="1"/>
    <col min="46" max="46" width="45.53515625" style="10" hidden="1" customWidth="1"/>
    <col min="47" max="47" width="32.53515625" style="10" hidden="1" customWidth="1"/>
    <col min="48" max="48" width="38.4609375" style="10" hidden="1" customWidth="1"/>
    <col min="49" max="49" width="24.53515625" style="10" hidden="1" customWidth="1"/>
    <col min="50" max="50" width="50.07421875" style="10" hidden="1" customWidth="1"/>
    <col min="51" max="51" width="1.07421875" style="10" hidden="1" customWidth="1"/>
    <col min="52" max="52" width="0.4609375" style="10" hidden="1" customWidth="1"/>
    <col min="53" max="53" width="0.53515625" style="10" hidden="1" customWidth="1"/>
    <col min="54" max="54" width="9.4609375" style="10" hidden="1" customWidth="1"/>
    <col min="55" max="16384" width="9.4609375" style="10"/>
  </cols>
  <sheetData>
    <row r="1" spans="1:53" ht="28.5" customHeight="1" thickTop="1" thickBot="1">
      <c r="A1" s="285" t="str">
        <f>template_label_fuel_converter</f>
        <v>FUEL CONVERTER</v>
      </c>
      <c r="B1" s="10"/>
      <c r="AL1" s="10"/>
      <c r="AN1" s="10"/>
      <c r="AO1" s="10"/>
      <c r="AP1" s="10"/>
    </row>
    <row r="2" spans="1:53" ht="39.65" customHeight="1" thickTop="1">
      <c r="A2" s="310" t="str">
        <f>template_label_disclaimer</f>
        <v>DISCLAIMER:</v>
      </c>
      <c r="B2" s="10"/>
      <c r="AL2" s="10"/>
      <c r="AN2" s="10"/>
      <c r="AO2" s="10"/>
      <c r="AP2" s="10"/>
    </row>
    <row r="3" spans="1:53" ht="54" customHeight="1">
      <c r="A3" s="121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219"/>
      <c r="C3" s="1219"/>
      <c r="D3" s="1219"/>
      <c r="E3" s="1219"/>
      <c r="F3" s="1219"/>
      <c r="G3" s="1219"/>
      <c r="H3" s="1219"/>
      <c r="I3" s="1219"/>
      <c r="J3" s="1219"/>
      <c r="K3" s="1219"/>
      <c r="AL3" s="10"/>
      <c r="AN3" s="10"/>
      <c r="AO3" s="10"/>
      <c r="AP3" s="10"/>
    </row>
    <row r="4" spans="1:53" ht="42.65" customHeight="1">
      <c r="A4" s="121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219"/>
      <c r="C4" s="1219"/>
      <c r="D4" s="1219"/>
      <c r="E4" s="1219"/>
      <c r="F4" s="1219"/>
      <c r="G4" s="1219"/>
      <c r="H4" s="1219"/>
      <c r="I4" s="1219"/>
      <c r="J4" s="1219"/>
      <c r="K4" s="1219"/>
      <c r="AL4" s="10"/>
      <c r="AN4" s="10"/>
      <c r="AO4" s="10"/>
      <c r="AP4" s="10"/>
    </row>
    <row r="5" spans="1:53" ht="66.650000000000006" customHeight="1" thickBot="1">
      <c r="A5" s="121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219"/>
      <c r="C5" s="1219"/>
      <c r="D5" s="1219"/>
      <c r="E5" s="1219"/>
      <c r="F5" s="1219"/>
      <c r="G5" s="1219"/>
      <c r="H5" s="1219"/>
      <c r="I5" s="1219"/>
      <c r="J5" s="1219"/>
      <c r="K5" s="1219"/>
      <c r="AL5" s="10"/>
      <c r="AN5" s="10"/>
      <c r="AO5" s="10"/>
      <c r="AP5" s="10"/>
    </row>
    <row r="6" spans="1:53" ht="35.4" customHeight="1" thickBot="1">
      <c r="A6" s="288"/>
      <c r="B6" s="1238" t="str">
        <f>template_label_indicates_that_the_cell_should_be_filled_either_by_selecting_a_value_from_the_dropdown</f>
        <v>Indicates that the cell should be filled either by selecting a value from the dropdown (e.g. Type of fuel or Unit of Measurement) or by entering an amount.</v>
      </c>
      <c r="C6" s="1239"/>
      <c r="D6" s="1239"/>
      <c r="E6" s="1239"/>
      <c r="F6" s="1240"/>
      <c r="G6" s="289"/>
      <c r="H6" s="287"/>
      <c r="I6" s="287"/>
      <c r="J6" s="287"/>
      <c r="AL6" s="10"/>
      <c r="AN6" s="10"/>
      <c r="AO6" s="10"/>
      <c r="AP6" s="10"/>
    </row>
    <row r="7" spans="1:53" ht="44.4" customHeight="1" thickBot="1">
      <c r="A7" s="290" t="s">
        <v>94</v>
      </c>
      <c r="B7" s="1238" t="str">
        <f>template_label_indicates_that_the_cell_is_automatically_calculated_and_that_no_data_entry_is_required</f>
        <v>Indicates that the cell is automatically calculated and that no data entry is required.</v>
      </c>
      <c r="C7" s="1239"/>
      <c r="D7" s="1239"/>
      <c r="E7" s="1239"/>
      <c r="F7" s="1240"/>
      <c r="G7" s="289"/>
      <c r="H7" s="287"/>
      <c r="I7" s="287"/>
      <c r="J7" s="287"/>
      <c r="AL7" s="10"/>
      <c r="AN7" s="10"/>
      <c r="AO7" s="10"/>
      <c r="AP7" s="10"/>
    </row>
    <row r="8" spans="1:53" ht="40.4" customHeight="1" thickBot="1">
      <c r="A8" s="286"/>
      <c r="B8" s="10"/>
      <c r="AC8" s="291"/>
      <c r="AL8" s="10"/>
      <c r="AN8" s="10"/>
      <c r="AO8" s="10"/>
      <c r="AP8" s="10"/>
    </row>
    <row r="9" spans="1:53" ht="21" thickBot="1">
      <c r="A9" s="371" t="str">
        <f>template_label_fuel_type</f>
        <v>Fuel type</v>
      </c>
      <c r="B9" s="371" t="str">
        <f>template_label_unit_of_measurement</f>
        <v>Unit of measurement</v>
      </c>
      <c r="C9" s="372" t="str">
        <f>template_label_amount</f>
        <v>Amount</v>
      </c>
      <c r="D9" s="372" t="str">
        <f>template_label_state_of_matter</f>
        <v>State of matter</v>
      </c>
      <c r="E9" s="373" t="str">
        <f>template_label_typical_renewable_state</f>
        <v>Typical renewable state</v>
      </c>
      <c r="F9" s="374" t="str">
        <f>template_label_calculated_energy_in_mwh</f>
        <v>Calculated Energy in MWh</v>
      </c>
      <c r="G9" s="423" t="str">
        <f>template_label_overall_validation_status_validation&amp;":"</f>
        <v>Overall Validation Status:</v>
      </c>
      <c r="H9" s="424" t="str" cm="1">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v>
      </c>
      <c r="J9" s="286" t="str">
        <f>template_label_usage_of_fuel_converter</f>
        <v>Usage of Fuel Converter:</v>
      </c>
      <c r="O9" s="317"/>
      <c r="P9" s="318"/>
      <c r="Q9" s="319"/>
      <c r="S9" s="317"/>
      <c r="T9" s="318"/>
      <c r="U9" s="319"/>
      <c r="W9" s="317"/>
      <c r="X9" s="318"/>
      <c r="Y9" s="319"/>
      <c r="AA9" s="317"/>
      <c r="AB9" s="318"/>
      <c r="AC9" s="319"/>
      <c r="AE9" s="317"/>
      <c r="AF9" s="318"/>
      <c r="AG9" s="319"/>
      <c r="AI9" s="317"/>
      <c r="AJ9" s="318"/>
      <c r="AK9" s="319"/>
      <c r="AL9" s="10"/>
      <c r="AM9" s="317"/>
      <c r="AN9" s="318"/>
      <c r="AO9" s="319"/>
      <c r="AP9" s="10"/>
      <c r="AQ9" s="317"/>
      <c r="AR9" s="318"/>
      <c r="AS9" s="319"/>
      <c r="AU9" s="317"/>
      <c r="AV9" s="318"/>
      <c r="AW9" s="319"/>
      <c r="AY9" s="317"/>
      <c r="AZ9" s="318"/>
      <c r="BA9" s="319"/>
    </row>
    <row r="10" spans="1:53" ht="15" thickBot="1">
      <c r="A10" s="283"/>
      <c r="B10" s="283"/>
      <c r="C10" s="284"/>
      <c r="D10" s="293" t="str">
        <f>P11</f>
        <v>-</v>
      </c>
      <c r="E10" s="294" t="str">
        <f>P12</f>
        <v>-</v>
      </c>
      <c r="F10" s="295" t="str">
        <f>IF(C10="","-",O23)</f>
        <v>-</v>
      </c>
      <c r="G10" s="1241" t="str">
        <f t="shared" ref="G10:G19" si="0">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242"/>
      <c r="J10" s="10" t="str">
        <f>template_label_1_in_cell_a9_select_the_fuel_used_searching_for_it_or_scrolling_down_the_list_displayed_clicking_the_cell</f>
        <v>1. In cell A10 select the Fuel used, searching for it or scrolling down the list displayed clicking the cell</v>
      </c>
      <c r="O10" s="296" t="s">
        <v>95</v>
      </c>
      <c r="P10" s="320" t="str">
        <f>IF(A10="","-",A10)</f>
        <v>-</v>
      </c>
      <c r="Q10" s="321"/>
      <c r="S10" s="296" t="s">
        <v>95</v>
      </c>
      <c r="T10" s="320" t="str">
        <f>IF(A11="","-",A11)</f>
        <v>-</v>
      </c>
      <c r="U10" s="321"/>
      <c r="W10" s="296" t="s">
        <v>95</v>
      </c>
      <c r="X10" s="320" t="str">
        <f>IF(A12="","-",A12)</f>
        <v>-</v>
      </c>
      <c r="Y10" s="321"/>
      <c r="AA10" s="296" t="s">
        <v>95</v>
      </c>
      <c r="AB10" s="320" t="str">
        <f>IF(A13="","-",A13)</f>
        <v>-</v>
      </c>
      <c r="AC10" s="321"/>
      <c r="AE10" s="296" t="s">
        <v>95</v>
      </c>
      <c r="AF10" s="320" t="str">
        <f>IF(A14="","-",A14)</f>
        <v>-</v>
      </c>
      <c r="AG10" s="321"/>
      <c r="AI10" s="296" t="s">
        <v>95</v>
      </c>
      <c r="AJ10" s="320" t="str">
        <f>IF(A15="","-",A15)</f>
        <v>-</v>
      </c>
      <c r="AK10" s="321"/>
      <c r="AL10" s="10"/>
      <c r="AM10" s="296" t="s">
        <v>95</v>
      </c>
      <c r="AN10" s="320" t="str">
        <f>IF(A16="","-",A16)</f>
        <v>-</v>
      </c>
      <c r="AO10" s="321"/>
      <c r="AP10" s="10"/>
      <c r="AQ10" s="296" t="s">
        <v>95</v>
      </c>
      <c r="AR10" s="320" t="str">
        <f>IF(A17="","-",A17)</f>
        <v>-</v>
      </c>
      <c r="AS10" s="321"/>
      <c r="AU10" s="296" t="s">
        <v>95</v>
      </c>
      <c r="AV10" s="320" t="str">
        <f>IF(A18="","-",A18)</f>
        <v>-</v>
      </c>
      <c r="AW10" s="321"/>
      <c r="AY10" s="296" t="s">
        <v>95</v>
      </c>
      <c r="AZ10" s="320" t="str">
        <f>IF(A19="","-",A19)</f>
        <v>-</v>
      </c>
      <c r="BA10" s="321"/>
    </row>
    <row r="11" spans="1:53" ht="15" thickBot="1">
      <c r="A11" s="283"/>
      <c r="B11" s="283"/>
      <c r="C11" s="284"/>
      <c r="D11" s="297" t="str">
        <f>T11</f>
        <v>-</v>
      </c>
      <c r="E11" s="298" t="str">
        <f>T12</f>
        <v>-</v>
      </c>
      <c r="F11" s="295" t="str">
        <f>IF(C11="","-",S23)</f>
        <v>-</v>
      </c>
      <c r="G11" s="1215" t="str">
        <f t="shared" si="0"/>
        <v/>
      </c>
      <c r="H11" s="1216"/>
      <c r="J11" s="10" t="str">
        <f>template_label_2_in_cell_b9_select_the_unit_of_measurement_used</f>
        <v>2. In cell B10 select the Unit of measurement used</v>
      </c>
      <c r="O11" s="296" t="s">
        <v>96</v>
      </c>
      <c r="P11" s="322" t="str">
        <f>IF(OR(P10="", P10="-"), "-", IFERROR(IF(INDEX('Fuel Conversion Parameters'!$B$2:$B$61, MATCH(P10, 'Fuel Conversion Parameters'!$A$2:$A$61, 0))="", "MISSING VALUE", INDEX('Fuel Conversion Parameters'!$B$2:$B$61, MATCH(P10, 'Fuel Conversion Parameters'!$A$2:$A$61, 0))), "MISSING VALUE"))</f>
        <v>-</v>
      </c>
      <c r="Q11" s="321"/>
      <c r="S11" s="296" t="s">
        <v>96</v>
      </c>
      <c r="T11" s="322" t="str">
        <f>IF(OR(T10="", T10="-"), "-", IFERROR(IF(INDEX('Fuel Conversion Parameters'!$B$2:$B$61, MATCH(T10, 'Fuel Conversion Parameters'!$A$2:$A$61, 0))="", "MISSING VALUE", INDEX('Fuel Conversion Parameters'!$B$2:$B$61, MATCH(T10, 'Fuel Conversion Parameters'!$A$2:$A$61, 0))), "MISSING VALUE"))</f>
        <v>-</v>
      </c>
      <c r="U11" s="321"/>
      <c r="W11" s="296" t="s">
        <v>96</v>
      </c>
      <c r="X11" s="322" t="str">
        <f>IF(OR(X10="", X10="-"), "-", IFERROR(IF(INDEX('Fuel Conversion Parameters'!$B$2:$B$61, MATCH(X10, 'Fuel Conversion Parameters'!$A$2:$A$61, 0))="", "MISSING VALUE", INDEX('Fuel Conversion Parameters'!$B$2:$B$61, MATCH(X10, 'Fuel Conversion Parameters'!$A$2:$A$61, 0))), "MISSING VALUE"))</f>
        <v>-</v>
      </c>
      <c r="Y11" s="321"/>
      <c r="AA11" s="296" t="s">
        <v>96</v>
      </c>
      <c r="AB11" s="322" t="str">
        <f>IF(OR(AB10="", AB10="-"), "-", IFERROR(IF(INDEX('Fuel Conversion Parameters'!$B$2:$B$61, MATCH(AB10, 'Fuel Conversion Parameters'!$A$2:$A$61, 0))="", "MISSING VALUE", INDEX('Fuel Conversion Parameters'!$B$2:$B$61, MATCH(AB10, 'Fuel Conversion Parameters'!$A$2:$A$61, 0))), "MISSING VALUE"))</f>
        <v>-</v>
      </c>
      <c r="AC11" s="321"/>
      <c r="AE11" s="296" t="s">
        <v>96</v>
      </c>
      <c r="AF11" s="322" t="str">
        <f>IF(OR(AF10="", AF10="-"), "-", IFERROR(IF(INDEX('Fuel Conversion Parameters'!$B$2:$B$61, MATCH(AF10, 'Fuel Conversion Parameters'!$A$2:$A$61, 0))="", "MISSING VALUE", INDEX('Fuel Conversion Parameters'!$B$2:$B$61, MATCH(AF10, 'Fuel Conversion Parameters'!$A$2:$A$61, 0))), "MISSING VALUE"))</f>
        <v>-</v>
      </c>
      <c r="AG11" s="321"/>
      <c r="AI11" s="296" t="s">
        <v>96</v>
      </c>
      <c r="AJ11" s="322" t="str">
        <f>IF(OR(AJ10="", AJ10="-"), "-", IFERROR(IF(INDEX('Fuel Conversion Parameters'!$B$2:$B$61, MATCH(AJ10, 'Fuel Conversion Parameters'!$A$2:$A$61, 0))="", "MISSING VALUE", INDEX('Fuel Conversion Parameters'!$B$2:$B$61, MATCH(AJ10, 'Fuel Conversion Parameters'!$A$2:$A$61, 0))), "MISSING VALUE"))</f>
        <v>-</v>
      </c>
      <c r="AK11" s="321"/>
      <c r="AL11" s="10"/>
      <c r="AM11" s="296" t="s">
        <v>96</v>
      </c>
      <c r="AN11" s="322" t="str">
        <f>IF(OR(AN10="", AN10="-"), "-", IFERROR(IF(INDEX('Fuel Conversion Parameters'!$B$2:$B$61, MATCH(AN10, 'Fuel Conversion Parameters'!$A$2:$A$61, 0))="", "MISSING VALUE", INDEX('Fuel Conversion Parameters'!$B$2:$B$61, MATCH(AN10, 'Fuel Conversion Parameters'!$A$2:$A$61, 0))), "MISSING VALUE"))</f>
        <v>-</v>
      </c>
      <c r="AO11" s="321"/>
      <c r="AP11" s="10"/>
      <c r="AQ11" s="296" t="s">
        <v>96</v>
      </c>
      <c r="AR11" s="322" t="str">
        <f>IF(OR(AR10="", AR10="-"), "-", IFERROR(IF(INDEX('Fuel Conversion Parameters'!$B$2:$B$61, MATCH(AR10, 'Fuel Conversion Parameters'!$A$2:$A$61, 0))="", "MISSING VALUE", INDEX('Fuel Conversion Parameters'!$B$2:$B$61, MATCH(AR10, 'Fuel Conversion Parameters'!$A$2:$A$61, 0))), "MISSING VALUE"))</f>
        <v>-</v>
      </c>
      <c r="AS11" s="321"/>
      <c r="AU11" s="296" t="s">
        <v>96</v>
      </c>
      <c r="AV11" s="322" t="str">
        <f>IF(OR(AV10="", AV10="-"), "-", IFERROR(IF(INDEX('Fuel Conversion Parameters'!$B$2:$B$61, MATCH(AV10, 'Fuel Conversion Parameters'!$A$2:$A$61, 0))="", "MISSING VALUE", INDEX('Fuel Conversion Parameters'!$B$2:$B$61, MATCH(AV10, 'Fuel Conversion Parameters'!$A$2:$A$61, 0))), "MISSING VALUE"))</f>
        <v>-</v>
      </c>
      <c r="AW11" s="321"/>
      <c r="AY11" s="296" t="s">
        <v>96</v>
      </c>
      <c r="AZ11" s="322" t="str">
        <f>IF(OR(AZ10="", AZ10="-"), "-", IFERROR(IF(INDEX('Fuel Conversion Parameters'!$B$2:$B$61, MATCH(AZ10, 'Fuel Conversion Parameters'!$A$2:$A$61, 0))="", "MISSING VALUE", INDEX('Fuel Conversion Parameters'!$B$2:$B$61, MATCH(AZ10, 'Fuel Conversion Parameters'!$A$2:$A$61, 0))), "MISSING VALUE"))</f>
        <v>-</v>
      </c>
      <c r="BA11" s="321"/>
    </row>
    <row r="12" spans="1:53" ht="15" thickBot="1">
      <c r="A12" s="283"/>
      <c r="B12" s="283"/>
      <c r="C12" s="284"/>
      <c r="D12" s="297" t="str">
        <f>X11</f>
        <v>-</v>
      </c>
      <c r="E12" s="298" t="str">
        <f>X12</f>
        <v>-</v>
      </c>
      <c r="F12" s="295" t="str">
        <f>IF(C12="","-",W23)</f>
        <v>-</v>
      </c>
      <c r="G12" s="1215" t="str">
        <f t="shared" si="0"/>
        <v/>
      </c>
      <c r="H12" s="1216"/>
      <c r="J12" s="10" t="str">
        <f>template_label_3_in_cell_c9_select_the_amount_of_fuel_used</f>
        <v>3. In cell C10 select the Amount of fuel used</v>
      </c>
      <c r="O12" s="296" t="s">
        <v>97</v>
      </c>
      <c r="P12" s="322" t="str">
        <f>IF(OR(P10="", P10="-"), "-", IFERROR(IF(INDEX('Fuel Conversion Parameters'!$F$2:$F$61, MATCH(P10, 'Fuel Conversion Parameters'!$A$2:$A$61, 0))="", "MISSING VALUE", INDEX('Fuel Conversion Parameters'!$F$2:$F$61, MATCH(P10, 'Fuel Conversion Parameters'!$A$2:$A$61, 0))), "MISSING VALUE"))</f>
        <v>-</v>
      </c>
      <c r="Q12" s="321"/>
      <c r="S12" s="296" t="s">
        <v>97</v>
      </c>
      <c r="T12" s="322" t="str">
        <f>IF(OR(T10="", T10="-"), "-", IFERROR(IF(INDEX('Fuel Conversion Parameters'!$F$2:$F$61, MATCH(T10, 'Fuel Conversion Parameters'!$A$2:$A$61, 0))="", "MISSING VALUE", INDEX('Fuel Conversion Parameters'!$F$2:$F$61, MATCH(T10, 'Fuel Conversion Parameters'!$A$2:$A$61, 0))), "MISSING VALUE"))</f>
        <v>-</v>
      </c>
      <c r="U12" s="321"/>
      <c r="W12" s="296" t="s">
        <v>97</v>
      </c>
      <c r="X12" s="322" t="str">
        <f>IF(OR(X10="", X10="-"), "-", IFERROR(IF(INDEX('Fuel Conversion Parameters'!$F$2:$F$61, MATCH(X10, 'Fuel Conversion Parameters'!$A$2:$A$61, 0))="", "MISSING VALUE", INDEX('Fuel Conversion Parameters'!$F$2:$F$61, MATCH(X10, 'Fuel Conversion Parameters'!$A$2:$A$61, 0))), "MISSING VALUE"))</f>
        <v>-</v>
      </c>
      <c r="Y12" s="321"/>
      <c r="AA12" s="296" t="s">
        <v>97</v>
      </c>
      <c r="AB12" s="322" t="str">
        <f>IF(OR(AB10="", AB10="-"), "-", IFERROR(IF(INDEX('Fuel Conversion Parameters'!$F$2:$F$61, MATCH(AB10, 'Fuel Conversion Parameters'!$A$2:$A$61, 0))="", "MISSING VALUE", INDEX('Fuel Conversion Parameters'!$F$2:$F$61, MATCH(AB10, 'Fuel Conversion Parameters'!$A$2:$A$61, 0))), "MISSING VALUE"))</f>
        <v>-</v>
      </c>
      <c r="AC12" s="321"/>
      <c r="AE12" s="296" t="s">
        <v>97</v>
      </c>
      <c r="AF12" s="322" t="str">
        <f>IF(OR(AF10="", AF10="-"), "-", IFERROR(IF(INDEX('Fuel Conversion Parameters'!$F$2:$F$61, MATCH(AF10, 'Fuel Conversion Parameters'!$A$2:$A$61, 0))="", "MISSING VALUE", INDEX('Fuel Conversion Parameters'!$F$2:$F$61, MATCH(AF10, 'Fuel Conversion Parameters'!$A$2:$A$61, 0))), "MISSING VALUE"))</f>
        <v>-</v>
      </c>
      <c r="AG12" s="321"/>
      <c r="AI12" s="296" t="s">
        <v>97</v>
      </c>
      <c r="AJ12" s="322" t="str">
        <f>IF(OR(AJ10="", AJ10="-"), "-", IFERROR(IF(INDEX('Fuel Conversion Parameters'!$F$2:$F$61, MATCH(AJ10, 'Fuel Conversion Parameters'!$A$2:$A$61, 0))="", "MISSING VALUE", INDEX('Fuel Conversion Parameters'!$F$2:$F$61, MATCH(AJ10, 'Fuel Conversion Parameters'!$A$2:$A$61, 0))), "MISSING VALUE"))</f>
        <v>-</v>
      </c>
      <c r="AK12" s="321"/>
      <c r="AL12" s="10"/>
      <c r="AM12" s="296" t="s">
        <v>97</v>
      </c>
      <c r="AN12" s="322" t="str">
        <f>IF(OR(AN10="", AN10="-"), "-", IFERROR(IF(INDEX('Fuel Conversion Parameters'!$F$2:$F$61, MATCH(AN10, 'Fuel Conversion Parameters'!$A$2:$A$61, 0))="", "MISSING VALUE", INDEX('Fuel Conversion Parameters'!$F$2:$F$61, MATCH(AN10, 'Fuel Conversion Parameters'!$A$2:$A$61, 0))), "MISSING VALUE"))</f>
        <v>-</v>
      </c>
      <c r="AO12" s="321"/>
      <c r="AP12" s="10"/>
      <c r="AQ12" s="296" t="s">
        <v>97</v>
      </c>
      <c r="AR12" s="322" t="str">
        <f>IF(OR(AR10="", AR10="-"), "-", IFERROR(IF(INDEX('Fuel Conversion Parameters'!$F$2:$F$61, MATCH(AR10, 'Fuel Conversion Parameters'!$A$2:$A$61, 0))="", "MISSING VALUE", INDEX('Fuel Conversion Parameters'!$F$2:$F$61, MATCH(AR10, 'Fuel Conversion Parameters'!$A$2:$A$61, 0))), "MISSING VALUE"))</f>
        <v>-</v>
      </c>
      <c r="AS12" s="321"/>
      <c r="AU12" s="296" t="s">
        <v>97</v>
      </c>
      <c r="AV12" s="322" t="str">
        <f>IF(OR(AV10="", AV10="-"), "-", IFERROR(IF(INDEX('Fuel Conversion Parameters'!$F$2:$F$61, MATCH(AV10, 'Fuel Conversion Parameters'!$A$2:$A$61, 0))="", "MISSING VALUE", INDEX('Fuel Conversion Parameters'!$F$2:$F$61, MATCH(AV10, 'Fuel Conversion Parameters'!$A$2:$A$61, 0))), "MISSING VALUE"))</f>
        <v>-</v>
      </c>
      <c r="AW12" s="321"/>
      <c r="AY12" s="296" t="s">
        <v>97</v>
      </c>
      <c r="AZ12" s="322" t="str">
        <f>IF(OR(AZ10="", AZ10="-"), "-", IFERROR(IF(INDEX('Fuel Conversion Parameters'!$F$2:$F$61, MATCH(AZ10, 'Fuel Conversion Parameters'!$A$2:$A$61, 0))="", "MISSING VALUE", INDEX('Fuel Conversion Parameters'!$F$2:$F$61, MATCH(AZ10, 'Fuel Conversion Parameters'!$A$2:$A$61, 0))), "MISSING VALUE"))</f>
        <v>-</v>
      </c>
      <c r="BA12" s="321"/>
    </row>
    <row r="13" spans="1:53">
      <c r="A13" s="283"/>
      <c r="B13" s="283"/>
      <c r="C13" s="284"/>
      <c r="D13" s="297" t="str">
        <f>AB11</f>
        <v>-</v>
      </c>
      <c r="E13" s="298" t="str">
        <f>AB12</f>
        <v>-</v>
      </c>
      <c r="F13" s="295" t="str">
        <f>IF(C13="","-",AA23)</f>
        <v>-</v>
      </c>
      <c r="G13" s="1215" t="str">
        <f t="shared" si="0"/>
        <v/>
      </c>
      <c r="H13" s="1216"/>
      <c r="J13" s="10" t="str">
        <f>template_label_4_in_cell_d9_it_is_displayed_the_state_of_matter_for_the_fuel_selected</f>
        <v>4. In cell D10 it is displayed the State of matter for the Fuel selected</v>
      </c>
      <c r="O13" s="323"/>
      <c r="P13" s="19"/>
      <c r="Q13" s="321"/>
      <c r="S13" s="323"/>
      <c r="T13" s="19"/>
      <c r="U13" s="321"/>
      <c r="W13" s="323"/>
      <c r="X13" s="19"/>
      <c r="Y13" s="321"/>
      <c r="AA13" s="323"/>
      <c r="AB13" s="19"/>
      <c r="AC13" s="321"/>
      <c r="AE13" s="323"/>
      <c r="AF13" s="19"/>
      <c r="AG13" s="321"/>
      <c r="AI13" s="323"/>
      <c r="AJ13" s="19"/>
      <c r="AK13" s="321"/>
      <c r="AL13" s="10"/>
      <c r="AM13" s="323"/>
      <c r="AN13" s="19"/>
      <c r="AO13" s="321"/>
      <c r="AP13" s="10"/>
      <c r="AQ13" s="323"/>
      <c r="AR13" s="19"/>
      <c r="AS13" s="321"/>
      <c r="AU13" s="323"/>
      <c r="AV13" s="19"/>
      <c r="AW13" s="321"/>
      <c r="AY13" s="323"/>
      <c r="AZ13" s="19"/>
      <c r="BA13" s="321"/>
    </row>
    <row r="14" spans="1:53">
      <c r="A14" s="283"/>
      <c r="B14" s="283"/>
      <c r="C14" s="284"/>
      <c r="D14" s="297" t="str">
        <f>AF11</f>
        <v>-</v>
      </c>
      <c r="E14" s="298" t="str">
        <f>AF12</f>
        <v>-</v>
      </c>
      <c r="F14" s="295" t="str">
        <f>IF(C14="","-",AE23)</f>
        <v>-</v>
      </c>
      <c r="G14" s="1215" t="str">
        <f t="shared" si="0"/>
        <v/>
      </c>
      <c r="H14" s="1216"/>
      <c r="J14" s="10" t="str">
        <f>template_label_5_in_cell_e9_it_is_displayed_the_typical_renewability_state_for_the_fuel_selected</f>
        <v>5. In cell E10 it is displayed the Typical renewability state for the Fuel selected</v>
      </c>
      <c r="O14" s="324"/>
      <c r="Q14" s="321"/>
      <c r="S14" s="324"/>
      <c r="U14" s="321"/>
      <c r="W14" s="324"/>
      <c r="Y14" s="321"/>
      <c r="AA14" s="324"/>
      <c r="AC14" s="321"/>
      <c r="AE14" s="324"/>
      <c r="AG14" s="321"/>
      <c r="AI14" s="324"/>
      <c r="AK14" s="321"/>
      <c r="AL14" s="10"/>
      <c r="AM14" s="324"/>
      <c r="AN14" s="10"/>
      <c r="AO14" s="321"/>
      <c r="AP14" s="10"/>
      <c r="AQ14" s="324"/>
      <c r="AS14" s="321"/>
      <c r="AU14" s="324"/>
      <c r="AW14" s="321"/>
      <c r="AY14" s="324"/>
      <c r="BA14" s="321"/>
    </row>
    <row r="15" spans="1:53" ht="15" thickBot="1">
      <c r="A15" s="283"/>
      <c r="B15" s="283"/>
      <c r="C15" s="284"/>
      <c r="D15" s="297" t="str">
        <f>AJ11</f>
        <v>-</v>
      </c>
      <c r="E15" s="298" t="str">
        <f>AJ12</f>
        <v>-</v>
      </c>
      <c r="F15" s="295" t="str">
        <f>IF(C15="","-",AI23)</f>
        <v>-</v>
      </c>
      <c r="G15" s="1215" t="str">
        <f t="shared" si="0"/>
        <v/>
      </c>
      <c r="H15" s="1216"/>
      <c r="J15" s="10" t="str">
        <f>template_label_6_in_cell_f9_is_displayed_the_energy_produced_in_mega_watt_hours_by_the_amount_of_fuel_specified</f>
        <v>6. In cell F10 is displayed the Energy produced in Mega Watt hours by the Amount of Fuel specified</v>
      </c>
      <c r="O15" s="325"/>
      <c r="Q15" s="321"/>
      <c r="S15" s="325"/>
      <c r="U15" s="321"/>
      <c r="W15" s="324"/>
      <c r="Y15" s="321"/>
      <c r="AA15" s="324"/>
      <c r="AC15" s="321"/>
      <c r="AE15" s="324"/>
      <c r="AG15" s="321"/>
      <c r="AI15" s="324"/>
      <c r="AK15" s="321"/>
      <c r="AL15" s="10"/>
      <c r="AM15" s="324"/>
      <c r="AN15" s="10"/>
      <c r="AO15" s="321"/>
      <c r="AP15" s="10"/>
      <c r="AQ15" s="324"/>
      <c r="AS15" s="321"/>
      <c r="AU15" s="324"/>
      <c r="AW15" s="321"/>
      <c r="AY15" s="324"/>
      <c r="BA15" s="321"/>
    </row>
    <row r="16" spans="1:53" ht="15" thickBot="1">
      <c r="A16" s="283"/>
      <c r="B16" s="283"/>
      <c r="C16" s="284"/>
      <c r="D16" s="297" t="str">
        <f>AN11</f>
        <v>-</v>
      </c>
      <c r="E16" s="298" t="str">
        <f>AN12</f>
        <v>-</v>
      </c>
      <c r="F16" s="295" t="str">
        <f>IF(C16="","-",AM23)</f>
        <v>-</v>
      </c>
      <c r="G16" s="1215" t="str">
        <f t="shared" si="0"/>
        <v/>
      </c>
      <c r="H16" s="1216"/>
      <c r="J16" s="10" t="str">
        <f>template_label_7_in_cell_a28_is_displayed_the_total_energy_in_mega_watt_hours</f>
        <v>7. In cell A29 is displayed the Total Energy in Mega Watt hours</v>
      </c>
      <c r="O16" s="326" t="s">
        <v>98</v>
      </c>
      <c r="P16" s="327">
        <f>B10</f>
        <v>0</v>
      </c>
      <c r="Q16" s="328"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26" t="s">
        <v>98</v>
      </c>
      <c r="T16" s="327">
        <f>B11</f>
        <v>0</v>
      </c>
      <c r="U16" s="328"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26" t="s">
        <v>98</v>
      </c>
      <c r="X16" s="327">
        <f>B12</f>
        <v>0</v>
      </c>
      <c r="Y16" s="321"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26" t="s">
        <v>98</v>
      </c>
      <c r="AB16" s="327">
        <f>B13</f>
        <v>0</v>
      </c>
      <c r="AC16" s="328"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26" t="s">
        <v>98</v>
      </c>
      <c r="AF16" s="327">
        <f>B14</f>
        <v>0</v>
      </c>
      <c r="AG16" s="328"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26" t="s">
        <v>98</v>
      </c>
      <c r="AJ16" s="327">
        <f>B15</f>
        <v>0</v>
      </c>
      <c r="AK16" s="328"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326" t="s">
        <v>98</v>
      </c>
      <c r="AN16" s="327">
        <f>B16</f>
        <v>0</v>
      </c>
      <c r="AO16" s="328"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326" t="s">
        <v>98</v>
      </c>
      <c r="AR16" s="327">
        <f>B17</f>
        <v>0</v>
      </c>
      <c r="AS16" s="328"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26" t="s">
        <v>98</v>
      </c>
      <c r="AV16" s="327">
        <f>B18</f>
        <v>0</v>
      </c>
      <c r="AW16" s="328"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26" t="s">
        <v>98</v>
      </c>
      <c r="AZ16" s="327">
        <f>B19</f>
        <v>0</v>
      </c>
      <c r="BA16" s="328"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c r="A17" s="283"/>
      <c r="B17" s="283"/>
      <c r="C17" s="284"/>
      <c r="D17" s="297" t="str">
        <f>AR11</f>
        <v>-</v>
      </c>
      <c r="E17" s="298" t="str">
        <f>AR12</f>
        <v>-</v>
      </c>
      <c r="F17" s="295" t="str">
        <f>IF(C17="","-",AQ23)</f>
        <v>-</v>
      </c>
      <c r="G17" s="1215" t="str">
        <f t="shared" si="0"/>
        <v/>
      </c>
      <c r="H17" s="1216"/>
      <c r="J17" s="10" t="str">
        <f>template_label_8_in_cell_a31_is_displayed_the_total_renewable_energy_in_mega_watt_hours</f>
        <v>8. In cell A32 is displayed the Total Renewable Energy in Mega Watt hours</v>
      </c>
      <c r="O17" s="296" t="s">
        <v>99</v>
      </c>
      <c r="P17" s="329">
        <f>C10</f>
        <v>0</v>
      </c>
      <c r="Q17" s="321"/>
      <c r="S17" s="296" t="s">
        <v>99</v>
      </c>
      <c r="T17" s="329">
        <f>C11</f>
        <v>0</v>
      </c>
      <c r="U17" s="321"/>
      <c r="W17" s="296" t="s">
        <v>99</v>
      </c>
      <c r="X17" s="329">
        <f>C12</f>
        <v>0</v>
      </c>
      <c r="Y17" s="321"/>
      <c r="AA17" s="296" t="s">
        <v>99</v>
      </c>
      <c r="AB17" s="329">
        <f>C13</f>
        <v>0</v>
      </c>
      <c r="AC17" s="321"/>
      <c r="AE17" s="296" t="s">
        <v>99</v>
      </c>
      <c r="AF17" s="329">
        <f>C14</f>
        <v>0</v>
      </c>
      <c r="AG17" s="321"/>
      <c r="AI17" s="296" t="s">
        <v>99</v>
      </c>
      <c r="AJ17" s="329">
        <f>C15</f>
        <v>0</v>
      </c>
      <c r="AK17" s="321"/>
      <c r="AL17" s="10"/>
      <c r="AM17" s="296" t="s">
        <v>99</v>
      </c>
      <c r="AN17" s="329">
        <f>C16</f>
        <v>0</v>
      </c>
      <c r="AO17" s="321"/>
      <c r="AP17" s="10"/>
      <c r="AQ17" s="296" t="s">
        <v>99</v>
      </c>
      <c r="AR17" s="329">
        <f>C17</f>
        <v>0</v>
      </c>
      <c r="AS17" s="321"/>
      <c r="AU17" s="296" t="s">
        <v>99</v>
      </c>
      <c r="AV17" s="329">
        <f>C18</f>
        <v>0</v>
      </c>
      <c r="AW17" s="321"/>
      <c r="AY17" s="296" t="s">
        <v>99</v>
      </c>
      <c r="AZ17" s="329">
        <f>C19</f>
        <v>0</v>
      </c>
      <c r="BA17" s="321"/>
    </row>
    <row r="18" spans="1:53">
      <c r="A18" s="283"/>
      <c r="B18" s="283"/>
      <c r="C18" s="284"/>
      <c r="D18" s="297" t="str">
        <f>AV11</f>
        <v>-</v>
      </c>
      <c r="E18" s="298" t="str">
        <f>AV12</f>
        <v>-</v>
      </c>
      <c r="F18" s="295" t="str">
        <f>IF(C18="","-",AU23)</f>
        <v>-</v>
      </c>
      <c r="G18" s="1215" t="str">
        <f t="shared" si="0"/>
        <v/>
      </c>
      <c r="H18" s="1216"/>
      <c r="J18" s="10" t="str">
        <f>template_label_9_in_cell_b31_is_displayed_the_total_nonrenewable_energy_in_mega_watt_hours</f>
        <v>9. In cell B32 is displayed the Total Non-renewable Energy in Mega Watt hours</v>
      </c>
      <c r="K18" s="299"/>
      <c r="L18" s="299"/>
      <c r="M18" s="299"/>
      <c r="O18" s="324" t="str">
        <f>IFERROR(VLOOKUP(P10, 'Fuel Conversion Parameters'!$A:$C, 3, FALSE), "")</f>
        <v/>
      </c>
      <c r="P18" s="332" t="str">
        <f>IF(P16="g - gram",P17*0.000000001,
IF(P16="Kg - Kilogram",P17*0.000001,
IF(P16="t - tonne",P17*0.001,
IF(P16="Gg - Gigagram",P17*1,
IF(P16="m³ - cubic meters",P17*1000,
IF(P16="L - Liter",P17*1,
""))))))</f>
        <v/>
      </c>
      <c r="Q18" s="321"/>
      <c r="S18" s="324" t="str">
        <f>IFERROR(VLOOKUP(T10, 'Fuel Conversion Parameters'!$A:$C, 3, FALSE), "")</f>
        <v/>
      </c>
      <c r="T18" s="332" t="str">
        <f>IF(T16="g - gram",T17*0.000000001,
IF(T16="Kg - Kilogram",T17*0.000001,
IF(T16="t - tonne",T17*0.001,
IF(T16="Gg - Gigagram",T17*1,
IF(T16="m³ - cubic meters",T17*1000,
IF(T16="L - Liter",T17*1,
""))))))</f>
        <v/>
      </c>
      <c r="U18" s="321"/>
      <c r="W18" s="324" t="str">
        <f>IFERROR(VLOOKUP(X10, 'Fuel Conversion Parameters'!$A:$C, 3, FALSE), "")</f>
        <v/>
      </c>
      <c r="X18" s="332" t="str">
        <f>IF(X16="g - gram",X17*0.000000001,
IF(X16="Kg - Kilogram",X17*0.000001,
IF(X16="t - tonne",X17*0.001,
IF(X16="Gg - Gigagram",X17*1,
IF(X16="m³ - cubic meters",X17*1000,
IF(X16="L - Liter",X17*1,
""))))))</f>
        <v/>
      </c>
      <c r="Y18" s="321"/>
      <c r="AA18" s="324" t="str">
        <f>IFERROR(VLOOKUP(AB10, 'Fuel Conversion Parameters'!$A:$C, 3, FALSE), "")</f>
        <v/>
      </c>
      <c r="AB18" s="332" t="str">
        <f>IF(AB16="g - gram",AB17*0.000000001,
IF(AB16="Kg - Kilogram",AB17*0.000001,
IF(AB16="t - tonne",AB17*0.001,
IF(AB16="Gg - Gigagram",AB17*1,
IF(AB16="m³ - cubic meters",AB17*1000,
IF(AB16="L - Liter",AB17*1,
""))))))</f>
        <v/>
      </c>
      <c r="AC18" s="321"/>
      <c r="AE18" s="324" t="str">
        <f>IFERROR(VLOOKUP(AF10, 'Fuel Conversion Parameters'!$A:$C, 3, FALSE), "")</f>
        <v/>
      </c>
      <c r="AF18" s="332" t="str">
        <f>IF(AF16="g - gram",AF17*0.000000001,
IF(AF16="Kg - Kilogram",AF17*0.000001,
IF(AF16="t - tonne",AF17*0.001,
IF(AF16="Gg - Gigagram",AF17*1,
IF(AF16="m³ - cubic meters",AF17*1000,
IF(AF16="L - Liter",AF17*1,
""))))))</f>
        <v/>
      </c>
      <c r="AG18" s="321"/>
      <c r="AI18" s="324" t="str">
        <f>IFERROR(VLOOKUP(AJ10, 'Fuel Conversion Parameters'!$A:$C, 3, FALSE), "")</f>
        <v/>
      </c>
      <c r="AJ18" s="332" t="str">
        <f>IF(AJ16="g - gram",AJ17*0.000000001,
IF(AJ16="Kg - Kilogram",AJ17*0.000001,
IF(AJ16="t - tonne",AJ17*0.001,
IF(AJ16="Gg - Gigagram",AJ17*1,
IF(AJ16="m³ - cubic meters",AJ17*1000,
IF(AJ16="L - Liter",AJ17*1,
""))))))</f>
        <v/>
      </c>
      <c r="AK18" s="321"/>
      <c r="AL18" s="10"/>
      <c r="AM18" s="324" t="str">
        <f>IFERROR(VLOOKUP(AN10, 'Fuel Conversion Parameters'!$A:$C, 3, FALSE), "")</f>
        <v/>
      </c>
      <c r="AN18" s="332" t="str">
        <f>IF(AN16="g - gram",AN17*0.000000001,
IF(AN16="Kg - Kilogram",AN17*0.000001,
IF(AN16="t - tonne",AN17*0.001,
IF(AN16="Gg - Gigagram",AN17*1,
IF(AN16="m³ - cubic meters",AN17*1000,
IF(AN16="L - Liter",AN17*1,
""))))))</f>
        <v/>
      </c>
      <c r="AO18" s="321"/>
      <c r="AP18" s="10"/>
      <c r="AQ18" s="335" t="str">
        <f>IFERROR(VLOOKUP(AR10, 'Fuel Conversion Parameters'!$A:$C, 3, FALSE), "")</f>
        <v/>
      </c>
      <c r="AR18" s="332" t="str">
        <f>IF(AR16="g - gram",AR17*0.000000001,
IF(AR16="Kg - Kilogram",AR17*0.000001,
IF(AR16="t - tonne",AR17*0.001,
IF(AR16="Gg - Gigagram",AR17*1,
IF(AR16="m³ - cubic meters",AR17*1000,
IF(AR16="L - Liter",AR17*1,
""))))))</f>
        <v/>
      </c>
      <c r="AS18" s="321"/>
      <c r="AU18" s="324" t="str">
        <f>IFERROR(VLOOKUP(AV10, 'Fuel Conversion Parameters'!$A:$C, 3, FALSE), "")</f>
        <v/>
      </c>
      <c r="AV18" s="332" t="str">
        <f>IF(AV16="g - gram",AV17*0.000000001,
IF(AV16="Kg - Kilogram",AV17*0.000001,
IF(AV16="t - tonne",AV17*0.001,
IF(AV16="Gg - Gigagram",AV17*1,
IF(AV16="m³ - cubic meters",AV17*1000,
IF(AV16="L - Liter",AV17*1,
""))))))</f>
        <v/>
      </c>
      <c r="AW18" s="321"/>
      <c r="AY18" s="324" t="str">
        <f>IFERROR(VLOOKUP(AZ10, 'Fuel Conversion Parameters'!$A:$C, 3, FALSE), "")</f>
        <v/>
      </c>
      <c r="AZ18" s="332" t="str">
        <f>IF(AZ16="g - gram",AZ17*0.000000001,
IF(AZ16="Kg - Kilogram",AZ17*0.000001,
IF(AZ16="t - tonne",AZ17*0.001,
IF(AZ16="Gg - Gigagram",AZ17*1,
IF(AZ16="m³ - cubic meters",AZ17*1000,
IF(AZ16="L - Liter",AZ17*1,
""))))))</f>
        <v/>
      </c>
      <c r="BA18" s="321"/>
    </row>
    <row r="19" spans="1:53" ht="15" thickBot="1">
      <c r="A19" s="336"/>
      <c r="B19" s="336"/>
      <c r="C19" s="337"/>
      <c r="D19" s="300" t="str">
        <f>AZ11</f>
        <v>-</v>
      </c>
      <c r="E19" s="301" t="str">
        <f>AZ12</f>
        <v>-</v>
      </c>
      <c r="F19" s="338" t="str">
        <f>IF(C19="","-",AY23)</f>
        <v>-</v>
      </c>
      <c r="G19" s="1217" t="str">
        <f t="shared" si="0"/>
        <v/>
      </c>
      <c r="H19" s="1218"/>
      <c r="J19" s="311" t="str">
        <f>template_label_10_further_notes_can_be_found_below</f>
        <v>10. Further notes can be found below</v>
      </c>
      <c r="O19" s="324" t="str">
        <f>IFERROR(
    IF(AND(P11="Solid"),P18,
        IF(AND(P11="Liquid"),P18*_xlfn.XLOOKUP(P10,'Fuel Conversion Parameters'!$A$2:$A$51,'Fuel Conversion Parameters'!$D$2:$D$51)*10^(-6),
            IF(AND(P11="Gaseous"),P18*_xlfn.XLOOKUP(P10,'Fuel Conversion Parameters'!$A$2:$A$51,'Fuel Conversion Parameters'!$E$2:$E$51)*10^(-3)*10^(-6),"")
        )
    ),
    ""
)</f>
        <v/>
      </c>
      <c r="P19" s="18"/>
      <c r="Q19" s="321"/>
      <c r="S19" s="324" t="str">
        <f>IFERROR(
    IF(AND(T11="Solid"),T18,
        IF(AND(T11="Liquid"),T18*_xlfn.XLOOKUP(T10,'Fuel Conversion Parameters'!$A$2:$A$61,'Fuel Conversion Parameters'!$D$2:$D$61)*10^(-6),
            IF(AND(T11="Gaseous"),T18*_xlfn.XLOOKUP(T10,'Fuel Conversion Parameters'!$A$2:$A$61,'Fuel Conversion Parameters'!$E$2:$E$61)*10^(-3)*10^(-6),"")
        )
    ),
    ""
)</f>
        <v/>
      </c>
      <c r="T19" s="18"/>
      <c r="U19" s="321"/>
      <c r="W19" s="324" t="str">
        <f>IFERROR(
    IF(AND(X11="Solid"),X18,
        IF(AND(X11="Liquid"),X18*_xlfn.XLOOKUP(X10,'Fuel Conversion Parameters'!$A$2:$A$61,'Fuel Conversion Parameters'!$D$2:$D$61)*10^(-6),
            IF(AND(X11="Gaseous"),X18*_xlfn.XLOOKUP(X10,'Fuel Conversion Parameters'!$A$2:$A$61,'Fuel Conversion Parameters'!$E$2:$E$61)*10^(-3)*10^(-6),"")
        )
    ),
    ""
)</f>
        <v/>
      </c>
      <c r="X19" s="18"/>
      <c r="Y19" s="321"/>
      <c r="AA19" s="324" t="str">
        <f>IFERROR(
    IF(AND(AB11="Solid"),AB18,
        IF(AND(AB11="Liquid"),AB18*_xlfn.XLOOKUP(AB10,'Fuel Conversion Parameters'!$A$2:$A$61,'Fuel Conversion Parameters'!$D$2:$D$61)*10^(-6),
            IF(AND(AB11="Gaseous"),AB18*_xlfn.XLOOKUP(AB10,'Fuel Conversion Parameters'!$A$2:$A$61,'Fuel Conversion Parameters'!$E$2:$E$61)*10^(-3)*10^(-6),"")
        )
    ),
    ""
)</f>
        <v/>
      </c>
      <c r="AB19" s="18"/>
      <c r="AC19" s="321"/>
      <c r="AE19" s="324" t="str">
        <f>IFERROR(
    IF(AND(AF11="Solid"),AF18,
        IF(AND(AF11="Liquid"),AF18*_xlfn.XLOOKUP(AF10,'Fuel Conversion Parameters'!$A$2:$A$61,'Fuel Conversion Parameters'!$D$2:$D$61)*10^(-6),
            IF(AND(AF11="Gaseous"),AF18*_xlfn.XLOOKUP(AF10,'Fuel Conversion Parameters'!$A$2:$A$61,'Fuel Conversion Parameters'!$E$2:$E$61)*10^(-3)*10^(-6),"")
        )
    ),
    ""
)</f>
        <v/>
      </c>
      <c r="AF19" s="18"/>
      <c r="AG19" s="321"/>
      <c r="AI19" s="324" t="str">
        <f>IFERROR(
    IF(AND(AJ11="Solid"),AJ18,
        IF(AND(AJ11="Liquid"),AJ18*_xlfn.XLOOKUP(AJ10,'Fuel Conversion Parameters'!$A$2:$A$61,'Fuel Conversion Parameters'!$D$2:$D$61)*10^(-6),
            IF(AND(AJ11="Gaseous"),AJ18*_xlfn.XLOOKUP(AJ10,'Fuel Conversion Parameters'!$A$2:$A$61,'Fuel Conversion Parameters'!$E$2:$E$61)*10^(-3)*10^(-6),"")
        )
    ),
    ""
)</f>
        <v/>
      </c>
      <c r="AJ19" s="18"/>
      <c r="AK19" s="321"/>
      <c r="AL19" s="10"/>
      <c r="AM19" s="335" t="str">
        <f>IFERROR(
    IF(AND(AN11="Solid"),AN18,
        IF(AND(AN11="Liquid"),AN18*_xlfn.XLOOKUP(AN10,'Fuel Conversion Parameters'!$A$2:$A$61,'Fuel Conversion Parameters'!$D$2:$D$61)*10^(-6),
            IF(AND(AN11="Gaseous"),AN18*_xlfn.XLOOKUP(AN10,'Fuel Conversion Parameters'!$A$2:$A$61,'Fuel Conversion Parameters'!$E$2:$E$61)*10^(-3)*10^(-6),"")
        )
    ),
    ""
)</f>
        <v/>
      </c>
      <c r="AN19" s="18"/>
      <c r="AO19" s="321"/>
      <c r="AP19" s="10"/>
      <c r="AQ19" s="335" t="str">
        <f>IFERROR(
    IF(AND(AR11="Solid"),AR18,
        IF(AND(AR11="Liquid"),AR18*_xlfn.XLOOKUP(AR10,'Fuel Conversion Parameters'!$A$2:$A$61,'Fuel Conversion Parameters'!$D$2:$D$61)*10^(-6),
            IF(AND(AR11="Gaseous"),AR18*_xlfn.XLOOKUP(AR10,'Fuel Conversion Parameters'!$A$2:$A$61,'Fuel Conversion Parameters'!$E$2:$E$61)*10^(-3)*10^(-6),"")
        )
    ),
    ""
)</f>
        <v/>
      </c>
      <c r="AR19" s="18"/>
      <c r="AS19" s="321"/>
      <c r="AU19" s="324" t="str">
        <f>IFERROR(
    IF(AND(AV11="Solid"),AV18,
        IF(AND(AV11="Liquid"),AV18*_xlfn.XLOOKUP(AV10,'Fuel Conversion Parameters'!$A$2:$A$61,'Fuel Conversion Parameters'!$D$2:$D$61)*10^(-6),
            IF(AND(AV11="Gaseous"),AV18*_xlfn.XLOOKUP(AV10,'Fuel Conversion Parameters'!$A$2:$A$61,'Fuel Conversion Parameters'!$E$2:$E$61)*10^(-3)*10^(-6),"")
        )
    ),
    ""
)</f>
        <v/>
      </c>
      <c r="AV19" s="18"/>
      <c r="AW19" s="321"/>
      <c r="AY19" s="324" t="str">
        <f>IFERROR(
    IF(AND(AZ11="Solid"),AZ18,
        IF(AND(AZ11="Liquid"),AZ18*_xlfn.XLOOKUP(AZ10,'Fuel Conversion Parameters'!$A$2:$A$61,'Fuel Conversion Parameters'!$D$2:$D$61)*10^(-6),
            IF(AND(AZ11="Gaseous"),AZ18*_xlfn.XLOOKUP(AZ10,'Fuel Conversion Parameters'!$A$2:$A$61,'Fuel Conversion Parameters'!$E$2:$E$61)*10^(-3)*10^(-6),"")
        )
    ),
    ""
)</f>
        <v/>
      </c>
      <c r="AZ19" s="18"/>
      <c r="BA19" s="321"/>
    </row>
    <row r="20" spans="1:53">
      <c r="A20" s="10"/>
      <c r="B20" s="10"/>
      <c r="O20" s="333" t="str">
        <f>IFERROR(IF(OR(O19="", O18=""), "", O19*O18), "")</f>
        <v/>
      </c>
      <c r="Q20" s="321"/>
      <c r="S20" s="333" t="str">
        <f>IFERROR(IF(OR(S19="", S18=""), "", S19*S18), "")</f>
        <v/>
      </c>
      <c r="U20" s="321"/>
      <c r="W20" s="333" t="str">
        <f>IFERROR(IF(OR(W19="", W18=""), "", W19*W18), "")</f>
        <v/>
      </c>
      <c r="Y20" s="321"/>
      <c r="AA20" s="333" t="str">
        <f>IFERROR(IF(OR(AA19="", AA18=""), "", AA19*AA18), "")</f>
        <v/>
      </c>
      <c r="AC20" s="321"/>
      <c r="AE20" s="333" t="str">
        <f>IFERROR(IF(OR(AE19="", AE18=""), "", AE19*AE18), "")</f>
        <v/>
      </c>
      <c r="AG20" s="321"/>
      <c r="AI20" s="333" t="str">
        <f>IFERROR(IF(OR(AI19="", AI18=""), "", AI19*AI18), "")</f>
        <v/>
      </c>
      <c r="AK20" s="321"/>
      <c r="AL20" s="10"/>
      <c r="AM20" s="333" t="str">
        <f>IFERROR(IF(OR(AM19="", AM18=""), "", AM19*AM18), "")</f>
        <v/>
      </c>
      <c r="AN20" s="10"/>
      <c r="AO20" s="321"/>
      <c r="AP20" s="10"/>
      <c r="AQ20" s="333" t="str">
        <f>IFERROR(IF(OR(AQ19="", AQ18=""), "", AQ19*AQ18), "")</f>
        <v/>
      </c>
      <c r="AS20" s="321"/>
      <c r="AU20" s="333" t="str">
        <f>IFERROR(IF(OR(AU19="", AU18=""), "", AU19*AU18), "")</f>
        <v/>
      </c>
      <c r="AW20" s="321"/>
      <c r="AY20" s="333" t="str">
        <f>IFERROR(IF(OR(AY19="", AY18=""), "", AY19*AY18), "")</f>
        <v/>
      </c>
      <c r="BA20" s="321"/>
    </row>
    <row r="21" spans="1:53" ht="15" thickBot="1">
      <c r="A21" s="10"/>
      <c r="B21" s="10"/>
      <c r="I21" s="299"/>
      <c r="J21" s="299"/>
      <c r="K21" s="299"/>
      <c r="L21" s="299"/>
      <c r="M21" s="299"/>
      <c r="O21" s="324" t="str">
        <f>IFERROR(O20, "")</f>
        <v/>
      </c>
      <c r="Q21" s="321"/>
      <c r="S21" s="324" t="str">
        <f>IFERROR(S20, "")</f>
        <v/>
      </c>
      <c r="U21" s="321"/>
      <c r="W21" s="334" t="str">
        <f>IFERROR(W20, "")</f>
        <v/>
      </c>
      <c r="Y21" s="321"/>
      <c r="AA21" s="324" t="str">
        <f>IFERROR(AA20, "")</f>
        <v/>
      </c>
      <c r="AC21" s="321"/>
      <c r="AE21" s="324" t="str">
        <f>IFERROR(AE20, "")</f>
        <v/>
      </c>
      <c r="AG21" s="321"/>
      <c r="AI21" s="324" t="str">
        <f>IFERROR(AI20, "")</f>
        <v/>
      </c>
      <c r="AK21" s="321"/>
      <c r="AL21" s="10"/>
      <c r="AM21" s="335" t="str">
        <f>IFERROR(AM20, "")</f>
        <v/>
      </c>
      <c r="AN21" s="10"/>
      <c r="AO21" s="321"/>
      <c r="AP21" s="10"/>
      <c r="AQ21" s="335" t="str">
        <f>IFERROR(AQ20, "")</f>
        <v/>
      </c>
      <c r="AS21" s="321"/>
      <c r="AU21" s="324" t="str">
        <f>IFERROR(AU20, "")</f>
        <v/>
      </c>
      <c r="AW21" s="321"/>
      <c r="AY21" s="324" t="str">
        <f>IFERROR(AY20, "")</f>
        <v/>
      </c>
      <c r="BA21" s="321"/>
    </row>
    <row r="22" spans="1:53" ht="15" thickBot="1">
      <c r="A22" s="10"/>
      <c r="B22" s="10"/>
      <c r="O22" s="296" t="s">
        <v>100</v>
      </c>
      <c r="P22" s="10" t="str">
        <f>IFERROR(IF(AND(P17&lt;&gt;0,O23=0),"ERROR",""),"")</f>
        <v/>
      </c>
      <c r="Q22" s="321"/>
      <c r="S22" s="296" t="s">
        <v>100</v>
      </c>
      <c r="T22" s="10" t="str">
        <f>IFERROR(IF(AND(T17&lt;&gt;0,S23=0),"ERROR",""),"")</f>
        <v/>
      </c>
      <c r="U22" s="321"/>
      <c r="W22" s="296" t="s">
        <v>100</v>
      </c>
      <c r="X22" s="10" t="str">
        <f>IFERROR(IF(AND(X17&lt;&gt;0,W23=0),"ERROR",""),"")</f>
        <v/>
      </c>
      <c r="Y22" s="321"/>
      <c r="AA22" s="296" t="s">
        <v>100</v>
      </c>
      <c r="AB22" s="10" t="str">
        <f>IFERROR(IF(AND(AB17&lt;&gt;0,AA23=0),"ERROR",""),"")</f>
        <v/>
      </c>
      <c r="AC22" s="321"/>
      <c r="AE22" s="296" t="s">
        <v>100</v>
      </c>
      <c r="AF22" s="10" t="str">
        <f>IFERROR(IF(AND(AF17&lt;&gt;0,AE23=0),"ERROR",""),"")</f>
        <v/>
      </c>
      <c r="AG22" s="321"/>
      <c r="AI22" s="296" t="s">
        <v>100</v>
      </c>
      <c r="AJ22" s="10" t="str">
        <f>IFERROR(IF(AND(AJ17&lt;&gt;0,AI23=0),"ERROR",""),"")</f>
        <v/>
      </c>
      <c r="AK22" s="321"/>
      <c r="AL22" s="10"/>
      <c r="AM22" s="296" t="s">
        <v>100</v>
      </c>
      <c r="AN22" s="10" t="str">
        <f>IFERROR(IF(AND(AN17&lt;&gt;0,AM23=0),"ERROR",""),"")</f>
        <v/>
      </c>
      <c r="AO22" s="321"/>
      <c r="AP22" s="10"/>
      <c r="AQ22" s="296" t="s">
        <v>100</v>
      </c>
      <c r="AR22" s="10" t="str">
        <f>IFERROR(IF(AND(AR17&lt;&gt;0,AQ23=0),"ERROR",""),"")</f>
        <v/>
      </c>
      <c r="AS22" s="321"/>
      <c r="AU22" s="296" t="s">
        <v>100</v>
      </c>
      <c r="AV22" s="10" t="str">
        <f>IFERROR(IF(AND(AV17&lt;&gt;0,AU23=0),"ERROR",""),"")</f>
        <v/>
      </c>
      <c r="AW22" s="321"/>
      <c r="AY22" s="296" t="s">
        <v>100</v>
      </c>
      <c r="AZ22" s="10" t="str">
        <f>IFERROR(IF(AND(AZ17&lt;&gt;0,AY23=0),"ERROR",""),"")</f>
        <v/>
      </c>
      <c r="BA22" s="321"/>
    </row>
    <row r="23" spans="1:53">
      <c r="A23" s="1226" t="str">
        <f>template_label_transfer_the_total_results_to_the_b3_fuel_energy_consumption_reporting_cell</f>
        <v>Transfer the total calculated results to the B3 "Fuel Energy Consumption" reporting cell</v>
      </c>
      <c r="B23" s="1227"/>
      <c r="C23" s="1228"/>
      <c r="D23" s="1232" t="b">
        <v>0</v>
      </c>
      <c r="E23" s="1233"/>
      <c r="F23" s="1234"/>
      <c r="O23" s="331"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291"/>
      <c r="Q23" s="330"/>
      <c r="S23" s="331"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291"/>
      <c r="U23" s="330"/>
      <c r="W23" s="331"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291"/>
      <c r="Y23" s="330"/>
      <c r="AA23" s="331"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291"/>
      <c r="AC23" s="330"/>
      <c r="AE23" s="331"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291"/>
      <c r="AG23" s="330"/>
      <c r="AI23" s="331"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291"/>
      <c r="AK23" s="330"/>
      <c r="AL23" s="10"/>
      <c r="AM23" s="331"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291"/>
      <c r="AO23" s="330"/>
      <c r="AP23" s="10"/>
      <c r="AQ23" s="331"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291"/>
      <c r="AS23" s="330"/>
      <c r="AU23" s="331"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291"/>
      <c r="AW23" s="330"/>
      <c r="AY23" s="331"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291"/>
      <c r="BA23" s="330"/>
    </row>
    <row r="24" spans="1:53" ht="15" thickBot="1">
      <c r="A24" s="1229"/>
      <c r="B24" s="1230"/>
      <c r="C24" s="1231"/>
      <c r="D24" s="1235"/>
      <c r="E24" s="1236"/>
      <c r="F24" s="1237"/>
      <c r="AL24" s="10"/>
      <c r="AN24" s="10"/>
      <c r="AO24" s="10"/>
      <c r="AP24" s="10"/>
    </row>
    <row r="25" spans="1:53">
      <c r="B25" s="10"/>
      <c r="AL25" s="10"/>
      <c r="AN25" s="10"/>
      <c r="AO25" s="10"/>
      <c r="AP25" s="10"/>
    </row>
    <row r="26" spans="1:5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c r="B27" s="10"/>
      <c r="AL27" s="10"/>
      <c r="AN27" s="10"/>
      <c r="AO27" s="10"/>
      <c r="AP27" s="10"/>
    </row>
    <row r="28" spans="1:53" ht="15" thickBot="1">
      <c r="A28" s="1222" t="str">
        <f>template_label_total_energy</f>
        <v>Total Energy [MWh]</v>
      </c>
      <c r="B28" s="1223"/>
      <c r="AL28" s="10"/>
      <c r="AN28" s="10"/>
      <c r="AO28" s="10"/>
      <c r="AP28" s="10"/>
    </row>
    <row r="29" spans="1:53" ht="15" thickBot="1">
      <c r="A29" s="1224" t="str" cm="1">
        <f t="array" ref="A29">_xlfn.IFS(AND(A32="-",B32="-"),"-",AND(A32="-",B32&lt;&gt;"-"),B32,AND(A32&lt;&gt;"-",B32="-"),A32,AND(A32&lt;&gt;"-",B32&lt;&gt;"-"),A32+B32)</f>
        <v>-</v>
      </c>
      <c r="B29" s="1225"/>
      <c r="AL29" s="10"/>
      <c r="AN29" s="10"/>
      <c r="AO29" s="10"/>
      <c r="AP29" s="10"/>
    </row>
    <row r="30" spans="1:53" ht="15" thickBot="1">
      <c r="A30" s="10"/>
      <c r="B30" s="10"/>
      <c r="AL30" s="10"/>
      <c r="AN30" s="10"/>
      <c r="AO30" s="10"/>
    </row>
    <row r="31" spans="1:53" ht="15" thickBot="1">
      <c r="A31" s="296" t="str">
        <f>template_label_total_renewable_energy</f>
        <v>Total Renewable Energy [MWh]</v>
      </c>
      <c r="B31" s="292" t="str">
        <f>template_label_total_nonrenewable_energy</f>
        <v>Total Non-renewable Energy [MWh]</v>
      </c>
      <c r="AN31" s="10"/>
      <c r="AO31" s="10"/>
      <c r="AP31" s="10"/>
    </row>
    <row r="32" spans="1:53" ht="15" thickBot="1">
      <c r="A32" s="302" t="str" cm="1">
        <f t="array" ref="A32">_xlfn.IFS(AND(H9=template_label_complete, COUNTIF(E10:E19, "Renewable") = 0), "-",
AND(H9=template_label_complete, COUNTIF(E10:E19, "Renewable") &gt; 0), SUMIF(E10:E19,"Renewable",F10:F19),
H9=template_label_incomplete, "-",
H9="-", "-")</f>
        <v>-</v>
      </c>
      <c r="B32" s="302" t="str" cm="1">
        <f t="array" ref="B32">_xlfn.IFS(AND(H9=template_label_complete, COUNTIF(E10:E19, "Non-renewable") = 0), "-",
AND(H9=template_label_complete, COUNTIF(E10:E19, "Non-renewable") &gt; 0), SUMIF(E10:E19,"Non-renewable",F10:F19),
H9=template_label_incomplete, "-",
H9="-", "-")</f>
        <v>-</v>
      </c>
      <c r="R32" s="286"/>
      <c r="AL32" s="10"/>
      <c r="AN32" s="10"/>
      <c r="AO32" s="10"/>
      <c r="AP32" s="10"/>
    </row>
    <row r="33" spans="1:42">
      <c r="A33" s="303"/>
      <c r="B33" s="10"/>
      <c r="AL33" s="10"/>
      <c r="AN33" s="10"/>
      <c r="AO33" s="10"/>
      <c r="AP33" s="10"/>
    </row>
    <row r="34" spans="1:42">
      <c r="A34" s="10"/>
      <c r="B34" s="10"/>
      <c r="AL34" s="10"/>
      <c r="AN34" s="10"/>
      <c r="AO34" s="10"/>
      <c r="AP34" s="10"/>
    </row>
    <row r="35" spans="1:42">
      <c r="A35" s="10"/>
      <c r="B35" s="10"/>
      <c r="AL35" s="10"/>
      <c r="AN35" s="10"/>
      <c r="AO35" s="10"/>
      <c r="AP35" s="10"/>
    </row>
    <row r="36" spans="1:42">
      <c r="A36" s="286" t="str">
        <f>template_label_further_notes</f>
        <v>Further notes:</v>
      </c>
      <c r="B36" s="10"/>
      <c r="AL36" s="10"/>
      <c r="AN36" s="10"/>
      <c r="AO36" s="10"/>
      <c r="AP36" s="10"/>
    </row>
    <row r="37" spans="1:42" ht="257.39999999999998" customHeight="1">
      <c r="A37" s="1097"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1097"/>
      <c r="AL37" s="10"/>
      <c r="AN37" s="10"/>
      <c r="AO37" s="10"/>
      <c r="AP37" s="10"/>
    </row>
    <row r="38" spans="1:42">
      <c r="A38" s="10"/>
      <c r="B38" s="10"/>
      <c r="AL38" s="10"/>
      <c r="AN38" s="10"/>
      <c r="AO38" s="10"/>
      <c r="AP38" s="10"/>
    </row>
    <row r="39" spans="1:42">
      <c r="A39" s="1220" t="str">
        <f>template_label_energy_consumption_per_hour_in_mwh_for_solid_fuels</f>
        <v>Energy Consumption per Hour in MWh for Solid Fuels:</v>
      </c>
      <c r="B39" s="1220"/>
      <c r="AL39" s="10"/>
      <c r="AN39" s="10"/>
      <c r="AO39" s="10"/>
      <c r="AP39" s="10"/>
    </row>
    <row r="40" spans="1:42" ht="18.45">
      <c r="A40" s="1221" t="str">
        <f>template_label_energy_solid_fuels</f>
        <v>Energy [MWh] = Mass [t] * NCV [MWh/t]</v>
      </c>
      <c r="B40" s="1221"/>
      <c r="AL40" s="10"/>
      <c r="AN40" s="10"/>
      <c r="AO40" s="10"/>
      <c r="AP40" s="10"/>
    </row>
    <row r="41" spans="1:42">
      <c r="A41" s="1220"/>
      <c r="B41" s="1220"/>
      <c r="AL41" s="10"/>
      <c r="AN41" s="10"/>
      <c r="AO41" s="10"/>
      <c r="AP41" s="10"/>
    </row>
    <row r="42" spans="1:42">
      <c r="A42" s="1220" t="str">
        <f>template_label_energy_consumption_per_hour_in_mwh_for_liquid_fuels</f>
        <v>Energy Consumption per Hour in MWh for Liquid Fuels:</v>
      </c>
      <c r="B42" s="1220"/>
      <c r="AL42" s="10"/>
      <c r="AN42" s="10"/>
      <c r="AO42" s="10"/>
      <c r="AP42" s="10"/>
    </row>
    <row r="43" spans="1:42" ht="18.45">
      <c r="A43" s="1221" t="str">
        <f>template_label_mass_liquid_fuels</f>
        <v>Mass [t] = Volume [L] * Density [t/L]</v>
      </c>
      <c r="B43" s="1221"/>
      <c r="AL43" s="10"/>
      <c r="AN43" s="10"/>
      <c r="AO43" s="10"/>
      <c r="AP43" s="10"/>
    </row>
    <row r="44" spans="1:42" ht="18.45">
      <c r="A44" s="1221" t="str">
        <f>template_label_energy_liquid_fuels</f>
        <v>Energy [MWh] = Mass [t] * [MWh/t]</v>
      </c>
      <c r="B44" s="1221"/>
      <c r="AL44" s="10"/>
      <c r="AN44" s="10"/>
      <c r="AO44" s="10"/>
      <c r="AP44" s="10"/>
    </row>
    <row r="45" spans="1:42">
      <c r="A45" s="1220"/>
      <c r="B45" s="1220"/>
      <c r="AL45" s="10"/>
      <c r="AN45" s="10"/>
      <c r="AO45" s="10"/>
      <c r="AP45" s="10"/>
    </row>
    <row r="46" spans="1:42">
      <c r="A46" s="1220" t="str">
        <f>template_label_energy_consumption_per_hour_in_mwh_for_gaseous_fuels</f>
        <v>Energy Consumption per Hour in MWh for Gaseous Fuels:</v>
      </c>
      <c r="B46" s="1220"/>
      <c r="AL46" s="10"/>
      <c r="AN46" s="10"/>
      <c r="AO46" s="10"/>
      <c r="AP46" s="10"/>
    </row>
    <row r="47" spans="1:42" ht="18.45">
      <c r="A47" s="1221" t="str">
        <f>template_label_mass_gaseous_fuels</f>
        <v>Mass [t] = Volume [m³] * Density [t/m³]</v>
      </c>
      <c r="B47" s="1221"/>
      <c r="C47" s="306"/>
      <c r="AL47" s="10"/>
      <c r="AN47" s="10"/>
      <c r="AO47" s="10"/>
      <c r="AP47" s="10"/>
    </row>
    <row r="48" spans="1:42" ht="18.45">
      <c r="A48" s="1221" t="str">
        <f>template_label_energy_gaseous_fuels</f>
        <v>Energy [MWh] = Mass [t] * NCV [MWh/t]</v>
      </c>
      <c r="B48" s="1221"/>
      <c r="AL48" s="10"/>
      <c r="AN48" s="10"/>
      <c r="AO48" s="10"/>
      <c r="AP48" s="10"/>
    </row>
    <row r="49" s="10" customFormat="1"/>
    <row r="50" s="10" customFormat="1"/>
    <row r="51" s="10" customFormat="1"/>
    <row r="52" s="10" customFormat="1"/>
    <row r="53" s="10" customFormat="1"/>
    <row r="54" s="10" customFormat="1"/>
    <row r="55" s="10" customFormat="1"/>
    <row r="56" s="10" customFormat="1"/>
    <row r="57" s="10" customFormat="1"/>
    <row r="58" s="10" customFormat="1"/>
    <row r="59" s="10" customFormat="1"/>
    <row r="60" s="10" customFormat="1"/>
    <row r="61" s="10" customFormat="1"/>
    <row r="62" s="10" customFormat="1"/>
    <row r="63" s="10" customFormat="1"/>
    <row r="64" s="10" customFormat="1"/>
    <row r="65" s="10" customFormat="1"/>
    <row r="66" s="10" customFormat="1"/>
    <row r="67" s="10" customFormat="1"/>
    <row r="68" s="10" customFormat="1"/>
    <row r="69" s="10" customFormat="1"/>
    <row r="70" s="10" customFormat="1"/>
    <row r="71" s="10" customFormat="1"/>
    <row r="72" s="10" customFormat="1"/>
    <row r="73" s="10" customFormat="1"/>
    <row r="74" s="10" customFormat="1"/>
    <row r="75" s="10" customFormat="1"/>
    <row r="76" s="10" customFormat="1"/>
    <row r="77" s="10" customFormat="1"/>
    <row r="78" s="10" customFormat="1"/>
    <row r="79" s="10" customFormat="1"/>
    <row r="80" s="10" customFormat="1"/>
    <row r="81" s="10" customFormat="1"/>
    <row r="82" s="10" customFormat="1"/>
    <row r="83" s="10" customFormat="1"/>
    <row r="84" s="10" customFormat="1"/>
    <row r="85" s="10" customFormat="1"/>
    <row r="86" s="10" customFormat="1"/>
    <row r="87" s="10" customFormat="1"/>
    <row r="88" s="10" customFormat="1"/>
    <row r="89" s="10" customFormat="1"/>
    <row r="90" s="10" customFormat="1"/>
    <row r="91" s="10" customFormat="1"/>
    <row r="92" s="10" customFormat="1"/>
    <row r="93" s="10" customFormat="1"/>
    <row r="94" s="10" customFormat="1"/>
    <row r="95" s="10" customFormat="1"/>
    <row r="96" s="10" customFormat="1"/>
    <row r="97" s="10" customFormat="1"/>
    <row r="98" s="10" customFormat="1"/>
    <row r="99" s="10" customFormat="1"/>
    <row r="100" s="10" customFormat="1"/>
    <row r="101" s="10" customFormat="1"/>
    <row r="102" s="10" customFormat="1"/>
    <row r="103" s="10" customFormat="1"/>
    <row r="104" s="10" customFormat="1"/>
    <row r="105" s="10" customFormat="1"/>
    <row r="106" s="10" customFormat="1"/>
    <row r="107" s="10" customFormat="1"/>
    <row r="108" s="10" customFormat="1"/>
    <row r="109" s="10" customFormat="1"/>
    <row r="110" s="10" customFormat="1"/>
    <row r="111" s="10" customFormat="1"/>
    <row r="112" s="10" customFormat="1"/>
    <row r="113" s="10" customFormat="1"/>
    <row r="114" s="10" customFormat="1"/>
    <row r="115" s="10" customFormat="1"/>
    <row r="116" s="10" customFormat="1"/>
    <row r="117" s="10" customFormat="1"/>
    <row r="118" s="10" customFormat="1"/>
    <row r="119" s="10" customFormat="1"/>
    <row r="120" s="10" customFormat="1"/>
    <row r="121" s="10" customFormat="1"/>
    <row r="122" s="10" customFormat="1"/>
    <row r="123" s="10" customFormat="1"/>
    <row r="124" s="10" customFormat="1"/>
    <row r="125" s="10" customFormat="1"/>
    <row r="126" s="10" customFormat="1"/>
    <row r="127" s="10" customFormat="1"/>
    <row r="128" s="10" customFormat="1"/>
    <row r="129" s="10" customFormat="1"/>
    <row r="130" s="10" customFormat="1"/>
    <row r="131" s="10" customFormat="1"/>
    <row r="132" s="10" customFormat="1"/>
    <row r="133" s="10" customFormat="1"/>
    <row r="134" s="10" customFormat="1"/>
    <row r="135" s="10" customFormat="1"/>
    <row r="136" s="10" customFormat="1"/>
    <row r="137" s="10" customFormat="1"/>
    <row r="138" s="10" customFormat="1"/>
    <row r="139" s="10" customFormat="1"/>
    <row r="140" s="10" customFormat="1"/>
  </sheetData>
  <sheetProtection algorithmName="SHA-512" hashValue="nDFAIo9s7BSWDUM2NsBXvr/jn0fbieReYh5Q2uFgkKnjb0+36x2DkjN4Oc0u9beYG98cOZy6/waKGkTXGMzZuw==" saltValue="UP/uqJXb8TSw3oAQOw29kA==" spinCount="100000" sheet="1" objects="1" scenarios="1"/>
  <mergeCells count="3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 ref="G10:H10"/>
    <mergeCell ref="G11:H11"/>
    <mergeCell ref="G17:H17"/>
    <mergeCell ref="G18:H18"/>
    <mergeCell ref="G19:H19"/>
    <mergeCell ref="G12:H12"/>
    <mergeCell ref="G13:H13"/>
    <mergeCell ref="G14:H14"/>
    <mergeCell ref="G15:H15"/>
    <mergeCell ref="G16:H16"/>
  </mergeCells>
  <conditionalFormatting sqref="A6">
    <cfRule type="expression" dxfId="86" priority="581">
      <formula>OR($P$11="Solid", $P$11="Gas")</formula>
    </cfRule>
  </conditionalFormatting>
  <conditionalFormatting sqref="D10">
    <cfRule type="expression" dxfId="85" priority="13">
      <formula>$D$10="MISSING VALUE"</formula>
    </cfRule>
  </conditionalFormatting>
  <conditionalFormatting sqref="D11">
    <cfRule type="expression" dxfId="84" priority="14">
      <formula>$D$11="MISSING VALUE"</formula>
    </cfRule>
  </conditionalFormatting>
  <conditionalFormatting sqref="D12">
    <cfRule type="expression" dxfId="83" priority="15">
      <formula>$D$12="MISSING VALUE"</formula>
    </cfRule>
  </conditionalFormatting>
  <conditionalFormatting sqref="D13">
    <cfRule type="expression" dxfId="82" priority="16">
      <formula>$D$13="MISSING VALUE"</formula>
    </cfRule>
  </conditionalFormatting>
  <conditionalFormatting sqref="D14">
    <cfRule type="expression" dxfId="81" priority="17">
      <formula>$D$14="MISSING VALUE"</formula>
    </cfRule>
  </conditionalFormatting>
  <conditionalFormatting sqref="D15">
    <cfRule type="expression" dxfId="80" priority="18">
      <formula>$D$15="MISSING VALUE"</formula>
    </cfRule>
  </conditionalFormatting>
  <conditionalFormatting sqref="D16">
    <cfRule type="expression" dxfId="79" priority="19">
      <formula>$D$16="MISSING VALUE"</formula>
    </cfRule>
  </conditionalFormatting>
  <conditionalFormatting sqref="D17">
    <cfRule type="expression" dxfId="78" priority="20">
      <formula>$D$17="MISSING VALUE"</formula>
    </cfRule>
  </conditionalFormatting>
  <conditionalFormatting sqref="D18">
    <cfRule type="expression" dxfId="77" priority="21">
      <formula>$D$18="MISSING VALUE"</formula>
    </cfRule>
  </conditionalFormatting>
  <conditionalFormatting sqref="D19">
    <cfRule type="expression" dxfId="76" priority="23">
      <formula>$D$19="MISSING VALUE"</formula>
    </cfRule>
  </conditionalFormatting>
  <conditionalFormatting sqref="E10">
    <cfRule type="expression" dxfId="75" priority="5">
      <formula>$E$10="MISSING VALUE"</formula>
    </cfRule>
  </conditionalFormatting>
  <conditionalFormatting sqref="E11">
    <cfRule type="expression" dxfId="74" priority="6">
      <formula>$E$11="MISSING VALUE"</formula>
    </cfRule>
  </conditionalFormatting>
  <conditionalFormatting sqref="E12">
    <cfRule type="expression" dxfId="73" priority="7">
      <formula>$E$12="MISSING VALUE"</formula>
    </cfRule>
  </conditionalFormatting>
  <conditionalFormatting sqref="E13">
    <cfRule type="expression" dxfId="72" priority="8">
      <formula>$E$13="MISSING VALUE"</formula>
    </cfRule>
  </conditionalFormatting>
  <conditionalFormatting sqref="E14">
    <cfRule type="expression" dxfId="71" priority="9">
      <formula>$E$14="MISSING VALUE"</formula>
    </cfRule>
  </conditionalFormatting>
  <conditionalFormatting sqref="E15">
    <cfRule type="expression" dxfId="70" priority="10">
      <formula>$E$15="MISSING VALUE"</formula>
    </cfRule>
  </conditionalFormatting>
  <conditionalFormatting sqref="E16">
    <cfRule type="expression" dxfId="69" priority="11">
      <formula>$E$16="MISSING VALUE"</formula>
    </cfRule>
  </conditionalFormatting>
  <conditionalFormatting sqref="E17">
    <cfRule type="expression" dxfId="68" priority="12">
      <formula>$E$17="MISSING VALUE"</formula>
    </cfRule>
  </conditionalFormatting>
  <conditionalFormatting sqref="E18">
    <cfRule type="expression" dxfId="67" priority="4">
      <formula>$E$18="MISSING VALUE"</formula>
    </cfRule>
  </conditionalFormatting>
  <conditionalFormatting sqref="E19">
    <cfRule type="expression" dxfId="66" priority="22">
      <formula>$E$19="MISSING VALUE"</formula>
    </cfRule>
  </conditionalFormatting>
  <conditionalFormatting sqref="G10:G19">
    <cfRule type="expression" dxfId="65" priority="1">
      <formula>$G10=template_label_ok</formula>
    </cfRule>
    <cfRule type="expression" dxfId="64" priority="25">
      <formula>$G10=template_label_solid_warning</formula>
    </cfRule>
    <cfRule type="expression" dxfId="63" priority="28">
      <formula>$G10=template_label_gaseous_warning</formula>
    </cfRule>
    <cfRule type="expression" dxfId="62" priority="29">
      <formula>$G10=template_label_liquid_warning</formula>
    </cfRule>
  </conditionalFormatting>
  <conditionalFormatting sqref="H9">
    <cfRule type="expression" dxfId="61" priority="2">
      <formula>$H$9=template_label_complete</formula>
    </cfRule>
    <cfRule type="expression" dxfId="60" priority="3">
      <formula>$H$9=template_label_incomplete</formula>
    </cfRule>
  </conditionalFormatting>
  <conditionalFormatting sqref="P11">
    <cfRule type="expression" dxfId="59" priority="48">
      <formula>$P$11="MISSING VALUE"</formula>
    </cfRule>
  </conditionalFormatting>
  <conditionalFormatting sqref="P12">
    <cfRule type="expression" dxfId="58" priority="158">
      <formula>$P$12="MISSING VALUE"</formula>
    </cfRule>
  </conditionalFormatting>
  <conditionalFormatting sqref="Q16 U16 Y16 AC16 AG16 AK16 AO16 AS16 AW16 BA16">
    <cfRule type="expression" dxfId="57" priority="127">
      <formula>Q$16="Solid fuel: please change unit of measurement, select one among Gg, t, Kg and g"</formula>
    </cfRule>
    <cfRule type="expression" dxfId="56" priority="128">
      <formula>Q$16="Solid fuel: please select one unit of measurement among Gg, t, Kg and g"</formula>
    </cfRule>
    <cfRule type="expression" dxfId="55" priority="129">
      <formula>Q$16="Gaseous fuel: please change unit of measurement, select one among m³ and L"</formula>
    </cfRule>
    <cfRule type="expression" dxfId="54" priority="131">
      <formula>Q$16="Gaseous fuel: please select one unit of measurement among m³ and L"</formula>
    </cfRule>
    <cfRule type="expression" dxfId="53" priority="132">
      <formula>Q$16="Liquid fuel: please select one unit of measurement among m³ and L"</formula>
    </cfRule>
    <cfRule type="expression" dxfId="52" priority="130">
      <formula>Q$16="Liquid fuel: please change unit of measurement, select one among m³ and L"</formula>
    </cfRule>
  </conditionalFormatting>
  <conditionalFormatting sqref="T11">
    <cfRule type="expression" dxfId="51" priority="133">
      <formula>$T$11="MISSING VALUE"</formula>
    </cfRule>
  </conditionalFormatting>
  <conditionalFormatting sqref="T12">
    <cfRule type="expression" dxfId="50" priority="152">
      <formula>$T$12="MISSING VALUE"</formula>
    </cfRule>
  </conditionalFormatting>
  <conditionalFormatting sqref="X11">
    <cfRule type="expression" dxfId="49" priority="45">
      <formula>$T$11="MISSING VALUE"</formula>
    </cfRule>
  </conditionalFormatting>
  <conditionalFormatting sqref="X12">
    <cfRule type="expression" dxfId="48" priority="44">
      <formula>$T$12="MISSING VALUE"</formula>
    </cfRule>
  </conditionalFormatting>
  <conditionalFormatting sqref="AB11">
    <cfRule type="expression" dxfId="47" priority="43">
      <formula>$T$11="MISSING VALUE"</formula>
    </cfRule>
  </conditionalFormatting>
  <conditionalFormatting sqref="AB12">
    <cfRule type="expression" dxfId="46" priority="42">
      <formula>$T$12="MISSING VALUE"</formula>
    </cfRule>
  </conditionalFormatting>
  <conditionalFormatting sqref="AF11">
    <cfRule type="expression" dxfId="45" priority="41">
      <formula>$T$11="MISSING VALUE"</formula>
    </cfRule>
  </conditionalFormatting>
  <conditionalFormatting sqref="AF12">
    <cfRule type="expression" dxfId="44" priority="40">
      <formula>$T$12="MISSING VALUE"</formula>
    </cfRule>
  </conditionalFormatting>
  <conditionalFormatting sqref="AJ11">
    <cfRule type="expression" dxfId="43" priority="39">
      <formula>$T$11="MISSING VALUE"</formula>
    </cfRule>
  </conditionalFormatting>
  <conditionalFormatting sqref="AJ12">
    <cfRule type="expression" dxfId="42" priority="38">
      <formula>$T$12="MISSING VALUE"</formula>
    </cfRule>
  </conditionalFormatting>
  <conditionalFormatting sqref="AN11">
    <cfRule type="expression" dxfId="41" priority="37">
      <formula>$T$11="MISSING VALUE"</formula>
    </cfRule>
  </conditionalFormatting>
  <conditionalFormatting sqref="AN12">
    <cfRule type="expression" dxfId="40" priority="36">
      <formula>$T$12="MISSING VALUE"</formula>
    </cfRule>
  </conditionalFormatting>
  <conditionalFormatting sqref="AR11">
    <cfRule type="expression" dxfId="39" priority="35">
      <formula>$T$11="MISSING VALUE"</formula>
    </cfRule>
  </conditionalFormatting>
  <conditionalFormatting sqref="AR12">
    <cfRule type="expression" dxfId="38" priority="34">
      <formula>$T$12="MISSING VALUE"</formula>
    </cfRule>
  </conditionalFormatting>
  <conditionalFormatting sqref="AV11">
    <cfRule type="expression" dxfId="37" priority="33">
      <formula>$T$11="MISSING VALUE"</formula>
    </cfRule>
  </conditionalFormatting>
  <conditionalFormatting sqref="AV12">
    <cfRule type="expression" dxfId="36" priority="32">
      <formula>$T$12="MISSING VALUE"</formula>
    </cfRule>
  </conditionalFormatting>
  <conditionalFormatting sqref="AZ11">
    <cfRule type="expression" dxfId="35" priority="31">
      <formula>$T$11="MISSING VALUE"</formula>
    </cfRule>
  </conditionalFormatting>
  <conditionalFormatting sqref="AZ12">
    <cfRule type="expression" dxfId="34" priority="30">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J19" location="template_further_notes" display="7. Further notes below" xr:uid="{5BA248E8-6D4E-4355-8574-344E2763FBC0}"/>
  </hyperlink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sheetPr codeName="Sheet11"/>
  <dimension ref="A1:AY108"/>
  <sheetViews>
    <sheetView zoomScaleNormal="100" workbookViewId="0"/>
  </sheetViews>
  <sheetFormatPr defaultColWidth="8.84375" defaultRowHeight="14.6"/>
  <cols>
    <col min="1" max="1" width="82.4609375" customWidth="1"/>
    <col min="2" max="2" width="14.07421875" bestFit="1" customWidth="1"/>
    <col min="3" max="3" width="18.53515625" bestFit="1" customWidth="1"/>
    <col min="4" max="4" width="20.53515625" bestFit="1" customWidth="1"/>
    <col min="5" max="5" width="21.07421875" bestFit="1" customWidth="1"/>
    <col min="6" max="6" width="25.4609375" bestFit="1" customWidth="1"/>
    <col min="7" max="8" width="15.4609375" hidden="1" customWidth="1"/>
    <col min="9" max="9" width="20.4609375" hidden="1" customWidth="1"/>
    <col min="10" max="11" width="8.84375" hidden="1" customWidth="1"/>
    <col min="12" max="12" width="23.84375" hidden="1" customWidth="1"/>
    <col min="13" max="13" width="20.53515625" hidden="1" customWidth="1"/>
    <col min="14" max="14" width="17.53515625" hidden="1" customWidth="1"/>
    <col min="15" max="15" width="14.53515625" hidden="1" customWidth="1"/>
    <col min="16" max="16" width="27.07421875" hidden="1" customWidth="1"/>
    <col min="17" max="17" width="23.84375" hidden="1" customWidth="1"/>
    <col min="18" max="18" width="20.53515625" hidden="1" customWidth="1"/>
    <col min="19" max="19" width="17.53515625" hidden="1" customWidth="1"/>
    <col min="20" max="21" width="8.84375" hidden="1" customWidth="1"/>
    <col min="22" max="22" width="38.53515625" hidden="1" customWidth="1"/>
    <col min="23" max="24" width="42.53515625" hidden="1" customWidth="1"/>
    <col min="25" max="25" width="48.53515625" hidden="1" customWidth="1"/>
    <col min="26" max="26" width="33.4609375" hidden="1" customWidth="1"/>
    <col min="27" max="27" width="36.4609375" hidden="1" customWidth="1"/>
    <col min="28" max="28" width="39.53515625" hidden="1" customWidth="1"/>
    <col min="29" max="29" width="42.53515625" hidden="1" customWidth="1"/>
    <col min="30" max="30" width="27.4609375" hidden="1" customWidth="1"/>
    <col min="31" max="31" width="30.4609375" hidden="1" customWidth="1"/>
    <col min="32" max="32" width="33.53515625" hidden="1" customWidth="1"/>
    <col min="33" max="33" width="36.53515625" hidden="1" customWidth="1"/>
    <col min="34" max="34" width="24.4609375" hidden="1" customWidth="1"/>
    <col min="35" max="35" width="27.07421875" hidden="1" customWidth="1"/>
    <col min="36" max="36" width="30.4609375" hidden="1" customWidth="1"/>
    <col min="37" max="37" width="33.4609375" hidden="1" customWidth="1"/>
    <col min="38" max="39" width="8.84375" hidden="1" customWidth="1"/>
    <col min="40" max="40" width="28" hidden="1" customWidth="1"/>
    <col min="41" max="41" width="29" hidden="1" customWidth="1"/>
    <col min="42" max="42" width="26" hidden="1" customWidth="1"/>
    <col min="43" max="43" width="24.84375" hidden="1" customWidth="1"/>
    <col min="44" max="45" width="21.84375" hidden="1" customWidth="1"/>
    <col min="46" max="46" width="24.53515625" hidden="1" customWidth="1"/>
    <col min="47" max="47" width="18.07421875" hidden="1" customWidth="1"/>
    <col min="48" max="48" width="21.4609375" hidden="1" customWidth="1"/>
    <col min="49" max="49" width="13.4609375" hidden="1" customWidth="1"/>
    <col min="50" max="50" width="22.53515625" hidden="1" customWidth="1"/>
    <col min="51" max="51" width="7.07421875" customWidth="1"/>
    <col min="52" max="52" width="9.07421875" customWidth="1"/>
  </cols>
  <sheetData>
    <row r="1" spans="1:51" ht="29.6" thickBot="1">
      <c r="A1" s="129" t="s">
        <v>101</v>
      </c>
      <c r="B1" s="130" t="s">
        <v>96</v>
      </c>
      <c r="C1" s="131" t="s">
        <v>102</v>
      </c>
      <c r="D1" s="132" t="s">
        <v>103</v>
      </c>
      <c r="E1" s="133" t="s">
        <v>104</v>
      </c>
      <c r="F1" s="160" t="s">
        <v>97</v>
      </c>
      <c r="G1" s="20" t="s">
        <v>105</v>
      </c>
      <c r="H1" s="67" t="s">
        <v>106</v>
      </c>
      <c r="I1" s="20" t="s">
        <v>107</v>
      </c>
      <c r="J1" s="20" t="s">
        <v>108</v>
      </c>
      <c r="K1" s="21" t="s">
        <v>109</v>
      </c>
      <c r="L1" s="21" t="s">
        <v>110</v>
      </c>
      <c r="M1" s="21" t="s">
        <v>111</v>
      </c>
      <c r="N1" s="21" t="s">
        <v>112</v>
      </c>
      <c r="O1" s="21" t="s">
        <v>113</v>
      </c>
      <c r="P1" s="21" t="s">
        <v>114</v>
      </c>
      <c r="Q1" s="21" t="s">
        <v>115</v>
      </c>
      <c r="R1" s="21" t="s">
        <v>116</v>
      </c>
      <c r="S1" s="21" t="s">
        <v>117</v>
      </c>
      <c r="T1" s="14"/>
      <c r="U1" s="21" t="s">
        <v>109</v>
      </c>
      <c r="V1" s="21" t="s">
        <v>118</v>
      </c>
      <c r="W1" s="21" t="s">
        <v>119</v>
      </c>
      <c r="X1" s="21" t="s">
        <v>120</v>
      </c>
      <c r="Y1" s="21" t="s">
        <v>121</v>
      </c>
      <c r="Z1" s="21" t="s">
        <v>122</v>
      </c>
      <c r="AA1" s="21" t="s">
        <v>123</v>
      </c>
      <c r="AB1" s="21" t="s">
        <v>124</v>
      </c>
      <c r="AC1" s="21" t="s">
        <v>125</v>
      </c>
      <c r="AD1" s="21" t="s">
        <v>126</v>
      </c>
      <c r="AE1" s="21" t="s">
        <v>127</v>
      </c>
      <c r="AF1" s="21" t="s">
        <v>128</v>
      </c>
      <c r="AG1" s="21" t="s">
        <v>129</v>
      </c>
      <c r="AH1" s="21" t="s">
        <v>130</v>
      </c>
      <c r="AI1" s="21" t="s">
        <v>131</v>
      </c>
      <c r="AJ1" s="21" t="s">
        <v>132</v>
      </c>
      <c r="AK1" s="21" t="s">
        <v>133</v>
      </c>
      <c r="AL1" s="8"/>
      <c r="AM1" s="143" t="s">
        <v>109</v>
      </c>
      <c r="AN1" s="144" t="s">
        <v>134</v>
      </c>
      <c r="AO1" s="144" t="s">
        <v>135</v>
      </c>
      <c r="AP1" s="144" t="s">
        <v>136</v>
      </c>
      <c r="AQ1" s="144" t="s">
        <v>137</v>
      </c>
      <c r="AR1" s="144" t="s">
        <v>138</v>
      </c>
      <c r="AS1" s="144" t="s">
        <v>139</v>
      </c>
      <c r="AT1" s="144" t="s">
        <v>140</v>
      </c>
      <c r="AU1" s="144" t="s">
        <v>141</v>
      </c>
      <c r="AW1" s="131" t="s">
        <v>96</v>
      </c>
      <c r="AX1" s="160" t="s">
        <v>97</v>
      </c>
      <c r="AY1" s="228" t="s">
        <v>142</v>
      </c>
    </row>
    <row r="2" spans="1:51" ht="15" thickBot="1">
      <c r="A2" s="275" t="s">
        <v>143</v>
      </c>
      <c r="B2" s="134" t="s">
        <v>144</v>
      </c>
      <c r="C2" s="135">
        <v>26.7</v>
      </c>
      <c r="D2" s="220"/>
      <c r="E2" s="221"/>
      <c r="F2" s="165" t="s">
        <v>145</v>
      </c>
      <c r="G2" s="163" t="s">
        <v>146</v>
      </c>
      <c r="H2" s="47" t="s">
        <v>147</v>
      </c>
      <c r="I2" s="3" t="s">
        <v>148</v>
      </c>
      <c r="J2" s="1" t="s">
        <v>146</v>
      </c>
      <c r="K2" s="22" t="s">
        <v>110</v>
      </c>
      <c r="L2" s="23">
        <v>1</v>
      </c>
      <c r="M2" s="24">
        <v>1E-3</v>
      </c>
      <c r="N2" s="24">
        <v>9.9999999999999995E-7</v>
      </c>
      <c r="O2" s="24">
        <v>1.0000000000000001E-9</v>
      </c>
      <c r="P2" s="24">
        <v>1000</v>
      </c>
      <c r="Q2" s="24">
        <v>1</v>
      </c>
      <c r="R2" s="24">
        <v>1E-3</v>
      </c>
      <c r="S2" s="25">
        <v>9.9999999999999995E-7</v>
      </c>
      <c r="U2" s="22" t="s">
        <v>118</v>
      </c>
      <c r="V2" s="36">
        <v>1</v>
      </c>
      <c r="W2" s="37">
        <v>1000</v>
      </c>
      <c r="X2" s="37">
        <v>1000000</v>
      </c>
      <c r="Y2" s="37">
        <v>1000000000</v>
      </c>
      <c r="Z2" s="37">
        <v>1E-3</v>
      </c>
      <c r="AA2" s="37">
        <v>1</v>
      </c>
      <c r="AB2" s="37">
        <v>1000</v>
      </c>
      <c r="AC2" s="37">
        <v>1000000</v>
      </c>
      <c r="AD2" s="37">
        <v>9.9999999999999998E-13</v>
      </c>
      <c r="AE2" s="37">
        <v>1.0000000000000001E-9</v>
      </c>
      <c r="AF2" s="37">
        <v>9.9999999999999995E-7</v>
      </c>
      <c r="AG2" s="37">
        <v>1E-3</v>
      </c>
      <c r="AH2" s="40">
        <v>2.7799999999999998E-13</v>
      </c>
      <c r="AI2" s="40">
        <v>2.7800000000000002E-10</v>
      </c>
      <c r="AJ2" s="40">
        <v>2.7799999999999997E-7</v>
      </c>
      <c r="AK2" s="41">
        <v>2.7799999999999998E-4</v>
      </c>
      <c r="AM2" s="145" t="s">
        <v>134</v>
      </c>
      <c r="AN2" s="146">
        <v>1</v>
      </c>
      <c r="AO2" s="146">
        <v>0.1</v>
      </c>
      <c r="AP2" s="147">
        <v>0.01</v>
      </c>
      <c r="AQ2" s="147">
        <v>1E-3</v>
      </c>
      <c r="AR2" s="147">
        <v>9.9999999999999995E-7</v>
      </c>
      <c r="AS2" s="147">
        <v>9.9999999999999995E-7</v>
      </c>
      <c r="AT2" s="147">
        <v>1.0000000000000001E-9</v>
      </c>
      <c r="AU2" s="148">
        <v>9.9999999999999998E-13</v>
      </c>
      <c r="AW2" s="3" t="s">
        <v>144</v>
      </c>
      <c r="AX2" s="3" t="s">
        <v>149</v>
      </c>
      <c r="AY2" s="229"/>
    </row>
    <row r="3" spans="1:51" ht="15" thickBot="1">
      <c r="A3" s="276" t="s">
        <v>150</v>
      </c>
      <c r="B3" s="134" t="s">
        <v>151</v>
      </c>
      <c r="C3" s="136">
        <v>44.3</v>
      </c>
      <c r="D3" s="114">
        <v>0.71</v>
      </c>
      <c r="E3" s="222"/>
      <c r="F3" s="166" t="s">
        <v>145</v>
      </c>
      <c r="G3" s="164" t="s">
        <v>152</v>
      </c>
      <c r="H3" s="7" t="s">
        <v>153</v>
      </c>
      <c r="I3" s="1" t="s">
        <v>154</v>
      </c>
      <c r="J3" s="1" t="s">
        <v>152</v>
      </c>
      <c r="K3" s="26" t="s">
        <v>111</v>
      </c>
      <c r="L3" s="27">
        <v>1000</v>
      </c>
      <c r="M3" s="28">
        <v>1</v>
      </c>
      <c r="N3" s="28">
        <v>1E-3</v>
      </c>
      <c r="O3" s="28">
        <v>9.9999999999999995E-7</v>
      </c>
      <c r="P3" s="28">
        <v>1000000</v>
      </c>
      <c r="Q3" s="28">
        <v>1000</v>
      </c>
      <c r="R3" s="28">
        <v>1</v>
      </c>
      <c r="S3" s="29">
        <v>1E-3</v>
      </c>
      <c r="U3" s="26" t="s">
        <v>119</v>
      </c>
      <c r="V3" s="35">
        <v>1E-3</v>
      </c>
      <c r="W3" s="34">
        <v>1</v>
      </c>
      <c r="X3" s="34">
        <v>1000</v>
      </c>
      <c r="Y3" s="34">
        <v>1000000</v>
      </c>
      <c r="Z3" s="34">
        <v>9.9999999999999995E-7</v>
      </c>
      <c r="AA3" s="34">
        <v>1E-3</v>
      </c>
      <c r="AB3" s="34">
        <v>1</v>
      </c>
      <c r="AC3" s="34">
        <v>1000</v>
      </c>
      <c r="AD3" s="34">
        <v>1.0000000000000001E-15</v>
      </c>
      <c r="AE3" s="34">
        <v>9.9999999999999998E-13</v>
      </c>
      <c r="AF3" s="34">
        <v>1.0000000000000001E-9</v>
      </c>
      <c r="AG3" s="34">
        <v>9.9999999999999995E-7</v>
      </c>
      <c r="AH3" s="38">
        <v>2.7799999999999998E-16</v>
      </c>
      <c r="AI3" s="38">
        <v>2.7800000000000002E-10</v>
      </c>
      <c r="AJ3" s="38">
        <v>2.7799999999999997E-7</v>
      </c>
      <c r="AK3" s="42">
        <v>2.7799999999999998E-4</v>
      </c>
      <c r="AM3" s="145" t="s">
        <v>135</v>
      </c>
      <c r="AN3" s="149">
        <v>10</v>
      </c>
      <c r="AO3" s="149">
        <v>1</v>
      </c>
      <c r="AP3" s="150">
        <v>0.1</v>
      </c>
      <c r="AQ3" s="150">
        <v>0.01</v>
      </c>
      <c r="AR3" s="150">
        <v>1.0000000000000001E-5</v>
      </c>
      <c r="AS3" s="150">
        <v>1.0000000000000001E-5</v>
      </c>
      <c r="AT3" s="150">
        <v>1E-8</v>
      </c>
      <c r="AU3" s="151">
        <v>9.9999999999999994E-12</v>
      </c>
      <c r="AW3" s="1" t="s">
        <v>151</v>
      </c>
      <c r="AX3" s="1" t="s">
        <v>145</v>
      </c>
      <c r="AY3" s="229"/>
    </row>
    <row r="4" spans="1:51" ht="15" thickBot="1">
      <c r="A4" s="276" t="s">
        <v>155</v>
      </c>
      <c r="B4" s="134" t="s">
        <v>151</v>
      </c>
      <c r="C4" s="136">
        <v>27</v>
      </c>
      <c r="D4" s="114">
        <v>0.85</v>
      </c>
      <c r="E4" s="222"/>
      <c r="F4" s="166" t="s">
        <v>149</v>
      </c>
      <c r="G4" s="164" t="s">
        <v>156</v>
      </c>
      <c r="J4" s="1" t="s">
        <v>156</v>
      </c>
      <c r="K4" s="26" t="s">
        <v>112</v>
      </c>
      <c r="L4" s="27">
        <v>1000000</v>
      </c>
      <c r="M4" s="28">
        <v>1000</v>
      </c>
      <c r="N4" s="28">
        <v>1</v>
      </c>
      <c r="O4" s="28">
        <v>1E-3</v>
      </c>
      <c r="P4" s="28">
        <v>1000000000</v>
      </c>
      <c r="Q4" s="28">
        <v>1000000</v>
      </c>
      <c r="R4" s="28">
        <v>1000</v>
      </c>
      <c r="S4" s="29">
        <v>1</v>
      </c>
      <c r="U4" s="26" t="s">
        <v>120</v>
      </c>
      <c r="V4" s="35">
        <v>9.9999999999999995E-7</v>
      </c>
      <c r="W4" s="34">
        <v>1E-3</v>
      </c>
      <c r="X4" s="34">
        <v>1</v>
      </c>
      <c r="Y4" s="34">
        <v>1000</v>
      </c>
      <c r="Z4" s="34">
        <v>1.0000000000000001E-9</v>
      </c>
      <c r="AA4" s="34">
        <v>9.9999999999999995E-7</v>
      </c>
      <c r="AB4" s="34">
        <v>1</v>
      </c>
      <c r="AC4" s="34">
        <v>1000</v>
      </c>
      <c r="AD4" s="34">
        <v>1.0000000000000001E-18</v>
      </c>
      <c r="AE4" s="34">
        <v>1.0000000000000001E-15</v>
      </c>
      <c r="AF4" s="34">
        <v>9.9999999999999998E-13</v>
      </c>
      <c r="AG4" s="34">
        <v>1.0000000000000001E-9</v>
      </c>
      <c r="AH4" s="38">
        <v>2.7799999999999998E-19</v>
      </c>
      <c r="AI4" s="38">
        <v>2.7799999999999998E-13</v>
      </c>
      <c r="AJ4" s="38">
        <v>2.7800000000000002E-10</v>
      </c>
      <c r="AK4" s="42">
        <v>2.7799999999999997E-7</v>
      </c>
      <c r="AM4" s="145" t="s">
        <v>136</v>
      </c>
      <c r="AN4" s="149">
        <v>100</v>
      </c>
      <c r="AO4" s="149">
        <v>10</v>
      </c>
      <c r="AP4" s="150">
        <v>1</v>
      </c>
      <c r="AQ4" s="150">
        <v>0.1</v>
      </c>
      <c r="AR4" s="150">
        <v>1E-4</v>
      </c>
      <c r="AS4" s="150">
        <v>1E-4</v>
      </c>
      <c r="AT4" s="150">
        <v>9.9999999999999995E-8</v>
      </c>
      <c r="AU4" s="151">
        <v>1E-10</v>
      </c>
      <c r="AW4" s="1" t="s">
        <v>157</v>
      </c>
      <c r="AX4" s="1"/>
      <c r="AY4" s="229"/>
    </row>
    <row r="5" spans="1:51" ht="15" thickBot="1">
      <c r="A5" s="276" t="s">
        <v>158</v>
      </c>
      <c r="B5" s="134" t="s">
        <v>151</v>
      </c>
      <c r="C5" s="136">
        <v>27</v>
      </c>
      <c r="D5" s="159">
        <v>0.75</v>
      </c>
      <c r="E5" s="223"/>
      <c r="F5" s="166" t="s">
        <v>149</v>
      </c>
      <c r="G5" s="164" t="s">
        <v>159</v>
      </c>
      <c r="J5" s="1" t="s">
        <v>159</v>
      </c>
      <c r="K5" s="26" t="s">
        <v>113</v>
      </c>
      <c r="L5" s="27">
        <v>1000000000</v>
      </c>
      <c r="M5" s="28">
        <v>1000000</v>
      </c>
      <c r="N5" s="28">
        <v>1000</v>
      </c>
      <c r="O5" s="28">
        <v>1</v>
      </c>
      <c r="P5" s="28">
        <v>1000000000000</v>
      </c>
      <c r="Q5" s="28">
        <v>1000000000</v>
      </c>
      <c r="R5" s="28">
        <v>1000000</v>
      </c>
      <c r="S5" s="29">
        <v>1000</v>
      </c>
      <c r="U5" s="26" t="s">
        <v>121</v>
      </c>
      <c r="V5" s="35">
        <v>1.0000000000000001E-9</v>
      </c>
      <c r="W5" s="34">
        <v>9.9999999999999995E-7</v>
      </c>
      <c r="X5" s="34">
        <v>1E-3</v>
      </c>
      <c r="Y5" s="34">
        <v>1</v>
      </c>
      <c r="Z5" s="34">
        <v>9.9999999999999998E-13</v>
      </c>
      <c r="AA5" s="34">
        <v>9.9999999999999995E-7</v>
      </c>
      <c r="AB5" s="34">
        <v>1E-3</v>
      </c>
      <c r="AC5" s="34">
        <v>1</v>
      </c>
      <c r="AD5" s="34">
        <v>9.9999999999999991E-22</v>
      </c>
      <c r="AE5" s="34">
        <v>1.0000000000000001E-18</v>
      </c>
      <c r="AF5" s="34">
        <v>1.0000000000000001E-15</v>
      </c>
      <c r="AG5" s="34">
        <v>9.9999999999999998E-13</v>
      </c>
      <c r="AH5" s="38">
        <v>2.7800000000000001E-22</v>
      </c>
      <c r="AI5" s="38">
        <v>2.7799999999999998E-16</v>
      </c>
      <c r="AJ5" s="38">
        <v>2.7799999999999998E-13</v>
      </c>
      <c r="AK5" s="42">
        <v>2.7800000000000002E-10</v>
      </c>
      <c r="AM5" s="145" t="s">
        <v>137</v>
      </c>
      <c r="AN5" s="149">
        <v>1000</v>
      </c>
      <c r="AO5" s="149">
        <v>100</v>
      </c>
      <c r="AP5" s="150">
        <v>10</v>
      </c>
      <c r="AQ5" s="150">
        <v>1</v>
      </c>
      <c r="AR5" s="150">
        <v>1E-3</v>
      </c>
      <c r="AS5" s="150">
        <v>1E-3</v>
      </c>
      <c r="AT5" s="150">
        <v>9.9999999999999995E-7</v>
      </c>
      <c r="AU5" s="151">
        <v>1.0000000000000001E-9</v>
      </c>
      <c r="AW5" s="1"/>
      <c r="AX5" s="44"/>
      <c r="AY5" s="230" t="s">
        <v>160</v>
      </c>
    </row>
    <row r="6" spans="1:51" ht="15" thickBot="1">
      <c r="A6" s="276" t="s">
        <v>161</v>
      </c>
      <c r="B6" s="134" t="s">
        <v>151</v>
      </c>
      <c r="C6" s="136">
        <v>40.200000000000003</v>
      </c>
      <c r="D6" s="159">
        <v>1.0349999999999999</v>
      </c>
      <c r="E6" s="222"/>
      <c r="F6" s="166" t="s">
        <v>145</v>
      </c>
      <c r="J6" s="1" t="s">
        <v>147</v>
      </c>
      <c r="K6" s="26" t="s">
        <v>114</v>
      </c>
      <c r="L6" s="27">
        <v>1E-3</v>
      </c>
      <c r="M6" s="28">
        <v>9.9999999999999995E-7</v>
      </c>
      <c r="N6" s="28">
        <v>1.0000000000000001E-9</v>
      </c>
      <c r="O6" s="28">
        <v>9.9999999999999998E-13</v>
      </c>
      <c r="P6" s="28">
        <v>1</v>
      </c>
      <c r="Q6" s="28">
        <v>1E-3</v>
      </c>
      <c r="R6" s="28">
        <v>9.9999999999999995E-7</v>
      </c>
      <c r="S6" s="29">
        <v>1.0000000000000001E-9</v>
      </c>
      <c r="U6" s="26" t="s">
        <v>122</v>
      </c>
      <c r="V6" s="35">
        <v>1000</v>
      </c>
      <c r="W6" s="34">
        <v>1000000</v>
      </c>
      <c r="X6" s="34">
        <v>1000000000</v>
      </c>
      <c r="Y6" s="34">
        <v>1000000000000</v>
      </c>
      <c r="Z6" s="34">
        <v>1</v>
      </c>
      <c r="AA6" s="34">
        <v>1000</v>
      </c>
      <c r="AB6" s="34">
        <v>1000000</v>
      </c>
      <c r="AC6" s="34">
        <v>1000000000</v>
      </c>
      <c r="AD6" s="34">
        <v>1.0000000000000001E-9</v>
      </c>
      <c r="AE6" s="34">
        <v>9.9999999999999995E-7</v>
      </c>
      <c r="AF6" s="34">
        <v>1E-3</v>
      </c>
      <c r="AG6" s="34">
        <v>1</v>
      </c>
      <c r="AH6" s="38">
        <v>2.7800000000000002E-10</v>
      </c>
      <c r="AI6" s="38">
        <v>2.7799999999999997E-7</v>
      </c>
      <c r="AJ6" s="38">
        <v>2.7799999999999998E-4</v>
      </c>
      <c r="AK6" s="42">
        <v>0.27800000000000002</v>
      </c>
      <c r="AM6" s="145" t="s">
        <v>138</v>
      </c>
      <c r="AN6" s="149">
        <v>1000000</v>
      </c>
      <c r="AO6" s="149">
        <v>100000</v>
      </c>
      <c r="AP6" s="150">
        <v>10000</v>
      </c>
      <c r="AQ6" s="150">
        <v>1000</v>
      </c>
      <c r="AR6" s="150">
        <v>1</v>
      </c>
      <c r="AS6" s="150">
        <v>1</v>
      </c>
      <c r="AT6" s="150">
        <v>1E-3</v>
      </c>
      <c r="AU6" s="151">
        <v>9.9999999999999995E-7</v>
      </c>
      <c r="AY6" s="230" t="s">
        <v>162</v>
      </c>
    </row>
    <row r="7" spans="1:51" ht="15" thickBot="1">
      <c r="A7" s="276" t="s">
        <v>163</v>
      </c>
      <c r="B7" s="134" t="s">
        <v>157</v>
      </c>
      <c r="C7" s="136">
        <v>2.4700000000000002</v>
      </c>
      <c r="D7" s="224"/>
      <c r="E7" s="161">
        <v>1.25</v>
      </c>
      <c r="F7" s="166" t="s">
        <v>145</v>
      </c>
      <c r="J7" s="1" t="s">
        <v>153</v>
      </c>
      <c r="K7" s="26" t="s">
        <v>115</v>
      </c>
      <c r="L7" s="27">
        <v>1</v>
      </c>
      <c r="M7" s="28">
        <v>1E-3</v>
      </c>
      <c r="N7" s="28">
        <v>9.9999999999999995E-7</v>
      </c>
      <c r="O7" s="28">
        <v>1.0000000000000001E-9</v>
      </c>
      <c r="P7" s="28">
        <v>1000</v>
      </c>
      <c r="Q7" s="28">
        <v>1</v>
      </c>
      <c r="R7" s="28">
        <v>1E-3</v>
      </c>
      <c r="S7" s="29">
        <v>9.9999999999999995E-7</v>
      </c>
      <c r="U7" s="26" t="s">
        <v>123</v>
      </c>
      <c r="V7" s="35">
        <v>1</v>
      </c>
      <c r="W7" s="34">
        <v>1000</v>
      </c>
      <c r="X7" s="34">
        <v>1000000</v>
      </c>
      <c r="Y7" s="34">
        <v>1000000000</v>
      </c>
      <c r="Z7" s="34">
        <v>1E-3</v>
      </c>
      <c r="AA7" s="34">
        <v>1</v>
      </c>
      <c r="AB7" s="34">
        <v>1000</v>
      </c>
      <c r="AC7" s="34">
        <v>1000000</v>
      </c>
      <c r="AD7" s="34">
        <v>9.9999999999999998E-13</v>
      </c>
      <c r="AE7" s="34">
        <v>1.0000000000000001E-9</v>
      </c>
      <c r="AF7" s="34">
        <v>9.9999999999999995E-7</v>
      </c>
      <c r="AG7" s="34">
        <v>1E-3</v>
      </c>
      <c r="AH7" s="38">
        <v>2.7799999999999998E-13</v>
      </c>
      <c r="AI7" s="38">
        <v>2.7800000000000002E-10</v>
      </c>
      <c r="AJ7" s="38">
        <v>2.7799999999999997E-7</v>
      </c>
      <c r="AK7" s="42">
        <v>2.7799999999999998E-4</v>
      </c>
      <c r="AM7" s="145" t="s">
        <v>139</v>
      </c>
      <c r="AN7" s="149">
        <v>1000000</v>
      </c>
      <c r="AO7" s="149">
        <v>100000</v>
      </c>
      <c r="AP7" s="150">
        <v>10000</v>
      </c>
      <c r="AQ7" s="150">
        <v>1000</v>
      </c>
      <c r="AR7" s="150">
        <v>1</v>
      </c>
      <c r="AS7" s="150">
        <v>1</v>
      </c>
      <c r="AT7" s="150">
        <v>1E-3</v>
      </c>
      <c r="AU7" s="151">
        <v>9.9999999999999995E-7</v>
      </c>
      <c r="AY7" s="230" t="s">
        <v>164</v>
      </c>
    </row>
    <row r="8" spans="1:51" ht="15" thickBot="1">
      <c r="A8" s="276" t="s">
        <v>165</v>
      </c>
      <c r="B8" s="134" t="s">
        <v>144</v>
      </c>
      <c r="C8" s="136">
        <v>20.7</v>
      </c>
      <c r="D8" s="224"/>
      <c r="E8" s="222"/>
      <c r="F8" s="166" t="s">
        <v>145</v>
      </c>
      <c r="K8" s="26" t="s">
        <v>116</v>
      </c>
      <c r="L8" s="27">
        <v>1000</v>
      </c>
      <c r="M8" s="28">
        <v>1</v>
      </c>
      <c r="N8" s="28">
        <v>1E-3</v>
      </c>
      <c r="O8" s="28">
        <v>1E-3</v>
      </c>
      <c r="P8" s="28">
        <v>1000000</v>
      </c>
      <c r="Q8" s="28">
        <v>1000</v>
      </c>
      <c r="R8" s="28">
        <v>1</v>
      </c>
      <c r="S8" s="29">
        <v>1E-3</v>
      </c>
      <c r="U8" s="26" t="s">
        <v>124</v>
      </c>
      <c r="V8" s="35">
        <v>1E-3</v>
      </c>
      <c r="W8" s="34">
        <v>1</v>
      </c>
      <c r="X8" s="34">
        <v>1000</v>
      </c>
      <c r="Y8" s="34">
        <v>1000000</v>
      </c>
      <c r="Z8" s="34">
        <v>9.9999999999999995E-7</v>
      </c>
      <c r="AA8" s="34">
        <v>1E-3</v>
      </c>
      <c r="AB8" s="34">
        <v>1</v>
      </c>
      <c r="AC8" s="34">
        <v>1000</v>
      </c>
      <c r="AD8" s="34">
        <v>1.0000000000000001E-15</v>
      </c>
      <c r="AE8" s="34">
        <v>9.9999999999999998E-13</v>
      </c>
      <c r="AF8" s="34">
        <v>1.0000000000000001E-9</v>
      </c>
      <c r="AG8" s="34">
        <v>9.9999999999999995E-7</v>
      </c>
      <c r="AH8" s="38">
        <v>2.7799999999999998E-16</v>
      </c>
      <c r="AI8" s="38">
        <v>2.7800000000000002E-10</v>
      </c>
      <c r="AJ8" s="38">
        <v>2.7799999999999997E-7</v>
      </c>
      <c r="AK8" s="42">
        <v>2.7799999999999998E-4</v>
      </c>
      <c r="AM8" s="145" t="s">
        <v>140</v>
      </c>
      <c r="AN8" s="149">
        <v>1000000000</v>
      </c>
      <c r="AO8" s="149">
        <v>100000000</v>
      </c>
      <c r="AP8" s="150">
        <v>10000000</v>
      </c>
      <c r="AQ8" s="150">
        <v>1000000</v>
      </c>
      <c r="AR8" s="150">
        <v>1000</v>
      </c>
      <c r="AS8" s="150">
        <v>1000</v>
      </c>
      <c r="AT8" s="150">
        <v>1</v>
      </c>
      <c r="AU8" s="151">
        <v>1E-3</v>
      </c>
      <c r="AY8" s="231"/>
    </row>
    <row r="9" spans="1:51" ht="15" thickBot="1">
      <c r="A9" s="276" t="s">
        <v>166</v>
      </c>
      <c r="B9" s="134" t="s">
        <v>157</v>
      </c>
      <c r="C9" s="159">
        <v>45.57</v>
      </c>
      <c r="D9" s="224"/>
      <c r="E9" s="138">
        <v>2.5</v>
      </c>
      <c r="F9" s="166" t="s">
        <v>145</v>
      </c>
      <c r="K9" s="26" t="s">
        <v>117</v>
      </c>
      <c r="L9" s="30">
        <v>1000000</v>
      </c>
      <c r="M9" s="31">
        <v>1000</v>
      </c>
      <c r="N9" s="31">
        <v>1</v>
      </c>
      <c r="O9" s="31">
        <v>1E-3</v>
      </c>
      <c r="P9" s="31">
        <v>1000000000</v>
      </c>
      <c r="Q9" s="31">
        <v>1000000</v>
      </c>
      <c r="R9" s="31">
        <v>1000</v>
      </c>
      <c r="S9" s="32">
        <v>1</v>
      </c>
      <c r="U9" s="26" t="s">
        <v>125</v>
      </c>
      <c r="V9" s="35">
        <v>9.9999999999999995E-7</v>
      </c>
      <c r="W9" s="34">
        <v>1E-3</v>
      </c>
      <c r="X9" s="34">
        <v>1</v>
      </c>
      <c r="Y9" s="34">
        <v>1000</v>
      </c>
      <c r="Z9" s="34">
        <v>1.0000000000000001E-9</v>
      </c>
      <c r="AA9" s="34">
        <v>9.9999999999999995E-7</v>
      </c>
      <c r="AB9" s="34">
        <v>1</v>
      </c>
      <c r="AC9" s="34">
        <v>1000</v>
      </c>
      <c r="AD9" s="34">
        <v>1.0000000000000001E-18</v>
      </c>
      <c r="AE9" s="34">
        <v>1.0000000000000001E-15</v>
      </c>
      <c r="AF9" s="34">
        <v>9.9999999999999998E-13</v>
      </c>
      <c r="AG9" s="34">
        <v>1.0000000000000001E-9</v>
      </c>
      <c r="AH9" s="38">
        <v>2.7799999999999998E-19</v>
      </c>
      <c r="AI9" s="38">
        <v>2.7799999999999998E-13</v>
      </c>
      <c r="AJ9" s="38">
        <v>2.7800000000000002E-10</v>
      </c>
      <c r="AK9" s="42">
        <v>2.7799999999999997E-7</v>
      </c>
      <c r="AM9" s="145" t="s">
        <v>141</v>
      </c>
      <c r="AN9" s="152">
        <v>1000000000000</v>
      </c>
      <c r="AO9" s="152">
        <v>100000000000</v>
      </c>
      <c r="AP9" s="153">
        <v>10000000000</v>
      </c>
      <c r="AQ9" s="153">
        <v>1000000000</v>
      </c>
      <c r="AR9" s="153">
        <v>1000000</v>
      </c>
      <c r="AS9" s="153">
        <v>1000000</v>
      </c>
      <c r="AT9" s="153">
        <v>1000</v>
      </c>
      <c r="AU9" s="154">
        <v>1</v>
      </c>
      <c r="AY9" s="230" t="s">
        <v>167</v>
      </c>
    </row>
    <row r="10" spans="1:51" ht="15" thickBot="1">
      <c r="A10" s="276" t="s">
        <v>168</v>
      </c>
      <c r="B10" s="134" t="s">
        <v>144</v>
      </c>
      <c r="C10" s="136">
        <v>28.2</v>
      </c>
      <c r="D10" s="224"/>
      <c r="E10" s="222"/>
      <c r="F10" s="166" t="s">
        <v>145</v>
      </c>
      <c r="U10" s="26" t="s">
        <v>128</v>
      </c>
      <c r="V10" s="35">
        <v>1000000</v>
      </c>
      <c r="W10" s="34">
        <v>1000000000</v>
      </c>
      <c r="X10" s="34">
        <v>1000000000000</v>
      </c>
      <c r="Y10" s="34">
        <v>1000000000000000</v>
      </c>
      <c r="Z10" s="34">
        <v>1000</v>
      </c>
      <c r="AA10" s="34">
        <v>1000000</v>
      </c>
      <c r="AB10" s="34">
        <v>1000000000</v>
      </c>
      <c r="AC10" s="34">
        <v>1000000000000</v>
      </c>
      <c r="AD10" s="34">
        <v>9.9999999999999995E-7</v>
      </c>
      <c r="AE10" s="34">
        <v>1E-3</v>
      </c>
      <c r="AF10" s="34">
        <v>1</v>
      </c>
      <c r="AG10" s="34">
        <v>1000</v>
      </c>
      <c r="AH10" s="38">
        <v>2.7780000000000001E-7</v>
      </c>
      <c r="AI10" s="38">
        <v>2.777778E-4</v>
      </c>
      <c r="AJ10" s="38">
        <v>0.27777777780000001</v>
      </c>
      <c r="AK10" s="42">
        <v>277.77777780000002</v>
      </c>
      <c r="AY10" s="231"/>
    </row>
    <row r="11" spans="1:51" ht="15" thickBot="1">
      <c r="A11" s="276" t="s">
        <v>169</v>
      </c>
      <c r="B11" s="134" t="s">
        <v>157</v>
      </c>
      <c r="C11" s="136">
        <v>38.700000000000003</v>
      </c>
      <c r="D11" s="224"/>
      <c r="E11" s="161">
        <v>0.47499999999999998</v>
      </c>
      <c r="F11" s="166" t="s">
        <v>145</v>
      </c>
      <c r="U11" s="26" t="s">
        <v>129</v>
      </c>
      <c r="V11" s="35">
        <v>1000</v>
      </c>
      <c r="W11" s="34">
        <v>1000000</v>
      </c>
      <c r="X11" s="34">
        <v>1000000000</v>
      </c>
      <c r="Y11" s="34">
        <v>1000000000000</v>
      </c>
      <c r="Z11" s="34">
        <v>1</v>
      </c>
      <c r="AA11" s="34">
        <v>1000</v>
      </c>
      <c r="AB11" s="34">
        <v>1000000</v>
      </c>
      <c r="AC11" s="34">
        <v>1000000000</v>
      </c>
      <c r="AD11" s="34">
        <v>1.0000000000000001E-9</v>
      </c>
      <c r="AE11" s="34">
        <v>9.9999999999999995E-7</v>
      </c>
      <c r="AF11" s="34">
        <v>1E-3</v>
      </c>
      <c r="AG11" s="34">
        <v>1</v>
      </c>
      <c r="AH11" s="38">
        <v>2.7800000000000002E-10</v>
      </c>
      <c r="AI11" s="38">
        <v>2.7780000000000001E-7</v>
      </c>
      <c r="AJ11" s="38">
        <v>2.777778E-4</v>
      </c>
      <c r="AK11" s="42">
        <v>0.27777777780000001</v>
      </c>
      <c r="AY11" s="230" t="s">
        <v>170</v>
      </c>
    </row>
    <row r="12" spans="1:51" ht="15" thickBot="1">
      <c r="A12" s="276" t="s">
        <v>171</v>
      </c>
      <c r="B12" s="134" t="s">
        <v>144</v>
      </c>
      <c r="C12" s="136">
        <v>28.2</v>
      </c>
      <c r="D12" s="224"/>
      <c r="E12" s="222"/>
      <c r="F12" s="166" t="s">
        <v>145</v>
      </c>
      <c r="U12" s="20" t="s">
        <v>130</v>
      </c>
      <c r="V12" s="39">
        <v>3600000000000</v>
      </c>
      <c r="W12" s="38">
        <v>3600000000000000</v>
      </c>
      <c r="X12" s="38">
        <v>3.6E+18</v>
      </c>
      <c r="Y12" s="38">
        <v>3.6E+21</v>
      </c>
      <c r="Z12" s="38">
        <v>3600000000</v>
      </c>
      <c r="AA12" s="38">
        <v>3600000000000</v>
      </c>
      <c r="AB12" s="38">
        <v>3600000000000000</v>
      </c>
      <c r="AC12" s="38">
        <v>3.6E+18</v>
      </c>
      <c r="AD12" s="38">
        <v>3.6</v>
      </c>
      <c r="AE12" s="38">
        <v>3600</v>
      </c>
      <c r="AF12" s="38">
        <v>3600000</v>
      </c>
      <c r="AG12" s="38">
        <v>3600000000</v>
      </c>
      <c r="AH12" s="38">
        <v>1</v>
      </c>
      <c r="AI12" s="38">
        <v>1000</v>
      </c>
      <c r="AJ12" s="38">
        <v>1000000</v>
      </c>
      <c r="AK12" s="42">
        <v>1000000000</v>
      </c>
      <c r="AY12" s="229"/>
    </row>
    <row r="13" spans="1:51" ht="15" thickBot="1">
      <c r="A13" s="276" t="s">
        <v>172</v>
      </c>
      <c r="B13" s="134" t="s">
        <v>151</v>
      </c>
      <c r="C13" s="136">
        <v>42.3</v>
      </c>
      <c r="D13" s="114">
        <v>0.8</v>
      </c>
      <c r="E13" s="222"/>
      <c r="F13" s="166" t="s">
        <v>145</v>
      </c>
      <c r="U13" s="20" t="s">
        <v>131</v>
      </c>
      <c r="V13" s="39">
        <v>3600000000</v>
      </c>
      <c r="W13" s="38">
        <v>3600000000000</v>
      </c>
      <c r="X13" s="38">
        <v>3600000000000000</v>
      </c>
      <c r="Y13" s="38">
        <v>3.6E+18</v>
      </c>
      <c r="Z13" s="38">
        <v>3600000</v>
      </c>
      <c r="AA13" s="38">
        <v>3600000000</v>
      </c>
      <c r="AB13" s="38">
        <v>3600000000000</v>
      </c>
      <c r="AC13" s="38">
        <v>3600000000000000</v>
      </c>
      <c r="AD13" s="38">
        <v>3.5999999999999999E-3</v>
      </c>
      <c r="AE13" s="38">
        <v>3.6</v>
      </c>
      <c r="AF13" s="38">
        <v>3600</v>
      </c>
      <c r="AG13" s="38">
        <v>3600000</v>
      </c>
      <c r="AH13" s="38">
        <v>1E-3</v>
      </c>
      <c r="AI13" s="38">
        <v>1</v>
      </c>
      <c r="AJ13" s="38">
        <v>1000</v>
      </c>
      <c r="AK13" s="42">
        <v>1000000</v>
      </c>
      <c r="AY13" s="229"/>
    </row>
    <row r="14" spans="1:51">
      <c r="A14" s="276" t="s">
        <v>173</v>
      </c>
      <c r="B14" s="134" t="s">
        <v>157</v>
      </c>
      <c r="C14" s="136">
        <v>46.4</v>
      </c>
      <c r="D14" s="137"/>
      <c r="E14" s="138">
        <v>1.3</v>
      </c>
      <c r="F14" s="166" t="s">
        <v>145</v>
      </c>
      <c r="AY14" s="229"/>
    </row>
    <row r="15" spans="1:51">
      <c r="A15" s="276" t="s">
        <v>174</v>
      </c>
      <c r="B15" s="134" t="s">
        <v>157</v>
      </c>
      <c r="C15" s="136">
        <v>28.2</v>
      </c>
      <c r="D15" s="137"/>
      <c r="E15" s="161">
        <v>0.54</v>
      </c>
      <c r="F15" s="166" t="s">
        <v>145</v>
      </c>
      <c r="AY15" s="230" t="s">
        <v>175</v>
      </c>
    </row>
    <row r="16" spans="1:51">
      <c r="A16" s="276" t="s">
        <v>176</v>
      </c>
      <c r="B16" s="134" t="s">
        <v>151</v>
      </c>
      <c r="C16" s="136">
        <v>43</v>
      </c>
      <c r="D16" s="139">
        <v>0.84</v>
      </c>
      <c r="E16" s="225"/>
      <c r="F16" s="166" t="s">
        <v>145</v>
      </c>
      <c r="AY16" s="231"/>
    </row>
    <row r="17" spans="1:51">
      <c r="A17" s="276" t="s">
        <v>177</v>
      </c>
      <c r="B17" s="134" t="s">
        <v>151</v>
      </c>
      <c r="C17" s="136">
        <v>44.3</v>
      </c>
      <c r="D17" s="159">
        <v>0.81</v>
      </c>
      <c r="E17" s="222"/>
      <c r="F17" s="166" t="s">
        <v>145</v>
      </c>
      <c r="AY17" s="230" t="s">
        <v>178</v>
      </c>
    </row>
    <row r="18" spans="1:51">
      <c r="A18" s="276" t="s">
        <v>179</v>
      </c>
      <c r="B18" s="134" t="s">
        <v>151</v>
      </c>
      <c r="C18" s="136">
        <v>44.1</v>
      </c>
      <c r="D18" s="114">
        <v>0.79</v>
      </c>
      <c r="E18" s="222"/>
      <c r="F18" s="166" t="s">
        <v>145</v>
      </c>
      <c r="AY18" s="229"/>
    </row>
    <row r="19" spans="1:51">
      <c r="A19" s="276" t="s">
        <v>180</v>
      </c>
      <c r="B19" s="134" t="s">
        <v>151</v>
      </c>
      <c r="C19" s="136">
        <v>43.8</v>
      </c>
      <c r="D19" s="114">
        <v>0.8</v>
      </c>
      <c r="E19" s="222"/>
      <c r="F19" s="166" t="s">
        <v>145</v>
      </c>
      <c r="AY19" s="229"/>
    </row>
    <row r="20" spans="1:51">
      <c r="A20" s="276" t="s">
        <v>181</v>
      </c>
      <c r="B20" s="134" t="s">
        <v>157</v>
      </c>
      <c r="C20" s="136">
        <v>50.4</v>
      </c>
      <c r="D20" s="224"/>
      <c r="E20" s="138">
        <v>0.9</v>
      </c>
      <c r="F20" s="166" t="s">
        <v>149</v>
      </c>
      <c r="AY20" s="229"/>
    </row>
    <row r="21" spans="1:51">
      <c r="A21" s="276" t="s">
        <v>182</v>
      </c>
      <c r="B21" s="134" t="s">
        <v>144</v>
      </c>
      <c r="C21" s="136">
        <v>11.9</v>
      </c>
      <c r="D21" s="224"/>
      <c r="E21" s="222"/>
      <c r="F21" s="166" t="s">
        <v>145</v>
      </c>
      <c r="AY21" s="229"/>
    </row>
    <row r="22" spans="1:51">
      <c r="A22" s="276" t="s">
        <v>183</v>
      </c>
      <c r="B22" s="134" t="s">
        <v>151</v>
      </c>
      <c r="C22" s="136">
        <v>47.3</v>
      </c>
      <c r="D22" s="114">
        <v>0.54</v>
      </c>
      <c r="E22" s="222"/>
      <c r="F22" s="166" t="s">
        <v>145</v>
      </c>
      <c r="AY22" s="229"/>
    </row>
    <row r="23" spans="1:51">
      <c r="A23" s="276" t="s">
        <v>184</v>
      </c>
      <c r="B23" s="134" t="s">
        <v>151</v>
      </c>
      <c r="C23" s="136">
        <v>40.200000000000003</v>
      </c>
      <c r="D23" s="114">
        <v>1</v>
      </c>
      <c r="E23" s="222"/>
      <c r="F23" s="166" t="s">
        <v>145</v>
      </c>
      <c r="AY23" s="229"/>
    </row>
    <row r="24" spans="1:51">
      <c r="A24" s="276" t="s">
        <v>185</v>
      </c>
      <c r="B24" s="134" t="s">
        <v>157</v>
      </c>
      <c r="C24" s="159">
        <v>50</v>
      </c>
      <c r="D24" s="224"/>
      <c r="E24" s="138">
        <v>0.67</v>
      </c>
      <c r="F24" s="166" t="s">
        <v>145</v>
      </c>
      <c r="AY24" s="230" t="s">
        <v>186</v>
      </c>
    </row>
    <row r="25" spans="1:51">
      <c r="A25" s="276" t="s">
        <v>187</v>
      </c>
      <c r="B25" s="134" t="s">
        <v>151</v>
      </c>
      <c r="C25" s="136">
        <v>44.3</v>
      </c>
      <c r="D25" s="114">
        <v>0.74</v>
      </c>
      <c r="E25" s="222"/>
      <c r="F25" s="166" t="s">
        <v>145</v>
      </c>
      <c r="AY25" s="229"/>
    </row>
    <row r="26" spans="1:51">
      <c r="A26" s="276" t="s">
        <v>188</v>
      </c>
      <c r="B26" s="134" t="s">
        <v>144</v>
      </c>
      <c r="C26" s="136">
        <v>11.6</v>
      </c>
      <c r="D26" s="224"/>
      <c r="E26" s="222"/>
      <c r="F26" s="166" t="s">
        <v>149</v>
      </c>
      <c r="AY26" s="229"/>
    </row>
    <row r="27" spans="1:51">
      <c r="A27" s="277" t="s">
        <v>189</v>
      </c>
      <c r="B27" s="134" t="s">
        <v>144</v>
      </c>
      <c r="C27" s="136">
        <v>10</v>
      </c>
      <c r="D27" s="224"/>
      <c r="E27" s="222"/>
      <c r="F27" s="166" t="s">
        <v>145</v>
      </c>
      <c r="AY27" s="229"/>
    </row>
    <row r="28" spans="1:51">
      <c r="A28" s="276" t="s">
        <v>190</v>
      </c>
      <c r="B28" s="134" t="s">
        <v>151</v>
      </c>
      <c r="C28" s="136">
        <v>44.5</v>
      </c>
      <c r="D28" s="114">
        <v>0.77</v>
      </c>
      <c r="E28" s="222"/>
      <c r="F28" s="166" t="s">
        <v>145</v>
      </c>
      <c r="AY28" s="229"/>
    </row>
    <row r="29" spans="1:51">
      <c r="A29" s="276" t="s">
        <v>191</v>
      </c>
      <c r="B29" s="134" t="s">
        <v>157</v>
      </c>
      <c r="C29" s="136">
        <v>48</v>
      </c>
      <c r="D29" s="224"/>
      <c r="E29" s="138">
        <v>0.7</v>
      </c>
      <c r="F29" s="166" t="s">
        <v>145</v>
      </c>
      <c r="AY29" s="229"/>
    </row>
    <row r="30" spans="1:51">
      <c r="A30" s="276" t="s">
        <v>192</v>
      </c>
      <c r="B30" s="134" t="s">
        <v>151</v>
      </c>
      <c r="C30" s="136">
        <v>44.2</v>
      </c>
      <c r="D30" s="114">
        <v>0.47</v>
      </c>
      <c r="E30" s="222"/>
      <c r="F30" s="166" t="s">
        <v>145</v>
      </c>
      <c r="AY30" s="229"/>
    </row>
    <row r="31" spans="1:51">
      <c r="A31" s="276" t="s">
        <v>193</v>
      </c>
      <c r="B31" s="134" t="s">
        <v>151</v>
      </c>
      <c r="C31" s="136">
        <v>8.9</v>
      </c>
      <c r="D31" s="159">
        <v>0.95</v>
      </c>
      <c r="E31" s="222"/>
      <c r="F31" s="166" t="s">
        <v>145</v>
      </c>
      <c r="AY31" s="230" t="s">
        <v>194</v>
      </c>
    </row>
    <row r="32" spans="1:51">
      <c r="A32" s="276" t="s">
        <v>195</v>
      </c>
      <c r="B32" s="134" t="s">
        <v>151</v>
      </c>
      <c r="C32" s="136">
        <v>27.5</v>
      </c>
      <c r="D32" s="159">
        <v>1.1299999999999999</v>
      </c>
      <c r="E32" s="222"/>
      <c r="F32" s="166" t="s">
        <v>145</v>
      </c>
      <c r="AY32" s="230" t="s">
        <v>196</v>
      </c>
    </row>
    <row r="33" spans="1:51">
      <c r="A33" s="276" t="s">
        <v>197</v>
      </c>
      <c r="B33" s="134" t="s">
        <v>157</v>
      </c>
      <c r="C33" s="136">
        <v>7.06</v>
      </c>
      <c r="D33" s="224"/>
      <c r="E33" s="161">
        <v>1.33</v>
      </c>
      <c r="F33" s="166" t="s">
        <v>145</v>
      </c>
      <c r="AY33" s="230" t="s">
        <v>198</v>
      </c>
    </row>
    <row r="34" spans="1:51">
      <c r="A34" s="276" t="s">
        <v>199</v>
      </c>
      <c r="B34" s="134" t="s">
        <v>144</v>
      </c>
      <c r="C34" s="136">
        <v>40.200000000000003</v>
      </c>
      <c r="D34" s="224"/>
      <c r="E34" s="222"/>
      <c r="F34" s="166" t="s">
        <v>145</v>
      </c>
      <c r="AY34" s="229"/>
    </row>
    <row r="35" spans="1:51">
      <c r="A35" s="276" t="s">
        <v>200</v>
      </c>
      <c r="B35" s="134" t="s">
        <v>144</v>
      </c>
      <c r="C35" s="136">
        <v>20.7</v>
      </c>
      <c r="D35" s="224"/>
      <c r="E35" s="222"/>
      <c r="F35" s="166" t="s">
        <v>145</v>
      </c>
      <c r="AY35" s="229"/>
    </row>
    <row r="36" spans="1:51">
      <c r="A36" s="276" t="s">
        <v>201</v>
      </c>
      <c r="B36" s="134" t="s">
        <v>144</v>
      </c>
      <c r="C36" s="136">
        <v>9.76</v>
      </c>
      <c r="D36" s="224"/>
      <c r="E36" s="222"/>
      <c r="F36" s="166" t="s">
        <v>145</v>
      </c>
      <c r="AY36" s="229"/>
    </row>
    <row r="37" spans="1:51">
      <c r="A37" s="276" t="s">
        <v>202</v>
      </c>
      <c r="B37" s="134" t="s">
        <v>144</v>
      </c>
      <c r="C37" s="136">
        <v>32.5</v>
      </c>
      <c r="D37" s="224"/>
      <c r="E37" s="222"/>
      <c r="F37" s="166" t="s">
        <v>145</v>
      </c>
      <c r="AY37" s="229"/>
    </row>
    <row r="38" spans="1:51">
      <c r="A38" s="276" t="s">
        <v>203</v>
      </c>
      <c r="B38" s="134" t="s">
        <v>157</v>
      </c>
      <c r="C38" s="159">
        <v>46.32</v>
      </c>
      <c r="D38" s="224"/>
      <c r="E38" s="138">
        <v>1.9</v>
      </c>
      <c r="F38" s="166" t="s">
        <v>145</v>
      </c>
      <c r="AY38" s="230" t="s">
        <v>204</v>
      </c>
    </row>
    <row r="39" spans="1:51">
      <c r="A39" s="276" t="s">
        <v>205</v>
      </c>
      <c r="B39" s="134" t="s">
        <v>151</v>
      </c>
      <c r="C39" s="136">
        <v>43</v>
      </c>
      <c r="D39" s="159">
        <v>0.82499999999999996</v>
      </c>
      <c r="E39" s="222"/>
      <c r="F39" s="166" t="s">
        <v>145</v>
      </c>
      <c r="AY39" s="230" t="s">
        <v>206</v>
      </c>
    </row>
    <row r="40" spans="1:51">
      <c r="A40" s="276" t="s">
        <v>207</v>
      </c>
      <c r="B40" s="134" t="s">
        <v>157</v>
      </c>
      <c r="C40" s="136">
        <v>49.5</v>
      </c>
      <c r="D40" s="224"/>
      <c r="E40" s="161">
        <v>0.88</v>
      </c>
      <c r="F40" s="166" t="s">
        <v>145</v>
      </c>
      <c r="AY40" s="230" t="s">
        <v>208</v>
      </c>
    </row>
    <row r="41" spans="1:51">
      <c r="A41" s="276" t="s">
        <v>209</v>
      </c>
      <c r="B41" s="134" t="s">
        <v>151</v>
      </c>
      <c r="C41" s="136">
        <v>40.4</v>
      </c>
      <c r="D41" s="114">
        <v>0.94</v>
      </c>
      <c r="E41" s="222"/>
      <c r="F41" s="166" t="s">
        <v>145</v>
      </c>
      <c r="AY41" s="229"/>
    </row>
    <row r="42" spans="1:51">
      <c r="A42" s="276" t="s">
        <v>210</v>
      </c>
      <c r="B42" s="134" t="s">
        <v>151</v>
      </c>
      <c r="C42" s="136">
        <v>38.1</v>
      </c>
      <c r="D42" s="114">
        <v>1</v>
      </c>
      <c r="E42" s="222"/>
      <c r="F42" s="166" t="s">
        <v>145</v>
      </c>
      <c r="AY42" s="229"/>
    </row>
    <row r="43" spans="1:51">
      <c r="A43" s="276" t="s">
        <v>211</v>
      </c>
      <c r="B43" s="134" t="s">
        <v>157</v>
      </c>
      <c r="C43" s="136">
        <v>50.4</v>
      </c>
      <c r="D43" s="224"/>
      <c r="E43" s="138">
        <v>0.67</v>
      </c>
      <c r="F43" s="166" t="s">
        <v>149</v>
      </c>
      <c r="AY43" s="229"/>
    </row>
    <row r="44" spans="1:51">
      <c r="A44" s="276" t="s">
        <v>212</v>
      </c>
      <c r="B44" s="134" t="s">
        <v>144</v>
      </c>
      <c r="C44" s="136">
        <v>18.899999999999999</v>
      </c>
      <c r="D44" s="224"/>
      <c r="E44" s="222"/>
      <c r="F44" s="166" t="s">
        <v>145</v>
      </c>
      <c r="AY44" s="229"/>
    </row>
    <row r="45" spans="1:51">
      <c r="A45" s="276" t="s">
        <v>213</v>
      </c>
      <c r="B45" s="134" t="s">
        <v>151</v>
      </c>
      <c r="C45" s="136">
        <v>11.8</v>
      </c>
      <c r="D45" s="159">
        <v>1.2</v>
      </c>
      <c r="E45" s="222"/>
      <c r="F45" s="166" t="s">
        <v>149</v>
      </c>
      <c r="AY45" s="230" t="s">
        <v>214</v>
      </c>
    </row>
    <row r="46" spans="1:51">
      <c r="A46" s="276" t="s">
        <v>215</v>
      </c>
      <c r="B46" s="134" t="s">
        <v>151</v>
      </c>
      <c r="C46" s="159">
        <v>44.4</v>
      </c>
      <c r="D46" s="114">
        <v>0.87</v>
      </c>
      <c r="E46" s="222"/>
      <c r="F46" s="166" t="s">
        <v>149</v>
      </c>
      <c r="AY46" s="230" t="s">
        <v>216</v>
      </c>
    </row>
    <row r="47" spans="1:51">
      <c r="A47" s="276" t="s">
        <v>217</v>
      </c>
      <c r="B47" s="134" t="s">
        <v>151</v>
      </c>
      <c r="C47" s="159">
        <v>37.799999999999997</v>
      </c>
      <c r="D47" s="114">
        <v>0.9</v>
      </c>
      <c r="E47" s="222"/>
      <c r="F47" s="166" t="s">
        <v>145</v>
      </c>
      <c r="AY47" s="230" t="s">
        <v>218</v>
      </c>
    </row>
    <row r="48" spans="1:51">
      <c r="A48" s="276" t="s">
        <v>219</v>
      </c>
      <c r="B48" s="134" t="s">
        <v>151</v>
      </c>
      <c r="C48" s="136">
        <v>40.200000000000003</v>
      </c>
      <c r="D48" s="159">
        <v>0.8</v>
      </c>
      <c r="E48" s="222"/>
      <c r="F48" s="166" t="s">
        <v>145</v>
      </c>
      <c r="AY48" s="230" t="s">
        <v>220</v>
      </c>
    </row>
    <row r="49" spans="1:51">
      <c r="A49" s="276" t="s">
        <v>221</v>
      </c>
      <c r="B49" s="134" t="s">
        <v>157</v>
      </c>
      <c r="C49" s="159">
        <v>35</v>
      </c>
      <c r="D49" s="224"/>
      <c r="E49" s="138">
        <v>0.9</v>
      </c>
      <c r="F49" s="166" t="s">
        <v>149</v>
      </c>
      <c r="AY49" s="230" t="s">
        <v>222</v>
      </c>
    </row>
    <row r="50" spans="1:51">
      <c r="A50" s="276" t="s">
        <v>223</v>
      </c>
      <c r="B50" s="134" t="s">
        <v>151</v>
      </c>
      <c r="C50" s="136">
        <v>40.200000000000003</v>
      </c>
      <c r="D50" s="159">
        <v>0.75</v>
      </c>
      <c r="E50" s="222"/>
      <c r="F50" s="166" t="s">
        <v>145</v>
      </c>
      <c r="AY50" s="230" t="s">
        <v>224</v>
      </c>
    </row>
    <row r="51" spans="1:51">
      <c r="A51" s="278" t="s">
        <v>225</v>
      </c>
      <c r="B51" s="134" t="s">
        <v>144</v>
      </c>
      <c r="C51" s="140">
        <v>15.6</v>
      </c>
      <c r="D51" s="226"/>
      <c r="E51" s="227"/>
      <c r="F51" s="166" t="s">
        <v>149</v>
      </c>
      <c r="AY51" s="229"/>
    </row>
    <row r="52" spans="1:51">
      <c r="A52" s="141" t="s">
        <v>226</v>
      </c>
      <c r="B52" s="142"/>
      <c r="C52" s="142"/>
      <c r="D52" s="142"/>
      <c r="E52" s="162"/>
      <c r="F52" s="142"/>
      <c r="AY52" s="229"/>
    </row>
    <row r="53" spans="1:51">
      <c r="A53" s="141" t="s">
        <v>227</v>
      </c>
      <c r="B53" s="142"/>
      <c r="C53" s="142"/>
      <c r="D53" s="142"/>
      <c r="E53" s="162"/>
      <c r="F53" s="142"/>
      <c r="AY53" s="229"/>
    </row>
    <row r="54" spans="1:51">
      <c r="A54" s="141" t="s">
        <v>228</v>
      </c>
      <c r="B54" s="142"/>
      <c r="C54" s="142"/>
      <c r="D54" s="142"/>
      <c r="E54" s="162"/>
      <c r="F54" s="142"/>
      <c r="AY54" s="229"/>
    </row>
    <row r="55" spans="1:51">
      <c r="A55" s="141" t="s">
        <v>229</v>
      </c>
      <c r="B55" s="142"/>
      <c r="C55" s="142"/>
      <c r="D55" s="142"/>
      <c r="E55" s="162"/>
      <c r="F55" s="142"/>
      <c r="AY55" s="229"/>
    </row>
    <row r="56" spans="1:51">
      <c r="A56" s="141" t="s">
        <v>230</v>
      </c>
      <c r="B56" s="142"/>
      <c r="C56" s="142"/>
      <c r="D56" s="142"/>
      <c r="E56" s="162"/>
      <c r="F56" s="142"/>
      <c r="AY56" s="229"/>
    </row>
    <row r="57" spans="1:51">
      <c r="A57" s="141" t="s">
        <v>231</v>
      </c>
      <c r="B57" s="142"/>
      <c r="C57" s="142"/>
      <c r="D57" s="142"/>
      <c r="E57" s="162"/>
      <c r="F57" s="142"/>
      <c r="AY57" s="229"/>
    </row>
    <row r="58" spans="1:51">
      <c r="A58" s="141" t="s">
        <v>232</v>
      </c>
      <c r="B58" s="142"/>
      <c r="C58" s="142"/>
      <c r="D58" s="142"/>
      <c r="E58" s="162"/>
      <c r="F58" s="142"/>
      <c r="AY58" s="229"/>
    </row>
    <row r="59" spans="1:51">
      <c r="A59" s="141" t="s">
        <v>233</v>
      </c>
      <c r="B59" s="142"/>
      <c r="C59" s="142"/>
      <c r="D59" s="142"/>
      <c r="E59" s="162"/>
      <c r="F59" s="142"/>
      <c r="AY59" s="229"/>
    </row>
    <row r="60" spans="1:51">
      <c r="A60" s="141" t="s">
        <v>234</v>
      </c>
      <c r="B60" s="142"/>
      <c r="C60" s="142"/>
      <c r="D60" s="142"/>
      <c r="E60" s="162"/>
      <c r="F60" s="142"/>
      <c r="AY60" s="229"/>
    </row>
    <row r="61" spans="1:51" ht="15" thickBot="1">
      <c r="A61" s="167" t="s">
        <v>235</v>
      </c>
      <c r="B61" s="142"/>
      <c r="C61" s="168"/>
      <c r="D61" s="168"/>
      <c r="E61" s="169"/>
      <c r="F61" s="142"/>
      <c r="AY61" s="229"/>
    </row>
    <row r="62" spans="1:51">
      <c r="A62" s="1267" t="s">
        <v>236</v>
      </c>
      <c r="B62" s="1268"/>
      <c r="C62" s="1268"/>
      <c r="D62" s="1268"/>
      <c r="E62" s="1268"/>
      <c r="F62" s="1268"/>
      <c r="G62" s="1268"/>
      <c r="H62" s="1268"/>
      <c r="I62" s="1268"/>
      <c r="J62" s="1268"/>
      <c r="K62" s="1268"/>
      <c r="L62" s="1268"/>
      <c r="M62" s="1268"/>
      <c r="N62" s="1268"/>
      <c r="O62" s="1268"/>
      <c r="P62" s="1268"/>
      <c r="Q62" s="1268"/>
      <c r="R62" s="1268"/>
      <c r="S62" s="1268"/>
      <c r="T62" s="1268"/>
      <c r="U62" s="1268"/>
      <c r="V62" s="1268"/>
      <c r="W62" s="1268"/>
      <c r="X62" s="1268"/>
      <c r="Y62" s="1268"/>
      <c r="Z62" s="1268"/>
      <c r="AA62" s="1268"/>
      <c r="AB62" s="1268"/>
      <c r="AC62" s="1268"/>
      <c r="AD62" s="1268"/>
      <c r="AE62" s="1268"/>
      <c r="AF62" s="1268"/>
      <c r="AG62" s="1268"/>
      <c r="AH62" s="1268"/>
      <c r="AI62" s="1268"/>
      <c r="AJ62" s="1268"/>
      <c r="AK62" s="1268"/>
      <c r="AL62" s="1268"/>
      <c r="AM62" s="1268"/>
      <c r="AN62" s="1268"/>
      <c r="AO62" s="1268"/>
      <c r="AP62" s="1268"/>
      <c r="AQ62" s="1268"/>
      <c r="AR62" s="1268"/>
      <c r="AS62" s="1268"/>
      <c r="AT62" s="1268"/>
      <c r="AU62" s="1268"/>
      <c r="AV62" s="1268"/>
      <c r="AW62" s="1268"/>
      <c r="AX62" s="1268"/>
      <c r="AY62" s="1269"/>
    </row>
    <row r="63" spans="1:51" ht="44.15" customHeight="1">
      <c r="A63" s="1270" t="s">
        <v>237</v>
      </c>
      <c r="B63" s="1271"/>
      <c r="C63" s="1271"/>
      <c r="D63" s="1271"/>
      <c r="E63" s="1271"/>
      <c r="F63" s="1271"/>
      <c r="G63" s="1271"/>
      <c r="H63" s="1271"/>
      <c r="I63" s="1271"/>
      <c r="J63" s="1271"/>
      <c r="K63" s="1271"/>
      <c r="L63" s="1271"/>
      <c r="M63" s="1271"/>
      <c r="N63" s="1271"/>
      <c r="O63" s="1271"/>
      <c r="P63" s="1271"/>
      <c r="Q63" s="1271"/>
      <c r="R63" s="1271"/>
      <c r="S63" s="1271"/>
      <c r="T63" s="1271"/>
      <c r="U63" s="1271"/>
      <c r="V63" s="1271"/>
      <c r="W63" s="1271"/>
      <c r="X63" s="1271"/>
      <c r="Y63" s="1271"/>
      <c r="Z63" s="1271"/>
      <c r="AA63" s="1271"/>
      <c r="AB63" s="1271"/>
      <c r="AC63" s="1271"/>
      <c r="AD63" s="1271"/>
      <c r="AE63" s="1271"/>
      <c r="AF63" s="1271"/>
      <c r="AG63" s="1271"/>
      <c r="AH63" s="1271"/>
      <c r="AI63" s="1271"/>
      <c r="AJ63" s="1271"/>
      <c r="AK63" s="1271"/>
      <c r="AL63" s="1271"/>
      <c r="AM63" s="1271"/>
      <c r="AN63" s="1271"/>
      <c r="AO63" s="1271"/>
      <c r="AP63" s="1271"/>
      <c r="AQ63" s="1271"/>
      <c r="AR63" s="1271"/>
      <c r="AS63" s="1271"/>
      <c r="AT63" s="1271"/>
      <c r="AU63" s="1271"/>
      <c r="AV63" s="1271"/>
      <c r="AW63" s="1271"/>
      <c r="AX63" s="1271"/>
      <c r="AY63" s="1272"/>
    </row>
    <row r="64" spans="1:51">
      <c r="A64" s="1273" t="s">
        <v>238</v>
      </c>
      <c r="B64" s="1274"/>
      <c r="C64" s="1274"/>
      <c r="D64" s="1274"/>
      <c r="E64" s="1274"/>
      <c r="F64" s="1274"/>
      <c r="G64" s="1274"/>
      <c r="H64" s="1274"/>
      <c r="I64" s="1274"/>
      <c r="J64" s="1274"/>
      <c r="K64" s="1274"/>
      <c r="L64" s="1274"/>
      <c r="M64" s="1274"/>
      <c r="N64" s="1274"/>
      <c r="O64" s="1274"/>
      <c r="P64" s="1274"/>
      <c r="Q64" s="1274"/>
      <c r="R64" s="1274"/>
      <c r="S64" s="1274"/>
      <c r="T64" s="1274"/>
      <c r="U64" s="1274"/>
      <c r="V64" s="1274"/>
      <c r="W64" s="1274"/>
      <c r="X64" s="1274"/>
      <c r="Y64" s="1274"/>
      <c r="Z64" s="1274"/>
      <c r="AA64" s="1274"/>
      <c r="AB64" s="1274"/>
      <c r="AC64" s="1274"/>
      <c r="AD64" s="1274"/>
      <c r="AE64" s="1274"/>
      <c r="AF64" s="1274"/>
      <c r="AG64" s="1274"/>
      <c r="AH64" s="1274"/>
      <c r="AI64" s="1274"/>
      <c r="AJ64" s="1274"/>
      <c r="AK64" s="1274"/>
      <c r="AL64" s="1274"/>
      <c r="AM64" s="1274"/>
      <c r="AN64" s="1274"/>
      <c r="AO64" s="1274"/>
      <c r="AP64" s="1274"/>
      <c r="AQ64" s="1274"/>
      <c r="AR64" s="1274"/>
      <c r="AS64" s="1274"/>
      <c r="AT64" s="1274"/>
      <c r="AU64" s="1274"/>
      <c r="AV64" s="1274"/>
      <c r="AW64" s="1274"/>
      <c r="AX64" s="1274"/>
      <c r="AY64" s="1275"/>
    </row>
    <row r="65" spans="1:51">
      <c r="A65" s="1264" t="s">
        <v>239</v>
      </c>
      <c r="B65" s="1265"/>
      <c r="C65" s="1265"/>
      <c r="D65" s="1265"/>
      <c r="E65" s="1265"/>
      <c r="F65" s="1265"/>
      <c r="G65" s="1265"/>
      <c r="H65" s="1265"/>
      <c r="I65" s="1265"/>
      <c r="J65" s="1265"/>
      <c r="K65" s="1265"/>
      <c r="L65" s="1265"/>
      <c r="M65" s="1265"/>
      <c r="N65" s="1265"/>
      <c r="O65" s="1265"/>
      <c r="P65" s="1265"/>
      <c r="Q65" s="1265"/>
      <c r="R65" s="1265"/>
      <c r="S65" s="1265"/>
      <c r="T65" s="1265"/>
      <c r="U65" s="1265"/>
      <c r="V65" s="1265"/>
      <c r="W65" s="1265"/>
      <c r="X65" s="1265"/>
      <c r="Y65" s="1265"/>
      <c r="Z65" s="1265"/>
      <c r="AA65" s="1265"/>
      <c r="AB65" s="1265"/>
      <c r="AC65" s="1265"/>
      <c r="AD65" s="1265"/>
      <c r="AE65" s="1265"/>
      <c r="AF65" s="1265"/>
      <c r="AG65" s="1265"/>
      <c r="AH65" s="1265"/>
      <c r="AI65" s="1265"/>
      <c r="AJ65" s="1265"/>
      <c r="AK65" s="1265"/>
      <c r="AL65" s="1265"/>
      <c r="AM65" s="1265"/>
      <c r="AN65" s="1265"/>
      <c r="AO65" s="1265"/>
      <c r="AP65" s="1265"/>
      <c r="AQ65" s="1265"/>
      <c r="AR65" s="1265"/>
      <c r="AS65" s="1265"/>
      <c r="AT65" s="1265"/>
      <c r="AU65" s="1265"/>
      <c r="AV65" s="1265"/>
      <c r="AW65" s="1265"/>
      <c r="AX65" s="1265"/>
      <c r="AY65" s="1266"/>
    </row>
    <row r="66" spans="1:51">
      <c r="A66" s="1243" t="s">
        <v>240</v>
      </c>
      <c r="B66" s="1244"/>
      <c r="C66" s="1244"/>
      <c r="D66" s="1244"/>
      <c r="E66" s="1244"/>
      <c r="F66" s="1244"/>
      <c r="G66" s="1244"/>
      <c r="H66" s="1244"/>
      <c r="I66" s="1244"/>
      <c r="J66" s="1244"/>
      <c r="K66" s="1244"/>
      <c r="L66" s="1244"/>
      <c r="M66" s="1244"/>
      <c r="N66" s="1244"/>
      <c r="O66" s="1244"/>
      <c r="P66" s="1244"/>
      <c r="Q66" s="1244"/>
      <c r="R66" s="1244"/>
      <c r="S66" s="1244"/>
      <c r="T66" s="1244"/>
      <c r="U66" s="1244"/>
      <c r="V66" s="1244"/>
      <c r="W66" s="1244"/>
      <c r="X66" s="1244"/>
      <c r="Y66" s="1244"/>
      <c r="Z66" s="1244"/>
      <c r="AA66" s="1244"/>
      <c r="AB66" s="1244"/>
      <c r="AC66" s="1244"/>
      <c r="AD66" s="1244"/>
      <c r="AE66" s="1244"/>
      <c r="AF66" s="1244"/>
      <c r="AG66" s="1244"/>
      <c r="AH66" s="1244"/>
      <c r="AI66" s="1244"/>
      <c r="AJ66" s="1244"/>
      <c r="AK66" s="1244"/>
      <c r="AL66" s="1244"/>
      <c r="AM66" s="1244"/>
      <c r="AN66" s="1244"/>
      <c r="AO66" s="1244"/>
      <c r="AP66" s="1244"/>
      <c r="AQ66" s="1244"/>
      <c r="AR66" s="1244"/>
      <c r="AS66" s="1244"/>
      <c r="AT66" s="1244"/>
      <c r="AU66" s="1244"/>
      <c r="AV66" s="1244"/>
      <c r="AW66" s="1244"/>
      <c r="AX66" s="1244"/>
      <c r="AY66" s="1245"/>
    </row>
    <row r="67" spans="1:51">
      <c r="A67" s="1246" t="s">
        <v>241</v>
      </c>
      <c r="B67" s="1262"/>
      <c r="C67" s="1262"/>
      <c r="D67" s="1262"/>
      <c r="E67" s="1262"/>
      <c r="F67" s="1262"/>
      <c r="G67" s="1262"/>
      <c r="H67" s="1262"/>
      <c r="I67" s="1262"/>
      <c r="J67" s="1262"/>
      <c r="K67" s="1262"/>
      <c r="L67" s="1262"/>
      <c r="M67" s="1262"/>
      <c r="N67" s="1262"/>
      <c r="O67" s="1262"/>
      <c r="P67" s="1262"/>
      <c r="Q67" s="1262"/>
      <c r="R67" s="1262"/>
      <c r="S67" s="1262"/>
      <c r="T67" s="1262"/>
      <c r="U67" s="1262"/>
      <c r="V67" s="1262"/>
      <c r="W67" s="1262"/>
      <c r="X67" s="1262"/>
      <c r="Y67" s="1262"/>
      <c r="Z67" s="1262"/>
      <c r="AA67" s="1262"/>
      <c r="AB67" s="1262"/>
      <c r="AC67" s="1262"/>
      <c r="AD67" s="1262"/>
      <c r="AE67" s="1262"/>
      <c r="AF67" s="1262"/>
      <c r="AG67" s="1262"/>
      <c r="AH67" s="1262"/>
      <c r="AI67" s="1262"/>
      <c r="AJ67" s="1262"/>
      <c r="AK67" s="1262"/>
      <c r="AL67" s="1262"/>
      <c r="AM67" s="1262"/>
      <c r="AN67" s="1262"/>
      <c r="AO67" s="1262"/>
      <c r="AP67" s="1262"/>
      <c r="AQ67" s="1262"/>
      <c r="AR67" s="1262"/>
      <c r="AS67" s="1262"/>
      <c r="AT67" s="1262"/>
      <c r="AU67" s="1262"/>
      <c r="AV67" s="1262"/>
      <c r="AW67" s="1262"/>
      <c r="AX67" s="1262"/>
      <c r="AY67" s="1263"/>
    </row>
    <row r="68" spans="1:51">
      <c r="A68" s="1243" t="s">
        <v>242</v>
      </c>
      <c r="B68" s="1244"/>
      <c r="C68" s="1244"/>
      <c r="D68" s="1244"/>
      <c r="E68" s="1244"/>
      <c r="F68" s="1244"/>
      <c r="G68" s="1244"/>
      <c r="H68" s="1244"/>
      <c r="I68" s="1244"/>
      <c r="J68" s="1244"/>
      <c r="K68" s="1244"/>
      <c r="L68" s="1244"/>
      <c r="M68" s="1244"/>
      <c r="N68" s="1244"/>
      <c r="O68" s="1244"/>
      <c r="P68" s="1244"/>
      <c r="Q68" s="1244"/>
      <c r="R68" s="1244"/>
      <c r="S68" s="1244"/>
      <c r="T68" s="1244"/>
      <c r="U68" s="1244"/>
      <c r="V68" s="1244"/>
      <c r="W68" s="1244"/>
      <c r="X68" s="1244"/>
      <c r="Y68" s="1244"/>
      <c r="Z68" s="1244"/>
      <c r="AA68" s="1244"/>
      <c r="AB68" s="1244"/>
      <c r="AC68" s="1244"/>
      <c r="AD68" s="1244"/>
      <c r="AE68" s="1244"/>
      <c r="AF68" s="1244"/>
      <c r="AG68" s="1244"/>
      <c r="AH68" s="1244"/>
      <c r="AI68" s="1244"/>
      <c r="AJ68" s="1244"/>
      <c r="AK68" s="1244"/>
      <c r="AL68" s="1244"/>
      <c r="AM68" s="1244"/>
      <c r="AN68" s="1244"/>
      <c r="AO68" s="1244"/>
      <c r="AP68" s="1244"/>
      <c r="AQ68" s="1244"/>
      <c r="AR68" s="1244"/>
      <c r="AS68" s="1244"/>
      <c r="AT68" s="1244"/>
      <c r="AU68" s="1244"/>
      <c r="AV68" s="1244"/>
      <c r="AW68" s="1244"/>
      <c r="AX68" s="1244"/>
      <c r="AY68" s="1245"/>
    </row>
    <row r="69" spans="1:51">
      <c r="A69" s="1246" t="s">
        <v>243</v>
      </c>
      <c r="B69" s="1262"/>
      <c r="C69" s="1262"/>
      <c r="D69" s="1262"/>
      <c r="E69" s="1262"/>
      <c r="F69" s="1262"/>
      <c r="G69" s="1262"/>
      <c r="H69" s="1262"/>
      <c r="I69" s="1262"/>
      <c r="J69" s="1262"/>
      <c r="K69" s="1262"/>
      <c r="L69" s="1262"/>
      <c r="M69" s="1262"/>
      <c r="N69" s="1262"/>
      <c r="O69" s="1262"/>
      <c r="P69" s="1262"/>
      <c r="Q69" s="1262"/>
      <c r="R69" s="1262"/>
      <c r="S69" s="1262"/>
      <c r="T69" s="1262"/>
      <c r="U69" s="1262"/>
      <c r="V69" s="1262"/>
      <c r="W69" s="1262"/>
      <c r="X69" s="1262"/>
      <c r="Y69" s="1262"/>
      <c r="Z69" s="1262"/>
      <c r="AA69" s="1262"/>
      <c r="AB69" s="1262"/>
      <c r="AC69" s="1262"/>
      <c r="AD69" s="1262"/>
      <c r="AE69" s="1262"/>
      <c r="AF69" s="1262"/>
      <c r="AG69" s="1262"/>
      <c r="AH69" s="1262"/>
      <c r="AI69" s="1262"/>
      <c r="AJ69" s="1262"/>
      <c r="AK69" s="1262"/>
      <c r="AL69" s="1262"/>
      <c r="AM69" s="1262"/>
      <c r="AN69" s="1262"/>
      <c r="AO69" s="1262"/>
      <c r="AP69" s="1262"/>
      <c r="AQ69" s="1262"/>
      <c r="AR69" s="1262"/>
      <c r="AS69" s="1262"/>
      <c r="AT69" s="1262"/>
      <c r="AU69" s="1262"/>
      <c r="AV69" s="1262"/>
      <c r="AW69" s="1262"/>
      <c r="AX69" s="1262"/>
      <c r="AY69" s="1263"/>
    </row>
    <row r="70" spans="1:51">
      <c r="A70" s="1243" t="s">
        <v>244</v>
      </c>
      <c r="B70" s="1244"/>
      <c r="C70" s="1244"/>
      <c r="D70" s="1244"/>
      <c r="E70" s="1244"/>
      <c r="F70" s="1244"/>
      <c r="G70" s="1244"/>
      <c r="H70" s="1244"/>
      <c r="I70" s="1244"/>
      <c r="J70" s="1244"/>
      <c r="K70" s="1244"/>
      <c r="L70" s="1244"/>
      <c r="M70" s="1244"/>
      <c r="N70" s="1244"/>
      <c r="O70" s="1244"/>
      <c r="P70" s="1244"/>
      <c r="Q70" s="1244"/>
      <c r="R70" s="1244"/>
      <c r="S70" s="1244"/>
      <c r="T70" s="1244"/>
      <c r="U70" s="1244"/>
      <c r="V70" s="1244"/>
      <c r="W70" s="1244"/>
      <c r="X70" s="1244"/>
      <c r="Y70" s="1244"/>
      <c r="Z70" s="1244"/>
      <c r="AA70" s="1244"/>
      <c r="AB70" s="1244"/>
      <c r="AC70" s="1244"/>
      <c r="AD70" s="1244"/>
      <c r="AE70" s="1244"/>
      <c r="AF70" s="1244"/>
      <c r="AG70" s="1244"/>
      <c r="AH70" s="1244"/>
      <c r="AI70" s="1244"/>
      <c r="AJ70" s="1244"/>
      <c r="AK70" s="1244"/>
      <c r="AL70" s="1244"/>
      <c r="AM70" s="1244"/>
      <c r="AN70" s="1244"/>
      <c r="AO70" s="1244"/>
      <c r="AP70" s="1244"/>
      <c r="AQ70" s="1244"/>
      <c r="AR70" s="1244"/>
      <c r="AS70" s="1244"/>
      <c r="AT70" s="1244"/>
      <c r="AU70" s="1244"/>
      <c r="AV70" s="1244"/>
      <c r="AW70" s="1244"/>
      <c r="AX70" s="1244"/>
      <c r="AY70" s="1245"/>
    </row>
    <row r="71" spans="1:51">
      <c r="A71" s="1246" t="s">
        <v>245</v>
      </c>
      <c r="B71" s="1262"/>
      <c r="C71" s="1262"/>
      <c r="D71" s="1262"/>
      <c r="E71" s="1262"/>
      <c r="F71" s="1262"/>
      <c r="G71" s="1262"/>
      <c r="H71" s="1262"/>
      <c r="I71" s="1262"/>
      <c r="J71" s="1262"/>
      <c r="K71" s="1262"/>
      <c r="L71" s="1262"/>
      <c r="M71" s="1262"/>
      <c r="N71" s="1262"/>
      <c r="O71" s="1262"/>
      <c r="P71" s="1262"/>
      <c r="Q71" s="1262"/>
      <c r="R71" s="1262"/>
      <c r="S71" s="1262"/>
      <c r="T71" s="1262"/>
      <c r="U71" s="1262"/>
      <c r="V71" s="1262"/>
      <c r="W71" s="1262"/>
      <c r="X71" s="1262"/>
      <c r="Y71" s="1262"/>
      <c r="Z71" s="1262"/>
      <c r="AA71" s="1262"/>
      <c r="AB71" s="1262"/>
      <c r="AC71" s="1262"/>
      <c r="AD71" s="1262"/>
      <c r="AE71" s="1262"/>
      <c r="AF71" s="1262"/>
      <c r="AG71" s="1262"/>
      <c r="AH71" s="1262"/>
      <c r="AI71" s="1262"/>
      <c r="AJ71" s="1262"/>
      <c r="AK71" s="1262"/>
      <c r="AL71" s="1262"/>
      <c r="AM71" s="1262"/>
      <c r="AN71" s="1262"/>
      <c r="AO71" s="1262"/>
      <c r="AP71" s="1262"/>
      <c r="AQ71" s="1262"/>
      <c r="AR71" s="1262"/>
      <c r="AS71" s="1262"/>
      <c r="AT71" s="1262"/>
      <c r="AU71" s="1262"/>
      <c r="AV71" s="1262"/>
      <c r="AW71" s="1262"/>
      <c r="AX71" s="1262"/>
      <c r="AY71" s="1263"/>
    </row>
    <row r="72" spans="1:51">
      <c r="A72" s="1243" t="s">
        <v>246</v>
      </c>
      <c r="B72" s="1244"/>
      <c r="C72" s="1244"/>
      <c r="D72" s="1244"/>
      <c r="E72" s="1244"/>
      <c r="F72" s="1244"/>
      <c r="G72" s="1244"/>
      <c r="H72" s="1244"/>
      <c r="I72" s="1244"/>
      <c r="J72" s="1244"/>
      <c r="K72" s="1244"/>
      <c r="L72" s="1244"/>
      <c r="M72" s="1244"/>
      <c r="N72" s="1244"/>
      <c r="O72" s="1244"/>
      <c r="P72" s="1244"/>
      <c r="Q72" s="1244"/>
      <c r="R72" s="1244"/>
      <c r="S72" s="1244"/>
      <c r="T72" s="1244"/>
      <c r="U72" s="1244"/>
      <c r="V72" s="1244"/>
      <c r="W72" s="1244"/>
      <c r="X72" s="1244"/>
      <c r="Y72" s="1244"/>
      <c r="Z72" s="1244"/>
      <c r="AA72" s="1244"/>
      <c r="AB72" s="1244"/>
      <c r="AC72" s="1244"/>
      <c r="AD72" s="1244"/>
      <c r="AE72" s="1244"/>
      <c r="AF72" s="1244"/>
      <c r="AG72" s="1244"/>
      <c r="AH72" s="1244"/>
      <c r="AI72" s="1244"/>
      <c r="AJ72" s="1244"/>
      <c r="AK72" s="1244"/>
      <c r="AL72" s="1244"/>
      <c r="AM72" s="1244"/>
      <c r="AN72" s="1244"/>
      <c r="AO72" s="1244"/>
      <c r="AP72" s="1244"/>
      <c r="AQ72" s="1244"/>
      <c r="AR72" s="1244"/>
      <c r="AS72" s="1244"/>
      <c r="AT72" s="1244"/>
      <c r="AU72" s="1244"/>
      <c r="AV72" s="1244"/>
      <c r="AW72" s="1244"/>
      <c r="AX72" s="1244"/>
      <c r="AY72" s="1245"/>
    </row>
    <row r="73" spans="1:51">
      <c r="A73" s="1246" t="s">
        <v>247</v>
      </c>
      <c r="B73" s="1262"/>
      <c r="C73" s="1262"/>
      <c r="D73" s="1262"/>
      <c r="E73" s="1262"/>
      <c r="F73" s="1262"/>
      <c r="G73" s="1262"/>
      <c r="H73" s="1262"/>
      <c r="I73" s="1262"/>
      <c r="J73" s="1262"/>
      <c r="K73" s="1262"/>
      <c r="L73" s="1262"/>
      <c r="M73" s="1262"/>
      <c r="N73" s="1262"/>
      <c r="O73" s="1262"/>
      <c r="P73" s="1262"/>
      <c r="Q73" s="1262"/>
      <c r="R73" s="1262"/>
      <c r="S73" s="1262"/>
      <c r="T73" s="1262"/>
      <c r="U73" s="1262"/>
      <c r="V73" s="1262"/>
      <c r="W73" s="1262"/>
      <c r="X73" s="1262"/>
      <c r="Y73" s="1262"/>
      <c r="Z73" s="1262"/>
      <c r="AA73" s="1262"/>
      <c r="AB73" s="1262"/>
      <c r="AC73" s="1262"/>
      <c r="AD73" s="1262"/>
      <c r="AE73" s="1262"/>
      <c r="AF73" s="1262"/>
      <c r="AG73" s="1262"/>
      <c r="AH73" s="1262"/>
      <c r="AI73" s="1262"/>
      <c r="AJ73" s="1262"/>
      <c r="AK73" s="1262"/>
      <c r="AL73" s="1262"/>
      <c r="AM73" s="1262"/>
      <c r="AN73" s="1262"/>
      <c r="AO73" s="1262"/>
      <c r="AP73" s="1262"/>
      <c r="AQ73" s="1262"/>
      <c r="AR73" s="1262"/>
      <c r="AS73" s="1262"/>
      <c r="AT73" s="1262"/>
      <c r="AU73" s="1262"/>
      <c r="AV73" s="1262"/>
      <c r="AW73" s="1262"/>
      <c r="AX73" s="1262"/>
      <c r="AY73" s="1263"/>
    </row>
    <row r="74" spans="1:51">
      <c r="A74" s="1243" t="s">
        <v>248</v>
      </c>
      <c r="B74" s="1244"/>
      <c r="C74" s="1244"/>
      <c r="D74" s="1244"/>
      <c r="E74" s="1244"/>
      <c r="F74" s="1244"/>
      <c r="G74" s="1244"/>
      <c r="H74" s="1244"/>
      <c r="I74" s="1244"/>
      <c r="J74" s="1244"/>
      <c r="K74" s="1244"/>
      <c r="L74" s="1244"/>
      <c r="M74" s="1244"/>
      <c r="N74" s="1244"/>
      <c r="O74" s="1244"/>
      <c r="P74" s="1244"/>
      <c r="Q74" s="1244"/>
      <c r="R74" s="1244"/>
      <c r="S74" s="1244"/>
      <c r="T74" s="1244"/>
      <c r="U74" s="1244"/>
      <c r="V74" s="1244"/>
      <c r="W74" s="1244"/>
      <c r="X74" s="1244"/>
      <c r="Y74" s="1244"/>
      <c r="Z74" s="1244"/>
      <c r="AA74" s="1244"/>
      <c r="AB74" s="1244"/>
      <c r="AC74" s="1244"/>
      <c r="AD74" s="1244"/>
      <c r="AE74" s="1244"/>
      <c r="AF74" s="1244"/>
      <c r="AG74" s="1244"/>
      <c r="AH74" s="1244"/>
      <c r="AI74" s="1244"/>
      <c r="AJ74" s="1244"/>
      <c r="AK74" s="1244"/>
      <c r="AL74" s="1244"/>
      <c r="AM74" s="1244"/>
      <c r="AN74" s="1244"/>
      <c r="AO74" s="1244"/>
      <c r="AP74" s="1244"/>
      <c r="AQ74" s="1244"/>
      <c r="AR74" s="1244"/>
      <c r="AS74" s="1244"/>
      <c r="AT74" s="1244"/>
      <c r="AU74" s="1244"/>
      <c r="AV74" s="1244"/>
      <c r="AW74" s="1244"/>
      <c r="AX74" s="1244"/>
      <c r="AY74" s="1245"/>
    </row>
    <row r="75" spans="1:51">
      <c r="A75" s="1246" t="s">
        <v>249</v>
      </c>
      <c r="B75" s="1262"/>
      <c r="C75" s="1262"/>
      <c r="D75" s="1262"/>
      <c r="E75" s="1262"/>
      <c r="F75" s="1262"/>
      <c r="G75" s="1262"/>
      <c r="H75" s="1262"/>
      <c r="I75" s="1262"/>
      <c r="J75" s="1262"/>
      <c r="K75" s="1262"/>
      <c r="L75" s="1262"/>
      <c r="M75" s="1262"/>
      <c r="N75" s="1262"/>
      <c r="O75" s="1262"/>
      <c r="P75" s="1262"/>
      <c r="Q75" s="1262"/>
      <c r="R75" s="1262"/>
      <c r="S75" s="1262"/>
      <c r="T75" s="1262"/>
      <c r="U75" s="1262"/>
      <c r="V75" s="1262"/>
      <c r="W75" s="1262"/>
      <c r="X75" s="1262"/>
      <c r="Y75" s="1262"/>
      <c r="Z75" s="1262"/>
      <c r="AA75" s="1262"/>
      <c r="AB75" s="1262"/>
      <c r="AC75" s="1262"/>
      <c r="AD75" s="1262"/>
      <c r="AE75" s="1262"/>
      <c r="AF75" s="1262"/>
      <c r="AG75" s="1262"/>
      <c r="AH75" s="1262"/>
      <c r="AI75" s="1262"/>
      <c r="AJ75" s="1262"/>
      <c r="AK75" s="1262"/>
      <c r="AL75" s="1262"/>
      <c r="AM75" s="1262"/>
      <c r="AN75" s="1262"/>
      <c r="AO75" s="1262"/>
      <c r="AP75" s="1262"/>
      <c r="AQ75" s="1262"/>
      <c r="AR75" s="1262"/>
      <c r="AS75" s="1262"/>
      <c r="AT75" s="1262"/>
      <c r="AU75" s="1262"/>
      <c r="AV75" s="1262"/>
      <c r="AW75" s="1262"/>
      <c r="AX75" s="1262"/>
      <c r="AY75" s="1263"/>
    </row>
    <row r="76" spans="1:51">
      <c r="A76" s="1284" t="s">
        <v>250</v>
      </c>
      <c r="B76" s="1285"/>
      <c r="C76" s="1285"/>
      <c r="D76" s="1285"/>
      <c r="E76" s="1285"/>
      <c r="F76" s="1285"/>
      <c r="G76" s="1285"/>
      <c r="H76" s="1285"/>
      <c r="I76" s="1285"/>
      <c r="J76" s="1285"/>
      <c r="K76" s="1285"/>
      <c r="L76" s="1285"/>
      <c r="M76" s="1285"/>
      <c r="N76" s="1285"/>
      <c r="O76" s="1285"/>
      <c r="P76" s="1285"/>
      <c r="Q76" s="1285"/>
      <c r="R76" s="1285"/>
      <c r="S76" s="1285"/>
      <c r="T76" s="1285"/>
      <c r="U76" s="1285"/>
      <c r="V76" s="1285"/>
      <c r="W76" s="1285"/>
      <c r="X76" s="1285"/>
      <c r="Y76" s="1285"/>
      <c r="Z76" s="1285"/>
      <c r="AA76" s="1285"/>
      <c r="AB76" s="1285"/>
      <c r="AC76" s="1285"/>
      <c r="AD76" s="1285"/>
      <c r="AE76" s="1285"/>
      <c r="AF76" s="1285"/>
      <c r="AG76" s="1285"/>
      <c r="AH76" s="1285"/>
      <c r="AI76" s="1285"/>
      <c r="AJ76" s="1285"/>
      <c r="AK76" s="1285"/>
      <c r="AL76" s="1285"/>
      <c r="AM76" s="1285"/>
      <c r="AN76" s="1285"/>
      <c r="AO76" s="1285"/>
      <c r="AP76" s="1285"/>
      <c r="AQ76" s="1285"/>
      <c r="AR76" s="1285"/>
      <c r="AS76" s="1285"/>
      <c r="AT76" s="1285"/>
      <c r="AU76" s="1285"/>
      <c r="AV76" s="1285"/>
      <c r="AW76" s="1285"/>
      <c r="AX76" s="1285"/>
      <c r="AY76" s="1286"/>
    </row>
    <row r="77" spans="1:51">
      <c r="A77" s="1281" t="s">
        <v>251</v>
      </c>
      <c r="B77" s="1282"/>
      <c r="C77" s="1282"/>
      <c r="D77" s="1282"/>
      <c r="E77" s="1282"/>
      <c r="F77" s="1282"/>
      <c r="G77" s="1282"/>
      <c r="H77" s="1282"/>
      <c r="I77" s="1282"/>
      <c r="J77" s="1282"/>
      <c r="K77" s="1282"/>
      <c r="L77" s="1282"/>
      <c r="M77" s="1282"/>
      <c r="N77" s="1282"/>
      <c r="O77" s="1282"/>
      <c r="P77" s="1282"/>
      <c r="Q77" s="1282"/>
      <c r="R77" s="1282"/>
      <c r="S77" s="1282"/>
      <c r="T77" s="1282"/>
      <c r="U77" s="1282"/>
      <c r="V77" s="1282"/>
      <c r="W77" s="1282"/>
      <c r="X77" s="1282"/>
      <c r="Y77" s="1282"/>
      <c r="Z77" s="1282"/>
      <c r="AA77" s="1282"/>
      <c r="AB77" s="1282"/>
      <c r="AC77" s="1282"/>
      <c r="AD77" s="1282"/>
      <c r="AE77" s="1282"/>
      <c r="AF77" s="1282"/>
      <c r="AG77" s="1282"/>
      <c r="AH77" s="1282"/>
      <c r="AI77" s="1282"/>
      <c r="AJ77" s="1282"/>
      <c r="AK77" s="1282"/>
      <c r="AL77" s="1282"/>
      <c r="AM77" s="1282"/>
      <c r="AN77" s="1282"/>
      <c r="AO77" s="1282"/>
      <c r="AP77" s="1282"/>
      <c r="AQ77" s="1282"/>
      <c r="AR77" s="1282"/>
      <c r="AS77" s="1282"/>
      <c r="AT77" s="1282"/>
      <c r="AU77" s="1282"/>
      <c r="AV77" s="1282"/>
      <c r="AW77" s="1282"/>
      <c r="AX77" s="1282"/>
      <c r="AY77" s="1283"/>
    </row>
    <row r="78" spans="1:51">
      <c r="A78" s="1256" t="s">
        <v>252</v>
      </c>
      <c r="B78" s="1257"/>
      <c r="C78" s="1257"/>
      <c r="D78" s="1257"/>
      <c r="E78" s="1257"/>
      <c r="F78" s="1257"/>
      <c r="G78" s="1257"/>
      <c r="H78" s="1257"/>
      <c r="I78" s="1257"/>
      <c r="J78" s="1257"/>
      <c r="K78" s="1257"/>
      <c r="L78" s="1257"/>
      <c r="M78" s="1257"/>
      <c r="N78" s="1257"/>
      <c r="O78" s="1257"/>
      <c r="P78" s="1257"/>
      <c r="Q78" s="1257"/>
      <c r="R78" s="1257"/>
      <c r="S78" s="1257"/>
      <c r="T78" s="1257"/>
      <c r="U78" s="1257"/>
      <c r="V78" s="1257"/>
      <c r="W78" s="1257"/>
      <c r="X78" s="1257"/>
      <c r="Y78" s="1257"/>
      <c r="Z78" s="1257"/>
      <c r="AA78" s="1257"/>
      <c r="AB78" s="1257"/>
      <c r="AC78" s="1257"/>
      <c r="AD78" s="1257"/>
      <c r="AE78" s="1257"/>
      <c r="AF78" s="1257"/>
      <c r="AG78" s="1257"/>
      <c r="AH78" s="1257"/>
      <c r="AI78" s="1257"/>
      <c r="AJ78" s="1257"/>
      <c r="AK78" s="1257"/>
      <c r="AL78" s="1257"/>
      <c r="AM78" s="1257"/>
      <c r="AN78" s="1257"/>
      <c r="AO78" s="1257"/>
      <c r="AP78" s="1257"/>
      <c r="AQ78" s="1257"/>
      <c r="AR78" s="1257"/>
      <c r="AS78" s="1257"/>
      <c r="AT78" s="1257"/>
      <c r="AU78" s="1257"/>
      <c r="AV78" s="1257"/>
      <c r="AW78" s="1257"/>
      <c r="AX78" s="1257"/>
      <c r="AY78" s="1258"/>
    </row>
    <row r="79" spans="1:51">
      <c r="A79" s="1278" t="s">
        <v>253</v>
      </c>
      <c r="B79" s="1279"/>
      <c r="C79" s="1279"/>
      <c r="D79" s="1279"/>
      <c r="E79" s="1279"/>
      <c r="F79" s="1279"/>
      <c r="G79" s="1279"/>
      <c r="H79" s="1279"/>
      <c r="I79" s="1279"/>
      <c r="J79" s="1279"/>
      <c r="K79" s="1279"/>
      <c r="L79" s="1279"/>
      <c r="M79" s="1279"/>
      <c r="N79" s="1279"/>
      <c r="O79" s="1279"/>
      <c r="P79" s="1279"/>
      <c r="Q79" s="1279"/>
      <c r="R79" s="1279"/>
      <c r="S79" s="1279"/>
      <c r="T79" s="1279"/>
      <c r="U79" s="1279"/>
      <c r="V79" s="1279"/>
      <c r="W79" s="1279"/>
      <c r="X79" s="1279"/>
      <c r="Y79" s="1279"/>
      <c r="Z79" s="1279"/>
      <c r="AA79" s="1279"/>
      <c r="AB79" s="1279"/>
      <c r="AC79" s="1279"/>
      <c r="AD79" s="1279"/>
      <c r="AE79" s="1279"/>
      <c r="AF79" s="1279"/>
      <c r="AG79" s="1279"/>
      <c r="AH79" s="1279"/>
      <c r="AI79" s="1279"/>
      <c r="AJ79" s="1279"/>
      <c r="AK79" s="1279"/>
      <c r="AL79" s="1279"/>
      <c r="AM79" s="1279"/>
      <c r="AN79" s="1279"/>
      <c r="AO79" s="1279"/>
      <c r="AP79" s="1279"/>
      <c r="AQ79" s="1279"/>
      <c r="AR79" s="1279"/>
      <c r="AS79" s="1279"/>
      <c r="AT79" s="1279"/>
      <c r="AU79" s="1279"/>
      <c r="AV79" s="1279"/>
      <c r="AW79" s="1279"/>
      <c r="AX79" s="1279"/>
      <c r="AY79" s="1280"/>
    </row>
    <row r="80" spans="1:51">
      <c r="A80" s="1255" t="s">
        <v>254</v>
      </c>
      <c r="B80" s="1276"/>
      <c r="C80" s="1276"/>
      <c r="D80" s="1276"/>
      <c r="E80" s="1276"/>
      <c r="F80" s="1276"/>
      <c r="G80" s="1276"/>
      <c r="H80" s="1276"/>
      <c r="I80" s="1276"/>
      <c r="J80" s="1276"/>
      <c r="K80" s="1276"/>
      <c r="L80" s="1276"/>
      <c r="M80" s="1276"/>
      <c r="N80" s="1276"/>
      <c r="O80" s="1276"/>
      <c r="P80" s="1276"/>
      <c r="Q80" s="1276"/>
      <c r="R80" s="1276"/>
      <c r="S80" s="1276"/>
      <c r="T80" s="1276"/>
      <c r="U80" s="1276"/>
      <c r="V80" s="1276"/>
      <c r="W80" s="1276"/>
      <c r="X80" s="1276"/>
      <c r="Y80" s="1276"/>
      <c r="Z80" s="1276"/>
      <c r="AA80" s="1276"/>
      <c r="AB80" s="1276"/>
      <c r="AC80" s="1276"/>
      <c r="AD80" s="1276"/>
      <c r="AE80" s="1276"/>
      <c r="AF80" s="1276"/>
      <c r="AG80" s="1276"/>
      <c r="AH80" s="1276"/>
      <c r="AI80" s="1276"/>
      <c r="AJ80" s="1276"/>
      <c r="AK80" s="1276"/>
      <c r="AL80" s="1276"/>
      <c r="AM80" s="1276"/>
      <c r="AN80" s="1276"/>
      <c r="AO80" s="1276"/>
      <c r="AP80" s="1276"/>
      <c r="AQ80" s="1276"/>
      <c r="AR80" s="1276"/>
      <c r="AS80" s="1276"/>
      <c r="AT80" s="1276"/>
      <c r="AU80" s="1276"/>
      <c r="AV80" s="1276"/>
      <c r="AW80" s="1276"/>
      <c r="AX80" s="1276"/>
      <c r="AY80" s="1277"/>
    </row>
    <row r="81" spans="1:51">
      <c r="A81" s="1256" t="s">
        <v>255</v>
      </c>
      <c r="B81" s="1257"/>
      <c r="C81" s="1257"/>
      <c r="D81" s="1257"/>
      <c r="E81" s="1257"/>
      <c r="F81" s="1257"/>
      <c r="G81" s="1257"/>
      <c r="H81" s="1257"/>
      <c r="I81" s="1257"/>
      <c r="J81" s="1257"/>
      <c r="K81" s="1257"/>
      <c r="L81" s="1257"/>
      <c r="M81" s="1257"/>
      <c r="N81" s="1257"/>
      <c r="O81" s="1257"/>
      <c r="P81" s="1257"/>
      <c r="Q81" s="1257"/>
      <c r="R81" s="1257"/>
      <c r="S81" s="1257"/>
      <c r="T81" s="1257"/>
      <c r="U81" s="1257"/>
      <c r="V81" s="1257"/>
      <c r="W81" s="1257"/>
      <c r="X81" s="1257"/>
      <c r="Y81" s="1257"/>
      <c r="Z81" s="1257"/>
      <c r="AA81" s="1257"/>
      <c r="AB81" s="1257"/>
      <c r="AC81" s="1257"/>
      <c r="AD81" s="1257"/>
      <c r="AE81" s="1257"/>
      <c r="AF81" s="1257"/>
      <c r="AG81" s="1257"/>
      <c r="AH81" s="1257"/>
      <c r="AI81" s="1257"/>
      <c r="AJ81" s="1257"/>
      <c r="AK81" s="1257"/>
      <c r="AL81" s="1257"/>
      <c r="AM81" s="1257"/>
      <c r="AN81" s="1257"/>
      <c r="AO81" s="1257"/>
      <c r="AP81" s="1257"/>
      <c r="AQ81" s="1257"/>
      <c r="AR81" s="1257"/>
      <c r="AS81" s="1257"/>
      <c r="AT81" s="1257"/>
      <c r="AU81" s="1257"/>
      <c r="AV81" s="1257"/>
      <c r="AW81" s="1257"/>
      <c r="AX81" s="1257"/>
      <c r="AY81" s="1258"/>
    </row>
    <row r="82" spans="1:51">
      <c r="A82" s="1243" t="s">
        <v>256</v>
      </c>
      <c r="B82" s="1244"/>
      <c r="C82" s="1244"/>
      <c r="D82" s="1244"/>
      <c r="E82" s="1244"/>
      <c r="F82" s="1244"/>
      <c r="G82" s="1244"/>
      <c r="H82" s="1244"/>
      <c r="I82" s="1244"/>
      <c r="J82" s="1244"/>
      <c r="K82" s="1244"/>
      <c r="L82" s="1244"/>
      <c r="M82" s="1244"/>
      <c r="N82" s="1244"/>
      <c r="O82" s="1244"/>
      <c r="P82" s="1244"/>
      <c r="Q82" s="1244"/>
      <c r="R82" s="1244"/>
      <c r="S82" s="1244"/>
      <c r="T82" s="1244"/>
      <c r="U82" s="1244"/>
      <c r="V82" s="1244"/>
      <c r="W82" s="1244"/>
      <c r="X82" s="1244"/>
      <c r="Y82" s="1244"/>
      <c r="Z82" s="1244"/>
      <c r="AA82" s="1244"/>
      <c r="AB82" s="1244"/>
      <c r="AC82" s="1244"/>
      <c r="AD82" s="1244"/>
      <c r="AE82" s="1244"/>
      <c r="AF82" s="1244"/>
      <c r="AG82" s="1244"/>
      <c r="AH82" s="1244"/>
      <c r="AI82" s="1244"/>
      <c r="AJ82" s="1244"/>
      <c r="AK82" s="1244"/>
      <c r="AL82" s="1244"/>
      <c r="AM82" s="1244"/>
      <c r="AN82" s="1244"/>
      <c r="AO82" s="1244"/>
      <c r="AP82" s="1244"/>
      <c r="AQ82" s="1244"/>
      <c r="AR82" s="1244"/>
      <c r="AS82" s="1244"/>
      <c r="AT82" s="1244"/>
      <c r="AU82" s="1244"/>
      <c r="AV82" s="1244"/>
      <c r="AW82" s="1244"/>
      <c r="AX82" s="1244"/>
      <c r="AY82" s="1245"/>
    </row>
    <row r="83" spans="1:51">
      <c r="A83" s="1246" t="s">
        <v>257</v>
      </c>
      <c r="B83" s="1262"/>
      <c r="C83" s="1262"/>
      <c r="D83" s="1262"/>
      <c r="E83" s="1262"/>
      <c r="F83" s="1262"/>
      <c r="G83" s="1262"/>
      <c r="H83" s="1262"/>
      <c r="I83" s="1262"/>
      <c r="J83" s="1262"/>
      <c r="K83" s="1262"/>
      <c r="L83" s="1262"/>
      <c r="M83" s="1262"/>
      <c r="N83" s="1262"/>
      <c r="O83" s="1262"/>
      <c r="P83" s="1262"/>
      <c r="Q83" s="1262"/>
      <c r="R83" s="1262"/>
      <c r="S83" s="1262"/>
      <c r="T83" s="1262"/>
      <c r="U83" s="1262"/>
      <c r="V83" s="1262"/>
      <c r="W83" s="1262"/>
      <c r="X83" s="1262"/>
      <c r="Y83" s="1262"/>
      <c r="Z83" s="1262"/>
      <c r="AA83" s="1262"/>
      <c r="AB83" s="1262"/>
      <c r="AC83" s="1262"/>
      <c r="AD83" s="1262"/>
      <c r="AE83" s="1262"/>
      <c r="AF83" s="1262"/>
      <c r="AG83" s="1262"/>
      <c r="AH83" s="1262"/>
      <c r="AI83" s="1262"/>
      <c r="AJ83" s="1262"/>
      <c r="AK83" s="1262"/>
      <c r="AL83" s="1262"/>
      <c r="AM83" s="1262"/>
      <c r="AN83" s="1262"/>
      <c r="AO83" s="1262"/>
      <c r="AP83" s="1262"/>
      <c r="AQ83" s="1262"/>
      <c r="AR83" s="1262"/>
      <c r="AS83" s="1262"/>
      <c r="AT83" s="1262"/>
      <c r="AU83" s="1262"/>
      <c r="AV83" s="1262"/>
      <c r="AW83" s="1262"/>
      <c r="AX83" s="1262"/>
      <c r="AY83" s="1263"/>
    </row>
    <row r="84" spans="1:51">
      <c r="A84" s="232" t="s">
        <v>258</v>
      </c>
      <c r="B84" s="233"/>
      <c r="C84" s="233"/>
      <c r="D84" s="233"/>
      <c r="E84" s="233"/>
      <c r="F84" s="233"/>
      <c r="G84" s="233"/>
      <c r="H84" s="233"/>
      <c r="I84" s="233"/>
      <c r="J84" s="233"/>
      <c r="K84" s="233"/>
      <c r="L84" s="233"/>
      <c r="M84" s="233"/>
      <c r="N84" s="233"/>
      <c r="O84" s="233"/>
      <c r="P84" s="233"/>
      <c r="Q84" s="233"/>
      <c r="R84" s="233"/>
      <c r="S84" s="233"/>
      <c r="T84" s="233"/>
      <c r="U84" s="233"/>
      <c r="V84" s="233"/>
      <c r="W84" s="233"/>
      <c r="X84" s="233"/>
      <c r="Y84" s="233"/>
      <c r="Z84" s="233"/>
      <c r="AA84" s="233"/>
      <c r="AB84" s="233"/>
      <c r="AC84" s="233"/>
      <c r="AD84" s="233"/>
      <c r="AE84" s="233"/>
      <c r="AF84" s="233"/>
      <c r="AG84" s="233"/>
      <c r="AH84" s="233"/>
      <c r="AI84" s="233"/>
      <c r="AJ84" s="233"/>
      <c r="AK84" s="233"/>
      <c r="AL84" s="233"/>
      <c r="AM84" s="233"/>
      <c r="AN84" s="233"/>
      <c r="AO84" s="233"/>
      <c r="AP84" s="233"/>
      <c r="AQ84" s="233"/>
      <c r="AR84" s="233"/>
      <c r="AS84" s="233"/>
      <c r="AT84" s="233"/>
      <c r="AU84" s="233"/>
      <c r="AV84" s="233"/>
      <c r="AW84" s="233"/>
      <c r="AX84" s="233"/>
      <c r="AY84" s="234"/>
    </row>
    <row r="85" spans="1:51">
      <c r="A85" s="1255" t="s">
        <v>259</v>
      </c>
      <c r="B85" s="1250"/>
      <c r="C85" s="1250"/>
      <c r="D85" s="1250"/>
      <c r="E85" s="1250"/>
      <c r="F85" s="1250"/>
      <c r="G85" s="1250"/>
      <c r="H85" s="1250"/>
      <c r="I85" s="1250"/>
      <c r="J85" s="1250"/>
      <c r="K85" s="1250"/>
      <c r="L85" s="1250"/>
      <c r="M85" s="1250"/>
      <c r="N85" s="1250"/>
      <c r="O85" s="1250"/>
      <c r="P85" s="1250"/>
      <c r="Q85" s="1250"/>
      <c r="R85" s="1250"/>
      <c r="S85" s="1250"/>
      <c r="T85" s="1250"/>
      <c r="U85" s="1250"/>
      <c r="V85" s="1250"/>
      <c r="W85" s="1250"/>
      <c r="X85" s="1250"/>
      <c r="Y85" s="1250"/>
      <c r="Z85" s="1250"/>
      <c r="AA85" s="1250"/>
      <c r="AB85" s="1250"/>
      <c r="AC85" s="1250"/>
      <c r="AD85" s="1250"/>
      <c r="AE85" s="1250"/>
      <c r="AF85" s="1250"/>
      <c r="AG85" s="1250"/>
      <c r="AH85" s="1250"/>
      <c r="AI85" s="1250"/>
      <c r="AJ85" s="1250"/>
      <c r="AK85" s="1250"/>
      <c r="AL85" s="1250"/>
      <c r="AM85" s="1250"/>
      <c r="AN85" s="1250"/>
      <c r="AO85" s="1250"/>
      <c r="AP85" s="1250"/>
      <c r="AQ85" s="1250"/>
      <c r="AR85" s="1250"/>
      <c r="AS85" s="1250"/>
      <c r="AT85" s="1250"/>
      <c r="AU85" s="1250"/>
      <c r="AV85" s="1250"/>
      <c r="AW85" s="1250"/>
      <c r="AX85" s="1250"/>
      <c r="AY85" s="1251"/>
    </row>
    <row r="86" spans="1:51">
      <c r="A86" s="1256" t="s">
        <v>260</v>
      </c>
      <c r="B86" s="1257"/>
      <c r="C86" s="1257"/>
      <c r="D86" s="1257"/>
      <c r="E86" s="1257"/>
      <c r="F86" s="1257"/>
      <c r="G86" s="1257"/>
      <c r="H86" s="1257"/>
      <c r="I86" s="1257"/>
      <c r="J86" s="1257"/>
      <c r="K86" s="1257"/>
      <c r="L86" s="1257"/>
      <c r="M86" s="1257"/>
      <c r="N86" s="1257"/>
      <c r="O86" s="1257"/>
      <c r="P86" s="1257"/>
      <c r="Q86" s="1257"/>
      <c r="R86" s="1257"/>
      <c r="S86" s="1257"/>
      <c r="T86" s="1257"/>
      <c r="U86" s="1257"/>
      <c r="V86" s="1257"/>
      <c r="W86" s="1257"/>
      <c r="X86" s="1257"/>
      <c r="Y86" s="1257"/>
      <c r="Z86" s="1257"/>
      <c r="AA86" s="1257"/>
      <c r="AB86" s="1257"/>
      <c r="AC86" s="1257"/>
      <c r="AD86" s="1257"/>
      <c r="AE86" s="1257"/>
      <c r="AF86" s="1257"/>
      <c r="AG86" s="1257"/>
      <c r="AH86" s="1257"/>
      <c r="AI86" s="1257"/>
      <c r="AJ86" s="1257"/>
      <c r="AK86" s="1257"/>
      <c r="AL86" s="1257"/>
      <c r="AM86" s="1257"/>
      <c r="AN86" s="1257"/>
      <c r="AO86" s="1257"/>
      <c r="AP86" s="1257"/>
      <c r="AQ86" s="1257"/>
      <c r="AR86" s="1257"/>
      <c r="AS86" s="1257"/>
      <c r="AT86" s="1257"/>
      <c r="AU86" s="1257"/>
      <c r="AV86" s="1257"/>
      <c r="AW86" s="1257"/>
      <c r="AX86" s="1257"/>
      <c r="AY86" s="1258"/>
    </row>
    <row r="87" spans="1:51">
      <c r="A87" s="1259" t="s">
        <v>261</v>
      </c>
      <c r="B87" s="1260"/>
      <c r="C87" s="1260"/>
      <c r="D87" s="1260"/>
      <c r="E87" s="1260"/>
      <c r="F87" s="1260"/>
      <c r="G87" s="1260"/>
      <c r="H87" s="1260"/>
      <c r="I87" s="1260"/>
      <c r="J87" s="1260"/>
      <c r="K87" s="1260"/>
      <c r="L87" s="1260"/>
      <c r="M87" s="1260"/>
      <c r="N87" s="1260"/>
      <c r="O87" s="1260"/>
      <c r="P87" s="1260"/>
      <c r="Q87" s="1260"/>
      <c r="R87" s="1260"/>
      <c r="S87" s="1260"/>
      <c r="T87" s="1260"/>
      <c r="U87" s="1260"/>
      <c r="V87" s="1260"/>
      <c r="W87" s="1260"/>
      <c r="X87" s="1260"/>
      <c r="Y87" s="1260"/>
      <c r="Z87" s="1260"/>
      <c r="AA87" s="1260"/>
      <c r="AB87" s="1260"/>
      <c r="AC87" s="1260"/>
      <c r="AD87" s="1260"/>
      <c r="AE87" s="1260"/>
      <c r="AF87" s="1260"/>
      <c r="AG87" s="1260"/>
      <c r="AH87" s="1260"/>
      <c r="AI87" s="1260"/>
      <c r="AJ87" s="1260"/>
      <c r="AK87" s="1260"/>
      <c r="AL87" s="1260"/>
      <c r="AM87" s="1260"/>
      <c r="AN87" s="1260"/>
      <c r="AO87" s="1260"/>
      <c r="AP87" s="1260"/>
      <c r="AQ87" s="1260"/>
      <c r="AR87" s="1260"/>
      <c r="AS87" s="1260"/>
      <c r="AT87" s="1260"/>
      <c r="AU87" s="1260"/>
      <c r="AV87" s="1260"/>
      <c r="AW87" s="1260"/>
      <c r="AX87" s="1260"/>
      <c r="AY87" s="1261"/>
    </row>
    <row r="88" spans="1:51">
      <c r="A88" s="1246" t="s">
        <v>262</v>
      </c>
      <c r="B88" s="1247"/>
      <c r="C88" s="1247"/>
      <c r="D88" s="1247"/>
      <c r="E88" s="1247"/>
      <c r="F88" s="1247"/>
      <c r="G88" s="1247"/>
      <c r="H88" s="1247"/>
      <c r="I88" s="1247"/>
      <c r="J88" s="1247"/>
      <c r="K88" s="1247"/>
      <c r="L88" s="1247"/>
      <c r="M88" s="1247"/>
      <c r="N88" s="1247"/>
      <c r="O88" s="1247"/>
      <c r="P88" s="1247"/>
      <c r="Q88" s="1247"/>
      <c r="R88" s="1247"/>
      <c r="S88" s="1247"/>
      <c r="T88" s="1247"/>
      <c r="U88" s="1247"/>
      <c r="V88" s="1247"/>
      <c r="W88" s="1247"/>
      <c r="X88" s="1247"/>
      <c r="Y88" s="1247"/>
      <c r="Z88" s="1247"/>
      <c r="AA88" s="1247"/>
      <c r="AB88" s="1247"/>
      <c r="AC88" s="1247"/>
      <c r="AD88" s="1247"/>
      <c r="AE88" s="1247"/>
      <c r="AF88" s="1247"/>
      <c r="AG88" s="1247"/>
      <c r="AH88" s="1247"/>
      <c r="AI88" s="1247"/>
      <c r="AJ88" s="1247"/>
      <c r="AK88" s="1247"/>
      <c r="AL88" s="1247"/>
      <c r="AM88" s="1247"/>
      <c r="AN88" s="1247"/>
      <c r="AO88" s="1247"/>
      <c r="AP88" s="1247"/>
      <c r="AQ88" s="1247"/>
      <c r="AR88" s="1247"/>
      <c r="AS88" s="1247"/>
      <c r="AT88" s="1247"/>
      <c r="AU88" s="1247"/>
      <c r="AV88" s="1247"/>
      <c r="AW88" s="1247"/>
      <c r="AX88" s="1247"/>
      <c r="AY88" s="1248"/>
    </row>
    <row r="89" spans="1:51">
      <c r="A89" s="1243" t="s">
        <v>263</v>
      </c>
      <c r="B89" s="1244"/>
      <c r="C89" s="1244"/>
      <c r="D89" s="1244"/>
      <c r="E89" s="1244"/>
      <c r="F89" s="1244"/>
      <c r="G89" s="1244"/>
      <c r="H89" s="1244"/>
      <c r="I89" s="1244"/>
      <c r="J89" s="1244"/>
      <c r="K89" s="1244"/>
      <c r="L89" s="1244"/>
      <c r="M89" s="1244"/>
      <c r="N89" s="1244"/>
      <c r="O89" s="1244"/>
      <c r="P89" s="1244"/>
      <c r="Q89" s="1244"/>
      <c r="R89" s="1244"/>
      <c r="S89" s="1244"/>
      <c r="T89" s="1244"/>
      <c r="U89" s="1244"/>
      <c r="V89" s="1244"/>
      <c r="W89" s="1244"/>
      <c r="X89" s="1244"/>
      <c r="Y89" s="1244"/>
      <c r="Z89" s="1244"/>
      <c r="AA89" s="1244"/>
      <c r="AB89" s="1244"/>
      <c r="AC89" s="1244"/>
      <c r="AD89" s="1244"/>
      <c r="AE89" s="1244"/>
      <c r="AF89" s="1244"/>
      <c r="AG89" s="1244"/>
      <c r="AH89" s="1244"/>
      <c r="AI89" s="1244"/>
      <c r="AJ89" s="1244"/>
      <c r="AK89" s="1244"/>
      <c r="AL89" s="1244"/>
      <c r="AM89" s="1244"/>
      <c r="AN89" s="1244"/>
      <c r="AO89" s="1244"/>
      <c r="AP89" s="1244"/>
      <c r="AQ89" s="1244"/>
      <c r="AR89" s="1244"/>
      <c r="AS89" s="1244"/>
      <c r="AT89" s="1244"/>
      <c r="AU89" s="1244"/>
      <c r="AV89" s="1244"/>
      <c r="AW89" s="1244"/>
      <c r="AX89" s="1244"/>
      <c r="AY89" s="1245"/>
    </row>
    <row r="90" spans="1:51">
      <c r="A90" s="1246" t="s">
        <v>264</v>
      </c>
      <c r="B90" s="1247"/>
      <c r="C90" s="1247"/>
      <c r="D90" s="1247"/>
      <c r="E90" s="1247"/>
      <c r="F90" s="1247"/>
      <c r="G90" s="1247"/>
      <c r="H90" s="1247"/>
      <c r="I90" s="1247"/>
      <c r="J90" s="1247"/>
      <c r="K90" s="1247"/>
      <c r="L90" s="1247"/>
      <c r="M90" s="1247"/>
      <c r="N90" s="1247"/>
      <c r="O90" s="1247"/>
      <c r="P90" s="1247"/>
      <c r="Q90" s="1247"/>
      <c r="R90" s="1247"/>
      <c r="S90" s="1247"/>
      <c r="T90" s="1247"/>
      <c r="U90" s="1247"/>
      <c r="V90" s="1247"/>
      <c r="W90" s="1247"/>
      <c r="X90" s="1247"/>
      <c r="Y90" s="1247"/>
      <c r="Z90" s="1247"/>
      <c r="AA90" s="1247"/>
      <c r="AB90" s="1247"/>
      <c r="AC90" s="1247"/>
      <c r="AD90" s="1247"/>
      <c r="AE90" s="1247"/>
      <c r="AF90" s="1247"/>
      <c r="AG90" s="1247"/>
      <c r="AH90" s="1247"/>
      <c r="AI90" s="1247"/>
      <c r="AJ90" s="1247"/>
      <c r="AK90" s="1247"/>
      <c r="AL90" s="1247"/>
      <c r="AM90" s="1247"/>
      <c r="AN90" s="1247"/>
      <c r="AO90" s="1247"/>
      <c r="AP90" s="1247"/>
      <c r="AQ90" s="1247"/>
      <c r="AR90" s="1247"/>
      <c r="AS90" s="1247"/>
      <c r="AT90" s="1247"/>
      <c r="AU90" s="1247"/>
      <c r="AV90" s="1247"/>
      <c r="AW90" s="1247"/>
      <c r="AX90" s="1247"/>
      <c r="AY90" s="1248"/>
    </row>
    <row r="91" spans="1:51">
      <c r="A91" s="1243" t="s">
        <v>265</v>
      </c>
      <c r="B91" s="1244"/>
      <c r="C91" s="1244"/>
      <c r="D91" s="1244"/>
      <c r="E91" s="1244"/>
      <c r="F91" s="1244"/>
      <c r="G91" s="1244"/>
      <c r="H91" s="1244"/>
      <c r="I91" s="1244"/>
      <c r="J91" s="1244"/>
      <c r="K91" s="1244"/>
      <c r="L91" s="1244"/>
      <c r="M91" s="1244"/>
      <c r="N91" s="1244"/>
      <c r="O91" s="1244"/>
      <c r="P91" s="1244"/>
      <c r="Q91" s="1244"/>
      <c r="R91" s="1244"/>
      <c r="S91" s="1244"/>
      <c r="T91" s="1244"/>
      <c r="U91" s="1244"/>
      <c r="V91" s="1244"/>
      <c r="W91" s="1244"/>
      <c r="X91" s="1244"/>
      <c r="Y91" s="1244"/>
      <c r="Z91" s="1244"/>
      <c r="AA91" s="1244"/>
      <c r="AB91" s="1244"/>
      <c r="AC91" s="1244"/>
      <c r="AD91" s="1244"/>
      <c r="AE91" s="1244"/>
      <c r="AF91" s="1244"/>
      <c r="AG91" s="1244"/>
      <c r="AH91" s="1244"/>
      <c r="AI91" s="1244"/>
      <c r="AJ91" s="1244"/>
      <c r="AK91" s="1244"/>
      <c r="AL91" s="1244"/>
      <c r="AM91" s="1244"/>
      <c r="AN91" s="1244"/>
      <c r="AO91" s="1244"/>
      <c r="AP91" s="1244"/>
      <c r="AQ91" s="1244"/>
      <c r="AR91" s="1244"/>
      <c r="AS91" s="1244"/>
      <c r="AT91" s="1244"/>
      <c r="AU91" s="1244"/>
      <c r="AV91" s="1244"/>
      <c r="AW91" s="1244"/>
      <c r="AX91" s="1244"/>
      <c r="AY91" s="1245"/>
    </row>
    <row r="92" spans="1:51">
      <c r="A92" s="1246" t="s">
        <v>266</v>
      </c>
      <c r="B92" s="1247"/>
      <c r="C92" s="1247"/>
      <c r="D92" s="1247"/>
      <c r="E92" s="1247"/>
      <c r="F92" s="1247"/>
      <c r="G92" s="1247"/>
      <c r="H92" s="1247"/>
      <c r="I92" s="1247"/>
      <c r="J92" s="1247"/>
      <c r="K92" s="1247"/>
      <c r="L92" s="1247"/>
      <c r="M92" s="1247"/>
      <c r="N92" s="1247"/>
      <c r="O92" s="1247"/>
      <c r="P92" s="1247"/>
      <c r="Q92" s="1247"/>
      <c r="R92" s="1247"/>
      <c r="S92" s="1247"/>
      <c r="T92" s="1247"/>
      <c r="U92" s="1247"/>
      <c r="V92" s="1247"/>
      <c r="W92" s="1247"/>
      <c r="X92" s="1247"/>
      <c r="Y92" s="1247"/>
      <c r="Z92" s="1247"/>
      <c r="AA92" s="1247"/>
      <c r="AB92" s="1247"/>
      <c r="AC92" s="1247"/>
      <c r="AD92" s="1247"/>
      <c r="AE92" s="1247"/>
      <c r="AF92" s="1247"/>
      <c r="AG92" s="1247"/>
      <c r="AH92" s="1247"/>
      <c r="AI92" s="1247"/>
      <c r="AJ92" s="1247"/>
      <c r="AK92" s="1247"/>
      <c r="AL92" s="1247"/>
      <c r="AM92" s="1247"/>
      <c r="AN92" s="1247"/>
      <c r="AO92" s="1247"/>
      <c r="AP92" s="1247"/>
      <c r="AQ92" s="1247"/>
      <c r="AR92" s="1247"/>
      <c r="AS92" s="1247"/>
      <c r="AT92" s="1247"/>
      <c r="AU92" s="1247"/>
      <c r="AV92" s="1247"/>
      <c r="AW92" s="1247"/>
      <c r="AX92" s="1247"/>
      <c r="AY92" s="1248"/>
    </row>
    <row r="93" spans="1:51">
      <c r="A93" s="1243" t="s">
        <v>267</v>
      </c>
      <c r="B93" s="1244"/>
      <c r="C93" s="1244"/>
      <c r="D93" s="1244"/>
      <c r="E93" s="1244"/>
      <c r="F93" s="1244"/>
      <c r="G93" s="1244"/>
      <c r="H93" s="1244"/>
      <c r="I93" s="1244"/>
      <c r="J93" s="1244"/>
      <c r="K93" s="1244"/>
      <c r="L93" s="1244"/>
      <c r="M93" s="1244"/>
      <c r="N93" s="1244"/>
      <c r="O93" s="1244"/>
      <c r="P93" s="1244"/>
      <c r="Q93" s="1244"/>
      <c r="R93" s="1244"/>
      <c r="S93" s="1244"/>
      <c r="T93" s="1244"/>
      <c r="U93" s="1244"/>
      <c r="V93" s="1244"/>
      <c r="W93" s="1244"/>
      <c r="X93" s="1244"/>
      <c r="Y93" s="1244"/>
      <c r="Z93" s="1244"/>
      <c r="AA93" s="1244"/>
      <c r="AB93" s="1244"/>
      <c r="AC93" s="1244"/>
      <c r="AD93" s="1244"/>
      <c r="AE93" s="1244"/>
      <c r="AF93" s="1244"/>
      <c r="AG93" s="1244"/>
      <c r="AH93" s="1244"/>
      <c r="AI93" s="1244"/>
      <c r="AJ93" s="1244"/>
      <c r="AK93" s="1244"/>
      <c r="AL93" s="1244"/>
      <c r="AM93" s="1244"/>
      <c r="AN93" s="1244"/>
      <c r="AO93" s="1244"/>
      <c r="AP93" s="1244"/>
      <c r="AQ93" s="1244"/>
      <c r="AR93" s="1244"/>
      <c r="AS93" s="1244"/>
      <c r="AT93" s="1244"/>
      <c r="AU93" s="1244"/>
      <c r="AV93" s="1244"/>
      <c r="AW93" s="1244"/>
      <c r="AX93" s="1244"/>
      <c r="AY93" s="1245"/>
    </row>
    <row r="94" spans="1:51">
      <c r="A94" s="1246" t="s">
        <v>268</v>
      </c>
      <c r="B94" s="1247"/>
      <c r="C94" s="1247"/>
      <c r="D94" s="1247"/>
      <c r="E94" s="1247"/>
      <c r="F94" s="1247"/>
      <c r="G94" s="1247"/>
      <c r="H94" s="1247"/>
      <c r="I94" s="1247"/>
      <c r="J94" s="1247"/>
      <c r="K94" s="1247"/>
      <c r="L94" s="1247"/>
      <c r="M94" s="1247"/>
      <c r="N94" s="1247"/>
      <c r="O94" s="1247"/>
      <c r="P94" s="1247"/>
      <c r="Q94" s="1247"/>
      <c r="R94" s="1247"/>
      <c r="S94" s="1247"/>
      <c r="T94" s="1247"/>
      <c r="U94" s="1247"/>
      <c r="V94" s="1247"/>
      <c r="W94" s="1247"/>
      <c r="X94" s="1247"/>
      <c r="Y94" s="1247"/>
      <c r="Z94" s="1247"/>
      <c r="AA94" s="1247"/>
      <c r="AB94" s="1247"/>
      <c r="AC94" s="1247"/>
      <c r="AD94" s="1247"/>
      <c r="AE94" s="1247"/>
      <c r="AF94" s="1247"/>
      <c r="AG94" s="1247"/>
      <c r="AH94" s="1247"/>
      <c r="AI94" s="1247"/>
      <c r="AJ94" s="1247"/>
      <c r="AK94" s="1247"/>
      <c r="AL94" s="1247"/>
      <c r="AM94" s="1247"/>
      <c r="AN94" s="1247"/>
      <c r="AO94" s="1247"/>
      <c r="AP94" s="1247"/>
      <c r="AQ94" s="1247"/>
      <c r="AR94" s="1247"/>
      <c r="AS94" s="1247"/>
      <c r="AT94" s="1247"/>
      <c r="AU94" s="1247"/>
      <c r="AV94" s="1247"/>
      <c r="AW94" s="1247"/>
      <c r="AX94" s="1247"/>
      <c r="AY94" s="1248"/>
    </row>
    <row r="95" spans="1:51">
      <c r="A95" s="1243" t="s">
        <v>269</v>
      </c>
      <c r="B95" s="1244"/>
      <c r="C95" s="1244"/>
      <c r="D95" s="1244"/>
      <c r="E95" s="1244"/>
      <c r="F95" s="1244"/>
      <c r="G95" s="1244"/>
      <c r="H95" s="1244"/>
      <c r="I95" s="1244"/>
      <c r="J95" s="1244"/>
      <c r="K95" s="1244"/>
      <c r="L95" s="1244"/>
      <c r="M95" s="1244"/>
      <c r="N95" s="1244"/>
      <c r="O95" s="1244"/>
      <c r="P95" s="1244"/>
      <c r="Q95" s="1244"/>
      <c r="R95" s="1244"/>
      <c r="S95" s="1244"/>
      <c r="T95" s="1244"/>
      <c r="U95" s="1244"/>
      <c r="V95" s="1244"/>
      <c r="W95" s="1244"/>
      <c r="X95" s="1244"/>
      <c r="Y95" s="1244"/>
      <c r="Z95" s="1244"/>
      <c r="AA95" s="1244"/>
      <c r="AB95" s="1244"/>
      <c r="AC95" s="1244"/>
      <c r="AD95" s="1244"/>
      <c r="AE95" s="1244"/>
      <c r="AF95" s="1244"/>
      <c r="AG95" s="1244"/>
      <c r="AH95" s="1244"/>
      <c r="AI95" s="1244"/>
      <c r="AJ95" s="1244"/>
      <c r="AK95" s="1244"/>
      <c r="AL95" s="1244"/>
      <c r="AM95" s="1244"/>
      <c r="AN95" s="1244"/>
      <c r="AO95" s="1244"/>
      <c r="AP95" s="1244"/>
      <c r="AQ95" s="1244"/>
      <c r="AR95" s="1244"/>
      <c r="AS95" s="1244"/>
      <c r="AT95" s="1244"/>
      <c r="AU95" s="1244"/>
      <c r="AV95" s="1244"/>
      <c r="AW95" s="1244"/>
      <c r="AX95" s="1244"/>
      <c r="AY95" s="1245"/>
    </row>
    <row r="96" spans="1:51">
      <c r="A96" s="1246" t="s">
        <v>270</v>
      </c>
      <c r="B96" s="1247"/>
      <c r="C96" s="1247"/>
      <c r="D96" s="1247"/>
      <c r="E96" s="1247"/>
      <c r="F96" s="1247"/>
      <c r="G96" s="1247"/>
      <c r="H96" s="1247"/>
      <c r="I96" s="1247"/>
      <c r="J96" s="1247"/>
      <c r="K96" s="1247"/>
      <c r="L96" s="1247"/>
      <c r="M96" s="1247"/>
      <c r="N96" s="1247"/>
      <c r="O96" s="1247"/>
      <c r="P96" s="1247"/>
      <c r="Q96" s="1247"/>
      <c r="R96" s="1247"/>
      <c r="S96" s="1247"/>
      <c r="T96" s="1247"/>
      <c r="U96" s="1247"/>
      <c r="V96" s="1247"/>
      <c r="W96" s="1247"/>
      <c r="X96" s="1247"/>
      <c r="Y96" s="1247"/>
      <c r="Z96" s="1247"/>
      <c r="AA96" s="1247"/>
      <c r="AB96" s="1247"/>
      <c r="AC96" s="1247"/>
      <c r="AD96" s="1247"/>
      <c r="AE96" s="1247"/>
      <c r="AF96" s="1247"/>
      <c r="AG96" s="1247"/>
      <c r="AH96" s="1247"/>
      <c r="AI96" s="1247"/>
      <c r="AJ96" s="1247"/>
      <c r="AK96" s="1247"/>
      <c r="AL96" s="1247"/>
      <c r="AM96" s="1247"/>
      <c r="AN96" s="1247"/>
      <c r="AO96" s="1247"/>
      <c r="AP96" s="1247"/>
      <c r="AQ96" s="1247"/>
      <c r="AR96" s="1247"/>
      <c r="AS96" s="1247"/>
      <c r="AT96" s="1247"/>
      <c r="AU96" s="1247"/>
      <c r="AV96" s="1247"/>
      <c r="AW96" s="1247"/>
      <c r="AX96" s="1247"/>
      <c r="AY96" s="1248"/>
    </row>
    <row r="97" spans="1:51">
      <c r="A97" s="1243" t="s">
        <v>271</v>
      </c>
      <c r="B97" s="1244"/>
      <c r="C97" s="1244"/>
      <c r="D97" s="1244"/>
      <c r="E97" s="1244"/>
      <c r="F97" s="1244"/>
      <c r="G97" s="1244"/>
      <c r="H97" s="1244"/>
      <c r="I97" s="1244"/>
      <c r="J97" s="1244"/>
      <c r="K97" s="1244"/>
      <c r="L97" s="1244"/>
      <c r="M97" s="1244"/>
      <c r="N97" s="1244"/>
      <c r="O97" s="1244"/>
      <c r="P97" s="1244"/>
      <c r="Q97" s="1244"/>
      <c r="R97" s="1244"/>
      <c r="S97" s="1244"/>
      <c r="T97" s="1244"/>
      <c r="U97" s="1244"/>
      <c r="V97" s="1244"/>
      <c r="W97" s="1244"/>
      <c r="X97" s="1244"/>
      <c r="Y97" s="1244"/>
      <c r="Z97" s="1244"/>
      <c r="AA97" s="1244"/>
      <c r="AB97" s="1244"/>
      <c r="AC97" s="1244"/>
      <c r="AD97" s="1244"/>
      <c r="AE97" s="1244"/>
      <c r="AF97" s="1244"/>
      <c r="AG97" s="1244"/>
      <c r="AH97" s="1244"/>
      <c r="AI97" s="1244"/>
      <c r="AJ97" s="1244"/>
      <c r="AK97" s="1244"/>
      <c r="AL97" s="1244"/>
      <c r="AM97" s="1244"/>
      <c r="AN97" s="1244"/>
      <c r="AO97" s="1244"/>
      <c r="AP97" s="1244"/>
      <c r="AQ97" s="1244"/>
      <c r="AR97" s="1244"/>
      <c r="AS97" s="1244"/>
      <c r="AT97" s="1244"/>
      <c r="AU97" s="1244"/>
      <c r="AV97" s="1244"/>
      <c r="AW97" s="1244"/>
      <c r="AX97" s="1244"/>
      <c r="AY97" s="1245"/>
    </row>
    <row r="98" spans="1:51">
      <c r="A98" s="1246" t="s">
        <v>272</v>
      </c>
      <c r="B98" s="1247"/>
      <c r="C98" s="1247"/>
      <c r="D98" s="1247"/>
      <c r="E98" s="1247"/>
      <c r="F98" s="1247"/>
      <c r="G98" s="1247"/>
      <c r="H98" s="1247"/>
      <c r="I98" s="1247"/>
      <c r="J98" s="1247"/>
      <c r="K98" s="1247"/>
      <c r="L98" s="1247"/>
      <c r="M98" s="1247"/>
      <c r="N98" s="1247"/>
      <c r="O98" s="1247"/>
      <c r="P98" s="1247"/>
      <c r="Q98" s="1247"/>
      <c r="R98" s="1247"/>
      <c r="S98" s="1247"/>
      <c r="T98" s="1247"/>
      <c r="U98" s="1247"/>
      <c r="V98" s="1247"/>
      <c r="W98" s="1247"/>
      <c r="X98" s="1247"/>
      <c r="Y98" s="1247"/>
      <c r="Z98" s="1247"/>
      <c r="AA98" s="1247"/>
      <c r="AB98" s="1247"/>
      <c r="AC98" s="1247"/>
      <c r="AD98" s="1247"/>
      <c r="AE98" s="1247"/>
      <c r="AF98" s="1247"/>
      <c r="AG98" s="1247"/>
      <c r="AH98" s="1247"/>
      <c r="AI98" s="1247"/>
      <c r="AJ98" s="1247"/>
      <c r="AK98" s="1247"/>
      <c r="AL98" s="1247"/>
      <c r="AM98" s="1247"/>
      <c r="AN98" s="1247"/>
      <c r="AO98" s="1247"/>
      <c r="AP98" s="1247"/>
      <c r="AQ98" s="1247"/>
      <c r="AR98" s="1247"/>
      <c r="AS98" s="1247"/>
      <c r="AT98" s="1247"/>
      <c r="AU98" s="1247"/>
      <c r="AV98" s="1247"/>
      <c r="AW98" s="1247"/>
      <c r="AX98" s="1247"/>
      <c r="AY98" s="1248"/>
    </row>
    <row r="99" spans="1:51">
      <c r="A99" s="1243" t="s">
        <v>273</v>
      </c>
      <c r="B99" s="1244"/>
      <c r="C99" s="1244"/>
      <c r="D99" s="1244"/>
      <c r="E99" s="1244"/>
      <c r="F99" s="1244"/>
      <c r="G99" s="1244"/>
      <c r="H99" s="1244"/>
      <c r="I99" s="1244"/>
      <c r="J99" s="1244"/>
      <c r="K99" s="1244"/>
      <c r="L99" s="1244"/>
      <c r="M99" s="1244"/>
      <c r="N99" s="1244"/>
      <c r="O99" s="1244"/>
      <c r="P99" s="1244"/>
      <c r="Q99" s="1244"/>
      <c r="R99" s="1244"/>
      <c r="S99" s="1244"/>
      <c r="T99" s="1244"/>
      <c r="U99" s="1244"/>
      <c r="V99" s="1244"/>
      <c r="W99" s="1244"/>
      <c r="X99" s="1244"/>
      <c r="Y99" s="1244"/>
      <c r="Z99" s="1244"/>
      <c r="AA99" s="1244"/>
      <c r="AB99" s="1244"/>
      <c r="AC99" s="1244"/>
      <c r="AD99" s="1244"/>
      <c r="AE99" s="1244"/>
      <c r="AF99" s="1244"/>
      <c r="AG99" s="1244"/>
      <c r="AH99" s="1244"/>
      <c r="AI99" s="1244"/>
      <c r="AJ99" s="1244"/>
      <c r="AK99" s="1244"/>
      <c r="AL99" s="1244"/>
      <c r="AM99" s="1244"/>
      <c r="AN99" s="1244"/>
      <c r="AO99" s="1244"/>
      <c r="AP99" s="1244"/>
      <c r="AQ99" s="1244"/>
      <c r="AR99" s="1244"/>
      <c r="AS99" s="1244"/>
      <c r="AT99" s="1244"/>
      <c r="AU99" s="1244"/>
      <c r="AV99" s="1244"/>
      <c r="AW99" s="1244"/>
      <c r="AX99" s="1244"/>
      <c r="AY99" s="1245"/>
    </row>
    <row r="100" spans="1:51">
      <c r="A100" s="1246" t="s">
        <v>274</v>
      </c>
      <c r="B100" s="1247"/>
      <c r="C100" s="1247"/>
      <c r="D100" s="1247"/>
      <c r="E100" s="1247"/>
      <c r="F100" s="1247"/>
      <c r="G100" s="1247"/>
      <c r="H100" s="1247"/>
      <c r="I100" s="1247"/>
      <c r="J100" s="1247"/>
      <c r="K100" s="1247"/>
      <c r="L100" s="1247"/>
      <c r="M100" s="1247"/>
      <c r="N100" s="1247"/>
      <c r="O100" s="1247"/>
      <c r="P100" s="1247"/>
      <c r="Q100" s="1247"/>
      <c r="R100" s="1247"/>
      <c r="S100" s="1247"/>
      <c r="T100" s="1247"/>
      <c r="U100" s="1247"/>
      <c r="V100" s="1247"/>
      <c r="W100" s="1247"/>
      <c r="X100" s="1247"/>
      <c r="Y100" s="1247"/>
      <c r="Z100" s="1247"/>
      <c r="AA100" s="1247"/>
      <c r="AB100" s="1247"/>
      <c r="AC100" s="1247"/>
      <c r="AD100" s="1247"/>
      <c r="AE100" s="1247"/>
      <c r="AF100" s="1247"/>
      <c r="AG100" s="1247"/>
      <c r="AH100" s="1247"/>
      <c r="AI100" s="1247"/>
      <c r="AJ100" s="1247"/>
      <c r="AK100" s="1247"/>
      <c r="AL100" s="1247"/>
      <c r="AM100" s="1247"/>
      <c r="AN100" s="1247"/>
      <c r="AO100" s="1247"/>
      <c r="AP100" s="1247"/>
      <c r="AQ100" s="1247"/>
      <c r="AR100" s="1247"/>
      <c r="AS100" s="1247"/>
      <c r="AT100" s="1247"/>
      <c r="AU100" s="1247"/>
      <c r="AV100" s="1247"/>
      <c r="AW100" s="1247"/>
      <c r="AX100" s="1247"/>
      <c r="AY100" s="1248"/>
    </row>
    <row r="101" spans="1:51">
      <c r="A101" s="1243" t="s">
        <v>275</v>
      </c>
      <c r="B101" s="1244"/>
      <c r="C101" s="1244"/>
      <c r="D101" s="1244"/>
      <c r="E101" s="1244"/>
      <c r="F101" s="1244"/>
      <c r="G101" s="1244"/>
      <c r="H101" s="1244"/>
      <c r="I101" s="1244"/>
      <c r="J101" s="1244"/>
      <c r="K101" s="1244"/>
      <c r="L101" s="1244"/>
      <c r="M101" s="1244"/>
      <c r="N101" s="1244"/>
      <c r="O101" s="1244"/>
      <c r="P101" s="1244"/>
      <c r="Q101" s="1244"/>
      <c r="R101" s="1244"/>
      <c r="S101" s="1244"/>
      <c r="T101" s="1244"/>
      <c r="U101" s="1244"/>
      <c r="V101" s="1244"/>
      <c r="W101" s="1244"/>
      <c r="X101" s="1244"/>
      <c r="Y101" s="1244"/>
      <c r="Z101" s="1244"/>
      <c r="AA101" s="1244"/>
      <c r="AB101" s="1244"/>
      <c r="AC101" s="1244"/>
      <c r="AD101" s="1244"/>
      <c r="AE101" s="1244"/>
      <c r="AF101" s="1244"/>
      <c r="AG101" s="1244"/>
      <c r="AH101" s="1244"/>
      <c r="AI101" s="1244"/>
      <c r="AJ101" s="1244"/>
      <c r="AK101" s="1244"/>
      <c r="AL101" s="1244"/>
      <c r="AM101" s="1244"/>
      <c r="AN101" s="1244"/>
      <c r="AO101" s="1244"/>
      <c r="AP101" s="1244"/>
      <c r="AQ101" s="1244"/>
      <c r="AR101" s="1244"/>
      <c r="AS101" s="1244"/>
      <c r="AT101" s="1244"/>
      <c r="AU101" s="1244"/>
      <c r="AV101" s="1244"/>
      <c r="AW101" s="1244"/>
      <c r="AX101" s="1244"/>
      <c r="AY101" s="1245"/>
    </row>
    <row r="102" spans="1:51">
      <c r="A102" s="1246" t="s">
        <v>276</v>
      </c>
      <c r="B102" s="1247"/>
      <c r="C102" s="1247"/>
      <c r="D102" s="1247"/>
      <c r="E102" s="1247"/>
      <c r="F102" s="1247"/>
      <c r="G102" s="1247"/>
      <c r="H102" s="1247"/>
      <c r="I102" s="1247"/>
      <c r="J102" s="1247"/>
      <c r="K102" s="1247"/>
      <c r="L102" s="1247"/>
      <c r="M102" s="1247"/>
      <c r="N102" s="1247"/>
      <c r="O102" s="1247"/>
      <c r="P102" s="1247"/>
      <c r="Q102" s="1247"/>
      <c r="R102" s="1247"/>
      <c r="S102" s="1247"/>
      <c r="T102" s="1247"/>
      <c r="U102" s="1247"/>
      <c r="V102" s="1247"/>
      <c r="W102" s="1247"/>
      <c r="X102" s="1247"/>
      <c r="Y102" s="1247"/>
      <c r="Z102" s="1247"/>
      <c r="AA102" s="1247"/>
      <c r="AB102" s="1247"/>
      <c r="AC102" s="1247"/>
      <c r="AD102" s="1247"/>
      <c r="AE102" s="1247"/>
      <c r="AF102" s="1247"/>
      <c r="AG102" s="1247"/>
      <c r="AH102" s="1247"/>
      <c r="AI102" s="1247"/>
      <c r="AJ102" s="1247"/>
      <c r="AK102" s="1247"/>
      <c r="AL102" s="1247"/>
      <c r="AM102" s="1247"/>
      <c r="AN102" s="1247"/>
      <c r="AO102" s="1247"/>
      <c r="AP102" s="1247"/>
      <c r="AQ102" s="1247"/>
      <c r="AR102" s="1247"/>
      <c r="AS102" s="1247"/>
      <c r="AT102" s="1247"/>
      <c r="AU102" s="1247"/>
      <c r="AV102" s="1247"/>
      <c r="AW102" s="1247"/>
      <c r="AX102" s="1247"/>
      <c r="AY102" s="1248"/>
    </row>
    <row r="103" spans="1:51">
      <c r="A103" s="1243" t="s">
        <v>277</v>
      </c>
      <c r="B103" s="1244"/>
      <c r="C103" s="1244"/>
      <c r="D103" s="1244"/>
      <c r="E103" s="1244"/>
      <c r="F103" s="1244"/>
      <c r="G103" s="1244"/>
      <c r="H103" s="1244"/>
      <c r="I103" s="1244"/>
      <c r="J103" s="1244"/>
      <c r="K103" s="1244"/>
      <c r="L103" s="1244"/>
      <c r="M103" s="1244"/>
      <c r="N103" s="1244"/>
      <c r="O103" s="1244"/>
      <c r="P103" s="1244"/>
      <c r="Q103" s="1244"/>
      <c r="R103" s="1244"/>
      <c r="S103" s="1244"/>
      <c r="T103" s="1244"/>
      <c r="U103" s="1244"/>
      <c r="V103" s="1244"/>
      <c r="W103" s="1244"/>
      <c r="X103" s="1244"/>
      <c r="Y103" s="1244"/>
      <c r="Z103" s="1244"/>
      <c r="AA103" s="1244"/>
      <c r="AB103" s="1244"/>
      <c r="AC103" s="1244"/>
      <c r="AD103" s="1244"/>
      <c r="AE103" s="1244"/>
      <c r="AF103" s="1244"/>
      <c r="AG103" s="1244"/>
      <c r="AH103" s="1244"/>
      <c r="AI103" s="1244"/>
      <c r="AJ103" s="1244"/>
      <c r="AK103" s="1244"/>
      <c r="AL103" s="1244"/>
      <c r="AM103" s="1244"/>
      <c r="AN103" s="1244"/>
      <c r="AO103" s="1244"/>
      <c r="AP103" s="1244"/>
      <c r="AQ103" s="1244"/>
      <c r="AR103" s="1244"/>
      <c r="AS103" s="1244"/>
      <c r="AT103" s="1244"/>
      <c r="AU103" s="1244"/>
      <c r="AV103" s="1244"/>
      <c r="AW103" s="1244"/>
      <c r="AX103" s="1244"/>
      <c r="AY103" s="1245"/>
    </row>
    <row r="104" spans="1:51">
      <c r="A104" s="1246" t="s">
        <v>278</v>
      </c>
      <c r="B104" s="1247"/>
      <c r="C104" s="1247"/>
      <c r="D104" s="1247"/>
      <c r="E104" s="1247"/>
      <c r="F104" s="1247"/>
      <c r="G104" s="1247"/>
      <c r="H104" s="1247"/>
      <c r="I104" s="1247"/>
      <c r="J104" s="1247"/>
      <c r="K104" s="1247"/>
      <c r="L104" s="1247"/>
      <c r="M104" s="1247"/>
      <c r="N104" s="1247"/>
      <c r="O104" s="1247"/>
      <c r="P104" s="1247"/>
      <c r="Q104" s="1247"/>
      <c r="R104" s="1247"/>
      <c r="S104" s="1247"/>
      <c r="T104" s="1247"/>
      <c r="U104" s="1247"/>
      <c r="V104" s="1247"/>
      <c r="W104" s="1247"/>
      <c r="X104" s="1247"/>
      <c r="Y104" s="1247"/>
      <c r="Z104" s="1247"/>
      <c r="AA104" s="1247"/>
      <c r="AB104" s="1247"/>
      <c r="AC104" s="1247"/>
      <c r="AD104" s="1247"/>
      <c r="AE104" s="1247"/>
      <c r="AF104" s="1247"/>
      <c r="AG104" s="1247"/>
      <c r="AH104" s="1247"/>
      <c r="AI104" s="1247"/>
      <c r="AJ104" s="1247"/>
      <c r="AK104" s="1247"/>
      <c r="AL104" s="1247"/>
      <c r="AM104" s="1247"/>
      <c r="AN104" s="1247"/>
      <c r="AO104" s="1247"/>
      <c r="AP104" s="1247"/>
      <c r="AQ104" s="1247"/>
      <c r="AR104" s="1247"/>
      <c r="AS104" s="1247"/>
      <c r="AT104" s="1247"/>
      <c r="AU104" s="1247"/>
      <c r="AV104" s="1247"/>
      <c r="AW104" s="1247"/>
      <c r="AX104" s="1247"/>
      <c r="AY104" s="1248"/>
    </row>
    <row r="105" spans="1:51">
      <c r="A105" s="1243" t="s">
        <v>279</v>
      </c>
      <c r="B105" s="1244"/>
      <c r="C105" s="1244"/>
      <c r="D105" s="1244"/>
      <c r="E105" s="1244"/>
      <c r="F105" s="1244"/>
      <c r="G105" s="1244"/>
      <c r="H105" s="1244"/>
      <c r="I105" s="1244"/>
      <c r="J105" s="1244"/>
      <c r="K105" s="1244"/>
      <c r="L105" s="1244"/>
      <c r="M105" s="1244"/>
      <c r="N105" s="1244"/>
      <c r="O105" s="1244"/>
      <c r="P105" s="1244"/>
      <c r="Q105" s="1244"/>
      <c r="R105" s="1244"/>
      <c r="S105" s="1244"/>
      <c r="T105" s="1244"/>
      <c r="U105" s="1244"/>
      <c r="V105" s="1244"/>
      <c r="W105" s="1244"/>
      <c r="X105" s="1244"/>
      <c r="Y105" s="1244"/>
      <c r="Z105" s="1244"/>
      <c r="AA105" s="1244"/>
      <c r="AB105" s="1244"/>
      <c r="AC105" s="1244"/>
      <c r="AD105" s="1244"/>
      <c r="AE105" s="1244"/>
      <c r="AF105" s="1244"/>
      <c r="AG105" s="1244"/>
      <c r="AH105" s="1244"/>
      <c r="AI105" s="1244"/>
      <c r="AJ105" s="1244"/>
      <c r="AK105" s="1244"/>
      <c r="AL105" s="1244"/>
      <c r="AM105" s="1244"/>
      <c r="AN105" s="1244"/>
      <c r="AO105" s="1244"/>
      <c r="AP105" s="1244"/>
      <c r="AQ105" s="1244"/>
      <c r="AR105" s="1244"/>
      <c r="AS105" s="1244"/>
      <c r="AT105" s="1244"/>
      <c r="AU105" s="1244"/>
      <c r="AV105" s="1244"/>
      <c r="AW105" s="1244"/>
      <c r="AX105" s="1244"/>
      <c r="AY105" s="1245"/>
    </row>
    <row r="106" spans="1:51">
      <c r="A106" s="1246" t="s">
        <v>280</v>
      </c>
      <c r="B106" s="1247"/>
      <c r="C106" s="1247"/>
      <c r="D106" s="1247"/>
      <c r="E106" s="1247"/>
      <c r="F106" s="1247"/>
      <c r="G106" s="1247"/>
      <c r="H106" s="1247"/>
      <c r="I106" s="1247"/>
      <c r="J106" s="1247"/>
      <c r="K106" s="1247"/>
      <c r="L106" s="1247"/>
      <c r="M106" s="1247"/>
      <c r="N106" s="1247"/>
      <c r="O106" s="1247"/>
      <c r="P106" s="1247"/>
      <c r="Q106" s="1247"/>
      <c r="R106" s="1247"/>
      <c r="S106" s="1247"/>
      <c r="T106" s="1247"/>
      <c r="U106" s="1247"/>
      <c r="V106" s="1247"/>
      <c r="W106" s="1247"/>
      <c r="X106" s="1247"/>
      <c r="Y106" s="1247"/>
      <c r="Z106" s="1247"/>
      <c r="AA106" s="1247"/>
      <c r="AB106" s="1247"/>
      <c r="AC106" s="1247"/>
      <c r="AD106" s="1247"/>
      <c r="AE106" s="1247"/>
      <c r="AF106" s="1247"/>
      <c r="AG106" s="1247"/>
      <c r="AH106" s="1247"/>
      <c r="AI106" s="1247"/>
      <c r="AJ106" s="1247"/>
      <c r="AK106" s="1247"/>
      <c r="AL106" s="1247"/>
      <c r="AM106" s="1247"/>
      <c r="AN106" s="1247"/>
      <c r="AO106" s="1247"/>
      <c r="AP106" s="1247"/>
      <c r="AQ106" s="1247"/>
      <c r="AR106" s="1247"/>
      <c r="AS106" s="1247"/>
      <c r="AT106" s="1247"/>
      <c r="AU106" s="1247"/>
      <c r="AV106" s="1247"/>
      <c r="AW106" s="1247"/>
      <c r="AX106" s="1247"/>
      <c r="AY106" s="1248"/>
    </row>
    <row r="107" spans="1:51">
      <c r="A107" s="1249" t="s">
        <v>281</v>
      </c>
      <c r="B107" s="1250"/>
      <c r="C107" s="1250"/>
      <c r="D107" s="1250"/>
      <c r="E107" s="1250"/>
      <c r="F107" s="1250"/>
      <c r="G107" s="1250"/>
      <c r="H107" s="1250"/>
      <c r="I107" s="1250"/>
      <c r="J107" s="1250"/>
      <c r="K107" s="1250"/>
      <c r="L107" s="1250"/>
      <c r="M107" s="1250"/>
      <c r="N107" s="1250"/>
      <c r="O107" s="1250"/>
      <c r="P107" s="1250"/>
      <c r="Q107" s="1250"/>
      <c r="R107" s="1250"/>
      <c r="S107" s="1250"/>
      <c r="T107" s="1250"/>
      <c r="U107" s="1250"/>
      <c r="V107" s="1250"/>
      <c r="W107" s="1250"/>
      <c r="X107" s="1250"/>
      <c r="Y107" s="1250"/>
      <c r="Z107" s="1250"/>
      <c r="AA107" s="1250"/>
      <c r="AB107" s="1250"/>
      <c r="AC107" s="1250"/>
      <c r="AD107" s="1250"/>
      <c r="AE107" s="1250"/>
      <c r="AF107" s="1250"/>
      <c r="AG107" s="1250"/>
      <c r="AH107" s="1250"/>
      <c r="AI107" s="1250"/>
      <c r="AJ107" s="1250"/>
      <c r="AK107" s="1250"/>
      <c r="AL107" s="1250"/>
      <c r="AM107" s="1250"/>
      <c r="AN107" s="1250"/>
      <c r="AO107" s="1250"/>
      <c r="AP107" s="1250"/>
      <c r="AQ107" s="1250"/>
      <c r="AR107" s="1250"/>
      <c r="AS107" s="1250"/>
      <c r="AT107" s="1250"/>
      <c r="AU107" s="1250"/>
      <c r="AV107" s="1250"/>
      <c r="AW107" s="1250"/>
      <c r="AX107" s="1250"/>
      <c r="AY107" s="1251"/>
    </row>
    <row r="108" spans="1:51" ht="15" thickBot="1">
      <c r="A108" s="1252" t="s">
        <v>282</v>
      </c>
      <c r="B108" s="1253"/>
      <c r="C108" s="1253"/>
      <c r="D108" s="1253"/>
      <c r="E108" s="1253"/>
      <c r="F108" s="1253"/>
      <c r="G108" s="1253"/>
      <c r="H108" s="1253"/>
      <c r="I108" s="1253"/>
      <c r="J108" s="1253"/>
      <c r="K108" s="1253"/>
      <c r="L108" s="1253"/>
      <c r="M108" s="1253"/>
      <c r="N108" s="1253"/>
      <c r="O108" s="1253"/>
      <c r="P108" s="1253"/>
      <c r="Q108" s="1253"/>
      <c r="R108" s="1253"/>
      <c r="S108" s="1253"/>
      <c r="T108" s="1253"/>
      <c r="U108" s="1253"/>
      <c r="V108" s="1253"/>
      <c r="W108" s="1253"/>
      <c r="X108" s="1253"/>
      <c r="Y108" s="1253"/>
      <c r="Z108" s="1253"/>
      <c r="AA108" s="1253"/>
      <c r="AB108" s="1253"/>
      <c r="AC108" s="1253"/>
      <c r="AD108" s="1253"/>
      <c r="AE108" s="1253"/>
      <c r="AF108" s="1253"/>
      <c r="AG108" s="1253"/>
      <c r="AH108" s="1253"/>
      <c r="AI108" s="1253"/>
      <c r="AJ108" s="1253"/>
      <c r="AK108" s="1253"/>
      <c r="AL108" s="1253"/>
      <c r="AM108" s="1253"/>
      <c r="AN108" s="1253"/>
      <c r="AO108" s="1253"/>
      <c r="AP108" s="1253"/>
      <c r="AQ108" s="1253"/>
      <c r="AR108" s="1253"/>
      <c r="AS108" s="1253"/>
      <c r="AT108" s="1253"/>
      <c r="AU108" s="1253"/>
      <c r="AV108" s="1253"/>
      <c r="AW108" s="1253"/>
      <c r="AX108" s="1253"/>
      <c r="AY108" s="1254"/>
    </row>
  </sheetData>
  <sheetProtection algorithmName="SHA-512" hashValue="INLzfvJsGX0DKgX/fiGOUVfl7c4kM4O5Q8sMv5c/l0tBs6bnW1Bna2P1fsMyr7my5G9LXsz3ye4g53APQOd1hA==" saltValue="wdlhnDoW+FVkRQFvH+gYp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33" priority="4">
      <formula>OR($B$8="Liquid", $B$8="Gas")</formula>
    </cfRule>
  </conditionalFormatting>
  <conditionalFormatting sqref="B52:F61">
    <cfRule type="expression" dxfId="32"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5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pageSetUpPr autoPageBreaks="0"/>
  </sheetPr>
  <dimension ref="A1:AK136"/>
  <sheetViews>
    <sheetView zoomScaleNormal="100" workbookViewId="0">
      <selection sqref="A1:C1"/>
    </sheetView>
  </sheetViews>
  <sheetFormatPr defaultColWidth="8.84375" defaultRowHeight="14.6"/>
  <cols>
    <col min="1" max="1" width="12.53515625" bestFit="1" customWidth="1"/>
    <col min="2" max="2" width="19.4609375" bestFit="1" customWidth="1"/>
    <col min="3" max="3" width="10.53515625" customWidth="1"/>
    <col min="4" max="4" width="43" customWidth="1"/>
    <col min="5" max="6" width="8.53515625" style="10"/>
    <col min="7" max="7" width="115.53515625" style="10" customWidth="1"/>
    <col min="8" max="37" width="8.53515625" style="10"/>
  </cols>
  <sheetData>
    <row r="1" spans="1:7" s="10" customFormat="1" ht="15.45" thickTop="1" thickBot="1">
      <c r="A1" s="1287" t="str">
        <f>template_label_unit_of_measurement_converter</f>
        <v>UNIT OF MEASUREMENT CONVERTER</v>
      </c>
      <c r="B1" s="1288"/>
      <c r="C1" s="1289"/>
    </row>
    <row r="2" spans="1:7" s="10" customFormat="1" ht="15" thickTop="1">
      <c r="A2" s="18"/>
      <c r="B2" s="18"/>
      <c r="C2" s="18"/>
    </row>
    <row r="3" spans="1:7" ht="15" thickBot="1">
      <c r="A3" s="10"/>
      <c r="B3" s="10"/>
      <c r="C3" s="10"/>
      <c r="D3" s="10"/>
    </row>
    <row r="4" spans="1:7" ht="15" thickBot="1">
      <c r="A4" s="1290" t="str">
        <f>template_label_unit_of_measurement_of_mass_converter</f>
        <v>Unit of measurement of Mass Converter</v>
      </c>
      <c r="B4" s="1291"/>
      <c r="C4" s="1291"/>
      <c r="D4" s="1291"/>
      <c r="E4" s="43"/>
      <c r="G4" s="309" t="str">
        <f>template_label_usage_of_unit_of_measurement_converter</f>
        <v>Usage of Unit of Measurement Converter</v>
      </c>
    </row>
    <row r="5" spans="1:7">
      <c r="A5" s="1293" t="str">
        <f>template_label_from_capital_case</f>
        <v xml:space="preserve">From </v>
      </c>
      <c r="B5" s="459"/>
      <c r="C5" s="1295" t="str">
        <f>template_label_to</f>
        <v>to</v>
      </c>
      <c r="D5" s="460"/>
      <c r="G5" s="286" t="str">
        <f>template_label_steps_to_follow_for_the_mass_table</f>
        <v>Steps to follow for the Mass table:</v>
      </c>
    </row>
    <row r="6" spans="1:7" ht="15" thickBot="1">
      <c r="A6" s="1294"/>
      <c r="B6" s="461"/>
      <c r="C6" s="1296"/>
      <c r="D6" s="466"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308"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c r="G7" s="308" t="str">
        <f>template_label_2_then_in_the_cell_b6_the_amount_of_mass_can_be_inserted</f>
        <v>2. Then in the cell B6 the amount of mass can be inserted.</v>
      </c>
    </row>
    <row r="8" spans="1:7" s="10" customFormat="1" ht="15" thickBot="1">
      <c r="A8" s="1290" t="str">
        <f>template_label_unit_of_measurement_of_volume_converter</f>
        <v>Unit of measurement of Volume Converter</v>
      </c>
      <c r="B8" s="1291"/>
      <c r="C8" s="1291"/>
      <c r="D8" s="1292"/>
      <c r="G8" s="308" t="str">
        <f>template_label_3_finally_in_the_cell_d5_there_should_be_the_unit_of_measurement_of_interest</f>
        <v>3. Finally in the cell D5 there should be the unit of measurement of interest.</v>
      </c>
    </row>
    <row r="9" spans="1:7" s="10" customFormat="1">
      <c r="A9" s="1293" t="str">
        <f>template_label_from_capital_case</f>
        <v xml:space="preserve">From </v>
      </c>
      <c r="B9" s="459"/>
      <c r="C9" s="1295" t="str">
        <f>template_label_to</f>
        <v>to</v>
      </c>
      <c r="D9" s="460"/>
      <c r="G9" s="308" t="str">
        <f>template_label_4_the_outcome_of_the_conversion_will_be_displayed_in_the_cell_d6</f>
        <v>4. The outcome of the conversion will be displayed in the cell D6.</v>
      </c>
    </row>
    <row r="10" spans="1:7" s="10" customFormat="1" ht="15" thickBot="1">
      <c r="A10" s="1294"/>
      <c r="B10" s="461"/>
      <c r="C10" s="1296"/>
      <c r="D10" s="465"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c r="B11" s="464"/>
      <c r="D11" s="464"/>
      <c r="G11" t="str">
        <f>template_label_mass_to_volume_instruction</f>
        <v>Similar steps, with also the specification of the denisty, can be applied to the last table for the conversion from Mass to Volumer (or viceversa).</v>
      </c>
    </row>
    <row r="12" spans="1:7" s="10" customFormat="1" ht="15" customHeight="1" thickBot="1">
      <c r="A12" s="1290" t="str">
        <f>template_label_unit_of_measurement_of_energy_consumption_per_hour</f>
        <v>Unit of measurement of Energy Consumption per Hour</v>
      </c>
      <c r="B12" s="1291"/>
      <c r="C12" s="1291"/>
      <c r="D12" s="1292"/>
      <c r="G12" s="10" t="str">
        <f>template_label_below_are_specified_all_the_units_of_measurement_conversions_of_each_table</f>
        <v>Below are specified all the Units of measurement conversions of each table.</v>
      </c>
    </row>
    <row r="13" spans="1:7" s="10" customFormat="1">
      <c r="A13" s="1293" t="str">
        <f>template_label_from_capital_case</f>
        <v xml:space="preserve">From </v>
      </c>
      <c r="B13" s="459"/>
      <c r="C13" s="1295" t="str">
        <f>template_label_to</f>
        <v>to</v>
      </c>
      <c r="D13" s="460"/>
      <c r="G13" s="286" t="str">
        <f>template_label_unit_of_measurement_of_mass_converter_list</f>
        <v>▪ Unit of measurement of Mass Converter:</v>
      </c>
    </row>
    <row r="14" spans="1:7" s="10" customFormat="1" ht="15" thickBot="1">
      <c r="A14" s="1294"/>
      <c r="B14" s="461"/>
      <c r="C14" s="1296"/>
      <c r="D14" s="466" t="str">
        <f>IF(OR(B13="",B14="",D13=""),"-",
IF(AND(B13="MWh - Megawatt hours",D13="MWh - Megawatt hours"),B14*1,
IF(AND(B13="TJ - Terajoule",D13="TJ - Terajoule"),B14*1,
IF(AND(B13="TJ - Terajoule",D13="MWh - Megawatt hours"),B14*277.778,
IF(AND(B13="MWh - Megawatt hours",D13="MWh - Megawatt hours"),B14/277.778,
"")))))</f>
        <v>-</v>
      </c>
      <c r="G14" s="308" t="s">
        <v>283</v>
      </c>
    </row>
    <row r="15" spans="1:7" s="10" customFormat="1" ht="15" thickBot="1">
      <c r="G15" s="308" t="s">
        <v>284</v>
      </c>
    </row>
    <row r="16" spans="1:7" s="10" customFormat="1" ht="15" thickBot="1">
      <c r="A16" s="1290" t="str">
        <f>template_label_unit_of_measurement_of_density_converter</f>
        <v>Unit of measurement of Density Converter</v>
      </c>
      <c r="B16" s="1291"/>
      <c r="C16" s="1291"/>
      <c r="D16" s="1292"/>
      <c r="G16" s="308" t="s">
        <v>285</v>
      </c>
    </row>
    <row r="17" spans="1:7" s="10" customFormat="1">
      <c r="A17" s="1293" t="str">
        <f>template_label_from_capital_case</f>
        <v xml:space="preserve">From </v>
      </c>
      <c r="B17" s="459"/>
      <c r="C17" s="1295" t="str">
        <f>template_label_to</f>
        <v>to</v>
      </c>
      <c r="D17" s="460"/>
      <c r="G17" s="308" t="s">
        <v>286</v>
      </c>
    </row>
    <row r="18" spans="1:7" s="10" customFormat="1" ht="15" thickBot="1">
      <c r="A18" s="1294"/>
      <c r="B18" s="461"/>
      <c r="C18" s="1296"/>
      <c r="D18" s="466" t="str">
        <f>IF(OR(B17="",B18="",D17=""), "-", B18 * INDEX('Fuel Conversion Parameters'!L2:S9, MATCH(B17, 'Fuel Conversion Parameters'!K2:K9, 0), MATCH(D17, 'Fuel Conversion Parameters'!L1:S1, 0)))</f>
        <v>-</v>
      </c>
      <c r="G18" s="286" t="str">
        <f>template_label_unit_of_measurement_of_volume_converter_list</f>
        <v>▪ Unit of measurement of Volume Converter:</v>
      </c>
    </row>
    <row r="19" spans="1:7" s="10" customFormat="1" ht="15" thickBot="1">
      <c r="G19" s="308" t="s">
        <v>287</v>
      </c>
    </row>
    <row r="20" spans="1:7" s="10" customFormat="1" ht="15" customHeight="1" thickBot="1">
      <c r="A20" s="1290" t="str">
        <f>template_label_unit_of_measurement_of_ncv_converter</f>
        <v>Unit of measurement of NCV Converter</v>
      </c>
      <c r="B20" s="1291"/>
      <c r="C20" s="1291"/>
      <c r="D20" s="1292"/>
      <c r="G20" s="308" t="s">
        <v>288</v>
      </c>
    </row>
    <row r="21" spans="1:7" s="10" customFormat="1">
      <c r="A21" s="1293" t="str">
        <f>template_label_from_capital_case</f>
        <v xml:space="preserve">From </v>
      </c>
      <c r="B21" s="459"/>
      <c r="C21" s="1295" t="str">
        <f>template_label_to</f>
        <v>to</v>
      </c>
      <c r="D21" s="460"/>
      <c r="G21" s="286" t="str">
        <f>template_label_unit_of_measurement_of_energy_converter_list</f>
        <v>▪ Unit of measurement of Energy Converter:</v>
      </c>
    </row>
    <row r="22" spans="1:7" s="10" customFormat="1" ht="15" thickBot="1">
      <c r="A22" s="1294"/>
      <c r="B22" s="461"/>
      <c r="C22" s="1296"/>
      <c r="D22" s="462" t="str">
        <f>IF(OR(B21="",B22="",D21=""), "-", B22 * INDEX('Fuel Conversion Parameters'!V2:AK13, MATCH(B21, 'Fuel Conversion Parameters'!U2:U13, 0), MATCH(D21, 'Fuel Conversion Parameters'!V1:AK1, 0)))</f>
        <v>-</v>
      </c>
      <c r="G22" s="308" t="s">
        <v>289</v>
      </c>
    </row>
    <row r="23" spans="1:7" s="10" customFormat="1" ht="15" thickBot="1">
      <c r="G23" s="308" t="s">
        <v>290</v>
      </c>
    </row>
    <row r="24" spans="1:7" s="10" customFormat="1" ht="15" customHeight="1" thickBot="1">
      <c r="A24" s="1307" t="str">
        <f>template_label_mass_to_volume</f>
        <v>Mass to Volume Converter (or viceversa)</v>
      </c>
      <c r="B24" s="1291"/>
      <c r="C24" s="1308"/>
      <c r="D24" s="1309"/>
      <c r="G24" s="286" t="str">
        <f>template_label_unit_of_measurement_of_density_converter_list</f>
        <v>▪ Unit of measurement of Density Converter:</v>
      </c>
    </row>
    <row r="25" spans="1:7" s="10" customFormat="1">
      <c r="A25" s="1301" t="str">
        <f>template_label_density_kg_over_l</f>
        <v>Density (Kg/L)</v>
      </c>
      <c r="B25" s="1302"/>
      <c r="C25" s="1302"/>
      <c r="D25" s="1303"/>
      <c r="G25" s="308" t="s">
        <v>110</v>
      </c>
    </row>
    <row r="26" spans="1:7" s="10" customFormat="1" ht="15" thickBot="1">
      <c r="A26" s="1304"/>
      <c r="B26" s="1305"/>
      <c r="C26" s="1305"/>
      <c r="D26" s="1306"/>
      <c r="G26" s="308" t="s">
        <v>112</v>
      </c>
    </row>
    <row r="27" spans="1:7" s="10" customFormat="1">
      <c r="A27" s="1297" t="str">
        <f>template_label_from_capital_case</f>
        <v xml:space="preserve">From </v>
      </c>
      <c r="B27" s="467" t="str" cm="1">
        <f t="array" ref="B27">_xlfn.IFS(B28="Kg",template_label_mass,B28="L",template_label_volume,B28="",template_label_mass_volume)</f>
        <v>Mass / Volume</v>
      </c>
      <c r="C27" s="1299" t="str">
        <f>template_label_to</f>
        <v>to</v>
      </c>
      <c r="D27" s="468" t="str" cm="1">
        <f t="array" ref="D27">_xlfn.IFS(B28="L",template_label_mass,B28="Kg",template_label_volume,B28="","")</f>
        <v/>
      </c>
      <c r="G27" s="308" t="s">
        <v>114</v>
      </c>
    </row>
    <row r="28" spans="1:7" s="10" customFormat="1">
      <c r="A28" s="1298"/>
      <c r="B28" s="458"/>
      <c r="C28" s="1300"/>
      <c r="D28" s="463" t="str" cm="1">
        <f t="array" ref="D28">_xlfn.IFS(B28="L","Kg",B28="Kg","L",B28="","")</f>
        <v/>
      </c>
      <c r="G28" s="308" t="s">
        <v>115</v>
      </c>
    </row>
    <row r="29" spans="1:7" s="10" customFormat="1" ht="15" thickBot="1">
      <c r="A29" s="1294"/>
      <c r="B29" s="461"/>
      <c r="C29" s="1296"/>
      <c r="D29" s="462" t="str" cm="1">
        <f t="array" ref="D29">IFERROR(_xlfn.IFS(
  OR(A26="",B29=""),"",
  B28="Kg",B29/A26,
  B28="L",B29*A26,
  B28="",""
),"")</f>
        <v/>
      </c>
      <c r="G29" s="308" t="s">
        <v>116</v>
      </c>
    </row>
    <row r="30" spans="1:7" s="10" customFormat="1">
      <c r="G30" s="308" t="s">
        <v>117</v>
      </c>
    </row>
    <row r="31" spans="1:7" s="10" customFormat="1">
      <c r="G31" s="286" t="str">
        <f>template_label_unit_of_measurement_of_ncv_converter_list</f>
        <v>▪ Unit of measurement of NCV Converter:</v>
      </c>
    </row>
    <row r="32" spans="1:7" s="10" customFormat="1">
      <c r="G32" s="308" t="s">
        <v>118</v>
      </c>
    </row>
    <row r="33" spans="7:7" s="10" customFormat="1">
      <c r="G33" s="308" t="s">
        <v>119</v>
      </c>
    </row>
    <row r="34" spans="7:7" s="10" customFormat="1">
      <c r="G34" s="308" t="s">
        <v>120</v>
      </c>
    </row>
    <row r="35" spans="7:7" s="10" customFormat="1">
      <c r="G35" s="308" t="s">
        <v>121</v>
      </c>
    </row>
    <row r="36" spans="7:7" s="10" customFormat="1">
      <c r="G36" s="308" t="s">
        <v>122</v>
      </c>
    </row>
    <row r="37" spans="7:7" s="10" customFormat="1">
      <c r="G37" s="308" t="s">
        <v>123</v>
      </c>
    </row>
    <row r="38" spans="7:7" s="10" customFormat="1">
      <c r="G38" s="308" t="s">
        <v>124</v>
      </c>
    </row>
    <row r="39" spans="7:7" s="10" customFormat="1">
      <c r="G39" s="308" t="s">
        <v>125</v>
      </c>
    </row>
    <row r="40" spans="7:7" s="10" customFormat="1">
      <c r="G40" s="308" t="s">
        <v>126</v>
      </c>
    </row>
    <row r="41" spans="7:7" s="10" customFormat="1">
      <c r="G41" s="308" t="s">
        <v>127</v>
      </c>
    </row>
    <row r="42" spans="7:7" s="10" customFormat="1">
      <c r="G42" s="308" t="s">
        <v>128</v>
      </c>
    </row>
    <row r="43" spans="7:7" s="10" customFormat="1">
      <c r="G43" s="308" t="s">
        <v>129</v>
      </c>
    </row>
    <row r="44" spans="7:7" s="10" customFormat="1">
      <c r="G44" s="308" t="s">
        <v>130</v>
      </c>
    </row>
    <row r="45" spans="7:7" s="10" customFormat="1">
      <c r="G45" s="308" t="s">
        <v>131</v>
      </c>
    </row>
    <row r="46" spans="7:7" s="10" customFormat="1">
      <c r="G46" s="308" t="s">
        <v>132</v>
      </c>
    </row>
    <row r="47" spans="7:7" s="10" customFormat="1">
      <c r="G47" s="308" t="s">
        <v>133</v>
      </c>
    </row>
    <row r="48" spans="7:7" s="10" customFormat="1">
      <c r="G48" s="307"/>
    </row>
    <row r="49" spans="7:7" s="10" customFormat="1"/>
    <row r="50" spans="7:7" s="10" customFormat="1">
      <c r="G50" s="307"/>
    </row>
    <row r="51" spans="7:7" s="10" customFormat="1"/>
    <row r="52" spans="7:7" s="10" customFormat="1">
      <c r="G52" s="307"/>
    </row>
    <row r="53" spans="7:7" s="10" customFormat="1"/>
    <row r="54" spans="7:7" s="10" customFormat="1">
      <c r="G54" s="307"/>
    </row>
    <row r="55" spans="7:7" s="10" customFormat="1"/>
    <row r="56" spans="7:7" s="10" customFormat="1">
      <c r="G56" s="307"/>
    </row>
    <row r="57" spans="7:7" s="10" customFormat="1"/>
    <row r="58" spans="7:7" s="10" customFormat="1">
      <c r="G58" s="307"/>
    </row>
    <row r="59" spans="7:7" s="10" customFormat="1"/>
    <row r="60" spans="7:7" s="10" customFormat="1">
      <c r="G60" s="307"/>
    </row>
    <row r="61" spans="7:7" s="10" customFormat="1"/>
    <row r="62" spans="7:7" s="10" customFormat="1">
      <c r="G62" s="307"/>
    </row>
    <row r="63" spans="7:7" s="10" customFormat="1"/>
    <row r="64" spans="7:7" s="10" customFormat="1">
      <c r="G64" s="307"/>
    </row>
    <row r="65" spans="7:7" s="10" customFormat="1"/>
    <row r="66" spans="7:7" s="10" customFormat="1">
      <c r="G66" s="307"/>
    </row>
    <row r="67" spans="7:7" s="10" customFormat="1"/>
    <row r="68" spans="7:7" s="10" customFormat="1"/>
    <row r="69" spans="7:7" s="10" customFormat="1"/>
    <row r="70" spans="7:7" s="10" customFormat="1"/>
    <row r="71" spans="7:7" s="10" customFormat="1"/>
    <row r="72" spans="7:7" s="10" customFormat="1"/>
    <row r="73" spans="7:7" s="10" customFormat="1"/>
    <row r="74" spans="7:7" s="10" customFormat="1"/>
    <row r="75" spans="7:7" s="10" customFormat="1"/>
    <row r="76" spans="7:7" s="10" customFormat="1"/>
    <row r="77" spans="7:7" s="10" customFormat="1"/>
    <row r="78" spans="7:7" s="10" customFormat="1"/>
    <row r="79" spans="7:7" s="10" customFormat="1"/>
    <row r="80" spans="7:7" s="10" customFormat="1"/>
    <row r="81" s="10" customFormat="1"/>
    <row r="82" s="10" customFormat="1"/>
    <row r="83" s="10" customFormat="1"/>
    <row r="84" s="10" customFormat="1"/>
    <row r="85" s="10" customFormat="1"/>
    <row r="86" s="10" customFormat="1"/>
    <row r="87" s="10" customFormat="1"/>
    <row r="88" s="10" customFormat="1"/>
    <row r="89" s="10" customFormat="1"/>
    <row r="90" s="10" customFormat="1"/>
    <row r="91" s="10" customFormat="1"/>
    <row r="92" s="10" customFormat="1"/>
    <row r="93" s="10" customFormat="1"/>
    <row r="94" s="10" customFormat="1"/>
    <row r="95" s="10" customFormat="1"/>
    <row r="96" s="10" customFormat="1"/>
    <row r="97" s="10" customFormat="1"/>
    <row r="98" s="10" customFormat="1"/>
    <row r="99" s="10" customFormat="1"/>
    <row r="100" s="10" customFormat="1"/>
    <row r="101" s="10" customFormat="1"/>
    <row r="102" s="10" customFormat="1"/>
    <row r="103" s="10" customFormat="1"/>
    <row r="104" s="10" customFormat="1"/>
    <row r="105" s="10" customFormat="1"/>
    <row r="106" s="10" customFormat="1"/>
    <row r="107" s="10" customFormat="1"/>
    <row r="108" s="10" customFormat="1"/>
    <row r="109" s="10" customFormat="1"/>
    <row r="110" s="10" customFormat="1"/>
    <row r="111" s="10" customFormat="1"/>
    <row r="112" s="10" customFormat="1"/>
    <row r="113" s="10" customFormat="1"/>
    <row r="114" s="10" customFormat="1"/>
    <row r="115" s="10" customFormat="1"/>
    <row r="116" s="10" customFormat="1"/>
    <row r="117" s="10" customFormat="1"/>
    <row r="118" s="10" customFormat="1"/>
    <row r="119" s="10" customFormat="1"/>
    <row r="120" s="10" customFormat="1"/>
    <row r="121" s="10" customFormat="1"/>
    <row r="122" s="10" customFormat="1"/>
    <row r="123" s="10" customFormat="1"/>
    <row r="124" s="10" customFormat="1"/>
    <row r="125" s="10" customFormat="1"/>
    <row r="126" s="10" customFormat="1"/>
    <row r="127" s="10" customFormat="1"/>
    <row r="128" s="10" customFormat="1"/>
    <row r="129" spans="2:4" s="10" customFormat="1"/>
    <row r="130" spans="2:4" s="10" customFormat="1"/>
    <row r="131" spans="2:4" s="10" customFormat="1"/>
    <row r="132" spans="2:4" s="10" customFormat="1"/>
    <row r="133" spans="2:4" s="10" customFormat="1"/>
    <row r="134" spans="2:4" s="10" customFormat="1"/>
    <row r="135" spans="2:4" s="10" customFormat="1"/>
    <row r="136" spans="2:4" s="10" customFormat="1">
      <c r="B136"/>
      <c r="D136"/>
    </row>
  </sheetData>
  <sheetProtection algorithmName="SHA-512" hashValue="tQKu/U3TW7VJAlBrbEGj+oIDwTR6tip529AY0g7oeTuY3PAqBhFj0NPGv5DArd575QjYMPuU6utz3JLeGLCYRg==" saltValue="r07cz/VWTWVoNlN0zjpvJg==" spinCount="100000" sheet="1" formatColumns="0" formatRows="0"/>
  <mergeCells count="21">
    <mergeCell ref="A21:A22"/>
    <mergeCell ref="C21:C22"/>
    <mergeCell ref="A27:A29"/>
    <mergeCell ref="C27:C29"/>
    <mergeCell ref="A5:A6"/>
    <mergeCell ref="C5:C6"/>
    <mergeCell ref="C9:C10"/>
    <mergeCell ref="A9:A10"/>
    <mergeCell ref="A13:A14"/>
    <mergeCell ref="C13:C14"/>
    <mergeCell ref="C17:C18"/>
    <mergeCell ref="A17:A18"/>
    <mergeCell ref="A25:D25"/>
    <mergeCell ref="A26:D26"/>
    <mergeCell ref="A24:D24"/>
    <mergeCell ref="A20:D20"/>
    <mergeCell ref="A1:C1"/>
    <mergeCell ref="A4:D4"/>
    <mergeCell ref="A8:D8"/>
    <mergeCell ref="A12:D12"/>
    <mergeCell ref="A16:D16"/>
  </mergeCells>
  <dataValidations count="8">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B29 A26" xr:uid="{3759D409-B1C7-4A30-BB86-3C7C72B2286F}">
      <formula1>A6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 type="list" allowBlank="1" showInputMessage="1" showErrorMessage="1" sqref="B28" xr:uid="{9E418218-DEF5-43D0-80B9-B7301CAC198E}">
      <formula1>enum_list_mass_volume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E1049"/>
  <sheetViews>
    <sheetView topLeftCell="K1" zoomScale="93" zoomScaleNormal="100" workbookViewId="0">
      <selection activeCell="S2" sqref="S2:S4"/>
    </sheetView>
  </sheetViews>
  <sheetFormatPr defaultColWidth="8.84375" defaultRowHeight="14.6"/>
  <cols>
    <col min="1" max="1" width="150.4609375" bestFit="1" customWidth="1"/>
    <col min="2" max="2" width="150.4609375" hidden="1" customWidth="1"/>
    <col min="3" max="3" width="49.53515625" bestFit="1" customWidth="1"/>
    <col min="4" max="4" width="21.4609375" bestFit="1" customWidth="1"/>
    <col min="5" max="5" width="21.4609375" customWidth="1"/>
    <col min="6" max="6" width="92" bestFit="1" customWidth="1"/>
    <col min="7" max="7" width="49.4609375" bestFit="1" customWidth="1"/>
    <col min="8" max="8" width="44.4609375" customWidth="1"/>
    <col min="9" max="9" width="99.53515625" customWidth="1"/>
    <col min="10" max="10" width="48.4609375" bestFit="1" customWidth="1"/>
    <col min="11" max="11" width="20.4609375" bestFit="1" customWidth="1"/>
    <col min="12" max="12" width="18" bestFit="1" customWidth="1"/>
    <col min="13" max="13" width="30.53515625" bestFit="1" customWidth="1"/>
    <col min="14" max="14" width="26.53515625" bestFit="1" customWidth="1"/>
    <col min="15" max="15" width="10.53515625" customWidth="1"/>
    <col min="16" max="16" width="13.4609375" bestFit="1" customWidth="1"/>
    <col min="18" max="18" width="9.53515625" bestFit="1" customWidth="1"/>
    <col min="19" max="19" width="46.53515625" bestFit="1" customWidth="1"/>
    <col min="20" max="20" width="100.4609375" bestFit="1" customWidth="1"/>
    <col min="21" max="21" width="12.53515625" bestFit="1" customWidth="1"/>
    <col min="23" max="23" width="31.4609375" customWidth="1"/>
    <col min="24" max="24" width="255.4609375" bestFit="1" customWidth="1"/>
    <col min="25" max="25" width="17.4609375" customWidth="1"/>
    <col min="26" max="26" width="28.53515625" customWidth="1"/>
    <col min="27" max="27" width="23.4609375" customWidth="1"/>
    <col min="28" max="28" width="17.53515625" customWidth="1"/>
    <col min="29" max="29" width="43.4609375" bestFit="1" customWidth="1"/>
  </cols>
  <sheetData>
    <row r="1" spans="1:31" ht="87.45">
      <c r="A1" s="237" t="s">
        <v>291</v>
      </c>
      <c r="B1" s="381" t="s">
        <v>292</v>
      </c>
      <c r="C1" s="6" t="s">
        <v>293</v>
      </c>
      <c r="D1" s="6" t="s">
        <v>294</v>
      </c>
      <c r="E1" s="6" t="s">
        <v>295</v>
      </c>
      <c r="F1" s="6" t="s">
        <v>296</v>
      </c>
      <c r="G1" s="217" t="s">
        <v>297</v>
      </c>
      <c r="H1" s="217" t="s">
        <v>298</v>
      </c>
      <c r="I1" s="217" t="s">
        <v>299</v>
      </c>
      <c r="J1" s="6" t="s">
        <v>300</v>
      </c>
      <c r="K1" s="6" t="s">
        <v>98</v>
      </c>
      <c r="L1" s="6" t="s">
        <v>301</v>
      </c>
      <c r="M1" s="6" t="s">
        <v>302</v>
      </c>
      <c r="N1" s="6" t="s">
        <v>303</v>
      </c>
      <c r="O1" s="217" t="s">
        <v>304</v>
      </c>
      <c r="P1" s="6" t="s">
        <v>305</v>
      </c>
      <c r="Q1" s="6" t="s">
        <v>306</v>
      </c>
      <c r="R1" s="6" t="s">
        <v>307</v>
      </c>
      <c r="S1" s="6" t="s">
        <v>308</v>
      </c>
      <c r="T1" s="6" t="s">
        <v>309</v>
      </c>
      <c r="U1" s="6" t="s">
        <v>310</v>
      </c>
      <c r="V1" s="6" t="s">
        <v>307</v>
      </c>
      <c r="W1" s="238" t="s">
        <v>311</v>
      </c>
      <c r="X1" s="239" t="s">
        <v>312</v>
      </c>
      <c r="Y1" s="238" t="s">
        <v>313</v>
      </c>
      <c r="Z1" s="240" t="s">
        <v>314</v>
      </c>
      <c r="AA1" s="11" t="s">
        <v>315</v>
      </c>
      <c r="AB1" s="11" t="s">
        <v>316</v>
      </c>
      <c r="AC1" s="11" t="s">
        <v>317</v>
      </c>
      <c r="AD1" s="11" t="s">
        <v>318</v>
      </c>
      <c r="AE1" s="11" t="s">
        <v>319</v>
      </c>
    </row>
    <row r="2" spans="1:31">
      <c r="A2" t="s">
        <v>320</v>
      </c>
      <c r="B2" s="241" t="s">
        <v>321</v>
      </c>
      <c r="C2" s="242" t="s">
        <v>322</v>
      </c>
      <c r="D2" t="s">
        <v>323</v>
      </c>
      <c r="E2" t="str">
        <f>RIGHT(D2,2)</f>
        <v>AD</v>
      </c>
      <c r="F2" t="s">
        <v>324</v>
      </c>
      <c r="G2" t="s">
        <v>325</v>
      </c>
      <c r="H2" t="s">
        <v>326</v>
      </c>
      <c r="I2" t="s">
        <v>327</v>
      </c>
      <c r="J2" t="s">
        <v>328</v>
      </c>
      <c r="K2" t="s">
        <v>46</v>
      </c>
      <c r="L2" t="s">
        <v>329</v>
      </c>
      <c r="M2" t="s">
        <v>330</v>
      </c>
      <c r="N2" t="s">
        <v>331</v>
      </c>
      <c r="O2" t="s">
        <v>78</v>
      </c>
      <c r="P2" t="s">
        <v>332</v>
      </c>
      <c r="Q2">
        <v>2000</v>
      </c>
      <c r="R2">
        <v>1</v>
      </c>
      <c r="S2" t="s">
        <v>333</v>
      </c>
      <c r="T2" t="str">
        <f>template_label_b1_basis_for_preparation_validation</f>
        <v>B1 - Basis for Preparation</v>
      </c>
      <c r="U2" s="243">
        <v>1</v>
      </c>
      <c r="V2" t="s">
        <v>334</v>
      </c>
      <c r="W2" t="s">
        <v>46</v>
      </c>
      <c r="X2" s="33" t="s">
        <v>335</v>
      </c>
      <c r="Y2" t="s">
        <v>336</v>
      </c>
      <c r="Z2" s="2" t="s">
        <v>22</v>
      </c>
      <c r="AA2">
        <v>1</v>
      </c>
      <c r="AB2" t="s">
        <v>6</v>
      </c>
      <c r="AC2" t="s">
        <v>337</v>
      </c>
      <c r="AD2" t="b">
        <v>1</v>
      </c>
      <c r="AE2" t="s">
        <v>137</v>
      </c>
    </row>
    <row r="3" spans="1:31" ht="29.15">
      <c r="A3" s="242" t="s">
        <v>338</v>
      </c>
      <c r="B3" s="244" t="s">
        <v>339</v>
      </c>
      <c r="C3" s="242" t="s">
        <v>340</v>
      </c>
      <c r="D3" t="s">
        <v>341</v>
      </c>
      <c r="E3" t="str">
        <f t="shared" ref="E3:E66" si="0">RIGHT(D3,2)</f>
        <v>AE</v>
      </c>
      <c r="F3" t="s">
        <v>342</v>
      </c>
      <c r="G3" t="s">
        <v>343</v>
      </c>
      <c r="H3" t="s">
        <v>344</v>
      </c>
      <c r="I3" t="s">
        <v>345</v>
      </c>
      <c r="J3" t="s">
        <v>346</v>
      </c>
      <c r="K3" t="s">
        <v>347</v>
      </c>
      <c r="L3" t="s">
        <v>348</v>
      </c>
      <c r="M3" t="s">
        <v>349</v>
      </c>
      <c r="N3" t="s">
        <v>350</v>
      </c>
      <c r="O3" t="s">
        <v>351</v>
      </c>
      <c r="P3" t="s">
        <v>352</v>
      </c>
      <c r="Q3">
        <v>2001</v>
      </c>
      <c r="R3">
        <v>2</v>
      </c>
      <c r="S3" t="s">
        <v>353</v>
      </c>
      <c r="T3" s="33" t="str">
        <f>template_label_b2_practices_policies_and_future_initiatives_for_transitioning_towards_a_more_sustainable_economy_validation</f>
        <v xml:space="preserve">B2 - Practices, policies and future initiatives for transitioning towards a more sustainable economy </v>
      </c>
      <c r="U3" s="243">
        <v>2</v>
      </c>
      <c r="V3" t="s">
        <v>354</v>
      </c>
      <c r="W3" t="s">
        <v>347</v>
      </c>
      <c r="X3" t="s">
        <v>355</v>
      </c>
      <c r="Y3" t="s">
        <v>356</v>
      </c>
      <c r="Z3" s="2" t="s">
        <v>357</v>
      </c>
      <c r="AA3">
        <v>2</v>
      </c>
      <c r="AB3" t="s">
        <v>358</v>
      </c>
      <c r="AC3" t="s">
        <v>11</v>
      </c>
      <c r="AD3" t="b">
        <v>0</v>
      </c>
      <c r="AE3" t="s">
        <v>359</v>
      </c>
    </row>
    <row r="4" spans="1:31">
      <c r="A4" s="241" t="s">
        <v>321</v>
      </c>
      <c r="B4" s="244" t="s">
        <v>360</v>
      </c>
      <c r="C4" s="242" t="s">
        <v>361</v>
      </c>
      <c r="D4" t="s">
        <v>362</v>
      </c>
      <c r="E4" t="str">
        <f t="shared" si="0"/>
        <v>AF</v>
      </c>
      <c r="F4" t="s">
        <v>363</v>
      </c>
      <c r="G4" t="s">
        <v>364</v>
      </c>
      <c r="I4" t="s">
        <v>365</v>
      </c>
      <c r="J4" t="s">
        <v>366</v>
      </c>
      <c r="K4" t="s">
        <v>367</v>
      </c>
      <c r="L4" t="s">
        <v>368</v>
      </c>
      <c r="M4" t="s">
        <v>369</v>
      </c>
      <c r="P4" t="s">
        <v>370</v>
      </c>
      <c r="Q4">
        <v>2002</v>
      </c>
      <c r="R4">
        <v>3</v>
      </c>
      <c r="S4" t="s">
        <v>44</v>
      </c>
      <c r="T4" t="str">
        <f>template_label_b3_energy_and_greenhouse_gas_emissions_validation</f>
        <v>B3 - Energy and greenhouse gas emissions</v>
      </c>
      <c r="U4" s="243">
        <v>3</v>
      </c>
      <c r="V4" t="s">
        <v>371</v>
      </c>
      <c r="X4" t="s">
        <v>372</v>
      </c>
      <c r="Y4" t="s">
        <v>373</v>
      </c>
      <c r="AA4">
        <v>3</v>
      </c>
      <c r="AB4" t="s">
        <v>374</v>
      </c>
    </row>
    <row r="5" spans="1:31">
      <c r="A5" s="244" t="s">
        <v>339</v>
      </c>
      <c r="B5" s="244" t="s">
        <v>375</v>
      </c>
      <c r="C5" s="242" t="s">
        <v>376</v>
      </c>
      <c r="D5" t="s">
        <v>377</v>
      </c>
      <c r="E5" t="str">
        <f t="shared" si="0"/>
        <v>AG</v>
      </c>
      <c r="F5" t="s">
        <v>378</v>
      </c>
      <c r="G5" t="s">
        <v>379</v>
      </c>
      <c r="I5" t="s">
        <v>380</v>
      </c>
      <c r="J5" t="s">
        <v>381</v>
      </c>
      <c r="M5" t="s">
        <v>382</v>
      </c>
      <c r="Q5">
        <v>2003</v>
      </c>
      <c r="R5">
        <v>4</v>
      </c>
      <c r="T5" s="33" t="str">
        <f>template_label_b4_pollution_of_air_water_and_soil_validation</f>
        <v>B4 - Pollution of air, water and soil</v>
      </c>
      <c r="U5" s="243">
        <v>4</v>
      </c>
      <c r="V5" t="s">
        <v>383</v>
      </c>
      <c r="X5" t="s">
        <v>384</v>
      </c>
      <c r="Y5" t="s">
        <v>385</v>
      </c>
      <c r="AA5">
        <v>4</v>
      </c>
      <c r="AB5" t="s">
        <v>386</v>
      </c>
    </row>
    <row r="6" spans="1:31">
      <c r="A6" s="245" t="s">
        <v>387</v>
      </c>
      <c r="B6" s="244" t="s">
        <v>388</v>
      </c>
      <c r="C6" s="242" t="s">
        <v>389</v>
      </c>
      <c r="D6" t="s">
        <v>390</v>
      </c>
      <c r="E6" t="str">
        <f t="shared" si="0"/>
        <v>AI</v>
      </c>
      <c r="F6" t="s">
        <v>391</v>
      </c>
      <c r="G6" t="s">
        <v>392</v>
      </c>
      <c r="I6" t="s">
        <v>393</v>
      </c>
      <c r="J6" t="s">
        <v>394</v>
      </c>
      <c r="M6" t="s">
        <v>395</v>
      </c>
      <c r="Q6">
        <v>2004</v>
      </c>
      <c r="R6">
        <v>5</v>
      </c>
      <c r="T6" s="33" t="str">
        <f>template_label_b5_biodiversity_validation</f>
        <v>B5 - Biodiversity</v>
      </c>
      <c r="U6" s="243">
        <v>5</v>
      </c>
      <c r="V6" t="s">
        <v>396</v>
      </c>
      <c r="X6" t="s">
        <v>397</v>
      </c>
      <c r="Y6" t="s">
        <v>398</v>
      </c>
      <c r="AA6">
        <v>5</v>
      </c>
    </row>
    <row r="7" spans="1:31">
      <c r="A7" s="245" t="s">
        <v>399</v>
      </c>
      <c r="B7" s="244" t="s">
        <v>400</v>
      </c>
      <c r="C7" s="242" t="s">
        <v>401</v>
      </c>
      <c r="D7" t="s">
        <v>402</v>
      </c>
      <c r="E7" t="str">
        <f t="shared" si="0"/>
        <v>AL</v>
      </c>
      <c r="F7" t="s">
        <v>403</v>
      </c>
      <c r="G7" t="s">
        <v>404</v>
      </c>
      <c r="I7" t="s">
        <v>405</v>
      </c>
      <c r="M7" t="s">
        <v>406</v>
      </c>
      <c r="Q7">
        <v>2005</v>
      </c>
      <c r="R7">
        <v>6</v>
      </c>
      <c r="T7" s="33" t="str">
        <f>template_label_b6_water_validation</f>
        <v>B6 - Water</v>
      </c>
      <c r="U7" s="243">
        <v>6</v>
      </c>
      <c r="V7" t="s">
        <v>407</v>
      </c>
      <c r="X7" t="s">
        <v>408</v>
      </c>
      <c r="Y7" t="s">
        <v>409</v>
      </c>
      <c r="AA7">
        <v>6</v>
      </c>
    </row>
    <row r="8" spans="1:31">
      <c r="A8" s="245" t="s">
        <v>410</v>
      </c>
      <c r="B8" s="244" t="s">
        <v>411</v>
      </c>
      <c r="C8" s="242" t="s">
        <v>412</v>
      </c>
      <c r="D8" t="s">
        <v>413</v>
      </c>
      <c r="E8" t="str">
        <f t="shared" si="0"/>
        <v>AM</v>
      </c>
      <c r="F8" t="s">
        <v>414</v>
      </c>
      <c r="G8" t="s">
        <v>415</v>
      </c>
      <c r="I8" t="s">
        <v>416</v>
      </c>
      <c r="M8" t="s">
        <v>417</v>
      </c>
      <c r="Q8">
        <v>2006</v>
      </c>
      <c r="R8">
        <v>7</v>
      </c>
      <c r="T8" s="33" t="str">
        <f>template_label_b7_resource_use_circular_economy_and_waste_management_validation</f>
        <v>B7 - Resource use, circular economy and waste management</v>
      </c>
      <c r="U8" s="243">
        <v>7</v>
      </c>
      <c r="V8" t="s">
        <v>418</v>
      </c>
      <c r="X8" t="s">
        <v>419</v>
      </c>
      <c r="Y8" t="s">
        <v>420</v>
      </c>
      <c r="AA8">
        <v>7</v>
      </c>
    </row>
    <row r="9" spans="1:31">
      <c r="A9" s="245" t="s">
        <v>421</v>
      </c>
      <c r="B9" s="244" t="s">
        <v>422</v>
      </c>
      <c r="C9" s="242" t="s">
        <v>423</v>
      </c>
      <c r="D9" t="s">
        <v>424</v>
      </c>
      <c r="E9" t="str">
        <f t="shared" si="0"/>
        <v>AN</v>
      </c>
      <c r="F9" t="s">
        <v>425</v>
      </c>
      <c r="G9" t="s">
        <v>426</v>
      </c>
      <c r="I9" t="s">
        <v>427</v>
      </c>
      <c r="M9" t="s">
        <v>428</v>
      </c>
      <c r="Q9">
        <v>2007</v>
      </c>
      <c r="R9">
        <v>8</v>
      </c>
      <c r="T9" t="str">
        <f>template_label_b8_workforce_general_characteristics_validation</f>
        <v>B8 - Workforce - General characteristics</v>
      </c>
      <c r="U9" s="243">
        <v>8</v>
      </c>
      <c r="V9" t="s">
        <v>429</v>
      </c>
      <c r="X9" t="s">
        <v>430</v>
      </c>
      <c r="Y9" t="s">
        <v>431</v>
      </c>
      <c r="AA9">
        <v>8</v>
      </c>
    </row>
    <row r="10" spans="1:31">
      <c r="A10" s="245" t="s">
        <v>432</v>
      </c>
      <c r="B10" s="241" t="s">
        <v>433</v>
      </c>
      <c r="C10" s="242" t="s">
        <v>434</v>
      </c>
      <c r="D10" t="s">
        <v>435</v>
      </c>
      <c r="E10" t="str">
        <f t="shared" si="0"/>
        <v>AO</v>
      </c>
      <c r="F10" t="s">
        <v>436</v>
      </c>
      <c r="G10" t="s">
        <v>437</v>
      </c>
      <c r="I10" t="s">
        <v>438</v>
      </c>
      <c r="M10" t="s">
        <v>439</v>
      </c>
      <c r="Q10">
        <v>2008</v>
      </c>
      <c r="R10">
        <v>9</v>
      </c>
      <c r="T10" s="33" t="str">
        <f>template_label_b9_workforce_health_and_safety_validation</f>
        <v>B9 - Workforce - Health and safety</v>
      </c>
      <c r="U10" s="243">
        <v>9</v>
      </c>
      <c r="V10" t="s">
        <v>440</v>
      </c>
      <c r="X10" t="s">
        <v>441</v>
      </c>
      <c r="Y10" t="s">
        <v>442</v>
      </c>
      <c r="AA10">
        <v>9</v>
      </c>
    </row>
    <row r="11" spans="1:31">
      <c r="A11" s="245" t="s">
        <v>443</v>
      </c>
      <c r="B11" s="244" t="s">
        <v>444</v>
      </c>
      <c r="C11" s="242" t="s">
        <v>445</v>
      </c>
      <c r="D11" t="s">
        <v>446</v>
      </c>
      <c r="E11" t="str">
        <f t="shared" si="0"/>
        <v>AQ</v>
      </c>
      <c r="F11" t="s">
        <v>447</v>
      </c>
      <c r="G11" t="s">
        <v>448</v>
      </c>
      <c r="I11" t="s">
        <v>449</v>
      </c>
      <c r="M11" t="s">
        <v>450</v>
      </c>
      <c r="Q11">
        <v>2009</v>
      </c>
      <c r="R11">
        <v>10</v>
      </c>
      <c r="T11" s="33" t="str">
        <f>template_label_b10_workforce_remuneration_collective_bargaining_and_training_validation</f>
        <v>B10 - Workforce - Remuneration, collective bargaining and training</v>
      </c>
      <c r="U11" s="243">
        <v>10</v>
      </c>
      <c r="V11" t="s">
        <v>451</v>
      </c>
      <c r="X11" t="s">
        <v>452</v>
      </c>
      <c r="Y11" t="s">
        <v>453</v>
      </c>
      <c r="AA11">
        <v>10</v>
      </c>
    </row>
    <row r="12" spans="1:31">
      <c r="A12" s="245" t="s">
        <v>454</v>
      </c>
      <c r="B12" s="244" t="s">
        <v>455</v>
      </c>
      <c r="C12" s="242" t="s">
        <v>456</v>
      </c>
      <c r="D12" t="s">
        <v>457</v>
      </c>
      <c r="E12" t="str">
        <f t="shared" si="0"/>
        <v>AR</v>
      </c>
      <c r="F12" t="s">
        <v>458</v>
      </c>
      <c r="G12" t="s">
        <v>459</v>
      </c>
      <c r="I12" t="s">
        <v>460</v>
      </c>
      <c r="M12" t="s">
        <v>461</v>
      </c>
      <c r="Q12">
        <v>2010</v>
      </c>
      <c r="R12">
        <v>11</v>
      </c>
      <c r="T12" s="33" t="str">
        <f>template_label_b11_convictions_and_fines_for_corruption_and_bribery_validation</f>
        <v>B11 - Convictions and fines for corruption and bribery</v>
      </c>
      <c r="U12" s="243">
        <v>11</v>
      </c>
      <c r="V12" t="s">
        <v>462</v>
      </c>
      <c r="X12" t="s">
        <v>463</v>
      </c>
      <c r="Y12" t="s">
        <v>464</v>
      </c>
      <c r="AA12">
        <v>11</v>
      </c>
    </row>
    <row r="13" spans="1:31">
      <c r="A13" s="244" t="s">
        <v>360</v>
      </c>
      <c r="B13" s="244" t="s">
        <v>465</v>
      </c>
      <c r="C13" s="242" t="s">
        <v>466</v>
      </c>
      <c r="D13" t="s">
        <v>467</v>
      </c>
      <c r="E13" t="str">
        <f t="shared" si="0"/>
        <v>AS</v>
      </c>
      <c r="F13" t="s">
        <v>468</v>
      </c>
      <c r="G13" t="s">
        <v>469</v>
      </c>
      <c r="I13" t="s">
        <v>470</v>
      </c>
      <c r="Q13">
        <v>2011</v>
      </c>
      <c r="R13">
        <v>12</v>
      </c>
      <c r="T13" s="33" t="str">
        <f>template_label_c1_strategy_business_model_and_sustainability_related_initiatives_validation</f>
        <v>C1 - Strategy: Business Model and Sustainability - Related Initiatives</v>
      </c>
      <c r="U13" s="243">
        <v>12</v>
      </c>
      <c r="V13" t="s">
        <v>471</v>
      </c>
      <c r="X13" t="s">
        <v>472</v>
      </c>
      <c r="Y13" t="s">
        <v>473</v>
      </c>
      <c r="AA13">
        <v>12</v>
      </c>
    </row>
    <row r="14" spans="1:31">
      <c r="A14" s="245" t="s">
        <v>474</v>
      </c>
      <c r="B14" s="244" t="s">
        <v>475</v>
      </c>
      <c r="C14" s="242" t="s">
        <v>476</v>
      </c>
      <c r="D14" t="s">
        <v>477</v>
      </c>
      <c r="E14" t="str">
        <f t="shared" si="0"/>
        <v>AT</v>
      </c>
      <c r="F14" t="s">
        <v>478</v>
      </c>
      <c r="G14" t="s">
        <v>479</v>
      </c>
      <c r="I14" t="s">
        <v>480</v>
      </c>
      <c r="Q14">
        <v>2012</v>
      </c>
      <c r="T14" s="33" t="str">
        <f>template_label_c2_description_of_practices_policies_and_future_initiatives_for_transitioning_towards_a_more_sustainable_economy_validation</f>
        <v>C2 - Description of practices, policies and future initiatives for transitioning towards a more sustainable economy</v>
      </c>
      <c r="X14" t="s">
        <v>481</v>
      </c>
      <c r="Y14" t="s">
        <v>482</v>
      </c>
      <c r="AA14">
        <v>13</v>
      </c>
    </row>
    <row r="15" spans="1:31">
      <c r="A15" s="245" t="s">
        <v>483</v>
      </c>
      <c r="B15" s="241" t="s">
        <v>484</v>
      </c>
      <c r="C15" s="242" t="s">
        <v>485</v>
      </c>
      <c r="D15" t="s">
        <v>486</v>
      </c>
      <c r="E15" t="str">
        <f t="shared" si="0"/>
        <v>AU</v>
      </c>
      <c r="F15" t="s">
        <v>487</v>
      </c>
      <c r="G15" t="s">
        <v>488</v>
      </c>
      <c r="I15" t="s">
        <v>489</v>
      </c>
      <c r="Q15">
        <v>2013</v>
      </c>
      <c r="T15" t="str">
        <f>template_label_c3_ghg_reduction_targets_and_climate_transition_validation</f>
        <v>C3 - GHG reduction targets and climate transition</v>
      </c>
      <c r="X15" t="s">
        <v>490</v>
      </c>
      <c r="Y15" t="s">
        <v>491</v>
      </c>
      <c r="AA15">
        <v>14</v>
      </c>
    </row>
    <row r="16" spans="1:31">
      <c r="A16" s="245" t="s">
        <v>492</v>
      </c>
      <c r="B16" s="244" t="s">
        <v>493</v>
      </c>
      <c r="C16" s="242" t="s">
        <v>494</v>
      </c>
      <c r="D16" t="s">
        <v>495</v>
      </c>
      <c r="E16" t="str">
        <f t="shared" si="0"/>
        <v>AW</v>
      </c>
      <c r="F16" t="s">
        <v>496</v>
      </c>
      <c r="G16" t="s">
        <v>497</v>
      </c>
      <c r="I16" t="s">
        <v>498</v>
      </c>
      <c r="Q16">
        <v>2014</v>
      </c>
      <c r="T16" s="33" t="str">
        <f>template_label_c4_climate_risks_validation</f>
        <v>C4 - Climate risks</v>
      </c>
      <c r="X16" t="s">
        <v>499</v>
      </c>
      <c r="Y16" t="s">
        <v>500</v>
      </c>
      <c r="AA16">
        <v>15</v>
      </c>
    </row>
    <row r="17" spans="1:27">
      <c r="A17" s="245" t="s">
        <v>501</v>
      </c>
      <c r="B17" s="244" t="s">
        <v>502</v>
      </c>
      <c r="C17" s="242" t="s">
        <v>503</v>
      </c>
      <c r="D17" t="s">
        <v>504</v>
      </c>
      <c r="E17" t="str">
        <f t="shared" si="0"/>
        <v>AX</v>
      </c>
      <c r="F17" t="s">
        <v>505</v>
      </c>
      <c r="G17" t="s">
        <v>506</v>
      </c>
      <c r="I17" t="s">
        <v>507</v>
      </c>
      <c r="Q17">
        <v>2015</v>
      </c>
      <c r="T17" s="33" t="str">
        <f>template_label_c5_additional_general_workforce_characteristics_validation</f>
        <v>C5 - Additional (general) workforce characteristics</v>
      </c>
      <c r="X17" t="s">
        <v>508</v>
      </c>
      <c r="Y17" t="s">
        <v>509</v>
      </c>
      <c r="AA17">
        <v>16</v>
      </c>
    </row>
    <row r="18" spans="1:27">
      <c r="A18" s="245" t="s">
        <v>510</v>
      </c>
      <c r="B18" s="244" t="s">
        <v>511</v>
      </c>
      <c r="C18" s="242" t="s">
        <v>512</v>
      </c>
      <c r="D18" t="s">
        <v>513</v>
      </c>
      <c r="E18" t="str">
        <f t="shared" si="0"/>
        <v>AZ</v>
      </c>
      <c r="F18" t="s">
        <v>514</v>
      </c>
      <c r="G18" t="s">
        <v>515</v>
      </c>
      <c r="I18" t="s">
        <v>516</v>
      </c>
      <c r="Q18">
        <v>2016</v>
      </c>
      <c r="T18" s="33" t="str">
        <f>template_label_c6_additional_own_workforce_information_human_rights_policies_and_processes_validation</f>
        <v>C6 - Additional own workforce information - Human rights policies and processes</v>
      </c>
      <c r="X18" t="s">
        <v>517</v>
      </c>
      <c r="Y18" t="s">
        <v>518</v>
      </c>
      <c r="AA18">
        <v>17</v>
      </c>
    </row>
    <row r="19" spans="1:27">
      <c r="A19" s="245" t="s">
        <v>519</v>
      </c>
      <c r="B19" s="242" t="s">
        <v>338</v>
      </c>
      <c r="C19" s="242" t="s">
        <v>520</v>
      </c>
      <c r="D19" t="s">
        <v>521</v>
      </c>
      <c r="E19" t="str">
        <f t="shared" si="0"/>
        <v>BA</v>
      </c>
      <c r="F19" t="s">
        <v>522</v>
      </c>
      <c r="G19" t="s">
        <v>523</v>
      </c>
      <c r="I19" t="s">
        <v>524</v>
      </c>
      <c r="Q19">
        <v>2017</v>
      </c>
      <c r="T19" s="33" t="str">
        <f>template_label_c7_human_rights_incidents_validation</f>
        <v>C7 - Human rights incidents</v>
      </c>
      <c r="X19" t="s">
        <v>525</v>
      </c>
      <c r="Y19" t="s">
        <v>526</v>
      </c>
      <c r="AA19">
        <v>18</v>
      </c>
    </row>
    <row r="20" spans="1:27">
      <c r="A20" s="245" t="s">
        <v>527</v>
      </c>
      <c r="B20" s="241" t="s">
        <v>528</v>
      </c>
      <c r="C20" s="242" t="s">
        <v>529</v>
      </c>
      <c r="D20" t="s">
        <v>530</v>
      </c>
      <c r="E20" t="str">
        <f t="shared" si="0"/>
        <v>BB</v>
      </c>
      <c r="F20" t="s">
        <v>531</v>
      </c>
      <c r="G20" t="s">
        <v>532</v>
      </c>
      <c r="I20" t="s">
        <v>533</v>
      </c>
      <c r="Q20">
        <v>2018</v>
      </c>
      <c r="T20" t="str">
        <f>template_label_c8_revenues_from_certain_activities_validation</f>
        <v>C8 - Revenues from certain activities</v>
      </c>
      <c r="X20" t="s">
        <v>534</v>
      </c>
      <c r="Y20" t="s">
        <v>535</v>
      </c>
      <c r="AA20">
        <v>19</v>
      </c>
    </row>
    <row r="21" spans="1:27">
      <c r="A21" s="245" t="s">
        <v>536</v>
      </c>
      <c r="B21" s="244" t="s">
        <v>537</v>
      </c>
      <c r="C21" s="242" t="s">
        <v>538</v>
      </c>
      <c r="D21" t="s">
        <v>539</v>
      </c>
      <c r="E21" t="str">
        <f t="shared" si="0"/>
        <v>BD</v>
      </c>
      <c r="F21" t="s">
        <v>540</v>
      </c>
      <c r="G21" t="s">
        <v>541</v>
      </c>
      <c r="I21" t="s">
        <v>542</v>
      </c>
      <c r="Q21">
        <v>2019</v>
      </c>
      <c r="T21" t="str">
        <f>template_label_c9_gender_diversity_ratio_in_the_governance_body_validation</f>
        <v>C9 - Gender diversity ratio in the governance body</v>
      </c>
      <c r="X21" t="s">
        <v>543</v>
      </c>
      <c r="Y21" t="s">
        <v>544</v>
      </c>
      <c r="AA21">
        <v>20</v>
      </c>
    </row>
    <row r="22" spans="1:27">
      <c r="A22" s="245" t="s">
        <v>545</v>
      </c>
      <c r="B22" s="244" t="s">
        <v>546</v>
      </c>
      <c r="C22" s="242" t="s">
        <v>547</v>
      </c>
      <c r="D22" t="s">
        <v>548</v>
      </c>
      <c r="E22" t="str">
        <f t="shared" si="0"/>
        <v>BE</v>
      </c>
      <c r="F22" t="s">
        <v>549</v>
      </c>
      <c r="G22" t="s">
        <v>550</v>
      </c>
      <c r="I22" t="s">
        <v>551</v>
      </c>
      <c r="Q22">
        <v>2020</v>
      </c>
      <c r="X22" t="s">
        <v>552</v>
      </c>
      <c r="Y22" t="s">
        <v>553</v>
      </c>
      <c r="AA22">
        <v>21</v>
      </c>
    </row>
    <row r="23" spans="1:27">
      <c r="A23" s="244" t="s">
        <v>375</v>
      </c>
      <c r="B23" s="241" t="s">
        <v>554</v>
      </c>
      <c r="C23" s="242" t="s">
        <v>555</v>
      </c>
      <c r="D23" t="s">
        <v>556</v>
      </c>
      <c r="E23" t="str">
        <f t="shared" si="0"/>
        <v>BF</v>
      </c>
      <c r="F23" s="71"/>
      <c r="G23" t="s">
        <v>557</v>
      </c>
      <c r="I23" t="s">
        <v>558</v>
      </c>
      <c r="Q23">
        <v>2021</v>
      </c>
      <c r="X23" t="s">
        <v>559</v>
      </c>
      <c r="Y23" t="s">
        <v>560</v>
      </c>
      <c r="AA23">
        <v>22</v>
      </c>
    </row>
    <row r="24" spans="1:27">
      <c r="A24" s="245" t="s">
        <v>561</v>
      </c>
      <c r="B24" s="244" t="s">
        <v>562</v>
      </c>
      <c r="C24" s="242" t="s">
        <v>563</v>
      </c>
      <c r="D24" t="s">
        <v>564</v>
      </c>
      <c r="E24" t="str">
        <f t="shared" si="0"/>
        <v>BG</v>
      </c>
      <c r="F24" s="314"/>
      <c r="G24" t="s">
        <v>565</v>
      </c>
      <c r="I24" t="s">
        <v>566</v>
      </c>
      <c r="Q24">
        <v>2022</v>
      </c>
      <c r="X24" t="s">
        <v>567</v>
      </c>
      <c r="Y24" t="s">
        <v>568</v>
      </c>
      <c r="AA24">
        <v>23</v>
      </c>
    </row>
    <row r="25" spans="1:27">
      <c r="A25" s="244" t="s">
        <v>388</v>
      </c>
      <c r="B25" s="244" t="s">
        <v>569</v>
      </c>
      <c r="C25" s="242" t="s">
        <v>570</v>
      </c>
      <c r="D25" t="s">
        <v>571</v>
      </c>
      <c r="E25" t="str">
        <f t="shared" si="0"/>
        <v>BH</v>
      </c>
      <c r="F25" s="314"/>
      <c r="G25" t="s">
        <v>572</v>
      </c>
      <c r="I25" t="s">
        <v>573</v>
      </c>
      <c r="Q25">
        <v>2023</v>
      </c>
      <c r="X25" t="s">
        <v>574</v>
      </c>
      <c r="Y25" t="s">
        <v>575</v>
      </c>
      <c r="AA25">
        <v>24</v>
      </c>
    </row>
    <row r="26" spans="1:27">
      <c r="A26" s="245" t="s">
        <v>576</v>
      </c>
      <c r="B26" s="241" t="s">
        <v>577</v>
      </c>
      <c r="C26" s="242" t="s">
        <v>578</v>
      </c>
      <c r="D26" t="s">
        <v>579</v>
      </c>
      <c r="E26" t="str">
        <f t="shared" si="0"/>
        <v>BI</v>
      </c>
      <c r="F26" s="314"/>
      <c r="G26" t="s">
        <v>580</v>
      </c>
      <c r="I26" t="s">
        <v>581</v>
      </c>
      <c r="Q26">
        <v>2024</v>
      </c>
      <c r="X26" t="s">
        <v>582</v>
      </c>
      <c r="Y26" t="s">
        <v>583</v>
      </c>
      <c r="AA26">
        <v>25</v>
      </c>
    </row>
    <row r="27" spans="1:27">
      <c r="A27" s="245" t="s">
        <v>584</v>
      </c>
      <c r="B27" s="244" t="s">
        <v>585</v>
      </c>
      <c r="C27" s="242" t="s">
        <v>586</v>
      </c>
      <c r="D27" t="s">
        <v>587</v>
      </c>
      <c r="E27" t="str">
        <f t="shared" si="0"/>
        <v>BJ</v>
      </c>
      <c r="F27" s="314"/>
      <c r="G27" t="s">
        <v>588</v>
      </c>
      <c r="I27" t="s">
        <v>589</v>
      </c>
      <c r="Q27">
        <v>2025</v>
      </c>
      <c r="X27" t="s">
        <v>590</v>
      </c>
      <c r="Y27" t="s">
        <v>591</v>
      </c>
      <c r="AA27">
        <v>26</v>
      </c>
    </row>
    <row r="28" spans="1:27">
      <c r="A28" s="245" t="s">
        <v>592</v>
      </c>
      <c r="B28" s="244" t="s">
        <v>593</v>
      </c>
      <c r="C28" s="242" t="s">
        <v>594</v>
      </c>
      <c r="D28" t="s">
        <v>595</v>
      </c>
      <c r="E28" t="str">
        <f t="shared" si="0"/>
        <v>BL</v>
      </c>
      <c r="F28" s="314"/>
      <c r="G28" t="s">
        <v>596</v>
      </c>
      <c r="I28" t="s">
        <v>597</v>
      </c>
      <c r="Q28">
        <v>2026</v>
      </c>
      <c r="X28" t="s">
        <v>598</v>
      </c>
      <c r="Y28" t="s">
        <v>599</v>
      </c>
      <c r="AA28">
        <v>27</v>
      </c>
    </row>
    <row r="29" spans="1:27">
      <c r="A29" s="245" t="s">
        <v>600</v>
      </c>
      <c r="B29" s="241" t="s">
        <v>601</v>
      </c>
      <c r="C29" s="242" t="s">
        <v>602</v>
      </c>
      <c r="D29" t="s">
        <v>603</v>
      </c>
      <c r="E29" t="str">
        <f t="shared" si="0"/>
        <v>BM</v>
      </c>
      <c r="F29" s="314"/>
      <c r="G29" t="s">
        <v>604</v>
      </c>
      <c r="I29" t="s">
        <v>605</v>
      </c>
      <c r="Q29">
        <v>2027</v>
      </c>
      <c r="X29" t="s">
        <v>606</v>
      </c>
      <c r="Y29" t="s">
        <v>607</v>
      </c>
      <c r="AA29">
        <v>28</v>
      </c>
    </row>
    <row r="30" spans="1:27">
      <c r="A30" s="245" t="s">
        <v>17</v>
      </c>
      <c r="B30" s="244" t="s">
        <v>608</v>
      </c>
      <c r="C30" s="242" t="s">
        <v>609</v>
      </c>
      <c r="D30" t="s">
        <v>610</v>
      </c>
      <c r="E30" t="str">
        <f t="shared" si="0"/>
        <v>BN</v>
      </c>
      <c r="F30" s="71"/>
      <c r="G30" t="s">
        <v>611</v>
      </c>
      <c r="I30" t="s">
        <v>612</v>
      </c>
      <c r="Q30">
        <v>2028</v>
      </c>
      <c r="X30" t="s">
        <v>613</v>
      </c>
      <c r="Y30" t="s">
        <v>614</v>
      </c>
      <c r="AA30">
        <v>29</v>
      </c>
    </row>
    <row r="31" spans="1:27">
      <c r="A31" s="245" t="s">
        <v>615</v>
      </c>
      <c r="B31" s="244" t="s">
        <v>616</v>
      </c>
      <c r="C31" s="242" t="s">
        <v>617</v>
      </c>
      <c r="D31" t="s">
        <v>618</v>
      </c>
      <c r="E31" t="str">
        <f t="shared" si="0"/>
        <v>BO</v>
      </c>
      <c r="F31" s="314"/>
      <c r="G31" t="s">
        <v>619</v>
      </c>
      <c r="I31" t="s">
        <v>620</v>
      </c>
      <c r="Q31">
        <v>2029</v>
      </c>
      <c r="X31" t="s">
        <v>621</v>
      </c>
      <c r="Y31" t="s">
        <v>622</v>
      </c>
      <c r="AA31">
        <v>30</v>
      </c>
    </row>
    <row r="32" spans="1:27">
      <c r="A32" s="245" t="s">
        <v>623</v>
      </c>
      <c r="B32" s="241" t="s">
        <v>624</v>
      </c>
      <c r="C32" s="242" t="s">
        <v>625</v>
      </c>
      <c r="D32" t="s">
        <v>626</v>
      </c>
      <c r="E32" t="str">
        <f t="shared" si="0"/>
        <v>BQ</v>
      </c>
      <c r="F32" s="313"/>
      <c r="G32" t="s">
        <v>627</v>
      </c>
      <c r="I32" t="s">
        <v>628</v>
      </c>
      <c r="Q32">
        <v>2030</v>
      </c>
      <c r="X32" t="s">
        <v>629</v>
      </c>
      <c r="Y32" t="s">
        <v>630</v>
      </c>
      <c r="AA32">
        <v>31</v>
      </c>
    </row>
    <row r="33" spans="1:25">
      <c r="A33" s="245" t="s">
        <v>631</v>
      </c>
      <c r="B33" s="244" t="s">
        <v>632</v>
      </c>
      <c r="C33" s="242" t="s">
        <v>633</v>
      </c>
      <c r="D33" t="s">
        <v>634</v>
      </c>
      <c r="E33" t="str">
        <f t="shared" si="0"/>
        <v>BR</v>
      </c>
      <c r="F33" s="313"/>
      <c r="G33" t="s">
        <v>635</v>
      </c>
      <c r="I33" t="s">
        <v>636</v>
      </c>
      <c r="Q33">
        <v>2031</v>
      </c>
      <c r="X33" t="s">
        <v>637</v>
      </c>
      <c r="Y33" t="s">
        <v>638</v>
      </c>
    </row>
    <row r="34" spans="1:25">
      <c r="A34" s="244" t="s">
        <v>400</v>
      </c>
      <c r="B34" s="244" t="s">
        <v>639</v>
      </c>
      <c r="C34" s="242" t="s">
        <v>640</v>
      </c>
      <c r="D34" t="s">
        <v>641</v>
      </c>
      <c r="E34" t="str">
        <f t="shared" si="0"/>
        <v>BS</v>
      </c>
      <c r="F34" s="313"/>
      <c r="G34" t="s">
        <v>642</v>
      </c>
      <c r="I34" t="s">
        <v>643</v>
      </c>
      <c r="Q34">
        <v>2032</v>
      </c>
      <c r="X34" t="s">
        <v>644</v>
      </c>
      <c r="Y34" t="s">
        <v>645</v>
      </c>
    </row>
    <row r="35" spans="1:25">
      <c r="A35" s="245" t="s">
        <v>646</v>
      </c>
      <c r="B35" s="242" t="s">
        <v>647</v>
      </c>
      <c r="C35" s="242" t="s">
        <v>648</v>
      </c>
      <c r="D35" t="s">
        <v>649</v>
      </c>
      <c r="E35" t="str">
        <f t="shared" si="0"/>
        <v>BT</v>
      </c>
      <c r="F35" s="314"/>
      <c r="G35" t="s">
        <v>650</v>
      </c>
      <c r="I35" t="s">
        <v>651</v>
      </c>
      <c r="Q35">
        <v>2033</v>
      </c>
      <c r="X35" t="s">
        <v>652</v>
      </c>
      <c r="Y35" t="s">
        <v>653</v>
      </c>
    </row>
    <row r="36" spans="1:25">
      <c r="A36" s="244" t="s">
        <v>411</v>
      </c>
      <c r="B36" s="241" t="s">
        <v>654</v>
      </c>
      <c r="C36" s="242" t="s">
        <v>655</v>
      </c>
      <c r="D36" t="s">
        <v>656</v>
      </c>
      <c r="E36" t="str">
        <f t="shared" si="0"/>
        <v>BU</v>
      </c>
      <c r="F36" s="314"/>
      <c r="G36" t="s">
        <v>657</v>
      </c>
      <c r="I36" t="s">
        <v>658</v>
      </c>
      <c r="Q36">
        <v>2034</v>
      </c>
      <c r="X36" t="s">
        <v>659</v>
      </c>
      <c r="Y36" t="s">
        <v>660</v>
      </c>
    </row>
    <row r="37" spans="1:25">
      <c r="A37" s="245" t="s">
        <v>661</v>
      </c>
      <c r="B37" s="244" t="s">
        <v>662</v>
      </c>
      <c r="C37" s="242" t="s">
        <v>663</v>
      </c>
      <c r="D37" t="s">
        <v>664</v>
      </c>
      <c r="E37" t="str">
        <f t="shared" si="0"/>
        <v>BV</v>
      </c>
      <c r="F37" s="314"/>
      <c r="G37" t="s">
        <v>665</v>
      </c>
      <c r="I37" t="s">
        <v>666</v>
      </c>
      <c r="Q37">
        <v>2035</v>
      </c>
      <c r="X37" t="s">
        <v>667</v>
      </c>
      <c r="Y37" t="s">
        <v>668</v>
      </c>
    </row>
    <row r="38" spans="1:25">
      <c r="A38" s="245" t="s">
        <v>669</v>
      </c>
      <c r="B38" s="244" t="s">
        <v>670</v>
      </c>
      <c r="C38" s="242" t="s">
        <v>671</v>
      </c>
      <c r="D38" t="s">
        <v>672</v>
      </c>
      <c r="E38" t="str">
        <f t="shared" si="0"/>
        <v>BW</v>
      </c>
      <c r="F38" s="314"/>
      <c r="G38" t="s">
        <v>673</v>
      </c>
      <c r="I38" t="s">
        <v>674</v>
      </c>
      <c r="Q38">
        <v>2036</v>
      </c>
      <c r="X38" t="s">
        <v>675</v>
      </c>
      <c r="Y38" t="s">
        <v>676</v>
      </c>
    </row>
    <row r="39" spans="1:25">
      <c r="A39" s="245" t="s">
        <v>677</v>
      </c>
      <c r="B39" s="244" t="s">
        <v>678</v>
      </c>
      <c r="C39" s="242" t="s">
        <v>679</v>
      </c>
      <c r="D39" t="s">
        <v>680</v>
      </c>
      <c r="E39" t="str">
        <f t="shared" si="0"/>
        <v>BY</v>
      </c>
      <c r="F39" s="314"/>
      <c r="G39" t="s">
        <v>681</v>
      </c>
      <c r="I39" t="s">
        <v>682</v>
      </c>
      <c r="Q39">
        <v>2037</v>
      </c>
      <c r="X39" t="s">
        <v>683</v>
      </c>
      <c r="Y39" t="s">
        <v>684</v>
      </c>
    </row>
    <row r="40" spans="1:25">
      <c r="A40" s="244" t="s">
        <v>422</v>
      </c>
      <c r="B40" s="244" t="s">
        <v>685</v>
      </c>
      <c r="C40" s="242" t="s">
        <v>686</v>
      </c>
      <c r="D40" t="s">
        <v>687</v>
      </c>
      <c r="E40" t="str">
        <f t="shared" si="0"/>
        <v>BZ</v>
      </c>
      <c r="F40" s="314"/>
      <c r="G40" t="s">
        <v>688</v>
      </c>
      <c r="I40" t="s">
        <v>689</v>
      </c>
      <c r="Q40">
        <v>2038</v>
      </c>
      <c r="X40" t="s">
        <v>690</v>
      </c>
      <c r="Y40" t="s">
        <v>691</v>
      </c>
    </row>
    <row r="41" spans="1:25">
      <c r="A41" s="245" t="s">
        <v>692</v>
      </c>
      <c r="B41" s="244" t="s">
        <v>693</v>
      </c>
      <c r="C41" s="242" t="s">
        <v>694</v>
      </c>
      <c r="D41" t="s">
        <v>695</v>
      </c>
      <c r="E41" t="str">
        <f t="shared" si="0"/>
        <v>CA</v>
      </c>
      <c r="F41" s="314"/>
      <c r="G41" t="s">
        <v>696</v>
      </c>
      <c r="I41" t="s">
        <v>697</v>
      </c>
      <c r="Q41">
        <v>2039</v>
      </c>
      <c r="X41" t="s">
        <v>698</v>
      </c>
      <c r="Y41" t="s">
        <v>699</v>
      </c>
    </row>
    <row r="42" spans="1:25">
      <c r="A42" s="241" t="s">
        <v>433</v>
      </c>
      <c r="B42" s="244" t="s">
        <v>700</v>
      </c>
      <c r="C42" s="242" t="s">
        <v>701</v>
      </c>
      <c r="D42" t="s">
        <v>702</v>
      </c>
      <c r="E42" t="str">
        <f t="shared" si="0"/>
        <v>CC</v>
      </c>
      <c r="F42" s="314"/>
      <c r="G42" t="s">
        <v>703</v>
      </c>
      <c r="I42" t="s">
        <v>704</v>
      </c>
      <c r="Q42">
        <v>2040</v>
      </c>
      <c r="X42" t="s">
        <v>705</v>
      </c>
      <c r="Y42" t="s">
        <v>706</v>
      </c>
    </row>
    <row r="43" spans="1:25">
      <c r="A43" s="244" t="s">
        <v>444</v>
      </c>
      <c r="B43" s="244" t="s">
        <v>707</v>
      </c>
      <c r="C43" s="242" t="s">
        <v>708</v>
      </c>
      <c r="D43" t="s">
        <v>709</v>
      </c>
      <c r="E43" t="str">
        <f t="shared" si="0"/>
        <v>CD</v>
      </c>
      <c r="F43" s="314"/>
      <c r="G43" t="s">
        <v>710</v>
      </c>
      <c r="I43" t="s">
        <v>711</v>
      </c>
      <c r="Q43">
        <v>2041</v>
      </c>
      <c r="X43" t="s">
        <v>712</v>
      </c>
      <c r="Y43" t="s">
        <v>713</v>
      </c>
    </row>
    <row r="44" spans="1:25">
      <c r="A44" s="245" t="s">
        <v>714</v>
      </c>
      <c r="B44" s="244" t="s">
        <v>715</v>
      </c>
      <c r="C44" s="242" t="s">
        <v>716</v>
      </c>
      <c r="D44" t="s">
        <v>717</v>
      </c>
      <c r="E44" t="str">
        <f t="shared" si="0"/>
        <v>CF</v>
      </c>
      <c r="F44" s="314"/>
      <c r="G44" t="s">
        <v>718</v>
      </c>
      <c r="I44" t="s">
        <v>719</v>
      </c>
      <c r="Q44">
        <v>2042</v>
      </c>
      <c r="X44" t="s">
        <v>720</v>
      </c>
      <c r="Y44" t="s">
        <v>721</v>
      </c>
    </row>
    <row r="45" spans="1:25">
      <c r="A45" s="244" t="s">
        <v>455</v>
      </c>
      <c r="B45" s="244" t="s">
        <v>722</v>
      </c>
      <c r="C45" s="242" t="s">
        <v>723</v>
      </c>
      <c r="D45" t="s">
        <v>724</v>
      </c>
      <c r="E45" t="str">
        <f t="shared" si="0"/>
        <v>CG</v>
      </c>
      <c r="F45" s="314"/>
      <c r="G45" t="s">
        <v>725</v>
      </c>
      <c r="I45" t="s">
        <v>726</v>
      </c>
      <c r="Q45">
        <v>2043</v>
      </c>
      <c r="X45" t="s">
        <v>727</v>
      </c>
      <c r="Y45" t="s">
        <v>728</v>
      </c>
    </row>
    <row r="46" spans="1:25">
      <c r="A46" s="245" t="s">
        <v>729</v>
      </c>
      <c r="B46" s="241" t="s">
        <v>730</v>
      </c>
      <c r="C46" s="242" t="s">
        <v>731</v>
      </c>
      <c r="D46" t="s">
        <v>732</v>
      </c>
      <c r="E46" t="str">
        <f t="shared" si="0"/>
        <v>CH</v>
      </c>
      <c r="F46" s="314"/>
      <c r="G46" t="s">
        <v>733</v>
      </c>
      <c r="I46" t="s">
        <v>734</v>
      </c>
      <c r="Q46">
        <v>2044</v>
      </c>
      <c r="X46" t="s">
        <v>735</v>
      </c>
      <c r="Y46" t="s">
        <v>736</v>
      </c>
    </row>
    <row r="47" spans="1:25">
      <c r="A47" s="244" t="s">
        <v>465</v>
      </c>
      <c r="B47" s="244" t="s">
        <v>737</v>
      </c>
      <c r="C47" s="242" t="s">
        <v>738</v>
      </c>
      <c r="D47" t="s">
        <v>739</v>
      </c>
      <c r="E47" t="str">
        <f t="shared" si="0"/>
        <v>CI</v>
      </c>
      <c r="F47" s="71"/>
      <c r="G47" t="s">
        <v>740</v>
      </c>
      <c r="I47" t="s">
        <v>741</v>
      </c>
      <c r="Q47">
        <v>2045</v>
      </c>
      <c r="X47" t="s">
        <v>742</v>
      </c>
      <c r="Y47" t="s">
        <v>743</v>
      </c>
    </row>
    <row r="48" spans="1:25">
      <c r="A48" s="245" t="s">
        <v>744</v>
      </c>
      <c r="B48" s="241" t="s">
        <v>745</v>
      </c>
      <c r="C48" s="242" t="s">
        <v>746</v>
      </c>
      <c r="D48" t="s">
        <v>747</v>
      </c>
      <c r="E48" t="str">
        <f t="shared" si="0"/>
        <v>CK</v>
      </c>
      <c r="F48" s="314"/>
      <c r="G48" t="s">
        <v>748</v>
      </c>
      <c r="I48" t="s">
        <v>749</v>
      </c>
      <c r="Q48">
        <v>2046</v>
      </c>
      <c r="X48" t="s">
        <v>750</v>
      </c>
      <c r="Y48" t="s">
        <v>751</v>
      </c>
    </row>
    <row r="49" spans="1:25">
      <c r="A49" s="244" t="s">
        <v>475</v>
      </c>
      <c r="B49" s="244" t="s">
        <v>752</v>
      </c>
      <c r="C49" s="242" t="s">
        <v>753</v>
      </c>
      <c r="D49" t="s">
        <v>754</v>
      </c>
      <c r="E49" t="str">
        <f t="shared" si="0"/>
        <v>CL</v>
      </c>
      <c r="F49" s="313"/>
      <c r="G49" t="s">
        <v>755</v>
      </c>
      <c r="I49" t="s">
        <v>756</v>
      </c>
      <c r="Q49">
        <v>2047</v>
      </c>
      <c r="X49" t="s">
        <v>757</v>
      </c>
      <c r="Y49" t="s">
        <v>7</v>
      </c>
    </row>
    <row r="50" spans="1:25">
      <c r="A50" s="245" t="s">
        <v>758</v>
      </c>
      <c r="B50" s="241" t="s">
        <v>759</v>
      </c>
      <c r="C50" s="242" t="s">
        <v>760</v>
      </c>
      <c r="D50" t="s">
        <v>761</v>
      </c>
      <c r="E50" t="str">
        <f t="shared" si="0"/>
        <v>CM</v>
      </c>
      <c r="F50" s="314"/>
      <c r="G50" t="s">
        <v>762</v>
      </c>
      <c r="I50" t="s">
        <v>763</v>
      </c>
      <c r="Q50">
        <v>2048</v>
      </c>
      <c r="X50" t="s">
        <v>764</v>
      </c>
      <c r="Y50" t="s">
        <v>765</v>
      </c>
    </row>
    <row r="51" spans="1:25">
      <c r="A51" s="241" t="s">
        <v>484</v>
      </c>
      <c r="B51" s="244" t="s">
        <v>766</v>
      </c>
      <c r="C51" s="242" t="s">
        <v>767</v>
      </c>
      <c r="D51" t="s">
        <v>768</v>
      </c>
      <c r="E51" t="str">
        <f t="shared" si="0"/>
        <v>CN</v>
      </c>
      <c r="F51" s="314"/>
      <c r="G51" t="s">
        <v>769</v>
      </c>
      <c r="I51" t="s">
        <v>770</v>
      </c>
      <c r="Q51">
        <v>2049</v>
      </c>
      <c r="X51" t="s">
        <v>771</v>
      </c>
      <c r="Y51" t="s">
        <v>772</v>
      </c>
    </row>
    <row r="52" spans="1:25">
      <c r="A52" s="244" t="s">
        <v>493</v>
      </c>
      <c r="B52" s="244" t="s">
        <v>773</v>
      </c>
      <c r="C52" s="242" t="s">
        <v>774</v>
      </c>
      <c r="D52" t="s">
        <v>775</v>
      </c>
      <c r="E52" t="str">
        <f t="shared" si="0"/>
        <v>CO</v>
      </c>
      <c r="F52" s="314"/>
      <c r="G52" t="s">
        <v>776</v>
      </c>
      <c r="I52" t="s">
        <v>777</v>
      </c>
      <c r="Q52">
        <v>2050</v>
      </c>
      <c r="X52" t="s">
        <v>778</v>
      </c>
      <c r="Y52" t="s">
        <v>779</v>
      </c>
    </row>
    <row r="53" spans="1:25">
      <c r="A53" s="245" t="s">
        <v>780</v>
      </c>
      <c r="B53" s="244" t="s">
        <v>781</v>
      </c>
      <c r="C53" s="242" t="s">
        <v>782</v>
      </c>
      <c r="D53" t="s">
        <v>783</v>
      </c>
      <c r="E53" t="str">
        <f t="shared" si="0"/>
        <v>CR</v>
      </c>
      <c r="F53" s="71"/>
      <c r="G53" t="s">
        <v>784</v>
      </c>
      <c r="I53" t="s">
        <v>785</v>
      </c>
      <c r="Q53">
        <v>2051</v>
      </c>
      <c r="X53" t="s">
        <v>786</v>
      </c>
      <c r="Y53" t="s">
        <v>787</v>
      </c>
    </row>
    <row r="54" spans="1:25">
      <c r="A54" s="245" t="s">
        <v>788</v>
      </c>
      <c r="B54" s="244" t="s">
        <v>789</v>
      </c>
      <c r="C54" s="242" t="s">
        <v>790</v>
      </c>
      <c r="D54" t="s">
        <v>791</v>
      </c>
      <c r="E54" t="str">
        <f t="shared" si="0"/>
        <v>CS</v>
      </c>
      <c r="F54" s="314"/>
      <c r="G54" t="s">
        <v>792</v>
      </c>
      <c r="I54" t="s">
        <v>793</v>
      </c>
      <c r="Q54">
        <v>2052</v>
      </c>
      <c r="X54" t="s">
        <v>794</v>
      </c>
      <c r="Y54" t="s">
        <v>795</v>
      </c>
    </row>
    <row r="55" spans="1:25">
      <c r="A55" s="244" t="s">
        <v>502</v>
      </c>
      <c r="B55" s="241" t="s">
        <v>796</v>
      </c>
      <c r="C55" s="242" t="s">
        <v>797</v>
      </c>
      <c r="D55" t="s">
        <v>798</v>
      </c>
      <c r="E55" t="str">
        <f t="shared" si="0"/>
        <v>CU</v>
      </c>
      <c r="F55" s="314"/>
      <c r="G55" t="s">
        <v>799</v>
      </c>
      <c r="I55" t="s">
        <v>800</v>
      </c>
      <c r="Q55">
        <v>2053</v>
      </c>
      <c r="X55" t="s">
        <v>801</v>
      </c>
      <c r="Y55" t="s">
        <v>802</v>
      </c>
    </row>
    <row r="56" spans="1:25">
      <c r="A56" s="245" t="s">
        <v>803</v>
      </c>
      <c r="B56" s="244" t="s">
        <v>804</v>
      </c>
      <c r="C56" s="242" t="s">
        <v>805</v>
      </c>
      <c r="D56" t="s">
        <v>806</v>
      </c>
      <c r="E56" t="str">
        <f t="shared" si="0"/>
        <v>CV</v>
      </c>
      <c r="F56" s="314"/>
      <c r="G56" t="s">
        <v>807</v>
      </c>
      <c r="I56" t="s">
        <v>808</v>
      </c>
      <c r="Q56">
        <v>2054</v>
      </c>
      <c r="X56" t="s">
        <v>809</v>
      </c>
      <c r="Y56" t="s">
        <v>810</v>
      </c>
    </row>
    <row r="57" spans="1:25">
      <c r="A57" s="245" t="s">
        <v>811</v>
      </c>
      <c r="B57" s="244" t="s">
        <v>812</v>
      </c>
      <c r="C57" s="242" t="s">
        <v>813</v>
      </c>
      <c r="D57" t="s">
        <v>814</v>
      </c>
      <c r="E57" t="str">
        <f t="shared" si="0"/>
        <v>CW</v>
      </c>
      <c r="F57" s="314"/>
      <c r="G57" t="s">
        <v>815</v>
      </c>
      <c r="I57" t="s">
        <v>816</v>
      </c>
      <c r="Q57">
        <v>2055</v>
      </c>
      <c r="X57" t="s">
        <v>817</v>
      </c>
      <c r="Y57" t="s">
        <v>818</v>
      </c>
    </row>
    <row r="58" spans="1:25">
      <c r="A58" s="244" t="s">
        <v>511</v>
      </c>
      <c r="B58" s="241" t="s">
        <v>819</v>
      </c>
      <c r="C58" s="242" t="s">
        <v>820</v>
      </c>
      <c r="D58" t="s">
        <v>821</v>
      </c>
      <c r="E58" t="str">
        <f t="shared" si="0"/>
        <v>CX</v>
      </c>
      <c r="F58" s="314"/>
      <c r="G58" t="s">
        <v>822</v>
      </c>
      <c r="I58" t="s">
        <v>823</v>
      </c>
      <c r="Q58">
        <v>2056</v>
      </c>
      <c r="X58" t="s">
        <v>824</v>
      </c>
      <c r="Y58" t="s">
        <v>825</v>
      </c>
    </row>
    <row r="59" spans="1:25">
      <c r="A59" s="245" t="s">
        <v>826</v>
      </c>
      <c r="B59" s="244" t="s">
        <v>827</v>
      </c>
      <c r="C59" s="242" t="s">
        <v>828</v>
      </c>
      <c r="D59" t="s">
        <v>829</v>
      </c>
      <c r="E59" t="str">
        <f t="shared" si="0"/>
        <v>CY</v>
      </c>
      <c r="F59" s="314"/>
      <c r="G59" t="s">
        <v>830</v>
      </c>
      <c r="I59" t="s">
        <v>831</v>
      </c>
      <c r="Q59">
        <v>2057</v>
      </c>
      <c r="X59" t="s">
        <v>832</v>
      </c>
      <c r="Y59" t="s">
        <v>833</v>
      </c>
    </row>
    <row r="60" spans="1:25">
      <c r="A60" s="242" t="s">
        <v>647</v>
      </c>
      <c r="B60" s="244" t="s">
        <v>834</v>
      </c>
      <c r="C60" s="242" t="s">
        <v>835</v>
      </c>
      <c r="D60" t="s">
        <v>836</v>
      </c>
      <c r="E60" t="str">
        <f t="shared" si="0"/>
        <v>CZ</v>
      </c>
      <c r="F60" s="314"/>
      <c r="G60" t="s">
        <v>837</v>
      </c>
      <c r="I60" t="s">
        <v>838</v>
      </c>
      <c r="Q60">
        <v>2058</v>
      </c>
      <c r="X60" t="s">
        <v>839</v>
      </c>
      <c r="Y60" t="s">
        <v>840</v>
      </c>
    </row>
    <row r="61" spans="1:25">
      <c r="A61" s="241" t="s">
        <v>528</v>
      </c>
      <c r="B61" s="241" t="s">
        <v>841</v>
      </c>
      <c r="C61" s="242" t="s">
        <v>842</v>
      </c>
      <c r="D61" t="s">
        <v>843</v>
      </c>
      <c r="E61" t="str">
        <f t="shared" si="0"/>
        <v>DE</v>
      </c>
      <c r="F61" s="71"/>
      <c r="G61" t="s">
        <v>844</v>
      </c>
      <c r="I61" t="s">
        <v>845</v>
      </c>
      <c r="Q61">
        <v>2059</v>
      </c>
      <c r="X61" t="s">
        <v>846</v>
      </c>
      <c r="Y61" t="s">
        <v>847</v>
      </c>
    </row>
    <row r="62" spans="1:25">
      <c r="A62" s="244" t="s">
        <v>537</v>
      </c>
      <c r="B62" s="244" t="s">
        <v>848</v>
      </c>
      <c r="C62" s="242" t="s">
        <v>849</v>
      </c>
      <c r="D62" t="s">
        <v>850</v>
      </c>
      <c r="E62" t="str">
        <f t="shared" si="0"/>
        <v>DJ</v>
      </c>
      <c r="F62" s="314"/>
      <c r="G62" t="s">
        <v>851</v>
      </c>
      <c r="I62" t="s">
        <v>852</v>
      </c>
      <c r="Q62">
        <v>2060</v>
      </c>
      <c r="X62" t="s">
        <v>853</v>
      </c>
      <c r="Y62" t="s">
        <v>854</v>
      </c>
    </row>
    <row r="63" spans="1:25">
      <c r="A63" s="245" t="s">
        <v>855</v>
      </c>
      <c r="B63" s="244" t="s">
        <v>856</v>
      </c>
      <c r="C63" s="242" t="s">
        <v>857</v>
      </c>
      <c r="D63" t="s">
        <v>858</v>
      </c>
      <c r="E63" t="str">
        <f t="shared" si="0"/>
        <v>DK</v>
      </c>
      <c r="F63" s="314"/>
      <c r="G63" t="s">
        <v>859</v>
      </c>
      <c r="I63" t="s">
        <v>860</v>
      </c>
      <c r="Q63">
        <v>2061</v>
      </c>
      <c r="X63" t="s">
        <v>861</v>
      </c>
      <c r="Y63" t="s">
        <v>862</v>
      </c>
    </row>
    <row r="64" spans="1:25">
      <c r="A64" s="244" t="s">
        <v>546</v>
      </c>
      <c r="B64" s="241" t="s">
        <v>863</v>
      </c>
      <c r="C64" s="242" t="s">
        <v>864</v>
      </c>
      <c r="D64" t="s">
        <v>865</v>
      </c>
      <c r="E64" t="str">
        <f t="shared" si="0"/>
        <v>DM</v>
      </c>
      <c r="F64" s="314"/>
      <c r="G64" t="s">
        <v>866</v>
      </c>
      <c r="I64" t="s">
        <v>867</v>
      </c>
      <c r="Q64">
        <v>2062</v>
      </c>
      <c r="X64" t="s">
        <v>868</v>
      </c>
      <c r="Y64" t="s">
        <v>869</v>
      </c>
    </row>
    <row r="65" spans="1:25">
      <c r="A65" s="245" t="s">
        <v>870</v>
      </c>
      <c r="B65" s="244" t="s">
        <v>871</v>
      </c>
      <c r="C65" s="242" t="s">
        <v>872</v>
      </c>
      <c r="D65" t="s">
        <v>873</v>
      </c>
      <c r="E65" t="str">
        <f t="shared" si="0"/>
        <v>DO</v>
      </c>
      <c r="F65" s="314"/>
      <c r="G65" t="s">
        <v>874</v>
      </c>
      <c r="I65" t="s">
        <v>875</v>
      </c>
      <c r="Q65">
        <v>2063</v>
      </c>
      <c r="X65" t="s">
        <v>876</v>
      </c>
      <c r="Y65" t="s">
        <v>877</v>
      </c>
    </row>
    <row r="66" spans="1:25">
      <c r="A66" s="241" t="s">
        <v>554</v>
      </c>
      <c r="B66" s="244" t="s">
        <v>878</v>
      </c>
      <c r="C66" s="242" t="s">
        <v>879</v>
      </c>
      <c r="D66" t="s">
        <v>880</v>
      </c>
      <c r="E66" t="str">
        <f t="shared" si="0"/>
        <v>DZ</v>
      </c>
      <c r="F66" s="71"/>
      <c r="G66" t="s">
        <v>881</v>
      </c>
      <c r="I66" t="s">
        <v>882</v>
      </c>
      <c r="Q66">
        <v>2064</v>
      </c>
      <c r="X66" t="s">
        <v>883</v>
      </c>
      <c r="Y66" t="s">
        <v>884</v>
      </c>
    </row>
    <row r="67" spans="1:25">
      <c r="A67" s="244" t="s">
        <v>562</v>
      </c>
      <c r="B67" s="241" t="s">
        <v>885</v>
      </c>
      <c r="C67" s="242" t="s">
        <v>886</v>
      </c>
      <c r="D67" t="s">
        <v>887</v>
      </c>
      <c r="E67" t="str">
        <f t="shared" ref="E67:E130" si="1">RIGHT(D67,2)</f>
        <v>EC</v>
      </c>
      <c r="F67" s="314"/>
      <c r="G67" t="s">
        <v>888</v>
      </c>
      <c r="I67" t="s">
        <v>889</v>
      </c>
      <c r="Q67">
        <v>2065</v>
      </c>
      <c r="X67" t="s">
        <v>890</v>
      </c>
      <c r="Y67" t="s">
        <v>891</v>
      </c>
    </row>
    <row r="68" spans="1:25">
      <c r="A68" s="245" t="s">
        <v>892</v>
      </c>
      <c r="B68" s="244" t="s">
        <v>893</v>
      </c>
      <c r="C68" s="242" t="s">
        <v>894</v>
      </c>
      <c r="D68" t="s">
        <v>895</v>
      </c>
      <c r="E68" t="str">
        <f t="shared" si="1"/>
        <v>EE</v>
      </c>
      <c r="F68" s="314"/>
      <c r="G68" t="s">
        <v>896</v>
      </c>
      <c r="I68" t="s">
        <v>897</v>
      </c>
      <c r="Q68">
        <v>2066</v>
      </c>
      <c r="X68" t="s">
        <v>898</v>
      </c>
      <c r="Y68" t="s">
        <v>899</v>
      </c>
    </row>
    <row r="69" spans="1:25">
      <c r="A69" s="244" t="s">
        <v>569</v>
      </c>
      <c r="B69" s="244" t="s">
        <v>900</v>
      </c>
      <c r="C69" s="242" t="s">
        <v>901</v>
      </c>
      <c r="D69" t="s">
        <v>902</v>
      </c>
      <c r="E69" t="str">
        <f t="shared" si="1"/>
        <v>EG</v>
      </c>
      <c r="F69" s="313"/>
      <c r="G69" t="s">
        <v>903</v>
      </c>
      <c r="I69" t="s">
        <v>904</v>
      </c>
      <c r="Q69">
        <v>2067</v>
      </c>
      <c r="X69" t="s">
        <v>905</v>
      </c>
      <c r="Y69" t="s">
        <v>906</v>
      </c>
    </row>
    <row r="70" spans="1:25">
      <c r="A70" s="245" t="s">
        <v>907</v>
      </c>
      <c r="B70" s="241" t="s">
        <v>908</v>
      </c>
      <c r="C70" s="242" t="s">
        <v>909</v>
      </c>
      <c r="D70" t="s">
        <v>910</v>
      </c>
      <c r="E70" t="str">
        <f t="shared" si="1"/>
        <v>EH</v>
      </c>
      <c r="F70" s="313"/>
      <c r="G70" t="s">
        <v>911</v>
      </c>
      <c r="I70" t="s">
        <v>912</v>
      </c>
      <c r="Q70">
        <v>2068</v>
      </c>
      <c r="X70" t="s">
        <v>913</v>
      </c>
      <c r="Y70" t="s">
        <v>914</v>
      </c>
    </row>
    <row r="71" spans="1:25">
      <c r="A71" s="241" t="s">
        <v>577</v>
      </c>
      <c r="B71" s="244" t="s">
        <v>915</v>
      </c>
      <c r="C71" s="242" t="s">
        <v>916</v>
      </c>
      <c r="D71" t="s">
        <v>917</v>
      </c>
      <c r="E71" t="str">
        <f t="shared" si="1"/>
        <v>ER</v>
      </c>
      <c r="F71" s="313"/>
      <c r="G71" t="s">
        <v>918</v>
      </c>
      <c r="I71" t="s">
        <v>919</v>
      </c>
      <c r="Q71">
        <v>2069</v>
      </c>
      <c r="X71" t="s">
        <v>920</v>
      </c>
      <c r="Y71" t="s">
        <v>921</v>
      </c>
    </row>
    <row r="72" spans="1:25">
      <c r="A72" s="244" t="s">
        <v>585</v>
      </c>
      <c r="B72" s="244" t="s">
        <v>922</v>
      </c>
      <c r="C72" s="242" t="s">
        <v>923</v>
      </c>
      <c r="D72" t="s">
        <v>924</v>
      </c>
      <c r="E72" t="str">
        <f t="shared" si="1"/>
        <v>ES</v>
      </c>
      <c r="F72" s="313"/>
      <c r="G72" t="s">
        <v>925</v>
      </c>
      <c r="I72" t="s">
        <v>926</v>
      </c>
      <c r="Q72">
        <v>2070</v>
      </c>
      <c r="X72" t="s">
        <v>927</v>
      </c>
      <c r="Y72" t="s">
        <v>928</v>
      </c>
    </row>
    <row r="73" spans="1:25">
      <c r="A73" s="245" t="s">
        <v>929</v>
      </c>
      <c r="B73" s="241" t="s">
        <v>930</v>
      </c>
      <c r="C73" s="242" t="s">
        <v>931</v>
      </c>
      <c r="D73" t="s">
        <v>932</v>
      </c>
      <c r="E73" t="str">
        <f t="shared" si="1"/>
        <v>ET</v>
      </c>
      <c r="F73" s="313"/>
      <c r="G73" t="s">
        <v>933</v>
      </c>
      <c r="I73" t="s">
        <v>934</v>
      </c>
      <c r="Q73">
        <v>2071</v>
      </c>
      <c r="X73" t="s">
        <v>935</v>
      </c>
      <c r="Y73" t="s">
        <v>936</v>
      </c>
    </row>
    <row r="74" spans="1:25">
      <c r="A74" s="244" t="s">
        <v>593</v>
      </c>
      <c r="B74" s="244" t="s">
        <v>937</v>
      </c>
      <c r="C74" s="242" t="s">
        <v>938</v>
      </c>
      <c r="D74" t="s">
        <v>939</v>
      </c>
      <c r="E74" t="str">
        <f t="shared" si="1"/>
        <v>FI</v>
      </c>
      <c r="F74" s="313"/>
      <c r="G74" t="s">
        <v>940</v>
      </c>
      <c r="I74" t="s">
        <v>941</v>
      </c>
      <c r="Q74">
        <v>2072</v>
      </c>
      <c r="X74" t="s">
        <v>942</v>
      </c>
      <c r="Y74" t="s">
        <v>943</v>
      </c>
    </row>
    <row r="75" spans="1:25">
      <c r="A75" s="245" t="s">
        <v>944</v>
      </c>
      <c r="B75" s="244" t="s">
        <v>945</v>
      </c>
      <c r="C75" s="242" t="s">
        <v>946</v>
      </c>
      <c r="D75" t="s">
        <v>947</v>
      </c>
      <c r="E75" t="str">
        <f t="shared" si="1"/>
        <v>FJ</v>
      </c>
      <c r="F75" s="314"/>
      <c r="G75" t="s">
        <v>948</v>
      </c>
      <c r="I75" t="s">
        <v>949</v>
      </c>
      <c r="Q75">
        <v>2073</v>
      </c>
      <c r="X75" t="s">
        <v>950</v>
      </c>
      <c r="Y75" t="s">
        <v>951</v>
      </c>
    </row>
    <row r="76" spans="1:25">
      <c r="A76" s="245" t="s">
        <v>952</v>
      </c>
      <c r="B76" s="244" t="s">
        <v>953</v>
      </c>
      <c r="C76" s="242" t="s">
        <v>954</v>
      </c>
      <c r="D76" t="s">
        <v>955</v>
      </c>
      <c r="E76" t="str">
        <f t="shared" si="1"/>
        <v>FK</v>
      </c>
      <c r="F76" s="314"/>
      <c r="G76" t="s">
        <v>956</v>
      </c>
      <c r="I76" t="s">
        <v>957</v>
      </c>
      <c r="Q76">
        <v>2074</v>
      </c>
      <c r="X76" t="s">
        <v>958</v>
      </c>
      <c r="Y76" t="s">
        <v>959</v>
      </c>
    </row>
    <row r="77" spans="1:25">
      <c r="A77" s="241" t="s">
        <v>601</v>
      </c>
      <c r="B77" s="244" t="s">
        <v>960</v>
      </c>
      <c r="C77" s="242" t="s">
        <v>961</v>
      </c>
      <c r="D77" t="s">
        <v>962</v>
      </c>
      <c r="E77" t="str">
        <f t="shared" si="1"/>
        <v>FM</v>
      </c>
      <c r="F77" s="314"/>
      <c r="G77" t="s">
        <v>963</v>
      </c>
      <c r="I77" t="s">
        <v>964</v>
      </c>
      <c r="Q77">
        <v>2075</v>
      </c>
      <c r="X77" t="s">
        <v>965</v>
      </c>
      <c r="Y77" t="s">
        <v>966</v>
      </c>
    </row>
    <row r="78" spans="1:25">
      <c r="A78" s="244" t="s">
        <v>608</v>
      </c>
      <c r="B78" s="244" t="s">
        <v>967</v>
      </c>
      <c r="C78" s="242" t="s">
        <v>968</v>
      </c>
      <c r="D78" t="s">
        <v>969</v>
      </c>
      <c r="E78" t="str">
        <f t="shared" si="1"/>
        <v>FO</v>
      </c>
      <c r="F78" s="314"/>
      <c r="G78" t="s">
        <v>970</v>
      </c>
      <c r="I78" t="s">
        <v>971</v>
      </c>
      <c r="Q78">
        <v>2076</v>
      </c>
      <c r="X78" t="s">
        <v>972</v>
      </c>
      <c r="Y78" t="s">
        <v>973</v>
      </c>
    </row>
    <row r="79" spans="1:25">
      <c r="A79" s="245" t="s">
        <v>974</v>
      </c>
      <c r="B79" s="244" t="s">
        <v>975</v>
      </c>
      <c r="C79" s="242" t="s">
        <v>976</v>
      </c>
      <c r="D79" t="s">
        <v>977</v>
      </c>
      <c r="E79" t="str">
        <f t="shared" si="1"/>
        <v>FR</v>
      </c>
      <c r="F79" s="314"/>
      <c r="G79" t="s">
        <v>978</v>
      </c>
      <c r="I79" t="s">
        <v>979</v>
      </c>
      <c r="Q79">
        <v>2077</v>
      </c>
      <c r="X79" t="s">
        <v>980</v>
      </c>
      <c r="Y79" t="s">
        <v>981</v>
      </c>
    </row>
    <row r="80" spans="1:25">
      <c r="A80" s="245" t="s">
        <v>982</v>
      </c>
      <c r="B80" s="241" t="s">
        <v>983</v>
      </c>
      <c r="C80" s="242" t="s">
        <v>984</v>
      </c>
      <c r="D80" t="s">
        <v>985</v>
      </c>
      <c r="E80" t="str">
        <f t="shared" si="1"/>
        <v>GA</v>
      </c>
      <c r="F80" s="314"/>
      <c r="G80" t="s">
        <v>986</v>
      </c>
      <c r="I80" t="s">
        <v>987</v>
      </c>
      <c r="Q80">
        <v>2078</v>
      </c>
      <c r="X80" t="s">
        <v>988</v>
      </c>
      <c r="Y80" t="s">
        <v>989</v>
      </c>
    </row>
    <row r="81" spans="1:25">
      <c r="A81" s="244" t="s">
        <v>616</v>
      </c>
      <c r="B81" s="244" t="s">
        <v>990</v>
      </c>
      <c r="C81" s="242" t="s">
        <v>991</v>
      </c>
      <c r="D81" t="s">
        <v>992</v>
      </c>
      <c r="E81" t="str">
        <f t="shared" si="1"/>
        <v>GB</v>
      </c>
      <c r="F81" s="313"/>
      <c r="G81" t="s">
        <v>993</v>
      </c>
      <c r="I81" t="s">
        <v>994</v>
      </c>
      <c r="Q81">
        <v>2079</v>
      </c>
      <c r="X81" t="s">
        <v>995</v>
      </c>
      <c r="Y81" t="s">
        <v>996</v>
      </c>
    </row>
    <row r="82" spans="1:25">
      <c r="A82" s="245" t="s">
        <v>997</v>
      </c>
      <c r="B82" s="244" t="s">
        <v>998</v>
      </c>
      <c r="C82" s="242" t="s">
        <v>999</v>
      </c>
      <c r="D82" t="s">
        <v>1000</v>
      </c>
      <c r="E82" t="str">
        <f t="shared" si="1"/>
        <v>GD</v>
      </c>
      <c r="F82" s="313"/>
      <c r="G82" t="s">
        <v>1001</v>
      </c>
      <c r="I82" t="s">
        <v>1002</v>
      </c>
      <c r="Q82">
        <v>2080</v>
      </c>
      <c r="X82" t="s">
        <v>1003</v>
      </c>
      <c r="Y82" t="s">
        <v>1004</v>
      </c>
    </row>
    <row r="83" spans="1:25">
      <c r="A83" s="245" t="s">
        <v>1005</v>
      </c>
      <c r="B83" s="241" t="s">
        <v>1006</v>
      </c>
      <c r="C83" s="242" t="s">
        <v>1007</v>
      </c>
      <c r="D83" t="s">
        <v>1008</v>
      </c>
      <c r="E83" t="str">
        <f t="shared" si="1"/>
        <v>GE</v>
      </c>
      <c r="F83" s="313"/>
      <c r="G83" t="s">
        <v>1009</v>
      </c>
      <c r="I83" t="s">
        <v>1010</v>
      </c>
      <c r="Q83">
        <v>2081</v>
      </c>
      <c r="X83" t="s">
        <v>1011</v>
      </c>
      <c r="Y83" t="s">
        <v>1012</v>
      </c>
    </row>
    <row r="84" spans="1:25">
      <c r="A84" s="245" t="s">
        <v>1013</v>
      </c>
      <c r="B84" s="244" t="s">
        <v>1014</v>
      </c>
      <c r="C84" s="242" t="s">
        <v>1015</v>
      </c>
      <c r="D84" t="s">
        <v>1016</v>
      </c>
      <c r="E84" t="str">
        <f t="shared" si="1"/>
        <v>GF</v>
      </c>
      <c r="F84" s="314"/>
      <c r="G84" t="s">
        <v>1017</v>
      </c>
      <c r="I84" t="s">
        <v>1018</v>
      </c>
      <c r="Q84">
        <v>2082</v>
      </c>
      <c r="X84" t="s">
        <v>1019</v>
      </c>
      <c r="Y84" t="s">
        <v>1020</v>
      </c>
    </row>
    <row r="85" spans="1:25">
      <c r="A85" s="245" t="s">
        <v>1021</v>
      </c>
      <c r="B85" s="244" t="s">
        <v>1022</v>
      </c>
      <c r="C85" s="242" t="s">
        <v>1023</v>
      </c>
      <c r="D85" t="s">
        <v>1024</v>
      </c>
      <c r="E85" t="str">
        <f t="shared" si="1"/>
        <v>GG</v>
      </c>
      <c r="F85" s="314"/>
      <c r="G85" t="s">
        <v>1025</v>
      </c>
      <c r="I85" t="s">
        <v>1026</v>
      </c>
      <c r="Q85">
        <v>2083</v>
      </c>
      <c r="X85" t="s">
        <v>1027</v>
      </c>
      <c r="Y85" t="s">
        <v>1028</v>
      </c>
    </row>
    <row r="86" spans="1:25">
      <c r="A86" s="241" t="s">
        <v>624</v>
      </c>
      <c r="B86" s="241" t="s">
        <v>1029</v>
      </c>
      <c r="C86" s="242" t="s">
        <v>1030</v>
      </c>
      <c r="D86" t="s">
        <v>1031</v>
      </c>
      <c r="E86" t="str">
        <f t="shared" si="1"/>
        <v>GH</v>
      </c>
      <c r="F86" s="71"/>
      <c r="G86" t="s">
        <v>1032</v>
      </c>
      <c r="I86" t="s">
        <v>1033</v>
      </c>
      <c r="Q86">
        <v>2084</v>
      </c>
      <c r="X86" t="s">
        <v>1034</v>
      </c>
      <c r="Y86" t="s">
        <v>1035</v>
      </c>
    </row>
    <row r="87" spans="1:25">
      <c r="A87" s="244" t="s">
        <v>632</v>
      </c>
      <c r="B87" s="244" t="s">
        <v>1036</v>
      </c>
      <c r="C87" s="242" t="s">
        <v>1037</v>
      </c>
      <c r="D87" t="s">
        <v>1038</v>
      </c>
      <c r="E87" t="str">
        <f t="shared" si="1"/>
        <v>GI</v>
      </c>
      <c r="F87" s="314"/>
      <c r="G87" t="s">
        <v>1039</v>
      </c>
      <c r="I87" t="s">
        <v>1040</v>
      </c>
      <c r="Q87">
        <v>2085</v>
      </c>
      <c r="X87" t="s">
        <v>1041</v>
      </c>
      <c r="Y87" t="s">
        <v>1042</v>
      </c>
    </row>
    <row r="88" spans="1:25">
      <c r="A88" s="245" t="s">
        <v>1043</v>
      </c>
      <c r="B88" s="244" t="s">
        <v>1044</v>
      </c>
      <c r="C88" s="242" t="s">
        <v>1045</v>
      </c>
      <c r="D88" t="s">
        <v>1046</v>
      </c>
      <c r="E88" t="str">
        <f t="shared" si="1"/>
        <v>GL</v>
      </c>
      <c r="F88" s="314"/>
      <c r="G88" t="s">
        <v>1047</v>
      </c>
      <c r="I88" t="s">
        <v>1048</v>
      </c>
      <c r="Q88">
        <v>2086</v>
      </c>
      <c r="X88" t="s">
        <v>1049</v>
      </c>
      <c r="Y88" t="s">
        <v>1050</v>
      </c>
    </row>
    <row r="89" spans="1:25">
      <c r="A89" s="244" t="s">
        <v>639</v>
      </c>
      <c r="B89" s="244" t="s">
        <v>1051</v>
      </c>
      <c r="C89" s="242" t="s">
        <v>1052</v>
      </c>
      <c r="D89" t="s">
        <v>1053</v>
      </c>
      <c r="E89" t="str">
        <f t="shared" si="1"/>
        <v>GM</v>
      </c>
      <c r="F89" s="314"/>
      <c r="G89" t="s">
        <v>1054</v>
      </c>
      <c r="I89" t="s">
        <v>1055</v>
      </c>
      <c r="Q89">
        <v>2087</v>
      </c>
      <c r="X89" t="s">
        <v>1056</v>
      </c>
      <c r="Y89" t="s">
        <v>1057</v>
      </c>
    </row>
    <row r="90" spans="1:25">
      <c r="A90" s="245" t="s">
        <v>1058</v>
      </c>
      <c r="B90" s="244" t="s">
        <v>1059</v>
      </c>
      <c r="C90" s="242" t="s">
        <v>1060</v>
      </c>
      <c r="D90" t="s">
        <v>1061</v>
      </c>
      <c r="E90" t="str">
        <f t="shared" si="1"/>
        <v>GN</v>
      </c>
      <c r="F90" s="314"/>
      <c r="G90" t="s">
        <v>1062</v>
      </c>
      <c r="I90" t="s">
        <v>1063</v>
      </c>
      <c r="Q90">
        <v>2088</v>
      </c>
      <c r="X90" t="s">
        <v>1064</v>
      </c>
      <c r="Y90" t="s">
        <v>1065</v>
      </c>
    </row>
    <row r="91" spans="1:25">
      <c r="A91" s="242" t="s">
        <v>1066</v>
      </c>
      <c r="B91" s="244" t="s">
        <v>1067</v>
      </c>
      <c r="C91" s="242" t="s">
        <v>1068</v>
      </c>
      <c r="D91" t="s">
        <v>1069</v>
      </c>
      <c r="E91" t="str">
        <f t="shared" si="1"/>
        <v>GP</v>
      </c>
      <c r="F91" s="314"/>
      <c r="G91" t="s">
        <v>1070</v>
      </c>
      <c r="I91" t="s">
        <v>1071</v>
      </c>
      <c r="Q91">
        <v>2089</v>
      </c>
      <c r="X91" t="s">
        <v>1072</v>
      </c>
      <c r="Y91" t="s">
        <v>1073</v>
      </c>
    </row>
    <row r="92" spans="1:25">
      <c r="A92" s="241" t="s">
        <v>654</v>
      </c>
      <c r="B92" s="244" t="s">
        <v>1074</v>
      </c>
      <c r="C92" s="242" t="s">
        <v>1075</v>
      </c>
      <c r="D92" t="s">
        <v>1076</v>
      </c>
      <c r="E92" t="str">
        <f t="shared" si="1"/>
        <v>GQ</v>
      </c>
      <c r="F92" s="314"/>
      <c r="G92" t="s">
        <v>1077</v>
      </c>
      <c r="I92" t="s">
        <v>1078</v>
      </c>
      <c r="Q92">
        <v>2090</v>
      </c>
      <c r="X92" t="s">
        <v>1079</v>
      </c>
      <c r="Y92" t="s">
        <v>1080</v>
      </c>
    </row>
    <row r="93" spans="1:25">
      <c r="A93" s="244" t="s">
        <v>662</v>
      </c>
      <c r="B93" s="244" t="s">
        <v>1081</v>
      </c>
      <c r="C93" s="242" t="s">
        <v>1082</v>
      </c>
      <c r="D93" t="s">
        <v>1083</v>
      </c>
      <c r="E93" t="str">
        <f t="shared" si="1"/>
        <v>GR</v>
      </c>
      <c r="F93" s="314"/>
      <c r="G93" t="s">
        <v>1084</v>
      </c>
      <c r="I93" t="s">
        <v>1085</v>
      </c>
      <c r="Q93">
        <v>2091</v>
      </c>
      <c r="X93" t="s">
        <v>1086</v>
      </c>
      <c r="Y93" t="s">
        <v>1087</v>
      </c>
    </row>
    <row r="94" spans="1:25">
      <c r="A94" s="245" t="s">
        <v>1088</v>
      </c>
      <c r="B94" s="244" t="s">
        <v>1089</v>
      </c>
      <c r="C94" s="242" t="s">
        <v>1090</v>
      </c>
      <c r="D94" t="s">
        <v>1091</v>
      </c>
      <c r="E94" t="str">
        <f t="shared" si="1"/>
        <v>GS</v>
      </c>
      <c r="F94" s="314"/>
      <c r="G94" t="s">
        <v>1092</v>
      </c>
      <c r="I94" t="s">
        <v>1093</v>
      </c>
      <c r="Q94">
        <v>2092</v>
      </c>
      <c r="X94" t="s">
        <v>1094</v>
      </c>
      <c r="Y94" t="s">
        <v>1095</v>
      </c>
    </row>
    <row r="95" spans="1:25">
      <c r="A95" s="245" t="s">
        <v>1096</v>
      </c>
      <c r="B95" s="241" t="s">
        <v>1097</v>
      </c>
      <c r="C95" s="242" t="s">
        <v>1098</v>
      </c>
      <c r="D95" t="s">
        <v>1099</v>
      </c>
      <c r="E95" t="str">
        <f t="shared" si="1"/>
        <v>GT</v>
      </c>
      <c r="F95" s="71"/>
      <c r="G95" t="s">
        <v>1100</v>
      </c>
      <c r="I95" t="s">
        <v>1101</v>
      </c>
      <c r="Q95">
        <v>2093</v>
      </c>
      <c r="X95" t="s">
        <v>1102</v>
      </c>
      <c r="Y95" t="s">
        <v>1103</v>
      </c>
    </row>
    <row r="96" spans="1:25">
      <c r="A96" s="245" t="s">
        <v>1104</v>
      </c>
      <c r="B96" s="244" t="s">
        <v>1105</v>
      </c>
      <c r="C96" s="242" t="s">
        <v>1106</v>
      </c>
      <c r="D96" t="s">
        <v>1107</v>
      </c>
      <c r="E96" t="str">
        <f t="shared" si="1"/>
        <v>GU</v>
      </c>
      <c r="F96" s="314"/>
      <c r="G96" t="s">
        <v>1108</v>
      </c>
      <c r="I96" t="s">
        <v>1109</v>
      </c>
      <c r="Q96">
        <v>2094</v>
      </c>
      <c r="X96" t="s">
        <v>1110</v>
      </c>
      <c r="Y96" t="s">
        <v>1111</v>
      </c>
    </row>
    <row r="97" spans="1:25">
      <c r="A97" s="244" t="s">
        <v>670</v>
      </c>
      <c r="B97" s="244" t="s">
        <v>1112</v>
      </c>
      <c r="C97" s="242" t="s">
        <v>1113</v>
      </c>
      <c r="D97" t="s">
        <v>1114</v>
      </c>
      <c r="E97" t="str">
        <f t="shared" si="1"/>
        <v>GW</v>
      </c>
      <c r="F97" s="314"/>
      <c r="I97" t="s">
        <v>1115</v>
      </c>
      <c r="Q97">
        <v>2095</v>
      </c>
      <c r="X97" t="s">
        <v>1116</v>
      </c>
      <c r="Y97" t="s">
        <v>1117</v>
      </c>
    </row>
    <row r="98" spans="1:25">
      <c r="A98" s="245" t="s">
        <v>1118</v>
      </c>
      <c r="B98" s="244" t="s">
        <v>1119</v>
      </c>
      <c r="C98" s="242" t="s">
        <v>1120</v>
      </c>
      <c r="D98" t="s">
        <v>1121</v>
      </c>
      <c r="E98" t="str">
        <f t="shared" si="1"/>
        <v>GY</v>
      </c>
      <c r="F98" s="314"/>
      <c r="I98" t="s">
        <v>1122</v>
      </c>
      <c r="Q98">
        <v>2096</v>
      </c>
      <c r="X98" t="s">
        <v>1123</v>
      </c>
      <c r="Y98" t="s">
        <v>1124</v>
      </c>
    </row>
    <row r="99" spans="1:25">
      <c r="A99" s="244" t="s">
        <v>678</v>
      </c>
      <c r="B99" s="244" t="s">
        <v>1125</v>
      </c>
      <c r="C99" s="242" t="s">
        <v>1126</v>
      </c>
      <c r="D99" t="s">
        <v>1127</v>
      </c>
      <c r="E99" t="str">
        <f t="shared" si="1"/>
        <v>HK</v>
      </c>
      <c r="F99" s="71"/>
      <c r="I99" t="s">
        <v>1128</v>
      </c>
      <c r="Q99">
        <v>2097</v>
      </c>
      <c r="X99" t="s">
        <v>1129</v>
      </c>
      <c r="Y99" t="s">
        <v>1130</v>
      </c>
    </row>
    <row r="100" spans="1:25">
      <c r="A100" s="245" t="s">
        <v>1131</v>
      </c>
      <c r="B100" s="244" t="s">
        <v>1132</v>
      </c>
      <c r="C100" s="242" t="s">
        <v>1133</v>
      </c>
      <c r="D100" t="s">
        <v>1134</v>
      </c>
      <c r="E100" t="str">
        <f t="shared" si="1"/>
        <v>HM</v>
      </c>
      <c r="F100" s="314"/>
      <c r="I100" t="s">
        <v>1135</v>
      </c>
      <c r="Q100">
        <v>2098</v>
      </c>
      <c r="X100" t="s">
        <v>1136</v>
      </c>
      <c r="Y100" t="s">
        <v>1137</v>
      </c>
    </row>
    <row r="101" spans="1:25">
      <c r="A101" s="245" t="s">
        <v>1138</v>
      </c>
      <c r="B101" s="241" t="s">
        <v>1139</v>
      </c>
      <c r="C101" s="242" t="s">
        <v>1140</v>
      </c>
      <c r="D101" t="s">
        <v>1141</v>
      </c>
      <c r="E101" t="str">
        <f t="shared" si="1"/>
        <v>HN</v>
      </c>
      <c r="F101" s="314"/>
      <c r="I101" t="s">
        <v>1142</v>
      </c>
      <c r="Q101">
        <v>2099</v>
      </c>
      <c r="X101" t="s">
        <v>1143</v>
      </c>
      <c r="Y101" t="s">
        <v>1144</v>
      </c>
    </row>
    <row r="102" spans="1:25">
      <c r="A102" s="245" t="s">
        <v>1145</v>
      </c>
      <c r="B102" s="244" t="s">
        <v>1146</v>
      </c>
      <c r="C102" s="242" t="s">
        <v>1147</v>
      </c>
      <c r="D102" t="s">
        <v>1148</v>
      </c>
      <c r="E102" t="str">
        <f t="shared" si="1"/>
        <v>HR</v>
      </c>
      <c r="F102" s="314"/>
      <c r="I102" t="s">
        <v>1149</v>
      </c>
      <c r="Q102">
        <v>2100</v>
      </c>
      <c r="X102" t="s">
        <v>1150</v>
      </c>
      <c r="Y102" t="s">
        <v>1151</v>
      </c>
    </row>
    <row r="103" spans="1:25">
      <c r="A103" s="244" t="s">
        <v>685</v>
      </c>
      <c r="B103" s="244" t="s">
        <v>1152</v>
      </c>
      <c r="C103" s="242" t="s">
        <v>1153</v>
      </c>
      <c r="D103" t="s">
        <v>1154</v>
      </c>
      <c r="E103" t="str">
        <f t="shared" si="1"/>
        <v>HT</v>
      </c>
      <c r="F103" s="314"/>
      <c r="I103" t="s">
        <v>1155</v>
      </c>
      <c r="X103" t="s">
        <v>1156</v>
      </c>
      <c r="Y103" t="s">
        <v>1157</v>
      </c>
    </row>
    <row r="104" spans="1:25">
      <c r="A104" s="245" t="s">
        <v>1158</v>
      </c>
      <c r="B104" s="244" t="s">
        <v>1159</v>
      </c>
      <c r="C104" s="242" t="s">
        <v>1160</v>
      </c>
      <c r="D104" t="s">
        <v>1161</v>
      </c>
      <c r="E104" t="str">
        <f t="shared" si="1"/>
        <v>HU</v>
      </c>
      <c r="F104" s="314"/>
      <c r="I104" t="s">
        <v>1162</v>
      </c>
      <c r="X104" t="s">
        <v>1163</v>
      </c>
      <c r="Y104" t="s">
        <v>1164</v>
      </c>
    </row>
    <row r="105" spans="1:25">
      <c r="A105" s="245" t="s">
        <v>1165</v>
      </c>
      <c r="B105" s="244" t="s">
        <v>1166</v>
      </c>
      <c r="C105" s="242" t="s">
        <v>1167</v>
      </c>
      <c r="D105" t="s">
        <v>1168</v>
      </c>
      <c r="E105" t="str">
        <f t="shared" si="1"/>
        <v>ID</v>
      </c>
      <c r="F105" s="314"/>
      <c r="I105" t="s">
        <v>1169</v>
      </c>
      <c r="X105" t="s">
        <v>1170</v>
      </c>
      <c r="Y105" t="s">
        <v>1171</v>
      </c>
    </row>
    <row r="106" spans="1:25">
      <c r="A106" s="244" t="s">
        <v>693</v>
      </c>
      <c r="B106" s="244" t="s">
        <v>1172</v>
      </c>
      <c r="C106" s="242" t="s">
        <v>1173</v>
      </c>
      <c r="D106" t="s">
        <v>1174</v>
      </c>
      <c r="E106" t="str">
        <f t="shared" si="1"/>
        <v>IE</v>
      </c>
      <c r="F106" s="314"/>
      <c r="I106" t="s">
        <v>1175</v>
      </c>
      <c r="X106" t="s">
        <v>1176</v>
      </c>
      <c r="Y106" t="s">
        <v>1177</v>
      </c>
    </row>
    <row r="107" spans="1:25">
      <c r="A107" s="245" t="s">
        <v>1178</v>
      </c>
      <c r="B107" s="244" t="s">
        <v>1179</v>
      </c>
      <c r="C107" s="242" t="s">
        <v>1180</v>
      </c>
      <c r="D107" t="s">
        <v>1181</v>
      </c>
      <c r="E107" t="str">
        <f t="shared" si="1"/>
        <v>IL</v>
      </c>
      <c r="F107" s="71"/>
      <c r="I107" t="s">
        <v>1182</v>
      </c>
      <c r="X107" t="s">
        <v>1183</v>
      </c>
      <c r="Y107" t="s">
        <v>1184</v>
      </c>
    </row>
    <row r="108" spans="1:25">
      <c r="A108" s="245" t="s">
        <v>1185</v>
      </c>
      <c r="B108" s="244" t="s">
        <v>1186</v>
      </c>
      <c r="C108" s="242" t="s">
        <v>1187</v>
      </c>
      <c r="D108" t="s">
        <v>1188</v>
      </c>
      <c r="E108" t="str">
        <f t="shared" si="1"/>
        <v>IM</v>
      </c>
      <c r="F108" s="314"/>
      <c r="I108" t="s">
        <v>1189</v>
      </c>
      <c r="X108" t="s">
        <v>1190</v>
      </c>
      <c r="Y108" t="s">
        <v>1191</v>
      </c>
    </row>
    <row r="109" spans="1:25">
      <c r="A109" s="244" t="s">
        <v>700</v>
      </c>
      <c r="B109" s="241" t="s">
        <v>1192</v>
      </c>
      <c r="C109" s="242" t="s">
        <v>1193</v>
      </c>
      <c r="D109" t="s">
        <v>1194</v>
      </c>
      <c r="E109" t="str">
        <f t="shared" si="1"/>
        <v>IN</v>
      </c>
      <c r="F109" s="314"/>
      <c r="I109" t="s">
        <v>1195</v>
      </c>
      <c r="X109" t="s">
        <v>1196</v>
      </c>
      <c r="Y109" t="s">
        <v>1197</v>
      </c>
    </row>
    <row r="110" spans="1:25">
      <c r="A110" s="245" t="s">
        <v>1198</v>
      </c>
      <c r="B110" s="244" t="s">
        <v>1199</v>
      </c>
      <c r="C110" s="242" t="s">
        <v>1200</v>
      </c>
      <c r="D110" t="s">
        <v>1201</v>
      </c>
      <c r="E110" t="str">
        <f t="shared" si="1"/>
        <v>IO</v>
      </c>
      <c r="F110" s="71"/>
      <c r="I110" t="s">
        <v>1202</v>
      </c>
      <c r="X110" t="s">
        <v>1203</v>
      </c>
      <c r="Y110" t="s">
        <v>1204</v>
      </c>
    </row>
    <row r="111" spans="1:25">
      <c r="A111" s="245" t="s">
        <v>1205</v>
      </c>
      <c r="B111" s="244" t="s">
        <v>1206</v>
      </c>
      <c r="C111" s="242" t="s">
        <v>1207</v>
      </c>
      <c r="D111" t="s">
        <v>1208</v>
      </c>
      <c r="E111" t="str">
        <f t="shared" si="1"/>
        <v>IQ</v>
      </c>
      <c r="F111" s="314"/>
      <c r="I111" t="s">
        <v>1209</v>
      </c>
      <c r="X111" t="s">
        <v>1210</v>
      </c>
      <c r="Y111" t="s">
        <v>1211</v>
      </c>
    </row>
    <row r="112" spans="1:25">
      <c r="A112" s="244" t="s">
        <v>707</v>
      </c>
      <c r="B112" s="244" t="s">
        <v>1212</v>
      </c>
      <c r="C112" s="242" t="s">
        <v>1213</v>
      </c>
      <c r="D112" t="s">
        <v>1214</v>
      </c>
      <c r="E112" t="str">
        <f t="shared" si="1"/>
        <v>IR</v>
      </c>
      <c r="F112" s="314"/>
      <c r="I112" t="s">
        <v>1215</v>
      </c>
      <c r="X112" t="s">
        <v>1216</v>
      </c>
      <c r="Y112" t="s">
        <v>1217</v>
      </c>
    </row>
    <row r="113" spans="1:25">
      <c r="A113" s="245" t="s">
        <v>1218</v>
      </c>
      <c r="B113" s="244" t="s">
        <v>1219</v>
      </c>
      <c r="C113" s="242" t="s">
        <v>1220</v>
      </c>
      <c r="D113" t="s">
        <v>1221</v>
      </c>
      <c r="E113" t="str">
        <f t="shared" si="1"/>
        <v>IS</v>
      </c>
      <c r="F113" s="314"/>
      <c r="I113" t="s">
        <v>1222</v>
      </c>
      <c r="X113" t="s">
        <v>1223</v>
      </c>
      <c r="Y113" t="s">
        <v>1224</v>
      </c>
    </row>
    <row r="114" spans="1:25">
      <c r="A114" s="245" t="s">
        <v>1225</v>
      </c>
      <c r="B114" s="244" t="s">
        <v>1226</v>
      </c>
      <c r="C114" s="242" t="s">
        <v>1227</v>
      </c>
      <c r="D114" t="s">
        <v>1228</v>
      </c>
      <c r="E114" t="str">
        <f t="shared" si="1"/>
        <v>IT</v>
      </c>
      <c r="F114" s="314"/>
      <c r="I114" t="s">
        <v>1229</v>
      </c>
      <c r="X114" t="s">
        <v>1230</v>
      </c>
      <c r="Y114" t="s">
        <v>1231</v>
      </c>
    </row>
    <row r="115" spans="1:25">
      <c r="A115" s="245" t="s">
        <v>1232</v>
      </c>
      <c r="B115" s="244" t="s">
        <v>1233</v>
      </c>
      <c r="C115" s="242" t="s">
        <v>1234</v>
      </c>
      <c r="D115" t="s">
        <v>1235</v>
      </c>
      <c r="E115" t="str">
        <f t="shared" si="1"/>
        <v>JE</v>
      </c>
      <c r="F115" s="71"/>
      <c r="I115" t="s">
        <v>1236</v>
      </c>
      <c r="X115" t="s">
        <v>1237</v>
      </c>
      <c r="Y115" t="s">
        <v>1238</v>
      </c>
    </row>
    <row r="116" spans="1:25">
      <c r="A116" s="244" t="s">
        <v>715</v>
      </c>
      <c r="B116" s="244" t="s">
        <v>1239</v>
      </c>
      <c r="C116" s="242" t="s">
        <v>1240</v>
      </c>
      <c r="D116" t="s">
        <v>1241</v>
      </c>
      <c r="E116" t="str">
        <f t="shared" si="1"/>
        <v>JM</v>
      </c>
      <c r="F116" s="314"/>
      <c r="I116" t="s">
        <v>1242</v>
      </c>
      <c r="X116" t="s">
        <v>1243</v>
      </c>
      <c r="Y116" t="s">
        <v>1244</v>
      </c>
    </row>
    <row r="117" spans="1:25">
      <c r="A117" s="245" t="s">
        <v>1245</v>
      </c>
      <c r="B117" s="241" t="s">
        <v>1246</v>
      </c>
      <c r="C117" s="242" t="s">
        <v>1247</v>
      </c>
      <c r="D117" t="s">
        <v>1248</v>
      </c>
      <c r="E117" t="str">
        <f t="shared" si="1"/>
        <v>JO</v>
      </c>
      <c r="F117" s="314"/>
      <c r="I117" t="s">
        <v>1249</v>
      </c>
      <c r="X117" t="s">
        <v>1250</v>
      </c>
      <c r="Y117" t="s">
        <v>1251</v>
      </c>
    </row>
    <row r="118" spans="1:25">
      <c r="A118" s="245" t="s">
        <v>1252</v>
      </c>
      <c r="B118" s="244" t="s">
        <v>1253</v>
      </c>
      <c r="C118" s="242" t="s">
        <v>1254</v>
      </c>
      <c r="D118" t="s">
        <v>1255</v>
      </c>
      <c r="E118" t="str">
        <f t="shared" si="1"/>
        <v>JP</v>
      </c>
      <c r="F118" s="314"/>
      <c r="I118" t="s">
        <v>1256</v>
      </c>
      <c r="X118" t="s">
        <v>1257</v>
      </c>
      <c r="Y118" t="s">
        <v>1258</v>
      </c>
    </row>
    <row r="119" spans="1:25">
      <c r="A119" s="245" t="s">
        <v>1259</v>
      </c>
      <c r="B119" s="244" t="s">
        <v>1260</v>
      </c>
      <c r="C119" s="242" t="s">
        <v>1261</v>
      </c>
      <c r="D119" t="s">
        <v>1262</v>
      </c>
      <c r="E119" t="str">
        <f t="shared" si="1"/>
        <v>KE</v>
      </c>
      <c r="F119" s="71"/>
      <c r="I119" t="s">
        <v>1263</v>
      </c>
      <c r="X119" t="s">
        <v>1264</v>
      </c>
      <c r="Y119" t="s">
        <v>1265</v>
      </c>
    </row>
    <row r="120" spans="1:25">
      <c r="A120" s="245" t="s">
        <v>1266</v>
      </c>
      <c r="B120" s="244" t="s">
        <v>1267</v>
      </c>
      <c r="C120" s="242" t="s">
        <v>1268</v>
      </c>
      <c r="D120" t="s">
        <v>1269</v>
      </c>
      <c r="E120" t="str">
        <f t="shared" si="1"/>
        <v>KG</v>
      </c>
      <c r="F120" s="314"/>
      <c r="I120" t="s">
        <v>1270</v>
      </c>
      <c r="X120" t="s">
        <v>1271</v>
      </c>
      <c r="Y120" t="s">
        <v>1272</v>
      </c>
    </row>
    <row r="121" spans="1:25">
      <c r="A121" s="245" t="s">
        <v>1273</v>
      </c>
      <c r="B121" s="244" t="s">
        <v>1274</v>
      </c>
      <c r="C121" s="242" t="s">
        <v>1275</v>
      </c>
      <c r="D121" t="s">
        <v>1276</v>
      </c>
      <c r="E121" t="str">
        <f t="shared" si="1"/>
        <v>KH</v>
      </c>
      <c r="F121" s="314"/>
      <c r="I121" t="s">
        <v>1277</v>
      </c>
      <c r="X121" t="s">
        <v>1278</v>
      </c>
      <c r="Y121" t="s">
        <v>1279</v>
      </c>
    </row>
    <row r="122" spans="1:25">
      <c r="A122" s="245" t="s">
        <v>1280</v>
      </c>
      <c r="B122" s="244" t="s">
        <v>1281</v>
      </c>
      <c r="C122" s="242" t="s">
        <v>1282</v>
      </c>
      <c r="D122" t="s">
        <v>1283</v>
      </c>
      <c r="E122" t="str">
        <f t="shared" si="1"/>
        <v>KI</v>
      </c>
      <c r="F122" s="314"/>
      <c r="I122" t="s">
        <v>1284</v>
      </c>
      <c r="X122" t="s">
        <v>1285</v>
      </c>
      <c r="Y122" t="s">
        <v>1286</v>
      </c>
    </row>
    <row r="123" spans="1:25">
      <c r="A123" s="245" t="s">
        <v>1287</v>
      </c>
      <c r="B123" s="244" t="s">
        <v>1288</v>
      </c>
      <c r="C123" s="242" t="s">
        <v>1289</v>
      </c>
      <c r="D123" t="s">
        <v>1290</v>
      </c>
      <c r="E123" t="str">
        <f t="shared" si="1"/>
        <v>KM</v>
      </c>
      <c r="F123" s="314"/>
      <c r="I123" t="s">
        <v>1291</v>
      </c>
      <c r="X123" t="s">
        <v>1292</v>
      </c>
      <c r="Y123" t="s">
        <v>1293</v>
      </c>
    </row>
    <row r="124" spans="1:25">
      <c r="A124" s="244" t="s">
        <v>722</v>
      </c>
      <c r="B124" s="241" t="s">
        <v>1294</v>
      </c>
      <c r="C124" s="242" t="s">
        <v>1295</v>
      </c>
      <c r="D124" t="s">
        <v>1296</v>
      </c>
      <c r="E124" t="str">
        <f t="shared" si="1"/>
        <v>KN</v>
      </c>
      <c r="F124" s="314"/>
      <c r="I124" t="s">
        <v>1297</v>
      </c>
      <c r="X124" t="s">
        <v>1298</v>
      </c>
      <c r="Y124" t="s">
        <v>1299</v>
      </c>
    </row>
    <row r="125" spans="1:25">
      <c r="A125" s="245" t="s">
        <v>1300</v>
      </c>
      <c r="B125" s="244" t="s">
        <v>1301</v>
      </c>
      <c r="C125" s="242" t="s">
        <v>1302</v>
      </c>
      <c r="D125" t="s">
        <v>1303</v>
      </c>
      <c r="E125" t="str">
        <f t="shared" si="1"/>
        <v>KP</v>
      </c>
      <c r="F125" s="71"/>
      <c r="I125" t="s">
        <v>1304</v>
      </c>
      <c r="X125" t="s">
        <v>1305</v>
      </c>
      <c r="Y125" t="s">
        <v>1306</v>
      </c>
    </row>
    <row r="126" spans="1:25">
      <c r="A126" s="245" t="s">
        <v>1307</v>
      </c>
      <c r="B126" s="244" t="s">
        <v>1308</v>
      </c>
      <c r="C126" s="242" t="s">
        <v>1309</v>
      </c>
      <c r="D126" t="s">
        <v>1310</v>
      </c>
      <c r="E126" t="str">
        <f t="shared" si="1"/>
        <v>KR</v>
      </c>
      <c r="F126" s="314"/>
      <c r="I126" t="s">
        <v>1311</v>
      </c>
      <c r="X126" t="s">
        <v>1312</v>
      </c>
      <c r="Y126" t="s">
        <v>1313</v>
      </c>
    </row>
    <row r="127" spans="1:25">
      <c r="A127" s="241" t="s">
        <v>730</v>
      </c>
      <c r="B127" s="244" t="s">
        <v>1314</v>
      </c>
      <c r="C127" s="242" t="s">
        <v>1315</v>
      </c>
      <c r="D127" t="s">
        <v>1316</v>
      </c>
      <c r="E127" t="str">
        <f t="shared" si="1"/>
        <v>KW</v>
      </c>
      <c r="F127" s="314"/>
      <c r="I127" t="s">
        <v>1317</v>
      </c>
      <c r="X127" t="s">
        <v>1318</v>
      </c>
      <c r="Y127" t="s">
        <v>1319</v>
      </c>
    </row>
    <row r="128" spans="1:25">
      <c r="A128" s="244" t="s">
        <v>737</v>
      </c>
      <c r="B128" s="244" t="s">
        <v>1320</v>
      </c>
      <c r="C128" s="242" t="s">
        <v>1321</v>
      </c>
      <c r="D128" t="s">
        <v>1322</v>
      </c>
      <c r="E128" t="str">
        <f t="shared" si="1"/>
        <v>KY</v>
      </c>
      <c r="F128" s="314"/>
      <c r="I128" t="s">
        <v>1323</v>
      </c>
      <c r="X128" t="s">
        <v>1324</v>
      </c>
      <c r="Y128" t="s">
        <v>1325</v>
      </c>
    </row>
    <row r="129" spans="1:25">
      <c r="A129" s="245" t="s">
        <v>1326</v>
      </c>
      <c r="B129" s="244" t="s">
        <v>1327</v>
      </c>
      <c r="C129" s="242" t="s">
        <v>1328</v>
      </c>
      <c r="D129" t="s">
        <v>1329</v>
      </c>
      <c r="E129" t="str">
        <f t="shared" si="1"/>
        <v>KZ</v>
      </c>
      <c r="F129" s="314"/>
      <c r="I129" t="s">
        <v>1330</v>
      </c>
      <c r="X129" t="s">
        <v>1331</v>
      </c>
      <c r="Y129" t="s">
        <v>1332</v>
      </c>
    </row>
    <row r="130" spans="1:25">
      <c r="A130" s="245" t="s">
        <v>1333</v>
      </c>
      <c r="B130" s="241" t="s">
        <v>1334</v>
      </c>
      <c r="C130" s="242" t="s">
        <v>1335</v>
      </c>
      <c r="D130" t="s">
        <v>1336</v>
      </c>
      <c r="E130" t="str">
        <f t="shared" si="1"/>
        <v>LA</v>
      </c>
      <c r="F130" s="314"/>
      <c r="I130" t="s">
        <v>1337</v>
      </c>
      <c r="X130" t="s">
        <v>1338</v>
      </c>
      <c r="Y130" t="s">
        <v>1339</v>
      </c>
    </row>
    <row r="131" spans="1:25">
      <c r="A131" s="245" t="s">
        <v>1340</v>
      </c>
      <c r="B131" s="244" t="s">
        <v>1341</v>
      </c>
      <c r="C131" s="242" t="s">
        <v>1342</v>
      </c>
      <c r="D131" t="s">
        <v>1343</v>
      </c>
      <c r="E131" t="str">
        <f t="shared" ref="E131:E194" si="2">RIGHT(D131,2)</f>
        <v>LB</v>
      </c>
      <c r="F131" s="71"/>
      <c r="I131" t="s">
        <v>1344</v>
      </c>
      <c r="X131" t="s">
        <v>1345</v>
      </c>
      <c r="Y131" t="s">
        <v>1346</v>
      </c>
    </row>
    <row r="132" spans="1:25">
      <c r="A132" s="245" t="s">
        <v>1347</v>
      </c>
      <c r="B132" s="244" t="s">
        <v>1348</v>
      </c>
      <c r="C132" s="242" t="s">
        <v>1349</v>
      </c>
      <c r="D132" t="s">
        <v>1350</v>
      </c>
      <c r="E132" t="str">
        <f t="shared" si="2"/>
        <v>LC</v>
      </c>
      <c r="F132" s="314"/>
      <c r="I132" t="s">
        <v>1351</v>
      </c>
      <c r="X132" t="s">
        <v>1352</v>
      </c>
      <c r="Y132" t="s">
        <v>1353</v>
      </c>
    </row>
    <row r="133" spans="1:25">
      <c r="A133" s="245" t="s">
        <v>1354</v>
      </c>
      <c r="B133" s="244" t="s">
        <v>1355</v>
      </c>
      <c r="C133" s="242" t="s">
        <v>1356</v>
      </c>
      <c r="D133" t="s">
        <v>1357</v>
      </c>
      <c r="E133" t="str">
        <f t="shared" si="2"/>
        <v>LI</v>
      </c>
      <c r="F133" s="314"/>
      <c r="I133" t="s">
        <v>1358</v>
      </c>
      <c r="X133" t="s">
        <v>1359</v>
      </c>
      <c r="Y133" t="s">
        <v>1360</v>
      </c>
    </row>
    <row r="134" spans="1:25">
      <c r="A134" s="245" t="s">
        <v>1361</v>
      </c>
      <c r="B134" s="241" t="s">
        <v>1362</v>
      </c>
      <c r="C134" s="242" t="s">
        <v>1363</v>
      </c>
      <c r="D134" t="s">
        <v>1364</v>
      </c>
      <c r="E134" t="str">
        <f t="shared" si="2"/>
        <v>LK</v>
      </c>
      <c r="F134" s="314"/>
      <c r="I134" t="s">
        <v>1365</v>
      </c>
      <c r="Y134" t="s">
        <v>1366</v>
      </c>
    </row>
    <row r="135" spans="1:25">
      <c r="A135" s="245" t="s">
        <v>1367</v>
      </c>
      <c r="B135" s="244" t="s">
        <v>1368</v>
      </c>
      <c r="C135" s="242" t="s">
        <v>1369</v>
      </c>
      <c r="D135" t="s">
        <v>1370</v>
      </c>
      <c r="E135" t="str">
        <f t="shared" si="2"/>
        <v>LR</v>
      </c>
      <c r="F135" s="71"/>
      <c r="I135" t="s">
        <v>1371</v>
      </c>
      <c r="Y135" t="s">
        <v>1372</v>
      </c>
    </row>
    <row r="136" spans="1:25">
      <c r="A136" s="241" t="s">
        <v>745</v>
      </c>
      <c r="B136" s="244" t="s">
        <v>1373</v>
      </c>
      <c r="C136" s="242" t="s">
        <v>1374</v>
      </c>
      <c r="D136" t="s">
        <v>1375</v>
      </c>
      <c r="E136" t="str">
        <f t="shared" si="2"/>
        <v>LS</v>
      </c>
      <c r="F136" s="314"/>
      <c r="I136" t="s">
        <v>1376</v>
      </c>
      <c r="Y136" t="s">
        <v>1377</v>
      </c>
    </row>
    <row r="137" spans="1:25">
      <c r="A137" s="244" t="s">
        <v>752</v>
      </c>
      <c r="B137" s="244" t="s">
        <v>1378</v>
      </c>
      <c r="C137" s="242" t="s">
        <v>1379</v>
      </c>
      <c r="D137" t="s">
        <v>1380</v>
      </c>
      <c r="E137" t="str">
        <f t="shared" si="2"/>
        <v>LT</v>
      </c>
      <c r="F137" s="314"/>
      <c r="I137" t="s">
        <v>1381</v>
      </c>
      <c r="Y137" t="s">
        <v>1382</v>
      </c>
    </row>
    <row r="138" spans="1:25">
      <c r="A138" s="245" t="s">
        <v>1383</v>
      </c>
      <c r="B138" s="244" t="s">
        <v>1384</v>
      </c>
      <c r="C138" s="242" t="s">
        <v>1385</v>
      </c>
      <c r="D138" t="s">
        <v>1386</v>
      </c>
      <c r="E138" t="str">
        <f t="shared" si="2"/>
        <v>LU</v>
      </c>
      <c r="F138" s="313"/>
      <c r="I138" t="s">
        <v>1387</v>
      </c>
      <c r="Y138" t="s">
        <v>1388</v>
      </c>
    </row>
    <row r="139" spans="1:25">
      <c r="A139" s="241" t="s">
        <v>759</v>
      </c>
      <c r="B139" s="244" t="s">
        <v>1389</v>
      </c>
      <c r="C139" s="242" t="s">
        <v>1390</v>
      </c>
      <c r="D139" t="s">
        <v>1391</v>
      </c>
      <c r="E139" t="str">
        <f t="shared" si="2"/>
        <v>LV</v>
      </c>
      <c r="F139" s="314"/>
      <c r="I139" t="s">
        <v>1392</v>
      </c>
      <c r="Y139" t="s">
        <v>1393</v>
      </c>
    </row>
    <row r="140" spans="1:25">
      <c r="A140" s="244" t="s">
        <v>766</v>
      </c>
      <c r="B140" s="241" t="s">
        <v>1394</v>
      </c>
      <c r="C140" s="242" t="s">
        <v>1395</v>
      </c>
      <c r="D140" t="s">
        <v>1396</v>
      </c>
      <c r="E140" t="str">
        <f t="shared" si="2"/>
        <v>LY</v>
      </c>
      <c r="F140" s="71"/>
      <c r="I140" t="s">
        <v>1397</v>
      </c>
      <c r="Y140" t="s">
        <v>1398</v>
      </c>
    </row>
    <row r="141" spans="1:25">
      <c r="A141" s="245" t="s">
        <v>1399</v>
      </c>
      <c r="B141" s="244" t="s">
        <v>1400</v>
      </c>
      <c r="C141" s="242" t="s">
        <v>1401</v>
      </c>
      <c r="D141" t="s">
        <v>1402</v>
      </c>
      <c r="E141" t="str">
        <f t="shared" si="2"/>
        <v>MA</v>
      </c>
      <c r="F141" s="314"/>
      <c r="I141" t="s">
        <v>1403</v>
      </c>
      <c r="Y141" t="s">
        <v>1404</v>
      </c>
    </row>
    <row r="142" spans="1:25">
      <c r="A142" s="244" t="s">
        <v>773</v>
      </c>
      <c r="B142" s="241" t="s">
        <v>1405</v>
      </c>
      <c r="C142" s="242" t="s">
        <v>1406</v>
      </c>
      <c r="D142" t="s">
        <v>1407</v>
      </c>
      <c r="E142" t="str">
        <f t="shared" si="2"/>
        <v>MC</v>
      </c>
      <c r="F142" s="314"/>
      <c r="I142" t="s">
        <v>1408</v>
      </c>
      <c r="Y142" t="s">
        <v>1409</v>
      </c>
    </row>
    <row r="143" spans="1:25">
      <c r="A143" s="245" t="s">
        <v>1410</v>
      </c>
      <c r="B143" s="244" t="s">
        <v>1411</v>
      </c>
      <c r="C143" s="242" t="s">
        <v>1412</v>
      </c>
      <c r="D143" t="s">
        <v>1413</v>
      </c>
      <c r="E143" t="str">
        <f t="shared" si="2"/>
        <v>MD</v>
      </c>
      <c r="F143" s="313"/>
      <c r="I143" t="s">
        <v>1414</v>
      </c>
      <c r="Y143" t="s">
        <v>1415</v>
      </c>
    </row>
    <row r="144" spans="1:25">
      <c r="A144" s="244" t="s">
        <v>781</v>
      </c>
      <c r="B144" s="244" t="s">
        <v>1416</v>
      </c>
      <c r="C144" s="242" t="s">
        <v>1417</v>
      </c>
      <c r="D144" t="s">
        <v>1418</v>
      </c>
      <c r="E144" t="str">
        <f t="shared" si="2"/>
        <v>ME</v>
      </c>
      <c r="F144" s="314"/>
      <c r="I144" t="s">
        <v>1419</v>
      </c>
      <c r="Y144" t="s">
        <v>1420</v>
      </c>
    </row>
    <row r="145" spans="1:25">
      <c r="A145" s="245" t="s">
        <v>1421</v>
      </c>
      <c r="B145" s="244" t="s">
        <v>1422</v>
      </c>
      <c r="C145" s="242" t="s">
        <v>1423</v>
      </c>
      <c r="D145" t="s">
        <v>1424</v>
      </c>
      <c r="E145" t="str">
        <f t="shared" si="2"/>
        <v>MF</v>
      </c>
      <c r="F145" s="314"/>
      <c r="I145" t="s">
        <v>1425</v>
      </c>
      <c r="Y145" t="s">
        <v>1426</v>
      </c>
    </row>
    <row r="146" spans="1:25">
      <c r="A146" s="244" t="s">
        <v>789</v>
      </c>
      <c r="B146" s="244" t="s">
        <v>1427</v>
      </c>
      <c r="C146" s="242" t="s">
        <v>1428</v>
      </c>
      <c r="D146" t="s">
        <v>1429</v>
      </c>
      <c r="E146" t="str">
        <f t="shared" si="2"/>
        <v>MG</v>
      </c>
      <c r="F146" s="313"/>
      <c r="I146" t="s">
        <v>1430</v>
      </c>
      <c r="Y146" t="s">
        <v>1431</v>
      </c>
    </row>
    <row r="147" spans="1:25">
      <c r="A147" s="245" t="s">
        <v>1432</v>
      </c>
      <c r="B147" s="244" t="s">
        <v>1433</v>
      </c>
      <c r="C147" s="242" t="s">
        <v>1434</v>
      </c>
      <c r="D147" t="s">
        <v>1435</v>
      </c>
      <c r="E147" t="str">
        <f t="shared" si="2"/>
        <v>MH</v>
      </c>
      <c r="F147" s="71"/>
      <c r="I147" t="s">
        <v>1436</v>
      </c>
      <c r="Y147" t="s">
        <v>1437</v>
      </c>
    </row>
    <row r="148" spans="1:25">
      <c r="A148" s="245" t="s">
        <v>1438</v>
      </c>
      <c r="B148" s="244" t="s">
        <v>1439</v>
      </c>
      <c r="C148" s="242" t="s">
        <v>1440</v>
      </c>
      <c r="D148" t="s">
        <v>1441</v>
      </c>
      <c r="E148" t="str">
        <f t="shared" si="2"/>
        <v>MK</v>
      </c>
      <c r="F148" s="314"/>
      <c r="I148" t="s">
        <v>1442</v>
      </c>
      <c r="Y148" t="s">
        <v>1443</v>
      </c>
    </row>
    <row r="149" spans="1:25">
      <c r="A149" s="245" t="s">
        <v>1444</v>
      </c>
      <c r="B149" s="241" t="s">
        <v>1445</v>
      </c>
      <c r="C149" s="242" t="s">
        <v>1446</v>
      </c>
      <c r="D149" t="s">
        <v>1447</v>
      </c>
      <c r="E149" t="str">
        <f t="shared" si="2"/>
        <v>ML</v>
      </c>
      <c r="F149" s="314"/>
      <c r="I149" t="s">
        <v>1448</v>
      </c>
      <c r="Y149" t="s">
        <v>1449</v>
      </c>
    </row>
    <row r="150" spans="1:25">
      <c r="A150" s="245" t="s">
        <v>1450</v>
      </c>
      <c r="B150" s="244" t="s">
        <v>1451</v>
      </c>
      <c r="C150" s="242" t="s">
        <v>1452</v>
      </c>
      <c r="D150" t="s">
        <v>1453</v>
      </c>
      <c r="E150" t="str">
        <f t="shared" si="2"/>
        <v>MM</v>
      </c>
      <c r="F150" s="314"/>
      <c r="I150" t="s">
        <v>1454</v>
      </c>
      <c r="Y150" t="s">
        <v>1455</v>
      </c>
    </row>
    <row r="151" spans="1:25">
      <c r="A151" s="245" t="s">
        <v>1456</v>
      </c>
      <c r="B151" s="244" t="s">
        <v>1457</v>
      </c>
      <c r="C151" s="242" t="s">
        <v>1458</v>
      </c>
      <c r="D151" t="s">
        <v>1459</v>
      </c>
      <c r="E151" t="str">
        <f t="shared" si="2"/>
        <v>MN</v>
      </c>
      <c r="F151" s="313"/>
      <c r="I151" t="s">
        <v>1460</v>
      </c>
      <c r="Y151" t="s">
        <v>1461</v>
      </c>
    </row>
    <row r="152" spans="1:25">
      <c r="A152" s="245" t="s">
        <v>1462</v>
      </c>
      <c r="B152" s="242" t="s">
        <v>1066</v>
      </c>
      <c r="C152" s="242" t="s">
        <v>1463</v>
      </c>
      <c r="D152" t="s">
        <v>1464</v>
      </c>
      <c r="E152" t="str">
        <f t="shared" si="2"/>
        <v>MO</v>
      </c>
      <c r="F152" s="313"/>
      <c r="I152" t="s">
        <v>1465</v>
      </c>
      <c r="Y152" t="s">
        <v>1466</v>
      </c>
    </row>
    <row r="153" spans="1:25">
      <c r="A153" s="245" t="s">
        <v>1467</v>
      </c>
      <c r="B153" s="241" t="s">
        <v>1468</v>
      </c>
      <c r="C153" s="242" t="s">
        <v>1469</v>
      </c>
      <c r="D153" t="s">
        <v>1470</v>
      </c>
      <c r="E153" t="str">
        <f t="shared" si="2"/>
        <v>MP</v>
      </c>
      <c r="F153" s="313"/>
      <c r="I153" t="s">
        <v>1471</v>
      </c>
      <c r="Y153" t="s">
        <v>1472</v>
      </c>
    </row>
    <row r="154" spans="1:25">
      <c r="A154" s="241" t="s">
        <v>796</v>
      </c>
      <c r="B154" s="244" t="s">
        <v>1473</v>
      </c>
      <c r="C154" s="242" t="s">
        <v>1474</v>
      </c>
      <c r="D154" t="s">
        <v>1475</v>
      </c>
      <c r="E154" t="str">
        <f t="shared" si="2"/>
        <v>MQ</v>
      </c>
      <c r="F154" s="314"/>
      <c r="I154" t="s">
        <v>1476</v>
      </c>
      <c r="Y154" t="s">
        <v>1477</v>
      </c>
    </row>
    <row r="155" spans="1:25">
      <c r="A155" s="244" t="s">
        <v>804</v>
      </c>
      <c r="B155" s="244" t="s">
        <v>1478</v>
      </c>
      <c r="C155" s="242" t="s">
        <v>1479</v>
      </c>
      <c r="D155" t="s">
        <v>1480</v>
      </c>
      <c r="E155" t="str">
        <f t="shared" si="2"/>
        <v>MR</v>
      </c>
      <c r="F155" s="314"/>
      <c r="I155" t="s">
        <v>1481</v>
      </c>
      <c r="Y155" t="s">
        <v>1482</v>
      </c>
    </row>
    <row r="156" spans="1:25">
      <c r="A156" s="245" t="s">
        <v>1483</v>
      </c>
      <c r="B156" s="244" t="s">
        <v>1484</v>
      </c>
      <c r="C156" s="242" t="s">
        <v>1485</v>
      </c>
      <c r="D156" t="s">
        <v>1486</v>
      </c>
      <c r="E156" t="str">
        <f t="shared" si="2"/>
        <v>MS</v>
      </c>
      <c r="F156" s="71"/>
      <c r="I156" t="s">
        <v>1487</v>
      </c>
      <c r="Y156" t="s">
        <v>1488</v>
      </c>
    </row>
    <row r="157" spans="1:25">
      <c r="A157" s="244" t="s">
        <v>812</v>
      </c>
      <c r="B157" s="244" t="s">
        <v>1489</v>
      </c>
      <c r="C157" s="242" t="s">
        <v>1490</v>
      </c>
      <c r="D157" t="s">
        <v>1491</v>
      </c>
      <c r="E157" t="str">
        <f t="shared" si="2"/>
        <v>MT</v>
      </c>
      <c r="F157" s="314"/>
      <c r="I157" t="s">
        <v>1492</v>
      </c>
      <c r="Y157" t="s">
        <v>1493</v>
      </c>
    </row>
    <row r="158" spans="1:25">
      <c r="A158" s="245" t="s">
        <v>1494</v>
      </c>
      <c r="B158" s="242" t="s">
        <v>1495</v>
      </c>
      <c r="C158" s="242" t="s">
        <v>1496</v>
      </c>
      <c r="D158" t="s">
        <v>1497</v>
      </c>
      <c r="E158" t="str">
        <f t="shared" si="2"/>
        <v>MU</v>
      </c>
      <c r="F158" s="71"/>
      <c r="I158" t="s">
        <v>1498</v>
      </c>
      <c r="Y158" t="s">
        <v>1499</v>
      </c>
    </row>
    <row r="159" spans="1:25">
      <c r="A159" s="245" t="s">
        <v>1500</v>
      </c>
      <c r="B159" s="241" t="s">
        <v>1501</v>
      </c>
      <c r="C159" s="242" t="s">
        <v>1502</v>
      </c>
      <c r="D159" t="s">
        <v>1503</v>
      </c>
      <c r="E159" t="str">
        <f t="shared" si="2"/>
        <v>MV</v>
      </c>
      <c r="F159" s="71"/>
      <c r="I159" t="s">
        <v>1504</v>
      </c>
      <c r="Y159" t="s">
        <v>1505</v>
      </c>
    </row>
    <row r="160" spans="1:25">
      <c r="A160" s="245" t="s">
        <v>1506</v>
      </c>
      <c r="B160" s="244" t="s">
        <v>1507</v>
      </c>
      <c r="C160" s="242" t="s">
        <v>1508</v>
      </c>
      <c r="D160" t="s">
        <v>1509</v>
      </c>
      <c r="E160" t="str">
        <f t="shared" si="2"/>
        <v>MW</v>
      </c>
      <c r="F160" s="71"/>
      <c r="I160" t="s">
        <v>1510</v>
      </c>
      <c r="Y160" t="s">
        <v>1511</v>
      </c>
    </row>
    <row r="161" spans="1:25">
      <c r="A161" s="245" t="s">
        <v>1512</v>
      </c>
      <c r="B161" s="241" t="s">
        <v>1513</v>
      </c>
      <c r="C161" s="242" t="s">
        <v>1514</v>
      </c>
      <c r="D161" t="s">
        <v>1515</v>
      </c>
      <c r="E161" t="str">
        <f t="shared" si="2"/>
        <v>MX</v>
      </c>
      <c r="F161" s="71"/>
      <c r="I161" t="s">
        <v>1516</v>
      </c>
      <c r="Y161" t="s">
        <v>1517</v>
      </c>
    </row>
    <row r="162" spans="1:25">
      <c r="A162" s="245" t="s">
        <v>1518</v>
      </c>
      <c r="B162" s="244" t="s">
        <v>1519</v>
      </c>
      <c r="C162" s="242" t="s">
        <v>1520</v>
      </c>
      <c r="D162" t="s">
        <v>1521</v>
      </c>
      <c r="E162" t="str">
        <f t="shared" si="2"/>
        <v>MY</v>
      </c>
      <c r="I162" t="s">
        <v>1522</v>
      </c>
      <c r="Y162" t="s">
        <v>1523</v>
      </c>
    </row>
    <row r="163" spans="1:25">
      <c r="A163" s="241" t="s">
        <v>819</v>
      </c>
      <c r="B163" s="241" t="s">
        <v>1524</v>
      </c>
      <c r="C163" s="242" t="s">
        <v>1525</v>
      </c>
      <c r="D163" t="s">
        <v>1526</v>
      </c>
      <c r="E163" t="str">
        <f t="shared" si="2"/>
        <v>MZ</v>
      </c>
      <c r="I163" t="s">
        <v>1527</v>
      </c>
      <c r="Y163" t="s">
        <v>1528</v>
      </c>
    </row>
    <row r="164" spans="1:25">
      <c r="A164" s="244" t="s">
        <v>827</v>
      </c>
      <c r="B164" s="244" t="s">
        <v>1529</v>
      </c>
      <c r="C164" s="242" t="s">
        <v>1530</v>
      </c>
      <c r="D164" t="s">
        <v>1531</v>
      </c>
      <c r="E164" t="str">
        <f t="shared" si="2"/>
        <v>NA</v>
      </c>
      <c r="I164" t="s">
        <v>1532</v>
      </c>
      <c r="Y164" t="s">
        <v>1533</v>
      </c>
    </row>
    <row r="165" spans="1:25">
      <c r="A165" s="245" t="s">
        <v>1534</v>
      </c>
      <c r="B165" s="244" t="s">
        <v>1535</v>
      </c>
      <c r="C165" s="242" t="s">
        <v>1536</v>
      </c>
      <c r="D165" t="s">
        <v>1537</v>
      </c>
      <c r="E165" t="str">
        <f t="shared" si="2"/>
        <v>NC</v>
      </c>
      <c r="I165" t="s">
        <v>1538</v>
      </c>
      <c r="Y165" t="s">
        <v>1539</v>
      </c>
    </row>
    <row r="166" spans="1:25">
      <c r="A166" s="245" t="s">
        <v>1540</v>
      </c>
      <c r="B166" s="244" t="s">
        <v>1541</v>
      </c>
      <c r="C166" s="242" t="s">
        <v>1542</v>
      </c>
      <c r="D166" t="s">
        <v>1543</v>
      </c>
      <c r="E166" t="str">
        <f t="shared" si="2"/>
        <v>NE</v>
      </c>
      <c r="I166" t="s">
        <v>1544</v>
      </c>
      <c r="Y166" t="s">
        <v>1545</v>
      </c>
    </row>
    <row r="167" spans="1:25">
      <c r="A167" s="244" t="s">
        <v>834</v>
      </c>
      <c r="B167" s="241" t="s">
        <v>1546</v>
      </c>
      <c r="C167" s="242" t="s">
        <v>1547</v>
      </c>
      <c r="D167" t="s">
        <v>1548</v>
      </c>
      <c r="E167" t="str">
        <f t="shared" si="2"/>
        <v>NF</v>
      </c>
      <c r="I167" t="s">
        <v>1549</v>
      </c>
      <c r="Y167" t="s">
        <v>1550</v>
      </c>
    </row>
    <row r="168" spans="1:25">
      <c r="A168" s="245" t="s">
        <v>1551</v>
      </c>
      <c r="B168" s="244" t="s">
        <v>1552</v>
      </c>
      <c r="C168" s="242" t="s">
        <v>1553</v>
      </c>
      <c r="D168" t="s">
        <v>1554</v>
      </c>
      <c r="E168" t="str">
        <f t="shared" si="2"/>
        <v>NG</v>
      </c>
      <c r="I168" t="s">
        <v>1555</v>
      </c>
      <c r="Y168" t="s">
        <v>1556</v>
      </c>
    </row>
    <row r="169" spans="1:25">
      <c r="A169" s="241" t="s">
        <v>841</v>
      </c>
      <c r="B169" s="242" t="s">
        <v>1557</v>
      </c>
      <c r="C169" s="242" t="s">
        <v>1558</v>
      </c>
      <c r="D169" t="s">
        <v>1559</v>
      </c>
      <c r="E169" t="str">
        <f t="shared" si="2"/>
        <v>NI</v>
      </c>
      <c r="I169" t="s">
        <v>1560</v>
      </c>
      <c r="Y169" t="s">
        <v>1561</v>
      </c>
    </row>
    <row r="170" spans="1:25">
      <c r="A170" s="244" t="s">
        <v>848</v>
      </c>
      <c r="B170" s="241" t="s">
        <v>1562</v>
      </c>
      <c r="C170" s="242" t="s">
        <v>1563</v>
      </c>
      <c r="D170" t="s">
        <v>1564</v>
      </c>
      <c r="E170" t="str">
        <f t="shared" si="2"/>
        <v>NL</v>
      </c>
      <c r="I170" t="s">
        <v>1565</v>
      </c>
      <c r="Y170" t="s">
        <v>1566</v>
      </c>
    </row>
    <row r="171" spans="1:25">
      <c r="A171" s="245" t="s">
        <v>1567</v>
      </c>
      <c r="B171" s="244" t="s">
        <v>1568</v>
      </c>
      <c r="C171" s="242" t="s">
        <v>1569</v>
      </c>
      <c r="D171" t="s">
        <v>1570</v>
      </c>
      <c r="E171" t="str">
        <f t="shared" si="2"/>
        <v>NO</v>
      </c>
      <c r="I171" t="s">
        <v>1571</v>
      </c>
    </row>
    <row r="172" spans="1:25">
      <c r="A172" s="245" t="s">
        <v>1572</v>
      </c>
      <c r="B172" s="241" t="s">
        <v>1573</v>
      </c>
      <c r="C172" s="242" t="s">
        <v>1574</v>
      </c>
      <c r="D172" t="s">
        <v>1575</v>
      </c>
      <c r="E172" t="str">
        <f t="shared" si="2"/>
        <v>NP</v>
      </c>
      <c r="I172" t="s">
        <v>1576</v>
      </c>
    </row>
    <row r="173" spans="1:25">
      <c r="A173" s="244" t="s">
        <v>856</v>
      </c>
      <c r="B173" s="244" t="s">
        <v>1577</v>
      </c>
      <c r="C173" s="242" t="s">
        <v>1578</v>
      </c>
      <c r="D173" t="s">
        <v>1579</v>
      </c>
      <c r="E173" t="str">
        <f t="shared" si="2"/>
        <v>NR</v>
      </c>
      <c r="I173" t="s">
        <v>1580</v>
      </c>
    </row>
    <row r="174" spans="1:25">
      <c r="A174" s="245" t="s">
        <v>1581</v>
      </c>
      <c r="B174" s="244" t="s">
        <v>1582</v>
      </c>
      <c r="C174" s="242" t="s">
        <v>1583</v>
      </c>
      <c r="D174" t="s">
        <v>1584</v>
      </c>
      <c r="E174" t="str">
        <f t="shared" si="2"/>
        <v>NT</v>
      </c>
      <c r="I174" t="s">
        <v>1585</v>
      </c>
    </row>
    <row r="175" spans="1:25">
      <c r="A175" s="245" t="s">
        <v>1586</v>
      </c>
      <c r="B175" s="244" t="s">
        <v>1587</v>
      </c>
      <c r="C175" s="242" t="s">
        <v>1588</v>
      </c>
      <c r="D175" t="s">
        <v>1589</v>
      </c>
      <c r="E175" t="str">
        <f t="shared" si="2"/>
        <v>NU</v>
      </c>
      <c r="I175" t="s">
        <v>1590</v>
      </c>
    </row>
    <row r="176" spans="1:25">
      <c r="A176" s="245" t="s">
        <v>1591</v>
      </c>
      <c r="B176" s="241" t="s">
        <v>1592</v>
      </c>
      <c r="C176" s="242" t="s">
        <v>1593</v>
      </c>
      <c r="D176" t="s">
        <v>1594</v>
      </c>
      <c r="E176" t="str">
        <f t="shared" si="2"/>
        <v>NZ</v>
      </c>
      <c r="I176" t="s">
        <v>1595</v>
      </c>
    </row>
    <row r="177" spans="1:9">
      <c r="A177" s="245" t="s">
        <v>1596</v>
      </c>
      <c r="B177" s="244" t="s">
        <v>1597</v>
      </c>
      <c r="C177" s="242" t="s">
        <v>1598</v>
      </c>
      <c r="D177" t="s">
        <v>1599</v>
      </c>
      <c r="E177" t="str">
        <f t="shared" si="2"/>
        <v>OM</v>
      </c>
      <c r="I177" t="s">
        <v>1600</v>
      </c>
    </row>
    <row r="178" spans="1:9">
      <c r="A178" s="245" t="s">
        <v>1601</v>
      </c>
      <c r="B178" s="244" t="s">
        <v>1602</v>
      </c>
      <c r="C178" s="242" t="s">
        <v>1603</v>
      </c>
      <c r="D178" t="s">
        <v>1604</v>
      </c>
      <c r="E178" t="str">
        <f t="shared" si="2"/>
        <v>PA</v>
      </c>
      <c r="I178" t="s">
        <v>1605</v>
      </c>
    </row>
    <row r="179" spans="1:9">
      <c r="A179" s="245" t="s">
        <v>1606</v>
      </c>
      <c r="B179" s="244" t="s">
        <v>1607</v>
      </c>
      <c r="C179" s="242" t="s">
        <v>1608</v>
      </c>
      <c r="D179" t="s">
        <v>1609</v>
      </c>
      <c r="E179" t="str">
        <f t="shared" si="2"/>
        <v>PE</v>
      </c>
      <c r="I179" t="s">
        <v>1610</v>
      </c>
    </row>
    <row r="180" spans="1:9">
      <c r="A180" s="245" t="s">
        <v>1611</v>
      </c>
      <c r="B180" s="244" t="s">
        <v>1612</v>
      </c>
      <c r="C180" s="242" t="s">
        <v>1613</v>
      </c>
      <c r="D180" t="s">
        <v>1614</v>
      </c>
      <c r="E180" t="str">
        <f t="shared" si="2"/>
        <v>PF</v>
      </c>
      <c r="I180" t="s">
        <v>1615</v>
      </c>
    </row>
    <row r="181" spans="1:9">
      <c r="A181" s="245" t="s">
        <v>1616</v>
      </c>
      <c r="B181" s="244" t="s">
        <v>1617</v>
      </c>
      <c r="C181" s="242" t="s">
        <v>1618</v>
      </c>
      <c r="D181" t="s">
        <v>1619</v>
      </c>
      <c r="E181" t="str">
        <f t="shared" si="2"/>
        <v>PG</v>
      </c>
      <c r="I181" t="s">
        <v>1620</v>
      </c>
    </row>
    <row r="182" spans="1:9">
      <c r="A182" s="241" t="s">
        <v>863</v>
      </c>
      <c r="B182" s="244" t="s">
        <v>1621</v>
      </c>
      <c r="C182" s="242" t="s">
        <v>1622</v>
      </c>
      <c r="D182" t="s">
        <v>1623</v>
      </c>
      <c r="E182" t="str">
        <f t="shared" si="2"/>
        <v>PH</v>
      </c>
      <c r="I182" t="s">
        <v>1624</v>
      </c>
    </row>
    <row r="183" spans="1:9">
      <c r="A183" s="244" t="s">
        <v>871</v>
      </c>
      <c r="B183" s="244" t="s">
        <v>1625</v>
      </c>
      <c r="C183" s="242" t="s">
        <v>1626</v>
      </c>
      <c r="D183" t="s">
        <v>1627</v>
      </c>
      <c r="E183" t="str">
        <f t="shared" si="2"/>
        <v>PK</v>
      </c>
      <c r="I183" t="s">
        <v>1628</v>
      </c>
    </row>
    <row r="184" spans="1:9">
      <c r="A184" s="245" t="s">
        <v>1629</v>
      </c>
      <c r="B184" s="242" t="s">
        <v>1630</v>
      </c>
      <c r="C184" s="242" t="s">
        <v>1631</v>
      </c>
      <c r="D184" t="s">
        <v>1632</v>
      </c>
      <c r="E184" t="str">
        <f t="shared" si="2"/>
        <v>PL</v>
      </c>
      <c r="I184" t="s">
        <v>1633</v>
      </c>
    </row>
    <row r="185" spans="1:9">
      <c r="A185" s="245" t="s">
        <v>1634</v>
      </c>
      <c r="B185" s="241" t="s">
        <v>1635</v>
      </c>
      <c r="C185" s="242" t="s">
        <v>1636</v>
      </c>
      <c r="D185" t="s">
        <v>1637</v>
      </c>
      <c r="E185" t="str">
        <f t="shared" si="2"/>
        <v>PM</v>
      </c>
      <c r="I185" t="s">
        <v>1638</v>
      </c>
    </row>
    <row r="186" spans="1:9">
      <c r="A186" s="244" t="s">
        <v>878</v>
      </c>
      <c r="B186" s="244" t="s">
        <v>1639</v>
      </c>
      <c r="C186" s="242" t="s">
        <v>1640</v>
      </c>
      <c r="D186" t="s">
        <v>1641</v>
      </c>
      <c r="E186" t="str">
        <f t="shared" si="2"/>
        <v>PN</v>
      </c>
      <c r="I186" t="s">
        <v>1642</v>
      </c>
    </row>
    <row r="187" spans="1:9">
      <c r="A187" s="245" t="s">
        <v>1643</v>
      </c>
      <c r="B187" s="244" t="s">
        <v>1644</v>
      </c>
      <c r="C187" s="242" t="s">
        <v>1645</v>
      </c>
      <c r="D187" t="s">
        <v>1646</v>
      </c>
      <c r="E187" t="str">
        <f t="shared" si="2"/>
        <v>PR</v>
      </c>
      <c r="I187" t="s">
        <v>1647</v>
      </c>
    </row>
    <row r="188" spans="1:9">
      <c r="A188" s="245" t="s">
        <v>1648</v>
      </c>
      <c r="B188" s="244" t="s">
        <v>1649</v>
      </c>
      <c r="C188" s="242" t="s">
        <v>1650</v>
      </c>
      <c r="D188" t="s">
        <v>1651</v>
      </c>
      <c r="E188" t="str">
        <f t="shared" si="2"/>
        <v>PS</v>
      </c>
      <c r="I188" t="s">
        <v>1652</v>
      </c>
    </row>
    <row r="189" spans="1:9">
      <c r="A189" s="245" t="s">
        <v>1653</v>
      </c>
      <c r="B189" s="244" t="s">
        <v>1654</v>
      </c>
      <c r="C189" s="242" t="s">
        <v>1655</v>
      </c>
      <c r="D189" t="s">
        <v>1656</v>
      </c>
      <c r="E189" t="str">
        <f t="shared" si="2"/>
        <v>PT</v>
      </c>
      <c r="I189" t="s">
        <v>1657</v>
      </c>
    </row>
    <row r="190" spans="1:9">
      <c r="A190" s="245" t="s">
        <v>1658</v>
      </c>
      <c r="B190" s="244" t="s">
        <v>1659</v>
      </c>
      <c r="C190" s="242" t="s">
        <v>1660</v>
      </c>
      <c r="D190" t="s">
        <v>1661</v>
      </c>
      <c r="E190" t="str">
        <f t="shared" si="2"/>
        <v>PW</v>
      </c>
      <c r="I190" t="s">
        <v>1662</v>
      </c>
    </row>
    <row r="191" spans="1:9">
      <c r="A191" s="245" t="s">
        <v>1663</v>
      </c>
      <c r="B191" s="244" t="s">
        <v>1664</v>
      </c>
      <c r="C191" s="242" t="s">
        <v>1665</v>
      </c>
      <c r="D191" t="s">
        <v>1666</v>
      </c>
      <c r="E191" t="str">
        <f t="shared" si="2"/>
        <v>PY</v>
      </c>
      <c r="I191" t="s">
        <v>1667</v>
      </c>
    </row>
    <row r="192" spans="1:9">
      <c r="A192" s="241" t="s">
        <v>885</v>
      </c>
      <c r="B192" s="244" t="s">
        <v>1668</v>
      </c>
      <c r="C192" s="242" t="s">
        <v>1669</v>
      </c>
      <c r="D192" t="s">
        <v>1670</v>
      </c>
      <c r="E192" t="str">
        <f t="shared" si="2"/>
        <v>QA</v>
      </c>
      <c r="I192" t="s">
        <v>1671</v>
      </c>
    </row>
    <row r="193" spans="1:9">
      <c r="A193" s="244" t="s">
        <v>893</v>
      </c>
      <c r="B193" s="244" t="s">
        <v>1672</v>
      </c>
      <c r="C193" s="242" t="s">
        <v>1673</v>
      </c>
      <c r="D193" t="s">
        <v>1674</v>
      </c>
      <c r="E193" t="str">
        <f t="shared" si="2"/>
        <v>RE</v>
      </c>
      <c r="I193" t="s">
        <v>1675</v>
      </c>
    </row>
    <row r="194" spans="1:9">
      <c r="A194" s="245" t="s">
        <v>1676</v>
      </c>
      <c r="B194" s="244" t="s">
        <v>1677</v>
      </c>
      <c r="C194" s="242" t="s">
        <v>1678</v>
      </c>
      <c r="D194" t="s">
        <v>1679</v>
      </c>
      <c r="E194" t="str">
        <f t="shared" si="2"/>
        <v>RO</v>
      </c>
      <c r="I194" t="s">
        <v>1680</v>
      </c>
    </row>
    <row r="195" spans="1:9">
      <c r="A195" s="245" t="s">
        <v>1681</v>
      </c>
      <c r="B195" s="241" t="s">
        <v>1682</v>
      </c>
      <c r="C195" s="242" t="s">
        <v>1683</v>
      </c>
      <c r="D195" t="s">
        <v>1684</v>
      </c>
      <c r="E195" t="str">
        <f t="shared" ref="E195:E257" si="3">RIGHT(D195,2)</f>
        <v>RS</v>
      </c>
      <c r="I195" t="s">
        <v>1685</v>
      </c>
    </row>
    <row r="196" spans="1:9">
      <c r="A196" s="245" t="s">
        <v>1686</v>
      </c>
      <c r="B196" s="244" t="s">
        <v>1687</v>
      </c>
      <c r="C196" s="242" t="s">
        <v>1688</v>
      </c>
      <c r="D196" t="s">
        <v>1689</v>
      </c>
      <c r="E196" t="str">
        <f t="shared" si="3"/>
        <v>RU</v>
      </c>
      <c r="I196" t="s">
        <v>1690</v>
      </c>
    </row>
    <row r="197" spans="1:9">
      <c r="A197" s="245" t="s">
        <v>1691</v>
      </c>
      <c r="B197" s="244" t="s">
        <v>1692</v>
      </c>
      <c r="C197" s="242" t="s">
        <v>1693</v>
      </c>
      <c r="D197" t="s">
        <v>1694</v>
      </c>
      <c r="E197" t="str">
        <f t="shared" si="3"/>
        <v>RW</v>
      </c>
      <c r="I197" t="s">
        <v>1695</v>
      </c>
    </row>
    <row r="198" spans="1:9">
      <c r="A198" s="244" t="s">
        <v>900</v>
      </c>
      <c r="B198" s="244" t="s">
        <v>1696</v>
      </c>
      <c r="C198" s="242" t="s">
        <v>1697</v>
      </c>
      <c r="D198" t="s">
        <v>1698</v>
      </c>
      <c r="E198" t="str">
        <f t="shared" si="3"/>
        <v>SA</v>
      </c>
      <c r="I198" t="s">
        <v>1699</v>
      </c>
    </row>
    <row r="199" spans="1:9">
      <c r="A199" s="245" t="s">
        <v>1700</v>
      </c>
      <c r="B199" s="244" t="s">
        <v>1701</v>
      </c>
      <c r="C199" s="242" t="s">
        <v>1702</v>
      </c>
      <c r="D199" t="s">
        <v>1703</v>
      </c>
      <c r="E199" t="str">
        <f t="shared" si="3"/>
        <v>SB</v>
      </c>
      <c r="I199" t="s">
        <v>1704</v>
      </c>
    </row>
    <row r="200" spans="1:9">
      <c r="A200" s="241" t="s">
        <v>908</v>
      </c>
      <c r="B200" s="244" t="s">
        <v>1705</v>
      </c>
      <c r="C200" s="242" t="s">
        <v>1706</v>
      </c>
      <c r="D200" t="s">
        <v>1707</v>
      </c>
      <c r="E200" t="str">
        <f t="shared" si="3"/>
        <v>SC</v>
      </c>
      <c r="I200" t="s">
        <v>1708</v>
      </c>
    </row>
    <row r="201" spans="1:9">
      <c r="A201" s="244" t="s">
        <v>915</v>
      </c>
      <c r="B201" s="244" t="s">
        <v>1709</v>
      </c>
      <c r="C201" s="242" t="s">
        <v>1710</v>
      </c>
      <c r="D201" t="s">
        <v>1711</v>
      </c>
      <c r="E201" t="str">
        <f t="shared" si="3"/>
        <v>SD</v>
      </c>
      <c r="I201" t="s">
        <v>1712</v>
      </c>
    </row>
    <row r="202" spans="1:9">
      <c r="A202" s="245" t="s">
        <v>1713</v>
      </c>
      <c r="B202" s="244" t="s">
        <v>1714</v>
      </c>
      <c r="C202" s="242" t="s">
        <v>1715</v>
      </c>
      <c r="D202" t="s">
        <v>1716</v>
      </c>
      <c r="E202" t="str">
        <f t="shared" si="3"/>
        <v>SE</v>
      </c>
      <c r="I202" t="s">
        <v>1717</v>
      </c>
    </row>
    <row r="203" spans="1:9">
      <c r="A203" s="244" t="s">
        <v>922</v>
      </c>
      <c r="B203" s="244" t="s">
        <v>1718</v>
      </c>
      <c r="C203" s="242" t="s">
        <v>1719</v>
      </c>
      <c r="D203" t="s">
        <v>1720</v>
      </c>
      <c r="E203" t="str">
        <f t="shared" si="3"/>
        <v>SG</v>
      </c>
      <c r="I203" t="s">
        <v>1721</v>
      </c>
    </row>
    <row r="204" spans="1:9">
      <c r="A204" s="245" t="s">
        <v>1722</v>
      </c>
      <c r="B204" s="244" t="s">
        <v>1723</v>
      </c>
      <c r="C204" s="242" t="s">
        <v>1724</v>
      </c>
      <c r="D204" t="s">
        <v>1725</v>
      </c>
      <c r="E204" t="str">
        <f t="shared" si="3"/>
        <v>SH</v>
      </c>
      <c r="I204" t="s">
        <v>1726</v>
      </c>
    </row>
    <row r="205" spans="1:9">
      <c r="A205" s="241" t="s">
        <v>930</v>
      </c>
      <c r="B205" s="242" t="s">
        <v>1727</v>
      </c>
      <c r="C205" s="242" t="s">
        <v>1728</v>
      </c>
      <c r="D205" t="s">
        <v>1729</v>
      </c>
      <c r="E205" t="str">
        <f t="shared" si="3"/>
        <v>SI</v>
      </c>
      <c r="I205" t="s">
        <v>1730</v>
      </c>
    </row>
    <row r="206" spans="1:9">
      <c r="A206" s="244" t="s">
        <v>937</v>
      </c>
      <c r="B206" s="241" t="s">
        <v>1731</v>
      </c>
      <c r="C206" s="242" t="s">
        <v>1732</v>
      </c>
      <c r="D206" t="s">
        <v>1733</v>
      </c>
      <c r="E206" t="str">
        <f t="shared" si="3"/>
        <v>SJ</v>
      </c>
      <c r="I206" t="s">
        <v>1734</v>
      </c>
    </row>
    <row r="207" spans="1:9">
      <c r="A207" s="245" t="s">
        <v>1735</v>
      </c>
      <c r="B207" s="244" t="s">
        <v>1736</v>
      </c>
      <c r="C207" s="242" t="s">
        <v>1737</v>
      </c>
      <c r="D207" t="s">
        <v>1738</v>
      </c>
      <c r="E207" t="str">
        <f t="shared" si="3"/>
        <v>SK</v>
      </c>
      <c r="I207" t="s">
        <v>1739</v>
      </c>
    </row>
    <row r="208" spans="1:9">
      <c r="A208" s="245" t="s">
        <v>1740</v>
      </c>
      <c r="B208" s="244" t="s">
        <v>1741</v>
      </c>
      <c r="C208" s="242" t="s">
        <v>1742</v>
      </c>
      <c r="D208" t="s">
        <v>1743</v>
      </c>
      <c r="E208" t="str">
        <f t="shared" si="3"/>
        <v>SL</v>
      </c>
      <c r="I208" t="s">
        <v>1744</v>
      </c>
    </row>
    <row r="209" spans="1:9">
      <c r="A209" s="245" t="s">
        <v>1745</v>
      </c>
      <c r="B209" s="244" t="s">
        <v>1746</v>
      </c>
      <c r="C209" s="242" t="s">
        <v>1747</v>
      </c>
      <c r="D209" t="s">
        <v>1748</v>
      </c>
      <c r="E209" t="str">
        <f t="shared" si="3"/>
        <v>SM</v>
      </c>
      <c r="I209" t="s">
        <v>1749</v>
      </c>
    </row>
    <row r="210" spans="1:9">
      <c r="A210" s="245" t="s">
        <v>1750</v>
      </c>
      <c r="B210" s="244" t="s">
        <v>1751</v>
      </c>
      <c r="C210" s="242" t="s">
        <v>1752</v>
      </c>
      <c r="D210" t="s">
        <v>1753</v>
      </c>
      <c r="E210" t="str">
        <f t="shared" si="3"/>
        <v>SN</v>
      </c>
      <c r="I210" t="s">
        <v>1754</v>
      </c>
    </row>
    <row r="211" spans="1:9">
      <c r="A211" s="245" t="s">
        <v>1755</v>
      </c>
      <c r="B211" s="244" t="s">
        <v>1756</v>
      </c>
      <c r="C211" s="242" t="s">
        <v>1757</v>
      </c>
      <c r="D211" t="s">
        <v>1758</v>
      </c>
      <c r="E211" t="str">
        <f t="shared" si="3"/>
        <v>SO</v>
      </c>
      <c r="I211" t="s">
        <v>1759</v>
      </c>
    </row>
    <row r="212" spans="1:9">
      <c r="A212" s="245" t="s">
        <v>1760</v>
      </c>
      <c r="B212" s="241" t="s">
        <v>1761</v>
      </c>
      <c r="C212" s="242" t="s">
        <v>1762</v>
      </c>
      <c r="D212" t="s">
        <v>1763</v>
      </c>
      <c r="E212" t="str">
        <f t="shared" si="3"/>
        <v>SR</v>
      </c>
      <c r="I212" t="s">
        <v>1764</v>
      </c>
    </row>
    <row r="213" spans="1:9">
      <c r="A213" s="245" t="s">
        <v>1765</v>
      </c>
      <c r="B213" s="244" t="s">
        <v>1766</v>
      </c>
      <c r="C213" s="242" t="s">
        <v>1767</v>
      </c>
      <c r="D213" t="s">
        <v>1768</v>
      </c>
      <c r="E213" t="str">
        <f t="shared" si="3"/>
        <v>SS</v>
      </c>
      <c r="I213" t="s">
        <v>1769</v>
      </c>
    </row>
    <row r="214" spans="1:9">
      <c r="A214" s="244" t="s">
        <v>945</v>
      </c>
      <c r="B214" s="244" t="s">
        <v>1770</v>
      </c>
      <c r="C214" s="242" t="s">
        <v>1771</v>
      </c>
      <c r="D214" t="s">
        <v>1772</v>
      </c>
      <c r="E214" t="str">
        <f t="shared" si="3"/>
        <v>ST</v>
      </c>
      <c r="I214" t="s">
        <v>1773</v>
      </c>
    </row>
    <row r="215" spans="1:9">
      <c r="A215" s="245" t="s">
        <v>1774</v>
      </c>
      <c r="B215" s="244" t="s">
        <v>1775</v>
      </c>
      <c r="C215" s="242" t="s">
        <v>1776</v>
      </c>
      <c r="D215" t="s">
        <v>1777</v>
      </c>
      <c r="E215" t="str">
        <f t="shared" si="3"/>
        <v>SV</v>
      </c>
      <c r="I215" t="s">
        <v>1778</v>
      </c>
    </row>
    <row r="216" spans="1:9">
      <c r="A216" s="244" t="s">
        <v>953</v>
      </c>
      <c r="B216" s="244" t="s">
        <v>1779</v>
      </c>
      <c r="C216" s="242" t="s">
        <v>1780</v>
      </c>
      <c r="D216" t="s">
        <v>1781</v>
      </c>
      <c r="E216" t="str">
        <f t="shared" si="3"/>
        <v>SX</v>
      </c>
      <c r="I216" t="s">
        <v>1782</v>
      </c>
    </row>
    <row r="217" spans="1:9">
      <c r="A217" s="245" t="s">
        <v>1783</v>
      </c>
      <c r="B217" s="241" t="s">
        <v>1784</v>
      </c>
      <c r="C217" s="242" t="s">
        <v>1785</v>
      </c>
      <c r="D217" t="s">
        <v>1786</v>
      </c>
      <c r="E217" t="str">
        <f t="shared" si="3"/>
        <v>SY</v>
      </c>
      <c r="I217" t="s">
        <v>1787</v>
      </c>
    </row>
    <row r="218" spans="1:9">
      <c r="A218" s="244" t="s">
        <v>960</v>
      </c>
      <c r="B218" s="244" t="s">
        <v>1788</v>
      </c>
      <c r="C218" s="242" t="s">
        <v>1789</v>
      </c>
      <c r="D218" t="s">
        <v>1790</v>
      </c>
      <c r="E218" t="str">
        <f t="shared" si="3"/>
        <v>SZ</v>
      </c>
      <c r="I218" t="s">
        <v>1791</v>
      </c>
    </row>
    <row r="219" spans="1:9">
      <c r="A219" s="245" t="s">
        <v>1792</v>
      </c>
      <c r="B219" s="244" t="s">
        <v>1793</v>
      </c>
      <c r="C219" s="242" t="s">
        <v>1794</v>
      </c>
      <c r="D219" t="s">
        <v>1795</v>
      </c>
      <c r="E219" t="str">
        <f t="shared" si="3"/>
        <v>TC</v>
      </c>
      <c r="I219" t="s">
        <v>1796</v>
      </c>
    </row>
    <row r="220" spans="1:9">
      <c r="A220" s="245" t="s">
        <v>1797</v>
      </c>
      <c r="B220" s="241" t="s">
        <v>1798</v>
      </c>
      <c r="C220" s="242" t="s">
        <v>1799</v>
      </c>
      <c r="D220" t="s">
        <v>1800</v>
      </c>
      <c r="E220" t="str">
        <f t="shared" si="3"/>
        <v>TD</v>
      </c>
      <c r="I220" t="s">
        <v>1801</v>
      </c>
    </row>
    <row r="221" spans="1:9">
      <c r="A221" s="244" t="s">
        <v>967</v>
      </c>
      <c r="B221" s="244" t="s">
        <v>1802</v>
      </c>
      <c r="C221" s="242" t="s">
        <v>1803</v>
      </c>
      <c r="D221" t="s">
        <v>1804</v>
      </c>
      <c r="E221" t="str">
        <f t="shared" si="3"/>
        <v>TF</v>
      </c>
      <c r="I221" t="s">
        <v>1805</v>
      </c>
    </row>
    <row r="222" spans="1:9">
      <c r="A222" s="245" t="s">
        <v>1806</v>
      </c>
      <c r="B222" s="244" t="s">
        <v>1807</v>
      </c>
      <c r="C222" s="242" t="s">
        <v>1808</v>
      </c>
      <c r="D222" t="s">
        <v>1809</v>
      </c>
      <c r="E222" t="str">
        <f t="shared" si="3"/>
        <v>TG</v>
      </c>
      <c r="I222" t="s">
        <v>1810</v>
      </c>
    </row>
    <row r="223" spans="1:9">
      <c r="A223" s="245" t="s">
        <v>1811</v>
      </c>
      <c r="B223" s="244" t="s">
        <v>1812</v>
      </c>
      <c r="C223" s="242" t="s">
        <v>1813</v>
      </c>
      <c r="D223" t="s">
        <v>1814</v>
      </c>
      <c r="E223" t="str">
        <f t="shared" si="3"/>
        <v>TH</v>
      </c>
      <c r="I223" t="s">
        <v>1815</v>
      </c>
    </row>
    <row r="224" spans="1:9">
      <c r="A224" s="244" t="s">
        <v>975</v>
      </c>
      <c r="B224" s="241" t="s">
        <v>1816</v>
      </c>
      <c r="C224" s="242" t="s">
        <v>1817</v>
      </c>
      <c r="D224" t="s">
        <v>1818</v>
      </c>
      <c r="E224" t="str">
        <f t="shared" si="3"/>
        <v>TJ</v>
      </c>
      <c r="I224" t="s">
        <v>1819</v>
      </c>
    </row>
    <row r="225" spans="1:9">
      <c r="A225" s="245" t="s">
        <v>1820</v>
      </c>
      <c r="B225" s="244" t="s">
        <v>1821</v>
      </c>
      <c r="C225" s="242" t="s">
        <v>1822</v>
      </c>
      <c r="D225" t="s">
        <v>1823</v>
      </c>
      <c r="E225" t="str">
        <f t="shared" si="3"/>
        <v>TK</v>
      </c>
      <c r="I225" t="s">
        <v>1824</v>
      </c>
    </row>
    <row r="226" spans="1:9">
      <c r="A226" s="241" t="s">
        <v>983</v>
      </c>
      <c r="B226" s="244" t="s">
        <v>1825</v>
      </c>
      <c r="C226" s="242" t="s">
        <v>1826</v>
      </c>
      <c r="D226" t="s">
        <v>1827</v>
      </c>
      <c r="E226" t="str">
        <f t="shared" si="3"/>
        <v>TL</v>
      </c>
      <c r="I226" t="s">
        <v>1828</v>
      </c>
    </row>
    <row r="227" spans="1:9">
      <c r="A227" s="244" t="s">
        <v>990</v>
      </c>
      <c r="B227" s="244" t="s">
        <v>1829</v>
      </c>
      <c r="C227" s="242" t="s">
        <v>1830</v>
      </c>
      <c r="D227" t="s">
        <v>1831</v>
      </c>
      <c r="E227" t="str">
        <f t="shared" si="3"/>
        <v>TM</v>
      </c>
      <c r="I227" t="s">
        <v>1832</v>
      </c>
    </row>
    <row r="228" spans="1:9">
      <c r="A228" s="245" t="s">
        <v>1833</v>
      </c>
      <c r="B228" s="242" t="s">
        <v>1834</v>
      </c>
      <c r="C228" s="242" t="s">
        <v>1835</v>
      </c>
      <c r="D228" t="s">
        <v>1836</v>
      </c>
      <c r="E228" t="str">
        <f t="shared" si="3"/>
        <v>TN</v>
      </c>
      <c r="I228" t="s">
        <v>1837</v>
      </c>
    </row>
    <row r="229" spans="1:9">
      <c r="A229" s="244" t="s">
        <v>998</v>
      </c>
      <c r="B229" s="241" t="s">
        <v>1838</v>
      </c>
      <c r="C229" s="242" t="s">
        <v>1839</v>
      </c>
      <c r="D229" t="s">
        <v>1840</v>
      </c>
      <c r="E229" t="str">
        <f t="shared" si="3"/>
        <v>TO</v>
      </c>
      <c r="I229" t="s">
        <v>1841</v>
      </c>
    </row>
    <row r="230" spans="1:9">
      <c r="A230" s="245" t="s">
        <v>1842</v>
      </c>
      <c r="B230" s="244" t="s">
        <v>1843</v>
      </c>
      <c r="C230" s="242" t="s">
        <v>1844</v>
      </c>
      <c r="D230" t="s">
        <v>1845</v>
      </c>
      <c r="E230" t="str">
        <f t="shared" si="3"/>
        <v>TP</v>
      </c>
      <c r="I230" t="s">
        <v>1846</v>
      </c>
    </row>
    <row r="231" spans="1:9">
      <c r="A231" s="241" t="s">
        <v>1006</v>
      </c>
      <c r="B231" s="244" t="s">
        <v>1847</v>
      </c>
      <c r="C231" s="242" t="s">
        <v>1848</v>
      </c>
      <c r="D231" t="s">
        <v>1849</v>
      </c>
      <c r="E231" t="str">
        <f t="shared" si="3"/>
        <v>TR</v>
      </c>
      <c r="I231" t="s">
        <v>1850</v>
      </c>
    </row>
    <row r="232" spans="1:9">
      <c r="A232" s="244" t="s">
        <v>1014</v>
      </c>
      <c r="B232" s="244" t="s">
        <v>1851</v>
      </c>
      <c r="C232" s="242" t="s">
        <v>1852</v>
      </c>
      <c r="D232" t="s">
        <v>1853</v>
      </c>
      <c r="E232" t="str">
        <f t="shared" si="3"/>
        <v>TT</v>
      </c>
      <c r="I232" t="s">
        <v>1854</v>
      </c>
    </row>
    <row r="233" spans="1:9">
      <c r="A233" s="245" t="s">
        <v>1855</v>
      </c>
      <c r="B233" s="244" t="s">
        <v>1856</v>
      </c>
      <c r="C233" s="242" t="s">
        <v>1857</v>
      </c>
      <c r="D233" t="s">
        <v>1858</v>
      </c>
      <c r="E233" t="str">
        <f t="shared" si="3"/>
        <v>TV</v>
      </c>
      <c r="I233" t="s">
        <v>1859</v>
      </c>
    </row>
    <row r="234" spans="1:9">
      <c r="A234" s="245" t="s">
        <v>1860</v>
      </c>
      <c r="B234" s="244" t="s">
        <v>1861</v>
      </c>
      <c r="C234" s="242" t="s">
        <v>1862</v>
      </c>
      <c r="D234" t="s">
        <v>1863</v>
      </c>
      <c r="E234" t="str">
        <f t="shared" si="3"/>
        <v>TW</v>
      </c>
      <c r="I234" t="s">
        <v>1864</v>
      </c>
    </row>
    <row r="235" spans="1:9">
      <c r="A235" s="244" t="s">
        <v>1022</v>
      </c>
      <c r="B235" s="241" t="s">
        <v>1865</v>
      </c>
      <c r="C235" s="242" t="s">
        <v>1866</v>
      </c>
      <c r="D235" t="s">
        <v>1867</v>
      </c>
      <c r="E235" t="str">
        <f t="shared" si="3"/>
        <v>TZ</v>
      </c>
      <c r="I235" t="s">
        <v>1868</v>
      </c>
    </row>
    <row r="236" spans="1:9">
      <c r="A236" s="245" t="s">
        <v>1869</v>
      </c>
      <c r="B236" s="244" t="s">
        <v>1870</v>
      </c>
      <c r="C236" s="242" t="s">
        <v>1871</v>
      </c>
      <c r="D236" t="s">
        <v>1872</v>
      </c>
      <c r="E236" t="str">
        <f t="shared" si="3"/>
        <v>UA</v>
      </c>
      <c r="I236" t="s">
        <v>1873</v>
      </c>
    </row>
    <row r="237" spans="1:9">
      <c r="A237" s="245" t="s">
        <v>1874</v>
      </c>
      <c r="B237" s="244" t="s">
        <v>1875</v>
      </c>
      <c r="C237" s="242" t="s">
        <v>1876</v>
      </c>
      <c r="D237" t="s">
        <v>1877</v>
      </c>
      <c r="E237" t="str">
        <f t="shared" si="3"/>
        <v>UG</v>
      </c>
      <c r="I237" t="s">
        <v>1878</v>
      </c>
    </row>
    <row r="238" spans="1:9">
      <c r="A238" s="245" t="s">
        <v>1879</v>
      </c>
      <c r="B238" s="245" t="s">
        <v>1880</v>
      </c>
      <c r="C238" s="242" t="s">
        <v>1881</v>
      </c>
      <c r="D238" t="s">
        <v>1882</v>
      </c>
      <c r="E238" t="str">
        <f t="shared" si="3"/>
        <v>UM</v>
      </c>
      <c r="I238" t="s">
        <v>1883</v>
      </c>
    </row>
    <row r="239" spans="1:9">
      <c r="A239" s="245" t="s">
        <v>1884</v>
      </c>
      <c r="B239" s="244" t="s">
        <v>1885</v>
      </c>
      <c r="C239" s="242" t="s">
        <v>1886</v>
      </c>
      <c r="D239" t="s">
        <v>1887</v>
      </c>
      <c r="E239" t="str">
        <f t="shared" si="3"/>
        <v>US</v>
      </c>
      <c r="I239" t="s">
        <v>1888</v>
      </c>
    </row>
    <row r="240" spans="1:9">
      <c r="A240" s="245" t="s">
        <v>1889</v>
      </c>
      <c r="B240" s="244" t="s">
        <v>1890</v>
      </c>
      <c r="C240" s="242" t="s">
        <v>1891</v>
      </c>
      <c r="D240" t="s">
        <v>1892</v>
      </c>
      <c r="E240" t="str">
        <f t="shared" si="3"/>
        <v>UY</v>
      </c>
      <c r="I240" t="s">
        <v>1893</v>
      </c>
    </row>
    <row r="241" spans="1:9">
      <c r="A241" s="245" t="s">
        <v>1894</v>
      </c>
      <c r="B241" s="242" t="s">
        <v>1895</v>
      </c>
      <c r="C241" s="242" t="s">
        <v>1896</v>
      </c>
      <c r="D241" t="s">
        <v>1897</v>
      </c>
      <c r="E241" t="str">
        <f t="shared" si="3"/>
        <v>UZ</v>
      </c>
      <c r="I241" t="s">
        <v>1898</v>
      </c>
    </row>
    <row r="242" spans="1:9">
      <c r="A242" s="241" t="s">
        <v>1029</v>
      </c>
      <c r="B242" s="241" t="s">
        <v>1899</v>
      </c>
      <c r="C242" s="242" t="s">
        <v>1900</v>
      </c>
      <c r="D242" t="s">
        <v>1901</v>
      </c>
      <c r="E242" t="str">
        <f t="shared" si="3"/>
        <v>VA</v>
      </c>
      <c r="I242" t="s">
        <v>1902</v>
      </c>
    </row>
    <row r="243" spans="1:9">
      <c r="A243" s="244" t="s">
        <v>1036</v>
      </c>
      <c r="B243" s="244" t="s">
        <v>1903</v>
      </c>
      <c r="C243" s="242" t="s">
        <v>1904</v>
      </c>
      <c r="D243" t="s">
        <v>1905</v>
      </c>
      <c r="E243" t="str">
        <f t="shared" si="3"/>
        <v>VC</v>
      </c>
      <c r="I243" t="s">
        <v>1906</v>
      </c>
    </row>
    <row r="244" spans="1:9">
      <c r="A244" s="245" t="s">
        <v>1907</v>
      </c>
      <c r="B244" s="244" t="s">
        <v>1908</v>
      </c>
      <c r="C244" s="242" t="s">
        <v>1909</v>
      </c>
      <c r="D244" t="s">
        <v>1910</v>
      </c>
      <c r="E244" t="str">
        <f t="shared" si="3"/>
        <v>VE</v>
      </c>
      <c r="I244" t="s">
        <v>1911</v>
      </c>
    </row>
    <row r="245" spans="1:9">
      <c r="A245" s="245" t="s">
        <v>1912</v>
      </c>
      <c r="B245" s="241" t="s">
        <v>1913</v>
      </c>
      <c r="C245" s="242" t="s">
        <v>1914</v>
      </c>
      <c r="D245" t="s">
        <v>1915</v>
      </c>
      <c r="E245" t="str">
        <f t="shared" si="3"/>
        <v>VG</v>
      </c>
      <c r="I245" t="s">
        <v>1916</v>
      </c>
    </row>
    <row r="246" spans="1:9">
      <c r="A246" s="245" t="s">
        <v>1917</v>
      </c>
      <c r="B246" s="244" t="s">
        <v>1918</v>
      </c>
      <c r="C246" s="242" t="s">
        <v>1919</v>
      </c>
      <c r="D246" t="s">
        <v>1920</v>
      </c>
      <c r="E246" t="str">
        <f t="shared" si="3"/>
        <v>VI</v>
      </c>
      <c r="I246" t="s">
        <v>1921</v>
      </c>
    </row>
    <row r="247" spans="1:9">
      <c r="A247" s="245" t="s">
        <v>1922</v>
      </c>
      <c r="B247" s="244" t="s">
        <v>1923</v>
      </c>
      <c r="C247" s="242" t="s">
        <v>1924</v>
      </c>
      <c r="D247" t="s">
        <v>1925</v>
      </c>
      <c r="E247" t="str">
        <f t="shared" si="3"/>
        <v>VN</v>
      </c>
      <c r="I247" t="s">
        <v>1926</v>
      </c>
    </row>
    <row r="248" spans="1:9">
      <c r="A248" s="245" t="s">
        <v>1927</v>
      </c>
      <c r="B248" s="241" t="s">
        <v>1928</v>
      </c>
      <c r="C248" s="242" t="s">
        <v>1929</v>
      </c>
      <c r="D248" t="s">
        <v>1930</v>
      </c>
      <c r="E248" t="str">
        <f t="shared" si="3"/>
        <v>VU</v>
      </c>
      <c r="I248" t="s">
        <v>1931</v>
      </c>
    </row>
    <row r="249" spans="1:9">
      <c r="A249" s="244" t="s">
        <v>1044</v>
      </c>
      <c r="B249" s="244" t="s">
        <v>1932</v>
      </c>
      <c r="C249" s="242" t="s">
        <v>1933</v>
      </c>
      <c r="D249" t="s">
        <v>1934</v>
      </c>
      <c r="E249" t="str">
        <f t="shared" si="3"/>
        <v>WF</v>
      </c>
      <c r="I249" t="s">
        <v>1935</v>
      </c>
    </row>
    <row r="250" spans="1:9">
      <c r="A250" s="245" t="s">
        <v>1936</v>
      </c>
      <c r="B250" s="244" t="s">
        <v>1937</v>
      </c>
      <c r="C250" s="242" t="s">
        <v>1938</v>
      </c>
      <c r="D250" t="s">
        <v>1939</v>
      </c>
      <c r="E250" t="str">
        <f t="shared" si="3"/>
        <v>WS</v>
      </c>
      <c r="I250" t="s">
        <v>1940</v>
      </c>
    </row>
    <row r="251" spans="1:9">
      <c r="A251" s="244" t="s">
        <v>1051</v>
      </c>
      <c r="B251" s="244" t="s">
        <v>1941</v>
      </c>
      <c r="C251" s="242" t="s">
        <v>1942</v>
      </c>
      <c r="D251" t="s">
        <v>1943</v>
      </c>
      <c r="E251" t="str">
        <f t="shared" si="3"/>
        <v>YE</v>
      </c>
      <c r="I251" t="s">
        <v>1944</v>
      </c>
    </row>
    <row r="252" spans="1:9">
      <c r="A252" s="245" t="s">
        <v>1945</v>
      </c>
      <c r="B252" s="242" t="s">
        <v>1946</v>
      </c>
      <c r="C252" s="242" t="s">
        <v>1947</v>
      </c>
      <c r="D252" t="s">
        <v>1948</v>
      </c>
      <c r="E252" t="str">
        <f t="shared" si="3"/>
        <v>YT</v>
      </c>
      <c r="I252" t="s">
        <v>1949</v>
      </c>
    </row>
    <row r="253" spans="1:9">
      <c r="A253" s="245" t="s">
        <v>1950</v>
      </c>
      <c r="B253" s="241" t="s">
        <v>1951</v>
      </c>
      <c r="C253" s="242" t="s">
        <v>1952</v>
      </c>
      <c r="D253" t="s">
        <v>1953</v>
      </c>
      <c r="E253" t="str">
        <f t="shared" si="3"/>
        <v>YU</v>
      </c>
      <c r="I253" t="s">
        <v>1954</v>
      </c>
    </row>
    <row r="254" spans="1:9">
      <c r="A254" s="244" t="s">
        <v>1059</v>
      </c>
      <c r="B254" s="244" t="s">
        <v>1955</v>
      </c>
      <c r="C254" s="242" t="s">
        <v>1956</v>
      </c>
      <c r="D254" t="s">
        <v>1957</v>
      </c>
      <c r="E254" t="str">
        <f t="shared" si="3"/>
        <v>ZA</v>
      </c>
      <c r="I254" t="s">
        <v>1958</v>
      </c>
    </row>
    <row r="255" spans="1:9">
      <c r="A255" s="245" t="s">
        <v>1959</v>
      </c>
      <c r="B255" s="244" t="s">
        <v>1960</v>
      </c>
      <c r="C255" s="242" t="s">
        <v>1961</v>
      </c>
      <c r="D255" t="s">
        <v>1962</v>
      </c>
      <c r="E255" t="str">
        <f t="shared" si="3"/>
        <v>ZM</v>
      </c>
      <c r="I255" t="s">
        <v>1963</v>
      </c>
    </row>
    <row r="256" spans="1:9">
      <c r="A256" s="245" t="s">
        <v>1964</v>
      </c>
      <c r="B256" s="244" t="s">
        <v>1965</v>
      </c>
      <c r="C256" s="242" t="s">
        <v>1966</v>
      </c>
      <c r="D256" t="s">
        <v>1967</v>
      </c>
      <c r="E256" t="str">
        <f t="shared" si="3"/>
        <v>ZR</v>
      </c>
      <c r="I256" t="s">
        <v>1968</v>
      </c>
    </row>
    <row r="257" spans="1:9">
      <c r="A257" s="245" t="s">
        <v>1969</v>
      </c>
      <c r="B257" s="241" t="s">
        <v>1970</v>
      </c>
      <c r="C257" s="242" t="s">
        <v>1971</v>
      </c>
      <c r="D257" t="s">
        <v>1972</v>
      </c>
      <c r="E257" t="str">
        <f t="shared" si="3"/>
        <v>ZW</v>
      </c>
      <c r="I257" t="s">
        <v>1973</v>
      </c>
    </row>
    <row r="258" spans="1:9">
      <c r="A258" s="245" t="s">
        <v>1974</v>
      </c>
      <c r="B258" s="244" t="s">
        <v>1975</v>
      </c>
      <c r="I258" t="s">
        <v>1976</v>
      </c>
    </row>
    <row r="259" spans="1:9">
      <c r="A259" s="245" t="s">
        <v>1977</v>
      </c>
      <c r="B259" s="244" t="s">
        <v>1978</v>
      </c>
      <c r="I259" t="s">
        <v>1979</v>
      </c>
    </row>
    <row r="260" spans="1:9">
      <c r="A260" s="244" t="s">
        <v>1067</v>
      </c>
      <c r="B260" s="244" t="s">
        <v>1980</v>
      </c>
      <c r="I260" t="s">
        <v>1981</v>
      </c>
    </row>
    <row r="261" spans="1:9">
      <c r="A261" s="245" t="s">
        <v>1982</v>
      </c>
      <c r="B261" s="241" t="s">
        <v>1983</v>
      </c>
      <c r="I261" t="s">
        <v>1984</v>
      </c>
    </row>
    <row r="262" spans="1:9">
      <c r="A262" s="245" t="s">
        <v>1985</v>
      </c>
      <c r="B262" s="244" t="s">
        <v>1986</v>
      </c>
      <c r="I262" t="s">
        <v>1987</v>
      </c>
    </row>
    <row r="263" spans="1:9">
      <c r="A263" s="244" t="s">
        <v>1074</v>
      </c>
      <c r="B263" s="244" t="s">
        <v>1988</v>
      </c>
      <c r="I263" t="s">
        <v>1989</v>
      </c>
    </row>
    <row r="264" spans="1:9">
      <c r="A264" s="245" t="s">
        <v>1990</v>
      </c>
      <c r="B264" s="242" t="s">
        <v>1991</v>
      </c>
      <c r="I264" t="s">
        <v>1992</v>
      </c>
    </row>
    <row r="265" spans="1:9">
      <c r="A265" s="245" t="s">
        <v>1993</v>
      </c>
      <c r="B265" s="241" t="s">
        <v>1994</v>
      </c>
      <c r="I265" t="s">
        <v>1995</v>
      </c>
    </row>
    <row r="266" spans="1:9">
      <c r="A266" s="245" t="s">
        <v>1996</v>
      </c>
      <c r="B266" s="244" t="s">
        <v>1997</v>
      </c>
      <c r="I266" t="s">
        <v>1998</v>
      </c>
    </row>
    <row r="267" spans="1:9">
      <c r="A267" s="245" t="s">
        <v>1999</v>
      </c>
      <c r="B267" s="244" t="s">
        <v>2000</v>
      </c>
      <c r="I267" t="s">
        <v>2001</v>
      </c>
    </row>
    <row r="268" spans="1:9">
      <c r="A268" s="245" t="s">
        <v>2002</v>
      </c>
      <c r="B268" s="244" t="s">
        <v>2003</v>
      </c>
      <c r="I268" t="s">
        <v>2004</v>
      </c>
    </row>
    <row r="269" spans="1:9">
      <c r="A269" s="245" t="s">
        <v>2005</v>
      </c>
      <c r="B269" s="244" t="s">
        <v>2006</v>
      </c>
      <c r="I269" t="s">
        <v>2007</v>
      </c>
    </row>
    <row r="270" spans="1:9">
      <c r="A270" s="244" t="s">
        <v>1081</v>
      </c>
      <c r="B270" s="241" t="s">
        <v>2008</v>
      </c>
      <c r="I270" t="s">
        <v>2009</v>
      </c>
    </row>
    <row r="271" spans="1:9">
      <c r="A271" s="245" t="s">
        <v>2010</v>
      </c>
      <c r="B271" s="244" t="s">
        <v>2011</v>
      </c>
      <c r="I271" t="s">
        <v>2012</v>
      </c>
    </row>
    <row r="272" spans="1:9">
      <c r="A272" s="244" t="s">
        <v>1089</v>
      </c>
      <c r="B272" s="244" t="s">
        <v>2013</v>
      </c>
      <c r="I272" t="s">
        <v>2014</v>
      </c>
    </row>
    <row r="273" spans="1:9">
      <c r="A273" s="245" t="s">
        <v>2015</v>
      </c>
      <c r="B273" s="244" t="s">
        <v>2016</v>
      </c>
      <c r="I273" t="s">
        <v>2017</v>
      </c>
    </row>
    <row r="274" spans="1:9">
      <c r="A274" s="245" t="s">
        <v>2018</v>
      </c>
      <c r="B274" s="241" t="s">
        <v>2019</v>
      </c>
      <c r="I274" t="s">
        <v>2020</v>
      </c>
    </row>
    <row r="275" spans="1:9">
      <c r="A275" s="241" t="s">
        <v>1097</v>
      </c>
      <c r="B275" s="244" t="s">
        <v>2021</v>
      </c>
      <c r="I275" t="s">
        <v>2022</v>
      </c>
    </row>
    <row r="276" spans="1:9">
      <c r="A276" s="244" t="s">
        <v>1105</v>
      </c>
      <c r="B276" s="244" t="s">
        <v>2023</v>
      </c>
      <c r="I276" t="s">
        <v>2024</v>
      </c>
    </row>
    <row r="277" spans="1:9">
      <c r="A277" s="245" t="s">
        <v>2025</v>
      </c>
      <c r="B277" s="244" t="s">
        <v>2026</v>
      </c>
      <c r="I277" t="s">
        <v>2027</v>
      </c>
    </row>
    <row r="278" spans="1:9">
      <c r="A278" s="244" t="s">
        <v>1112</v>
      </c>
      <c r="B278" s="242" t="s">
        <v>2028</v>
      </c>
      <c r="I278" t="s">
        <v>2029</v>
      </c>
    </row>
    <row r="279" spans="1:9">
      <c r="A279" s="245" t="s">
        <v>2030</v>
      </c>
      <c r="B279" s="241" t="s">
        <v>2031</v>
      </c>
      <c r="I279" t="s">
        <v>2032</v>
      </c>
    </row>
    <row r="280" spans="1:9">
      <c r="A280" s="244" t="s">
        <v>1119</v>
      </c>
      <c r="B280" s="244" t="s">
        <v>2033</v>
      </c>
      <c r="I280" t="s">
        <v>2034</v>
      </c>
    </row>
    <row r="281" spans="1:9">
      <c r="A281" s="245" t="s">
        <v>2035</v>
      </c>
      <c r="B281" s="244" t="s">
        <v>2036</v>
      </c>
      <c r="I281" t="s">
        <v>2037</v>
      </c>
    </row>
    <row r="282" spans="1:9">
      <c r="A282" s="245" t="s">
        <v>2038</v>
      </c>
      <c r="B282" s="244" t="s">
        <v>2039</v>
      </c>
      <c r="I282" t="s">
        <v>2040</v>
      </c>
    </row>
    <row r="283" spans="1:9">
      <c r="A283" s="245" t="s">
        <v>2041</v>
      </c>
      <c r="B283" s="242" t="s">
        <v>2042</v>
      </c>
      <c r="I283" t="s">
        <v>2043</v>
      </c>
    </row>
    <row r="284" spans="1:9">
      <c r="A284" s="245" t="s">
        <v>2044</v>
      </c>
      <c r="B284" s="241" t="s">
        <v>2045</v>
      </c>
      <c r="I284" t="s">
        <v>2046</v>
      </c>
    </row>
    <row r="285" spans="1:9">
      <c r="A285" s="244" t="s">
        <v>1125</v>
      </c>
      <c r="B285" s="244" t="s">
        <v>2047</v>
      </c>
      <c r="I285" t="s">
        <v>2048</v>
      </c>
    </row>
    <row r="286" spans="1:9">
      <c r="A286" s="245" t="s">
        <v>2049</v>
      </c>
      <c r="B286" s="244" t="s">
        <v>2050</v>
      </c>
      <c r="I286" t="s">
        <v>2051</v>
      </c>
    </row>
    <row r="287" spans="1:9">
      <c r="A287" s="245" t="s">
        <v>2052</v>
      </c>
      <c r="B287" s="241" t="s">
        <v>2053</v>
      </c>
      <c r="I287" t="s">
        <v>2054</v>
      </c>
    </row>
    <row r="288" spans="1:9">
      <c r="A288" s="245" t="s">
        <v>2055</v>
      </c>
      <c r="B288" s="244" t="s">
        <v>2056</v>
      </c>
      <c r="I288" t="s">
        <v>2057</v>
      </c>
    </row>
    <row r="289" spans="1:9">
      <c r="A289" s="245" t="s">
        <v>2058</v>
      </c>
      <c r="B289" s="244" t="s">
        <v>2059</v>
      </c>
      <c r="I289" t="s">
        <v>2060</v>
      </c>
    </row>
    <row r="290" spans="1:9">
      <c r="A290" s="245" t="s">
        <v>2061</v>
      </c>
      <c r="B290" s="241" t="s">
        <v>2062</v>
      </c>
      <c r="I290" t="s">
        <v>2063</v>
      </c>
    </row>
    <row r="291" spans="1:9">
      <c r="A291" s="245" t="s">
        <v>2064</v>
      </c>
      <c r="B291" s="244" t="s">
        <v>2065</v>
      </c>
      <c r="I291" t="s">
        <v>2066</v>
      </c>
    </row>
    <row r="292" spans="1:9">
      <c r="A292" s="244" t="s">
        <v>1132</v>
      </c>
      <c r="B292" s="244" t="s">
        <v>2067</v>
      </c>
      <c r="I292" t="s">
        <v>2068</v>
      </c>
    </row>
    <row r="293" spans="1:9">
      <c r="A293" s="245" t="s">
        <v>2069</v>
      </c>
      <c r="B293" s="241" t="s">
        <v>2070</v>
      </c>
      <c r="I293" t="s">
        <v>2071</v>
      </c>
    </row>
    <row r="294" spans="1:9">
      <c r="A294" s="245" t="s">
        <v>2072</v>
      </c>
      <c r="B294" s="244" t="s">
        <v>2073</v>
      </c>
      <c r="I294" t="s">
        <v>2074</v>
      </c>
    </row>
    <row r="295" spans="1:9">
      <c r="A295" s="245" t="s">
        <v>2075</v>
      </c>
      <c r="B295" s="244" t="s">
        <v>2076</v>
      </c>
      <c r="I295" t="s">
        <v>2077</v>
      </c>
    </row>
    <row r="296" spans="1:9">
      <c r="A296" s="245" t="s">
        <v>2078</v>
      </c>
      <c r="B296" s="241" t="s">
        <v>2079</v>
      </c>
      <c r="I296" t="s">
        <v>2080</v>
      </c>
    </row>
    <row r="297" spans="1:9">
      <c r="A297" s="241" t="s">
        <v>1139</v>
      </c>
      <c r="B297" s="244" t="s">
        <v>2081</v>
      </c>
      <c r="I297" t="s">
        <v>2082</v>
      </c>
    </row>
    <row r="298" spans="1:9">
      <c r="A298" s="244" t="s">
        <v>1146</v>
      </c>
      <c r="B298" s="244" t="s">
        <v>2083</v>
      </c>
      <c r="I298" t="s">
        <v>2084</v>
      </c>
    </row>
    <row r="299" spans="1:9">
      <c r="A299" s="245" t="s">
        <v>2085</v>
      </c>
      <c r="B299" s="244" t="s">
        <v>2086</v>
      </c>
      <c r="I299" t="s">
        <v>2087</v>
      </c>
    </row>
    <row r="300" spans="1:9">
      <c r="A300" s="245" t="s">
        <v>2088</v>
      </c>
      <c r="B300" s="241" t="s">
        <v>2089</v>
      </c>
      <c r="I300" t="s">
        <v>2090</v>
      </c>
    </row>
    <row r="301" spans="1:9">
      <c r="A301" s="244" t="s">
        <v>1152</v>
      </c>
      <c r="B301" s="244" t="s">
        <v>2091</v>
      </c>
      <c r="I301" t="s">
        <v>2092</v>
      </c>
    </row>
    <row r="302" spans="1:9">
      <c r="A302" s="245" t="s">
        <v>2093</v>
      </c>
      <c r="B302" s="244" t="s">
        <v>2094</v>
      </c>
      <c r="I302" t="s">
        <v>2095</v>
      </c>
    </row>
    <row r="303" spans="1:9">
      <c r="A303" s="245" t="s">
        <v>2096</v>
      </c>
      <c r="B303" s="244" t="s">
        <v>2097</v>
      </c>
      <c r="I303" t="s">
        <v>2098</v>
      </c>
    </row>
    <row r="304" spans="1:9">
      <c r="A304" s="244" t="s">
        <v>1159</v>
      </c>
      <c r="B304" s="244" t="s">
        <v>2099</v>
      </c>
      <c r="I304" t="s">
        <v>2100</v>
      </c>
    </row>
    <row r="305" spans="1:9">
      <c r="A305" s="245" t="s">
        <v>2101</v>
      </c>
      <c r="B305" s="241" t="s">
        <v>2102</v>
      </c>
      <c r="I305" t="s">
        <v>2103</v>
      </c>
    </row>
    <row r="306" spans="1:9">
      <c r="A306" s="244" t="s">
        <v>1166</v>
      </c>
      <c r="B306" s="244" t="s">
        <v>2104</v>
      </c>
      <c r="I306" t="s">
        <v>2105</v>
      </c>
    </row>
    <row r="307" spans="1:9">
      <c r="A307" s="245" t="s">
        <v>2106</v>
      </c>
      <c r="B307" s="242" t="s">
        <v>2107</v>
      </c>
      <c r="I307" t="s">
        <v>2108</v>
      </c>
    </row>
    <row r="308" spans="1:9">
      <c r="A308" s="244" t="s">
        <v>1172</v>
      </c>
      <c r="B308" s="241" t="s">
        <v>2109</v>
      </c>
      <c r="I308" t="s">
        <v>2110</v>
      </c>
    </row>
    <row r="309" spans="1:9">
      <c r="A309" s="245" t="s">
        <v>2111</v>
      </c>
      <c r="B309" s="244" t="s">
        <v>2112</v>
      </c>
      <c r="I309" t="s">
        <v>2113</v>
      </c>
    </row>
    <row r="310" spans="1:9">
      <c r="A310" s="245" t="s">
        <v>2114</v>
      </c>
      <c r="B310" s="244" t="s">
        <v>2115</v>
      </c>
      <c r="I310" t="s">
        <v>2116</v>
      </c>
    </row>
    <row r="311" spans="1:9">
      <c r="A311" s="245" t="s">
        <v>2117</v>
      </c>
      <c r="B311" s="244" t="s">
        <v>2118</v>
      </c>
      <c r="I311" t="s">
        <v>2119</v>
      </c>
    </row>
    <row r="312" spans="1:9">
      <c r="A312" s="244" t="s">
        <v>1179</v>
      </c>
      <c r="B312" s="244" t="s">
        <v>2120</v>
      </c>
      <c r="I312" t="s">
        <v>2121</v>
      </c>
    </row>
    <row r="313" spans="1:9">
      <c r="A313" s="245" t="s">
        <v>2122</v>
      </c>
      <c r="B313" s="244" t="s">
        <v>2123</v>
      </c>
      <c r="I313" t="s">
        <v>2124</v>
      </c>
    </row>
    <row r="314" spans="1:9">
      <c r="A314" s="245" t="s">
        <v>2125</v>
      </c>
      <c r="B314" s="241" t="s">
        <v>2126</v>
      </c>
      <c r="I314" t="s">
        <v>2127</v>
      </c>
    </row>
    <row r="315" spans="1:9">
      <c r="A315" s="245" t="s">
        <v>2128</v>
      </c>
      <c r="B315" s="244" t="s">
        <v>2129</v>
      </c>
      <c r="I315" t="s">
        <v>2130</v>
      </c>
    </row>
    <row r="316" spans="1:9">
      <c r="A316" s="244" t="s">
        <v>1186</v>
      </c>
      <c r="B316" s="244" t="s">
        <v>2131</v>
      </c>
      <c r="I316" t="s">
        <v>2132</v>
      </c>
    </row>
    <row r="317" spans="1:9">
      <c r="A317" s="245" t="s">
        <v>2133</v>
      </c>
      <c r="B317" s="241" t="s">
        <v>2134</v>
      </c>
      <c r="I317" t="s">
        <v>2135</v>
      </c>
    </row>
    <row r="318" spans="1:9">
      <c r="A318" s="245" t="s">
        <v>2136</v>
      </c>
      <c r="B318" s="244" t="s">
        <v>2137</v>
      </c>
      <c r="I318" t="s">
        <v>2138</v>
      </c>
    </row>
    <row r="319" spans="1:9">
      <c r="A319" s="245" t="s">
        <v>2139</v>
      </c>
      <c r="B319" s="244" t="s">
        <v>2140</v>
      </c>
      <c r="I319" t="s">
        <v>2141</v>
      </c>
    </row>
    <row r="320" spans="1:9">
      <c r="A320" s="245" t="s">
        <v>2142</v>
      </c>
      <c r="B320" s="241" t="s">
        <v>2143</v>
      </c>
      <c r="I320" t="s">
        <v>2144</v>
      </c>
    </row>
    <row r="321" spans="1:9">
      <c r="A321" s="245" t="s">
        <v>2145</v>
      </c>
      <c r="B321" s="244" t="s">
        <v>2146</v>
      </c>
      <c r="I321" t="s">
        <v>2147</v>
      </c>
    </row>
    <row r="322" spans="1:9">
      <c r="A322" s="241" t="s">
        <v>1192</v>
      </c>
      <c r="B322" s="241" t="s">
        <v>2148</v>
      </c>
      <c r="I322" t="s">
        <v>2149</v>
      </c>
    </row>
    <row r="323" spans="1:9">
      <c r="A323" s="244" t="s">
        <v>1199</v>
      </c>
      <c r="B323" s="244" t="s">
        <v>2150</v>
      </c>
      <c r="I323" t="s">
        <v>2151</v>
      </c>
    </row>
    <row r="324" spans="1:9">
      <c r="A324" s="245" t="s">
        <v>2152</v>
      </c>
      <c r="B324" s="244" t="s">
        <v>2153</v>
      </c>
      <c r="I324" t="s">
        <v>2154</v>
      </c>
    </row>
    <row r="325" spans="1:9">
      <c r="A325" s="245" t="s">
        <v>2155</v>
      </c>
      <c r="B325" s="244" t="s">
        <v>2156</v>
      </c>
      <c r="I325" t="s">
        <v>2157</v>
      </c>
    </row>
    <row r="326" spans="1:9">
      <c r="A326" s="244" t="s">
        <v>1206</v>
      </c>
      <c r="B326" s="241" t="s">
        <v>2158</v>
      </c>
      <c r="I326" t="s">
        <v>2159</v>
      </c>
    </row>
    <row r="327" spans="1:9">
      <c r="A327" s="245" t="s">
        <v>2160</v>
      </c>
      <c r="B327" s="244" t="s">
        <v>2161</v>
      </c>
      <c r="I327" t="s">
        <v>2162</v>
      </c>
    </row>
    <row r="328" spans="1:9">
      <c r="A328" s="244" t="s">
        <v>1212</v>
      </c>
      <c r="B328" s="244" t="s">
        <v>2163</v>
      </c>
      <c r="I328" t="s">
        <v>2164</v>
      </c>
    </row>
    <row r="329" spans="1:9">
      <c r="A329" s="245" t="s">
        <v>2165</v>
      </c>
      <c r="B329" s="244" t="s">
        <v>2166</v>
      </c>
      <c r="I329" t="s">
        <v>2167</v>
      </c>
    </row>
    <row r="330" spans="1:9">
      <c r="A330" s="244" t="s">
        <v>1219</v>
      </c>
      <c r="B330" s="244" t="s">
        <v>2168</v>
      </c>
      <c r="I330" t="s">
        <v>2169</v>
      </c>
    </row>
    <row r="331" spans="1:9">
      <c r="A331" s="245" t="s">
        <v>2170</v>
      </c>
      <c r="B331" s="244" t="s">
        <v>2171</v>
      </c>
      <c r="I331" t="s">
        <v>2172</v>
      </c>
    </row>
    <row r="332" spans="1:9">
      <c r="A332" s="244" t="s">
        <v>1226</v>
      </c>
      <c r="B332" s="242" t="s">
        <v>2173</v>
      </c>
      <c r="I332" t="s">
        <v>2174</v>
      </c>
    </row>
    <row r="333" spans="1:9">
      <c r="A333" s="245" t="s">
        <v>2175</v>
      </c>
      <c r="B333" s="241" t="s">
        <v>2176</v>
      </c>
      <c r="I333" t="s">
        <v>2177</v>
      </c>
    </row>
    <row r="334" spans="1:9">
      <c r="A334" s="245" t="s">
        <v>2178</v>
      </c>
      <c r="B334" s="244" t="s">
        <v>2179</v>
      </c>
      <c r="I334" t="s">
        <v>2180</v>
      </c>
    </row>
    <row r="335" spans="1:9">
      <c r="A335" s="244" t="s">
        <v>1233</v>
      </c>
      <c r="B335" s="244" t="s">
        <v>2181</v>
      </c>
      <c r="I335" t="s">
        <v>2182</v>
      </c>
    </row>
    <row r="336" spans="1:9">
      <c r="A336" s="245" t="s">
        <v>2183</v>
      </c>
      <c r="B336" s="244" t="s">
        <v>2184</v>
      </c>
      <c r="I336" t="s">
        <v>2185</v>
      </c>
    </row>
    <row r="337" spans="1:9">
      <c r="A337" s="244" t="s">
        <v>1239</v>
      </c>
      <c r="B337" s="242" t="s">
        <v>2186</v>
      </c>
      <c r="I337" t="s">
        <v>2187</v>
      </c>
    </row>
    <row r="338" spans="1:9">
      <c r="A338" s="245" t="s">
        <v>2188</v>
      </c>
      <c r="B338" s="241" t="s">
        <v>2189</v>
      </c>
      <c r="I338" t="s">
        <v>2190</v>
      </c>
    </row>
    <row r="339" spans="1:9">
      <c r="A339" s="241" t="s">
        <v>1246</v>
      </c>
      <c r="B339" s="244" t="s">
        <v>2191</v>
      </c>
      <c r="I339" t="s">
        <v>2192</v>
      </c>
    </row>
    <row r="340" spans="1:9">
      <c r="A340" s="244" t="s">
        <v>1253</v>
      </c>
      <c r="B340" s="244" t="s">
        <v>2193</v>
      </c>
      <c r="I340" t="s">
        <v>2194</v>
      </c>
    </row>
    <row r="341" spans="1:9">
      <c r="A341" s="245" t="s">
        <v>2195</v>
      </c>
      <c r="B341" s="244" t="s">
        <v>2196</v>
      </c>
      <c r="I341" t="s">
        <v>2197</v>
      </c>
    </row>
    <row r="342" spans="1:9">
      <c r="A342" s="245" t="s">
        <v>2198</v>
      </c>
      <c r="B342" s="244" t="s">
        <v>2199</v>
      </c>
      <c r="I342" t="s">
        <v>2200</v>
      </c>
    </row>
    <row r="343" spans="1:9">
      <c r="A343" s="244" t="s">
        <v>1260</v>
      </c>
      <c r="B343" s="244" t="s">
        <v>2201</v>
      </c>
      <c r="I343" t="s">
        <v>2202</v>
      </c>
    </row>
    <row r="344" spans="1:9">
      <c r="A344" s="245" t="s">
        <v>2203</v>
      </c>
      <c r="B344" s="244" t="s">
        <v>2204</v>
      </c>
      <c r="I344" t="s">
        <v>2205</v>
      </c>
    </row>
    <row r="345" spans="1:9">
      <c r="A345" s="244" t="s">
        <v>1267</v>
      </c>
      <c r="B345" s="242" t="s">
        <v>2206</v>
      </c>
      <c r="I345" t="s">
        <v>2207</v>
      </c>
    </row>
    <row r="346" spans="1:9">
      <c r="A346" s="245" t="s">
        <v>2208</v>
      </c>
      <c r="B346" s="241" t="s">
        <v>2209</v>
      </c>
      <c r="I346" t="s">
        <v>2210</v>
      </c>
    </row>
    <row r="347" spans="1:9">
      <c r="A347" s="245" t="s">
        <v>2211</v>
      </c>
      <c r="B347" s="244" t="s">
        <v>2212</v>
      </c>
      <c r="I347" t="s">
        <v>2213</v>
      </c>
    </row>
    <row r="348" spans="1:9">
      <c r="A348" s="245" t="s">
        <v>2214</v>
      </c>
      <c r="B348" s="244" t="s">
        <v>2215</v>
      </c>
      <c r="I348" t="s">
        <v>2216</v>
      </c>
    </row>
    <row r="349" spans="1:9">
      <c r="A349" s="244" t="s">
        <v>1274</v>
      </c>
      <c r="B349" s="244" t="s">
        <v>2217</v>
      </c>
      <c r="I349" t="s">
        <v>2218</v>
      </c>
    </row>
    <row r="350" spans="1:9">
      <c r="A350" s="245" t="s">
        <v>2219</v>
      </c>
      <c r="B350" s="241" t="s">
        <v>2220</v>
      </c>
      <c r="I350" t="s">
        <v>2221</v>
      </c>
    </row>
    <row r="351" spans="1:9">
      <c r="A351" s="244" t="s">
        <v>1281</v>
      </c>
      <c r="B351" s="244" t="s">
        <v>2222</v>
      </c>
      <c r="I351" t="s">
        <v>2223</v>
      </c>
    </row>
    <row r="352" spans="1:9">
      <c r="A352" s="245" t="s">
        <v>2224</v>
      </c>
      <c r="B352" s="244" t="s">
        <v>2225</v>
      </c>
      <c r="I352" t="s">
        <v>2226</v>
      </c>
    </row>
    <row r="353" spans="1:9">
      <c r="A353" s="245" t="s">
        <v>2227</v>
      </c>
      <c r="B353" s="244" t="s">
        <v>2228</v>
      </c>
      <c r="I353" t="s">
        <v>2229</v>
      </c>
    </row>
    <row r="354" spans="1:9">
      <c r="A354" s="244" t="s">
        <v>1288</v>
      </c>
      <c r="B354" s="244" t="s">
        <v>2230</v>
      </c>
      <c r="I354" s="71" t="s">
        <v>2231</v>
      </c>
    </row>
    <row r="355" spans="1:9">
      <c r="A355" s="245" t="s">
        <v>2232</v>
      </c>
      <c r="B355" s="241" t="s">
        <v>2233</v>
      </c>
      <c r="I355" t="s">
        <v>2234</v>
      </c>
    </row>
    <row r="356" spans="1:9">
      <c r="A356" s="241" t="s">
        <v>1294</v>
      </c>
      <c r="B356" s="244" t="s">
        <v>2235</v>
      </c>
      <c r="I356" t="s">
        <v>2236</v>
      </c>
    </row>
    <row r="357" spans="1:9">
      <c r="A357" s="244" t="s">
        <v>1301</v>
      </c>
      <c r="B357" s="244" t="s">
        <v>2237</v>
      </c>
      <c r="I357" t="s">
        <v>2238</v>
      </c>
    </row>
    <row r="358" spans="1:9">
      <c r="A358" s="245" t="s">
        <v>2239</v>
      </c>
      <c r="B358" s="242" t="s">
        <v>2240</v>
      </c>
      <c r="I358" t="s">
        <v>2241</v>
      </c>
    </row>
    <row r="359" spans="1:9">
      <c r="A359" s="245" t="s">
        <v>2242</v>
      </c>
      <c r="B359" s="241" t="s">
        <v>2243</v>
      </c>
      <c r="I359" t="s">
        <v>2244</v>
      </c>
    </row>
    <row r="360" spans="1:9">
      <c r="A360" s="245" t="s">
        <v>2245</v>
      </c>
      <c r="B360" s="244" t="s">
        <v>2246</v>
      </c>
      <c r="I360" t="s">
        <v>2247</v>
      </c>
    </row>
    <row r="361" spans="1:9">
      <c r="A361" s="245" t="s">
        <v>2248</v>
      </c>
      <c r="B361" s="244" t="s">
        <v>2249</v>
      </c>
      <c r="I361" t="s">
        <v>2250</v>
      </c>
    </row>
    <row r="362" spans="1:9">
      <c r="A362" s="245" t="s">
        <v>2251</v>
      </c>
      <c r="B362" s="244" t="s">
        <v>2252</v>
      </c>
      <c r="I362" t="s">
        <v>2253</v>
      </c>
    </row>
    <row r="363" spans="1:9">
      <c r="A363" s="244" t="s">
        <v>1308</v>
      </c>
      <c r="B363" s="241" t="s">
        <v>2254</v>
      </c>
      <c r="I363" t="s">
        <v>2255</v>
      </c>
    </row>
    <row r="364" spans="1:9">
      <c r="A364" s="245" t="s">
        <v>2256</v>
      </c>
      <c r="B364" s="244" t="s">
        <v>2257</v>
      </c>
      <c r="I364" t="s">
        <v>2258</v>
      </c>
    </row>
    <row r="365" spans="1:9">
      <c r="A365" s="245" t="s">
        <v>2259</v>
      </c>
      <c r="B365" s="244" t="s">
        <v>2260</v>
      </c>
      <c r="I365" t="s">
        <v>2261</v>
      </c>
    </row>
    <row r="366" spans="1:9">
      <c r="A366" s="245" t="s">
        <v>2262</v>
      </c>
      <c r="B366" s="244" t="s">
        <v>2263</v>
      </c>
      <c r="I366" t="s">
        <v>2264</v>
      </c>
    </row>
    <row r="367" spans="1:9">
      <c r="A367" s="245" t="s">
        <v>2265</v>
      </c>
      <c r="B367" s="244" t="s">
        <v>2266</v>
      </c>
      <c r="I367" t="s">
        <v>2267</v>
      </c>
    </row>
    <row r="368" spans="1:9">
      <c r="A368" s="245" t="s">
        <v>2268</v>
      </c>
      <c r="B368" s="241" t="s">
        <v>2269</v>
      </c>
      <c r="I368" t="s">
        <v>2270</v>
      </c>
    </row>
    <row r="369" spans="1:9">
      <c r="A369" s="245" t="s">
        <v>2271</v>
      </c>
      <c r="B369" s="244" t="s">
        <v>2272</v>
      </c>
      <c r="I369" t="s">
        <v>2273</v>
      </c>
    </row>
    <row r="370" spans="1:9">
      <c r="A370" s="244" t="s">
        <v>1314</v>
      </c>
      <c r="B370" s="241" t="s">
        <v>2274</v>
      </c>
      <c r="I370" t="s">
        <v>2275</v>
      </c>
    </row>
    <row r="371" spans="1:9">
      <c r="A371" s="245" t="s">
        <v>2276</v>
      </c>
      <c r="B371" s="244" t="s">
        <v>2277</v>
      </c>
      <c r="I371" t="s">
        <v>2278</v>
      </c>
    </row>
    <row r="372" spans="1:9">
      <c r="A372" s="244" t="s">
        <v>1320</v>
      </c>
      <c r="B372" s="244" t="s">
        <v>2279</v>
      </c>
      <c r="I372" t="s">
        <v>2280</v>
      </c>
    </row>
    <row r="373" spans="1:9">
      <c r="A373" s="245" t="s">
        <v>2281</v>
      </c>
      <c r="B373" s="242" t="s">
        <v>2282</v>
      </c>
      <c r="I373" t="s">
        <v>2283</v>
      </c>
    </row>
    <row r="374" spans="1:9">
      <c r="A374" s="245" t="s">
        <v>2284</v>
      </c>
      <c r="B374" s="241" t="s">
        <v>2285</v>
      </c>
      <c r="I374" t="s">
        <v>2286</v>
      </c>
    </row>
    <row r="375" spans="1:9">
      <c r="A375" s="244" t="s">
        <v>1327</v>
      </c>
      <c r="B375" s="244" t="s">
        <v>2287</v>
      </c>
      <c r="I375" t="s">
        <v>2288</v>
      </c>
    </row>
    <row r="376" spans="1:9">
      <c r="A376" s="245" t="s">
        <v>2289</v>
      </c>
      <c r="B376" s="244" t="s">
        <v>2290</v>
      </c>
      <c r="I376" t="s">
        <v>2291</v>
      </c>
    </row>
    <row r="377" spans="1:9">
      <c r="A377" s="245" t="s">
        <v>2292</v>
      </c>
      <c r="B377" s="244" t="s">
        <v>2293</v>
      </c>
      <c r="I377" t="s">
        <v>2294</v>
      </c>
    </row>
    <row r="378" spans="1:9">
      <c r="A378" s="245" t="s">
        <v>2295</v>
      </c>
      <c r="B378" s="241" t="s">
        <v>2296</v>
      </c>
      <c r="I378" t="s">
        <v>2297</v>
      </c>
    </row>
    <row r="379" spans="1:9">
      <c r="A379" s="245" t="s">
        <v>2298</v>
      </c>
      <c r="B379" s="244" t="s">
        <v>2299</v>
      </c>
      <c r="I379" t="s">
        <v>2300</v>
      </c>
    </row>
    <row r="380" spans="1:9">
      <c r="A380" s="245" t="s">
        <v>2301</v>
      </c>
      <c r="B380" s="244" t="s">
        <v>2302</v>
      </c>
      <c r="I380" t="s">
        <v>2303</v>
      </c>
    </row>
    <row r="381" spans="1:9">
      <c r="A381" s="245" t="s">
        <v>2304</v>
      </c>
      <c r="B381" s="244" t="s">
        <v>2305</v>
      </c>
      <c r="I381" t="s">
        <v>2306</v>
      </c>
    </row>
    <row r="382" spans="1:9">
      <c r="A382" s="245" t="s">
        <v>2307</v>
      </c>
      <c r="B382" s="244" t="s">
        <v>2308</v>
      </c>
      <c r="I382" t="s">
        <v>2309</v>
      </c>
    </row>
    <row r="383" spans="1:9">
      <c r="A383" s="245" t="s">
        <v>2310</v>
      </c>
      <c r="B383" s="241" t="s">
        <v>2311</v>
      </c>
      <c r="I383" t="s">
        <v>2312</v>
      </c>
    </row>
    <row r="384" spans="1:9">
      <c r="A384" s="241" t="s">
        <v>1334</v>
      </c>
      <c r="B384" s="244" t="s">
        <v>2313</v>
      </c>
      <c r="I384" t="s">
        <v>2314</v>
      </c>
    </row>
    <row r="385" spans="1:9">
      <c r="A385" s="244" t="s">
        <v>1341</v>
      </c>
      <c r="B385" s="244" t="s">
        <v>2315</v>
      </c>
      <c r="I385" t="s">
        <v>2316</v>
      </c>
    </row>
    <row r="386" spans="1:9">
      <c r="A386" s="245" t="s">
        <v>2317</v>
      </c>
      <c r="B386" s="244" t="s">
        <v>2318</v>
      </c>
      <c r="I386" t="s">
        <v>2319</v>
      </c>
    </row>
    <row r="387" spans="1:9">
      <c r="A387" s="244" t="s">
        <v>1348</v>
      </c>
      <c r="B387" s="244" t="s">
        <v>2320</v>
      </c>
      <c r="I387" t="s">
        <v>2321</v>
      </c>
    </row>
    <row r="388" spans="1:9">
      <c r="A388" s="245" t="s">
        <v>2322</v>
      </c>
      <c r="B388" s="244" t="s">
        <v>2323</v>
      </c>
      <c r="I388" t="s">
        <v>2324</v>
      </c>
    </row>
    <row r="389" spans="1:9">
      <c r="A389" s="244" t="s">
        <v>1355</v>
      </c>
      <c r="B389" s="242" t="s">
        <v>2325</v>
      </c>
      <c r="I389" t="s">
        <v>2326</v>
      </c>
    </row>
    <row r="390" spans="1:9">
      <c r="A390" s="245" t="s">
        <v>2327</v>
      </c>
      <c r="B390" s="241" t="s">
        <v>2328</v>
      </c>
      <c r="I390" t="s">
        <v>2329</v>
      </c>
    </row>
    <row r="391" spans="1:9">
      <c r="A391" s="245" t="s">
        <v>2330</v>
      </c>
      <c r="B391" s="244" t="s">
        <v>2331</v>
      </c>
      <c r="I391" t="s">
        <v>2332</v>
      </c>
    </row>
    <row r="392" spans="1:9">
      <c r="A392" s="241" t="s">
        <v>1362</v>
      </c>
      <c r="B392" s="241" t="s">
        <v>2333</v>
      </c>
      <c r="I392" t="s">
        <v>2334</v>
      </c>
    </row>
    <row r="393" spans="1:9">
      <c r="A393" s="244" t="s">
        <v>1368</v>
      </c>
      <c r="B393" s="244" t="s">
        <v>2335</v>
      </c>
      <c r="I393" t="s">
        <v>2336</v>
      </c>
    </row>
    <row r="394" spans="1:9">
      <c r="A394" s="245" t="s">
        <v>2337</v>
      </c>
      <c r="B394" s="244" t="s">
        <v>2338</v>
      </c>
      <c r="I394" t="s">
        <v>2339</v>
      </c>
    </row>
    <row r="395" spans="1:9">
      <c r="A395" s="245" t="s">
        <v>2340</v>
      </c>
      <c r="B395" s="242" t="s">
        <v>2341</v>
      </c>
      <c r="I395" t="s">
        <v>2342</v>
      </c>
    </row>
    <row r="396" spans="1:9">
      <c r="A396" s="245" t="s">
        <v>2343</v>
      </c>
      <c r="B396" s="241" t="s">
        <v>2344</v>
      </c>
      <c r="I396" t="s">
        <v>2345</v>
      </c>
    </row>
    <row r="397" spans="1:9">
      <c r="A397" s="244" t="s">
        <v>1373</v>
      </c>
      <c r="B397" s="244" t="s">
        <v>2346</v>
      </c>
      <c r="I397" t="s">
        <v>2347</v>
      </c>
    </row>
    <row r="398" spans="1:9">
      <c r="A398" s="245" t="s">
        <v>2348</v>
      </c>
      <c r="B398" s="242" t="s">
        <v>2349</v>
      </c>
      <c r="I398" t="s">
        <v>2350</v>
      </c>
    </row>
    <row r="399" spans="1:9">
      <c r="A399" s="244" t="s">
        <v>1378</v>
      </c>
      <c r="I399" t="s">
        <v>2351</v>
      </c>
    </row>
    <row r="400" spans="1:9">
      <c r="A400" s="245" t="s">
        <v>2352</v>
      </c>
      <c r="B400" s="245"/>
      <c r="I400" t="s">
        <v>2353</v>
      </c>
    </row>
    <row r="401" spans="1:9">
      <c r="A401" s="245" t="s">
        <v>2354</v>
      </c>
      <c r="B401" s="245"/>
      <c r="I401" t="s">
        <v>2355</v>
      </c>
    </row>
    <row r="402" spans="1:9">
      <c r="A402" s="244" t="s">
        <v>1384</v>
      </c>
      <c r="B402" s="245"/>
      <c r="I402" t="s">
        <v>2356</v>
      </c>
    </row>
    <row r="403" spans="1:9">
      <c r="A403" s="245" t="s">
        <v>2357</v>
      </c>
      <c r="B403" s="245"/>
      <c r="I403" t="s">
        <v>2358</v>
      </c>
    </row>
    <row r="404" spans="1:9">
      <c r="A404" s="244" t="s">
        <v>1389</v>
      </c>
      <c r="B404" s="245"/>
      <c r="I404" t="s">
        <v>2359</v>
      </c>
    </row>
    <row r="405" spans="1:9">
      <c r="A405" s="245" t="s">
        <v>2360</v>
      </c>
      <c r="B405" s="245"/>
      <c r="I405" t="s">
        <v>2361</v>
      </c>
    </row>
    <row r="406" spans="1:9">
      <c r="A406" s="245" t="s">
        <v>2362</v>
      </c>
      <c r="B406" s="245"/>
      <c r="I406" t="s">
        <v>2363</v>
      </c>
    </row>
    <row r="407" spans="1:9">
      <c r="A407" s="245" t="s">
        <v>2364</v>
      </c>
      <c r="B407" s="245"/>
      <c r="I407" t="s">
        <v>2365</v>
      </c>
    </row>
    <row r="408" spans="1:9">
      <c r="A408" s="241" t="s">
        <v>1394</v>
      </c>
      <c r="B408" s="245"/>
      <c r="I408" t="s">
        <v>2366</v>
      </c>
    </row>
    <row r="409" spans="1:9">
      <c r="A409" s="244" t="s">
        <v>1400</v>
      </c>
      <c r="B409" s="245"/>
      <c r="I409" t="s">
        <v>2367</v>
      </c>
    </row>
    <row r="410" spans="1:9">
      <c r="A410" s="245" t="s">
        <v>2368</v>
      </c>
      <c r="B410" s="245"/>
      <c r="I410" t="s">
        <v>2369</v>
      </c>
    </row>
    <row r="411" spans="1:9">
      <c r="A411" s="241" t="s">
        <v>1405</v>
      </c>
      <c r="B411" s="245"/>
      <c r="I411" t="s">
        <v>2370</v>
      </c>
    </row>
    <row r="412" spans="1:9">
      <c r="A412" s="244" t="s">
        <v>1411</v>
      </c>
      <c r="B412" s="245"/>
      <c r="I412" t="s">
        <v>2371</v>
      </c>
    </row>
    <row r="413" spans="1:9">
      <c r="A413" s="245" t="s">
        <v>2372</v>
      </c>
      <c r="B413" s="245"/>
      <c r="I413" t="s">
        <v>2373</v>
      </c>
    </row>
    <row r="414" spans="1:9">
      <c r="A414" s="245" t="s">
        <v>2374</v>
      </c>
      <c r="B414" s="245"/>
      <c r="I414" t="s">
        <v>2375</v>
      </c>
    </row>
    <row r="415" spans="1:9">
      <c r="A415" s="245" t="s">
        <v>2376</v>
      </c>
      <c r="B415" s="245"/>
      <c r="I415" t="s">
        <v>2377</v>
      </c>
    </row>
    <row r="416" spans="1:9">
      <c r="A416" s="244" t="s">
        <v>1416</v>
      </c>
      <c r="B416" s="245"/>
      <c r="I416" t="s">
        <v>2378</v>
      </c>
    </row>
    <row r="417" spans="1:9">
      <c r="A417" s="245" t="s">
        <v>2379</v>
      </c>
      <c r="B417" s="245"/>
      <c r="I417" t="s">
        <v>2380</v>
      </c>
    </row>
    <row r="418" spans="1:9">
      <c r="A418" s="244" t="s">
        <v>1422</v>
      </c>
      <c r="B418" s="245"/>
      <c r="I418" t="s">
        <v>2381</v>
      </c>
    </row>
    <row r="419" spans="1:9">
      <c r="A419" s="245" t="s">
        <v>2382</v>
      </c>
      <c r="B419" s="245"/>
      <c r="I419" t="s">
        <v>2383</v>
      </c>
    </row>
    <row r="420" spans="1:9">
      <c r="A420" s="244" t="s">
        <v>1427</v>
      </c>
      <c r="B420" s="245"/>
      <c r="I420" t="s">
        <v>2384</v>
      </c>
    </row>
    <row r="421" spans="1:9">
      <c r="A421" s="245" t="s">
        <v>2385</v>
      </c>
      <c r="B421" s="245"/>
      <c r="I421" t="s">
        <v>2386</v>
      </c>
    </row>
    <row r="422" spans="1:9">
      <c r="A422" s="244" t="s">
        <v>1433</v>
      </c>
      <c r="B422" s="245"/>
      <c r="I422" t="s">
        <v>2387</v>
      </c>
    </row>
    <row r="423" spans="1:9">
      <c r="A423" s="245" t="s">
        <v>2388</v>
      </c>
      <c r="B423" s="245"/>
      <c r="I423" t="s">
        <v>2389</v>
      </c>
    </row>
    <row r="424" spans="1:9">
      <c r="A424" s="244" t="s">
        <v>1439</v>
      </c>
      <c r="B424" s="245"/>
      <c r="I424" t="s">
        <v>2390</v>
      </c>
    </row>
    <row r="425" spans="1:9">
      <c r="A425" s="245" t="s">
        <v>2391</v>
      </c>
      <c r="B425" s="245"/>
      <c r="I425" t="s">
        <v>2392</v>
      </c>
    </row>
    <row r="426" spans="1:9">
      <c r="A426" s="245" t="s">
        <v>2393</v>
      </c>
      <c r="B426" s="245"/>
      <c r="I426" t="s">
        <v>2394</v>
      </c>
    </row>
    <row r="427" spans="1:9">
      <c r="A427" s="241" t="s">
        <v>1445</v>
      </c>
      <c r="B427" s="245"/>
      <c r="I427" t="s">
        <v>2395</v>
      </c>
    </row>
    <row r="428" spans="1:9">
      <c r="A428" s="244" t="s">
        <v>1451</v>
      </c>
      <c r="B428" s="245"/>
      <c r="I428" t="s">
        <v>2396</v>
      </c>
    </row>
    <row r="429" spans="1:9">
      <c r="A429" s="245" t="s">
        <v>2397</v>
      </c>
      <c r="B429" s="245"/>
      <c r="I429" t="s">
        <v>2398</v>
      </c>
    </row>
    <row r="430" spans="1:9">
      <c r="A430" s="245" t="s">
        <v>2399</v>
      </c>
      <c r="B430" s="245"/>
      <c r="I430" t="s">
        <v>2400</v>
      </c>
    </row>
    <row r="431" spans="1:9">
      <c r="A431" s="245" t="s">
        <v>2401</v>
      </c>
      <c r="B431" s="245"/>
      <c r="I431" t="s">
        <v>2402</v>
      </c>
    </row>
    <row r="432" spans="1:9">
      <c r="A432" s="245" t="s">
        <v>2403</v>
      </c>
      <c r="B432" s="245"/>
      <c r="I432" t="s">
        <v>2404</v>
      </c>
    </row>
    <row r="433" spans="1:9">
      <c r="A433" s="245" t="s">
        <v>2405</v>
      </c>
      <c r="B433" s="245"/>
      <c r="I433" t="s">
        <v>2406</v>
      </c>
    </row>
    <row r="434" spans="1:9">
      <c r="A434" s="245" t="s">
        <v>2407</v>
      </c>
      <c r="B434" s="245"/>
      <c r="I434" t="s">
        <v>2408</v>
      </c>
    </row>
    <row r="435" spans="1:9">
      <c r="A435" s="245" t="s">
        <v>2409</v>
      </c>
      <c r="B435" s="245"/>
      <c r="I435" t="s">
        <v>2410</v>
      </c>
    </row>
    <row r="436" spans="1:9">
      <c r="A436" s="245" t="s">
        <v>2411</v>
      </c>
      <c r="B436" s="245"/>
      <c r="I436" t="s">
        <v>2412</v>
      </c>
    </row>
    <row r="437" spans="1:9">
      <c r="A437" s="245" t="s">
        <v>2413</v>
      </c>
      <c r="B437" s="245"/>
      <c r="I437" t="s">
        <v>2414</v>
      </c>
    </row>
    <row r="438" spans="1:9">
      <c r="A438" s="244" t="s">
        <v>1457</v>
      </c>
      <c r="B438" s="245"/>
      <c r="I438" t="s">
        <v>2415</v>
      </c>
    </row>
    <row r="439" spans="1:9">
      <c r="A439" s="245" t="s">
        <v>2416</v>
      </c>
      <c r="B439" s="245"/>
      <c r="I439" t="s">
        <v>2417</v>
      </c>
    </row>
    <row r="440" spans="1:9">
      <c r="A440" s="242" t="s">
        <v>1495</v>
      </c>
      <c r="B440" s="245"/>
      <c r="I440" t="s">
        <v>2418</v>
      </c>
    </row>
    <row r="441" spans="1:9">
      <c r="A441" s="241" t="s">
        <v>1468</v>
      </c>
      <c r="B441" s="245"/>
      <c r="I441" t="s">
        <v>2419</v>
      </c>
    </row>
    <row r="442" spans="1:9">
      <c r="A442" s="244" t="s">
        <v>1473</v>
      </c>
      <c r="B442" s="245"/>
      <c r="I442" t="s">
        <v>2420</v>
      </c>
    </row>
    <row r="443" spans="1:9">
      <c r="A443" s="245" t="s">
        <v>2421</v>
      </c>
      <c r="B443" s="245"/>
      <c r="I443" t="s">
        <v>2422</v>
      </c>
    </row>
    <row r="444" spans="1:9">
      <c r="A444" s="245" t="s">
        <v>2423</v>
      </c>
      <c r="B444" s="245"/>
      <c r="I444" t="s">
        <v>2424</v>
      </c>
    </row>
    <row r="445" spans="1:9">
      <c r="A445" s="245" t="s">
        <v>2425</v>
      </c>
      <c r="B445" s="245"/>
      <c r="I445" t="s">
        <v>2426</v>
      </c>
    </row>
    <row r="446" spans="1:9">
      <c r="A446" s="245" t="s">
        <v>2427</v>
      </c>
      <c r="B446" s="245"/>
      <c r="I446" t="s">
        <v>2428</v>
      </c>
    </row>
    <row r="447" spans="1:9">
      <c r="A447" s="245" t="s">
        <v>2429</v>
      </c>
      <c r="B447" s="245"/>
      <c r="I447" t="s">
        <v>2430</v>
      </c>
    </row>
    <row r="448" spans="1:9">
      <c r="A448" s="245" t="s">
        <v>2431</v>
      </c>
      <c r="B448" s="245"/>
      <c r="I448" t="s">
        <v>2432</v>
      </c>
    </row>
    <row r="449" spans="1:9">
      <c r="A449" s="244" t="s">
        <v>1478</v>
      </c>
      <c r="B449" s="245"/>
      <c r="I449" t="s">
        <v>2433</v>
      </c>
    </row>
    <row r="450" spans="1:9">
      <c r="A450" s="245" t="s">
        <v>2434</v>
      </c>
      <c r="B450" s="245"/>
      <c r="I450" t="s">
        <v>2435</v>
      </c>
    </row>
    <row r="451" spans="1:9">
      <c r="A451" s="245" t="s">
        <v>2436</v>
      </c>
      <c r="B451" s="245"/>
      <c r="I451" t="s">
        <v>2437</v>
      </c>
    </row>
    <row r="452" spans="1:9">
      <c r="A452" s="245" t="s">
        <v>2438</v>
      </c>
      <c r="B452" s="245"/>
      <c r="I452" t="s">
        <v>2439</v>
      </c>
    </row>
    <row r="453" spans="1:9">
      <c r="A453" s="245" t="s">
        <v>2440</v>
      </c>
      <c r="B453" s="245"/>
      <c r="I453" t="s">
        <v>2441</v>
      </c>
    </row>
    <row r="454" spans="1:9">
      <c r="A454" s="244" t="s">
        <v>1484</v>
      </c>
      <c r="B454" s="245"/>
      <c r="I454" t="s">
        <v>2442</v>
      </c>
    </row>
    <row r="455" spans="1:9">
      <c r="A455" s="245" t="s">
        <v>2443</v>
      </c>
      <c r="B455" s="245"/>
      <c r="I455" t="s">
        <v>2444</v>
      </c>
    </row>
    <row r="456" spans="1:9">
      <c r="A456" s="244" t="s">
        <v>1489</v>
      </c>
      <c r="B456" s="245"/>
      <c r="I456" t="s">
        <v>2445</v>
      </c>
    </row>
    <row r="457" spans="1:9">
      <c r="A457" s="245" t="s">
        <v>2446</v>
      </c>
      <c r="B457" s="245"/>
      <c r="I457" t="s">
        <v>2447</v>
      </c>
    </row>
    <row r="458" spans="1:9">
      <c r="A458" s="242" t="s">
        <v>1557</v>
      </c>
      <c r="B458" s="245"/>
      <c r="I458" t="s">
        <v>2448</v>
      </c>
    </row>
    <row r="459" spans="1:9">
      <c r="A459" s="241" t="s">
        <v>1501</v>
      </c>
      <c r="B459" s="245"/>
      <c r="I459" t="s">
        <v>2449</v>
      </c>
    </row>
    <row r="460" spans="1:9">
      <c r="A460" s="244" t="s">
        <v>1507</v>
      </c>
      <c r="B460" s="245"/>
      <c r="I460" t="s">
        <v>2450</v>
      </c>
    </row>
    <row r="461" spans="1:9">
      <c r="A461" s="245" t="s">
        <v>2451</v>
      </c>
      <c r="B461" s="245"/>
      <c r="I461" t="s">
        <v>2452</v>
      </c>
    </row>
    <row r="462" spans="1:9">
      <c r="A462" s="241" t="s">
        <v>1513</v>
      </c>
      <c r="B462" s="245"/>
      <c r="I462" t="s">
        <v>2453</v>
      </c>
    </row>
    <row r="463" spans="1:9">
      <c r="A463" s="244" t="s">
        <v>1519</v>
      </c>
      <c r="B463" s="245"/>
      <c r="I463" t="s">
        <v>2454</v>
      </c>
    </row>
    <row r="464" spans="1:9">
      <c r="A464" s="245" t="s">
        <v>2455</v>
      </c>
      <c r="B464" s="245"/>
      <c r="I464" t="s">
        <v>2456</v>
      </c>
    </row>
    <row r="465" spans="1:9">
      <c r="A465" s="241" t="s">
        <v>1524</v>
      </c>
      <c r="B465" s="245"/>
      <c r="I465" t="s">
        <v>2457</v>
      </c>
    </row>
    <row r="466" spans="1:9">
      <c r="A466" s="244" t="s">
        <v>1529</v>
      </c>
      <c r="B466" s="245"/>
      <c r="I466" t="s">
        <v>2458</v>
      </c>
    </row>
    <row r="467" spans="1:9">
      <c r="A467" s="245" t="s">
        <v>2459</v>
      </c>
      <c r="B467" s="245"/>
      <c r="I467" t="s">
        <v>2460</v>
      </c>
    </row>
    <row r="468" spans="1:9">
      <c r="A468" s="245" t="s">
        <v>2461</v>
      </c>
      <c r="B468" s="245"/>
      <c r="I468" t="s">
        <v>2462</v>
      </c>
    </row>
    <row r="469" spans="1:9">
      <c r="A469" s="244" t="s">
        <v>1535</v>
      </c>
      <c r="B469" s="245"/>
      <c r="I469" t="s">
        <v>2463</v>
      </c>
    </row>
    <row r="470" spans="1:9">
      <c r="A470" s="245" t="s">
        <v>2464</v>
      </c>
      <c r="B470" s="245"/>
      <c r="I470" t="s">
        <v>2465</v>
      </c>
    </row>
    <row r="471" spans="1:9">
      <c r="A471" s="245" t="s">
        <v>2466</v>
      </c>
      <c r="B471" s="245"/>
      <c r="I471" t="s">
        <v>2467</v>
      </c>
    </row>
    <row r="472" spans="1:9">
      <c r="A472" s="245" t="s">
        <v>2468</v>
      </c>
      <c r="B472" s="245"/>
      <c r="I472" t="s">
        <v>2469</v>
      </c>
    </row>
    <row r="473" spans="1:9">
      <c r="A473" s="244" t="s">
        <v>1541</v>
      </c>
      <c r="B473" s="245"/>
      <c r="I473" s="71" t="s">
        <v>2470</v>
      </c>
    </row>
    <row r="474" spans="1:9">
      <c r="A474" s="245" t="s">
        <v>2471</v>
      </c>
      <c r="B474" s="245"/>
      <c r="I474" s="71" t="s">
        <v>2472</v>
      </c>
    </row>
    <row r="475" spans="1:9">
      <c r="A475" s="245" t="s">
        <v>2473</v>
      </c>
      <c r="B475" s="245"/>
      <c r="I475" s="71" t="s">
        <v>2474</v>
      </c>
    </row>
    <row r="476" spans="1:9">
      <c r="A476" s="245" t="s">
        <v>2475</v>
      </c>
      <c r="B476" s="245"/>
      <c r="I476" s="71" t="s">
        <v>2476</v>
      </c>
    </row>
    <row r="477" spans="1:9">
      <c r="A477" s="241" t="s">
        <v>1546</v>
      </c>
      <c r="B477" s="245"/>
      <c r="I477" s="71" t="s">
        <v>2477</v>
      </c>
    </row>
    <row r="478" spans="1:9">
      <c r="A478" s="244" t="s">
        <v>1552</v>
      </c>
      <c r="B478" s="245"/>
      <c r="I478" s="71" t="s">
        <v>2478</v>
      </c>
    </row>
    <row r="479" spans="1:9">
      <c r="A479" s="245" t="s">
        <v>2479</v>
      </c>
      <c r="B479" s="245"/>
      <c r="I479" t="s">
        <v>2480</v>
      </c>
    </row>
    <row r="480" spans="1:9">
      <c r="A480" s="242" t="s">
        <v>1630</v>
      </c>
      <c r="B480" s="245"/>
      <c r="I480" t="s">
        <v>2481</v>
      </c>
    </row>
    <row r="481" spans="1:9">
      <c r="A481" s="241" t="s">
        <v>1562</v>
      </c>
      <c r="B481" s="245"/>
      <c r="I481" t="s">
        <v>2482</v>
      </c>
    </row>
    <row r="482" spans="1:9">
      <c r="A482" s="244" t="s">
        <v>1568</v>
      </c>
      <c r="B482" s="245"/>
      <c r="I482" t="s">
        <v>2483</v>
      </c>
    </row>
    <row r="483" spans="1:9">
      <c r="A483" s="245" t="s">
        <v>2484</v>
      </c>
      <c r="B483" s="245"/>
      <c r="I483" t="s">
        <v>2485</v>
      </c>
    </row>
    <row r="484" spans="1:9">
      <c r="A484" s="241" t="s">
        <v>1573</v>
      </c>
      <c r="B484" s="245"/>
      <c r="I484" t="s">
        <v>2486</v>
      </c>
    </row>
    <row r="485" spans="1:9">
      <c r="A485" s="244" t="s">
        <v>1577</v>
      </c>
      <c r="B485" s="245"/>
      <c r="I485" t="s">
        <v>2487</v>
      </c>
    </row>
    <row r="486" spans="1:9">
      <c r="A486" s="245" t="s">
        <v>2488</v>
      </c>
      <c r="B486" s="245"/>
      <c r="I486" t="s">
        <v>2489</v>
      </c>
    </row>
    <row r="487" spans="1:9">
      <c r="A487" s="245" t="s">
        <v>2490</v>
      </c>
      <c r="B487" s="245"/>
      <c r="I487" t="s">
        <v>2491</v>
      </c>
    </row>
    <row r="488" spans="1:9">
      <c r="A488" s="245" t="s">
        <v>2492</v>
      </c>
      <c r="B488" s="245"/>
      <c r="I488" t="s">
        <v>2493</v>
      </c>
    </row>
    <row r="489" spans="1:9">
      <c r="A489" s="244" t="s">
        <v>1582</v>
      </c>
      <c r="B489" s="245"/>
      <c r="I489" t="s">
        <v>2494</v>
      </c>
    </row>
    <row r="490" spans="1:9">
      <c r="A490" s="245" t="s">
        <v>2495</v>
      </c>
      <c r="B490" s="245"/>
      <c r="I490" t="s">
        <v>2496</v>
      </c>
    </row>
    <row r="491" spans="1:9">
      <c r="A491" s="245" t="s">
        <v>2497</v>
      </c>
      <c r="B491" s="245"/>
      <c r="I491" t="s">
        <v>2498</v>
      </c>
    </row>
    <row r="492" spans="1:9">
      <c r="A492" s="244" t="s">
        <v>1587</v>
      </c>
      <c r="B492" s="245"/>
      <c r="I492" t="s">
        <v>2499</v>
      </c>
    </row>
    <row r="493" spans="1:9">
      <c r="A493" s="245" t="s">
        <v>2500</v>
      </c>
      <c r="B493" s="245"/>
      <c r="I493" t="s">
        <v>2501</v>
      </c>
    </row>
    <row r="494" spans="1:9">
      <c r="A494" s="245" t="s">
        <v>2502</v>
      </c>
      <c r="B494" s="245"/>
      <c r="I494" t="s">
        <v>2503</v>
      </c>
    </row>
    <row r="495" spans="1:9">
      <c r="A495" s="241" t="s">
        <v>1592</v>
      </c>
      <c r="B495" s="245"/>
      <c r="I495" t="s">
        <v>2504</v>
      </c>
    </row>
    <row r="496" spans="1:9">
      <c r="A496" s="244" t="s">
        <v>1597</v>
      </c>
      <c r="B496" s="245"/>
      <c r="I496" t="s">
        <v>2505</v>
      </c>
    </row>
    <row r="497" spans="1:9">
      <c r="A497" s="245" t="s">
        <v>2506</v>
      </c>
      <c r="B497" s="245"/>
      <c r="I497" t="s">
        <v>2507</v>
      </c>
    </row>
    <row r="498" spans="1:9">
      <c r="A498" s="245" t="s">
        <v>2508</v>
      </c>
      <c r="B498" s="245"/>
      <c r="I498" t="s">
        <v>2509</v>
      </c>
    </row>
    <row r="499" spans="1:9">
      <c r="A499" s="245" t="s">
        <v>2510</v>
      </c>
      <c r="B499" s="245"/>
      <c r="I499" t="s">
        <v>2511</v>
      </c>
    </row>
    <row r="500" spans="1:9">
      <c r="A500" s="244" t="s">
        <v>1602</v>
      </c>
      <c r="B500" s="245"/>
      <c r="I500" t="s">
        <v>2512</v>
      </c>
    </row>
    <row r="501" spans="1:9">
      <c r="A501" s="245" t="s">
        <v>2513</v>
      </c>
      <c r="B501" s="245"/>
      <c r="I501" t="s">
        <v>2514</v>
      </c>
    </row>
    <row r="502" spans="1:9">
      <c r="A502" s="245" t="s">
        <v>2515</v>
      </c>
      <c r="B502" s="245"/>
      <c r="I502" t="s">
        <v>2516</v>
      </c>
    </row>
    <row r="503" spans="1:9">
      <c r="A503" s="245" t="s">
        <v>2517</v>
      </c>
      <c r="B503" s="245"/>
      <c r="I503" t="s">
        <v>2518</v>
      </c>
    </row>
    <row r="504" spans="1:9">
      <c r="A504" s="245" t="s">
        <v>2519</v>
      </c>
      <c r="B504" s="245"/>
      <c r="I504" t="s">
        <v>2520</v>
      </c>
    </row>
    <row r="505" spans="1:9">
      <c r="A505" s="244" t="s">
        <v>1607</v>
      </c>
      <c r="B505" s="245"/>
      <c r="I505" t="s">
        <v>2521</v>
      </c>
    </row>
    <row r="506" spans="1:9">
      <c r="A506" s="245" t="s">
        <v>2522</v>
      </c>
      <c r="B506" s="245"/>
      <c r="I506" t="s">
        <v>2523</v>
      </c>
    </row>
    <row r="507" spans="1:9">
      <c r="A507" s="245" t="s">
        <v>2524</v>
      </c>
      <c r="B507" s="245"/>
      <c r="I507" t="s">
        <v>2525</v>
      </c>
    </row>
    <row r="508" spans="1:9">
      <c r="A508" s="245" t="s">
        <v>2526</v>
      </c>
      <c r="B508" s="245"/>
      <c r="I508" t="s">
        <v>2527</v>
      </c>
    </row>
    <row r="509" spans="1:9">
      <c r="A509" s="245" t="s">
        <v>2528</v>
      </c>
      <c r="B509" s="245"/>
      <c r="I509" t="s">
        <v>2529</v>
      </c>
    </row>
    <row r="510" spans="1:9">
      <c r="A510" s="245" t="s">
        <v>2530</v>
      </c>
      <c r="B510" s="245"/>
      <c r="I510" t="s">
        <v>2531</v>
      </c>
    </row>
    <row r="511" spans="1:9">
      <c r="A511" s="244" t="s">
        <v>1612</v>
      </c>
      <c r="B511" s="245"/>
      <c r="I511" t="s">
        <v>2532</v>
      </c>
    </row>
    <row r="512" spans="1:9">
      <c r="A512" s="245" t="s">
        <v>2533</v>
      </c>
      <c r="B512" s="245"/>
      <c r="I512" t="s">
        <v>2534</v>
      </c>
    </row>
    <row r="513" spans="1:9">
      <c r="A513" s="245" t="s">
        <v>2535</v>
      </c>
      <c r="B513" s="245"/>
      <c r="I513" t="s">
        <v>2536</v>
      </c>
    </row>
    <row r="514" spans="1:9">
      <c r="A514" s="244" t="s">
        <v>1617</v>
      </c>
      <c r="B514" s="245"/>
      <c r="I514" t="s">
        <v>2537</v>
      </c>
    </row>
    <row r="515" spans="1:9">
      <c r="A515" s="245" t="s">
        <v>2538</v>
      </c>
      <c r="B515" s="245"/>
      <c r="I515" t="s">
        <v>2539</v>
      </c>
    </row>
    <row r="516" spans="1:9">
      <c r="A516" s="244" t="s">
        <v>1621</v>
      </c>
      <c r="B516" s="245"/>
      <c r="I516" t="s">
        <v>2540</v>
      </c>
    </row>
    <row r="517" spans="1:9">
      <c r="A517" s="245" t="s">
        <v>2541</v>
      </c>
      <c r="B517" s="245"/>
      <c r="I517" t="s">
        <v>2542</v>
      </c>
    </row>
    <row r="518" spans="1:9">
      <c r="A518" s="244" t="s">
        <v>1625</v>
      </c>
      <c r="B518" s="245"/>
      <c r="I518" t="s">
        <v>2543</v>
      </c>
    </row>
    <row r="519" spans="1:9">
      <c r="A519" s="245" t="s">
        <v>2544</v>
      </c>
      <c r="B519" s="245"/>
      <c r="I519" t="s">
        <v>2545</v>
      </c>
    </row>
    <row r="520" spans="1:9">
      <c r="A520" s="245" t="s">
        <v>2546</v>
      </c>
      <c r="B520" s="245"/>
      <c r="I520" t="s">
        <v>2547</v>
      </c>
    </row>
    <row r="521" spans="1:9">
      <c r="A521" s="242" t="s">
        <v>1727</v>
      </c>
      <c r="B521" s="245"/>
      <c r="I521" t="s">
        <v>2548</v>
      </c>
    </row>
    <row r="522" spans="1:9">
      <c r="A522" s="241" t="s">
        <v>1635</v>
      </c>
      <c r="B522" s="245"/>
      <c r="I522" t="s">
        <v>2549</v>
      </c>
    </row>
    <row r="523" spans="1:9">
      <c r="A523" s="244" t="s">
        <v>1639</v>
      </c>
      <c r="B523" s="245"/>
      <c r="I523" t="s">
        <v>2550</v>
      </c>
    </row>
    <row r="524" spans="1:9">
      <c r="A524" s="245" t="s">
        <v>2551</v>
      </c>
      <c r="B524" s="245"/>
      <c r="I524" t="s">
        <v>2552</v>
      </c>
    </row>
    <row r="525" spans="1:9">
      <c r="A525" s="245" t="s">
        <v>2553</v>
      </c>
      <c r="B525" s="245"/>
      <c r="I525" t="s">
        <v>2554</v>
      </c>
    </row>
    <row r="526" spans="1:9">
      <c r="A526" s="245" t="s">
        <v>2555</v>
      </c>
      <c r="B526" s="245"/>
      <c r="I526" t="s">
        <v>2556</v>
      </c>
    </row>
    <row r="527" spans="1:9">
      <c r="A527" s="245" t="s">
        <v>2557</v>
      </c>
      <c r="B527" s="245"/>
      <c r="I527" t="s">
        <v>2558</v>
      </c>
    </row>
    <row r="528" spans="1:9">
      <c r="A528" s="245" t="s">
        <v>2559</v>
      </c>
      <c r="B528" s="245"/>
      <c r="I528" t="s">
        <v>2560</v>
      </c>
    </row>
    <row r="529" spans="1:9">
      <c r="A529" s="245" t="s">
        <v>2561</v>
      </c>
      <c r="B529" s="245"/>
      <c r="I529" t="s">
        <v>2562</v>
      </c>
    </row>
    <row r="530" spans="1:9">
      <c r="A530" s="245" t="s">
        <v>2563</v>
      </c>
      <c r="B530" s="245"/>
      <c r="I530" t="s">
        <v>2564</v>
      </c>
    </row>
    <row r="531" spans="1:9">
      <c r="A531" s="245" t="s">
        <v>2565</v>
      </c>
      <c r="B531" s="245"/>
      <c r="I531" t="s">
        <v>2566</v>
      </c>
    </row>
    <row r="532" spans="1:9">
      <c r="A532" s="245" t="s">
        <v>2567</v>
      </c>
      <c r="B532" s="245"/>
      <c r="I532" t="s">
        <v>2568</v>
      </c>
    </row>
    <row r="533" spans="1:9">
      <c r="A533" s="244" t="s">
        <v>1644</v>
      </c>
      <c r="B533" s="245"/>
      <c r="I533" t="s">
        <v>2569</v>
      </c>
    </row>
    <row r="534" spans="1:9">
      <c r="A534" s="245" t="s">
        <v>2570</v>
      </c>
      <c r="B534" s="245"/>
      <c r="I534" t="s">
        <v>2571</v>
      </c>
    </row>
    <row r="535" spans="1:9">
      <c r="A535" s="245" t="s">
        <v>2572</v>
      </c>
      <c r="B535" s="245"/>
      <c r="I535" t="s">
        <v>2573</v>
      </c>
    </row>
    <row r="536" spans="1:9">
      <c r="A536" s="245" t="s">
        <v>2574</v>
      </c>
      <c r="B536" s="245"/>
      <c r="I536" t="s">
        <v>2575</v>
      </c>
    </row>
    <row r="537" spans="1:9">
      <c r="A537" s="245" t="s">
        <v>2576</v>
      </c>
      <c r="B537" s="245"/>
      <c r="I537" t="s">
        <v>2577</v>
      </c>
    </row>
    <row r="538" spans="1:9">
      <c r="A538" s="244" t="s">
        <v>1649</v>
      </c>
      <c r="B538" s="245"/>
      <c r="I538" t="s">
        <v>2578</v>
      </c>
    </row>
    <row r="539" spans="1:9">
      <c r="A539" s="245" t="s">
        <v>2579</v>
      </c>
      <c r="B539" s="245"/>
      <c r="I539" t="s">
        <v>2580</v>
      </c>
    </row>
    <row r="540" spans="1:9">
      <c r="A540" s="245" t="s">
        <v>2581</v>
      </c>
      <c r="B540" s="245"/>
      <c r="I540" t="s">
        <v>2582</v>
      </c>
    </row>
    <row r="541" spans="1:9">
      <c r="A541" s="245" t="s">
        <v>2583</v>
      </c>
      <c r="B541" s="245"/>
      <c r="I541" t="s">
        <v>2584</v>
      </c>
    </row>
    <row r="542" spans="1:9">
      <c r="A542" s="245" t="s">
        <v>2585</v>
      </c>
      <c r="B542" s="245"/>
      <c r="I542" t="s">
        <v>2586</v>
      </c>
    </row>
    <row r="543" spans="1:9">
      <c r="A543" s="245" t="s">
        <v>2587</v>
      </c>
      <c r="B543" s="245"/>
      <c r="I543" t="s">
        <v>2588</v>
      </c>
    </row>
    <row r="544" spans="1:9">
      <c r="A544" s="245" t="s">
        <v>2589</v>
      </c>
      <c r="B544" s="245"/>
      <c r="I544" t="s">
        <v>2590</v>
      </c>
    </row>
    <row r="545" spans="1:9">
      <c r="A545" s="245" t="s">
        <v>2591</v>
      </c>
      <c r="B545" s="245"/>
      <c r="I545" t="s">
        <v>2592</v>
      </c>
    </row>
    <row r="546" spans="1:9">
      <c r="A546" s="245" t="s">
        <v>2593</v>
      </c>
      <c r="B546" s="245"/>
      <c r="I546" t="s">
        <v>2594</v>
      </c>
    </row>
    <row r="547" spans="1:9">
      <c r="A547" s="245" t="s">
        <v>2595</v>
      </c>
      <c r="B547" s="245"/>
      <c r="I547" t="s">
        <v>2596</v>
      </c>
    </row>
    <row r="548" spans="1:9">
      <c r="A548" s="244" t="s">
        <v>1654</v>
      </c>
      <c r="B548" s="245"/>
      <c r="I548" t="s">
        <v>2597</v>
      </c>
    </row>
    <row r="549" spans="1:9">
      <c r="A549" s="245" t="s">
        <v>2598</v>
      </c>
      <c r="B549" s="245"/>
      <c r="I549" t="s">
        <v>2599</v>
      </c>
    </row>
    <row r="550" spans="1:9">
      <c r="A550" s="245" t="s">
        <v>2600</v>
      </c>
      <c r="B550" s="245"/>
      <c r="I550" t="s">
        <v>2601</v>
      </c>
    </row>
    <row r="551" spans="1:9">
      <c r="A551" s="245" t="s">
        <v>2602</v>
      </c>
      <c r="B551" s="245"/>
      <c r="I551" t="s">
        <v>2603</v>
      </c>
    </row>
    <row r="552" spans="1:9">
      <c r="A552" s="245" t="s">
        <v>2604</v>
      </c>
      <c r="B552" s="245"/>
      <c r="I552" t="s">
        <v>2605</v>
      </c>
    </row>
    <row r="553" spans="1:9">
      <c r="A553" s="245" t="s">
        <v>2606</v>
      </c>
      <c r="B553" s="245"/>
      <c r="I553" t="s">
        <v>2607</v>
      </c>
    </row>
    <row r="554" spans="1:9">
      <c r="A554" s="245" t="s">
        <v>2608</v>
      </c>
      <c r="B554" s="245"/>
      <c r="I554" t="s">
        <v>2609</v>
      </c>
    </row>
    <row r="555" spans="1:9">
      <c r="A555" s="245" t="s">
        <v>2610</v>
      </c>
      <c r="B555" s="245"/>
      <c r="I555" t="s">
        <v>2611</v>
      </c>
    </row>
    <row r="556" spans="1:9">
      <c r="A556" s="245" t="s">
        <v>2612</v>
      </c>
      <c r="B556" s="245"/>
      <c r="I556" t="s">
        <v>2613</v>
      </c>
    </row>
    <row r="557" spans="1:9">
      <c r="A557" s="245" t="s">
        <v>2614</v>
      </c>
      <c r="B557" s="245"/>
      <c r="I557" t="s">
        <v>2615</v>
      </c>
    </row>
    <row r="558" spans="1:9">
      <c r="A558" s="244" t="s">
        <v>1659</v>
      </c>
      <c r="B558" s="245"/>
      <c r="I558" t="s">
        <v>2616</v>
      </c>
    </row>
    <row r="559" spans="1:9">
      <c r="A559" s="245" t="s">
        <v>2617</v>
      </c>
      <c r="B559" s="245"/>
      <c r="I559" t="s">
        <v>2618</v>
      </c>
    </row>
    <row r="560" spans="1:9">
      <c r="A560" s="244" t="s">
        <v>1664</v>
      </c>
      <c r="B560" s="245"/>
      <c r="I560" t="s">
        <v>2619</v>
      </c>
    </row>
    <row r="561" spans="1:9">
      <c r="A561" s="245" t="s">
        <v>2620</v>
      </c>
      <c r="B561" s="245"/>
      <c r="I561" t="s">
        <v>2621</v>
      </c>
    </row>
    <row r="562" spans="1:9">
      <c r="A562" s="245" t="s">
        <v>2622</v>
      </c>
      <c r="B562" s="245"/>
      <c r="I562" t="s">
        <v>2623</v>
      </c>
    </row>
    <row r="563" spans="1:9">
      <c r="A563" s="245" t="s">
        <v>2624</v>
      </c>
      <c r="B563" s="245"/>
      <c r="I563" t="s">
        <v>2625</v>
      </c>
    </row>
    <row r="564" spans="1:9">
      <c r="A564" s="245" t="s">
        <v>2626</v>
      </c>
      <c r="B564" s="245"/>
      <c r="I564" t="s">
        <v>2627</v>
      </c>
    </row>
    <row r="565" spans="1:9">
      <c r="A565" s="244" t="s">
        <v>1668</v>
      </c>
      <c r="B565" s="245"/>
      <c r="I565" t="s">
        <v>2628</v>
      </c>
    </row>
    <row r="566" spans="1:9">
      <c r="A566" s="245" t="s">
        <v>2629</v>
      </c>
      <c r="B566" s="245"/>
      <c r="I566" t="s">
        <v>2630</v>
      </c>
    </row>
    <row r="567" spans="1:9">
      <c r="A567" s="245" t="s">
        <v>2631</v>
      </c>
      <c r="B567" s="245"/>
      <c r="I567" t="s">
        <v>2632</v>
      </c>
    </row>
    <row r="568" spans="1:9">
      <c r="A568" s="245" t="s">
        <v>2633</v>
      </c>
      <c r="B568" s="245"/>
      <c r="I568" t="s">
        <v>2634</v>
      </c>
    </row>
    <row r="569" spans="1:9">
      <c r="A569" s="244" t="s">
        <v>1672</v>
      </c>
      <c r="B569" s="245"/>
      <c r="I569" t="s">
        <v>2635</v>
      </c>
    </row>
    <row r="570" spans="1:9">
      <c r="A570" s="245" t="s">
        <v>2636</v>
      </c>
      <c r="B570" s="245"/>
      <c r="I570" t="s">
        <v>2637</v>
      </c>
    </row>
    <row r="571" spans="1:9">
      <c r="A571" s="245" t="s">
        <v>2638</v>
      </c>
      <c r="B571" s="245"/>
      <c r="I571" t="s">
        <v>2639</v>
      </c>
    </row>
    <row r="572" spans="1:9">
      <c r="A572" s="245" t="s">
        <v>2640</v>
      </c>
      <c r="B572" s="245"/>
      <c r="I572" t="s">
        <v>2641</v>
      </c>
    </row>
    <row r="573" spans="1:9">
      <c r="A573" s="245" t="s">
        <v>2642</v>
      </c>
      <c r="B573" s="245"/>
      <c r="I573" t="s">
        <v>2643</v>
      </c>
    </row>
    <row r="574" spans="1:9">
      <c r="A574" s="245" t="s">
        <v>2644</v>
      </c>
      <c r="B574" s="245"/>
      <c r="I574" t="s">
        <v>2645</v>
      </c>
    </row>
    <row r="575" spans="1:9">
      <c r="A575" s="245" t="s">
        <v>2646</v>
      </c>
      <c r="B575" s="245"/>
      <c r="I575" t="s">
        <v>2647</v>
      </c>
    </row>
    <row r="576" spans="1:9">
      <c r="A576" s="245" t="s">
        <v>2648</v>
      </c>
      <c r="B576" s="245"/>
      <c r="I576" t="s">
        <v>2649</v>
      </c>
    </row>
    <row r="577" spans="1:9">
      <c r="A577" s="245" t="s">
        <v>2650</v>
      </c>
      <c r="B577" s="245"/>
      <c r="I577" t="s">
        <v>2651</v>
      </c>
    </row>
    <row r="578" spans="1:9">
      <c r="A578" s="244" t="s">
        <v>1677</v>
      </c>
      <c r="B578" s="245"/>
      <c r="I578" t="s">
        <v>2652</v>
      </c>
    </row>
    <row r="579" spans="1:9">
      <c r="A579" s="245" t="s">
        <v>2653</v>
      </c>
      <c r="B579" s="245"/>
      <c r="I579" t="s">
        <v>2654</v>
      </c>
    </row>
    <row r="580" spans="1:9">
      <c r="A580" s="241" t="s">
        <v>1682</v>
      </c>
      <c r="B580" s="245"/>
      <c r="I580" t="s">
        <v>2655</v>
      </c>
    </row>
    <row r="581" spans="1:9">
      <c r="A581" s="244" t="s">
        <v>1687</v>
      </c>
      <c r="B581" s="245"/>
      <c r="I581" t="s">
        <v>2656</v>
      </c>
    </row>
    <row r="582" spans="1:9">
      <c r="A582" s="245" t="s">
        <v>2657</v>
      </c>
      <c r="B582" s="245"/>
      <c r="I582" t="s">
        <v>2658</v>
      </c>
    </row>
    <row r="583" spans="1:9">
      <c r="A583" s="245" t="s">
        <v>2659</v>
      </c>
      <c r="B583" s="245"/>
      <c r="I583" t="s">
        <v>2660</v>
      </c>
    </row>
    <row r="584" spans="1:9">
      <c r="A584" s="244" t="s">
        <v>1692</v>
      </c>
      <c r="B584" s="245"/>
      <c r="I584" t="s">
        <v>2661</v>
      </c>
    </row>
    <row r="585" spans="1:9">
      <c r="A585" s="245" t="s">
        <v>2662</v>
      </c>
      <c r="B585" s="245"/>
      <c r="I585" t="s">
        <v>2663</v>
      </c>
    </row>
    <row r="586" spans="1:9">
      <c r="A586" s="245" t="s">
        <v>2664</v>
      </c>
      <c r="B586" s="245"/>
      <c r="I586" t="s">
        <v>2665</v>
      </c>
    </row>
    <row r="587" spans="1:9">
      <c r="A587" s="245" t="s">
        <v>2666</v>
      </c>
      <c r="B587" s="245"/>
      <c r="I587" t="s">
        <v>2667</v>
      </c>
    </row>
    <row r="588" spans="1:9">
      <c r="A588" s="245" t="s">
        <v>2668</v>
      </c>
      <c r="B588" s="245"/>
      <c r="I588" t="s">
        <v>2669</v>
      </c>
    </row>
    <row r="589" spans="1:9">
      <c r="A589" s="245" t="s">
        <v>2670</v>
      </c>
      <c r="B589" s="245"/>
      <c r="I589" t="s">
        <v>2671</v>
      </c>
    </row>
    <row r="590" spans="1:9">
      <c r="A590" s="245" t="s">
        <v>2672</v>
      </c>
      <c r="B590" s="245"/>
      <c r="I590" t="s">
        <v>2673</v>
      </c>
    </row>
    <row r="591" spans="1:9">
      <c r="A591" s="245" t="s">
        <v>2674</v>
      </c>
      <c r="B591" s="245"/>
      <c r="I591" t="s">
        <v>2675</v>
      </c>
    </row>
    <row r="592" spans="1:9">
      <c r="A592" s="244" t="s">
        <v>1696</v>
      </c>
      <c r="B592" s="245"/>
      <c r="I592" t="s">
        <v>2676</v>
      </c>
    </row>
    <row r="593" spans="1:9">
      <c r="A593" s="245" t="s">
        <v>2677</v>
      </c>
      <c r="B593" s="245"/>
      <c r="I593" t="s">
        <v>2678</v>
      </c>
    </row>
    <row r="594" spans="1:9">
      <c r="A594" s="244" t="s">
        <v>1701</v>
      </c>
      <c r="B594" s="245"/>
      <c r="I594" t="s">
        <v>2679</v>
      </c>
    </row>
    <row r="595" spans="1:9">
      <c r="A595" s="245" t="s">
        <v>2680</v>
      </c>
      <c r="B595" s="245"/>
      <c r="I595" t="s">
        <v>2681</v>
      </c>
    </row>
    <row r="596" spans="1:9">
      <c r="A596" s="244" t="s">
        <v>1705</v>
      </c>
      <c r="B596" s="245"/>
      <c r="I596" t="s">
        <v>2682</v>
      </c>
    </row>
    <row r="597" spans="1:9">
      <c r="A597" s="245" t="s">
        <v>2683</v>
      </c>
      <c r="B597" s="245"/>
      <c r="I597" t="s">
        <v>2684</v>
      </c>
    </row>
    <row r="598" spans="1:9">
      <c r="A598" s="245" t="s">
        <v>2685</v>
      </c>
      <c r="B598" s="245"/>
      <c r="I598" t="s">
        <v>2686</v>
      </c>
    </row>
    <row r="599" spans="1:9">
      <c r="A599" s="245" t="s">
        <v>2687</v>
      </c>
      <c r="B599" s="245"/>
      <c r="I599" t="s">
        <v>2688</v>
      </c>
    </row>
    <row r="600" spans="1:9">
      <c r="A600" s="245" t="s">
        <v>2689</v>
      </c>
      <c r="B600" s="245"/>
      <c r="I600" t="s">
        <v>2690</v>
      </c>
    </row>
    <row r="601" spans="1:9">
      <c r="A601" s="245" t="s">
        <v>2691</v>
      </c>
      <c r="B601" s="245"/>
      <c r="I601" t="s">
        <v>2692</v>
      </c>
    </row>
    <row r="602" spans="1:9">
      <c r="A602" s="244" t="s">
        <v>1709</v>
      </c>
      <c r="B602" s="245"/>
      <c r="I602" t="s">
        <v>2693</v>
      </c>
    </row>
    <row r="603" spans="1:9">
      <c r="A603" s="245" t="s">
        <v>2694</v>
      </c>
      <c r="B603" s="245"/>
      <c r="I603" t="s">
        <v>2695</v>
      </c>
    </row>
    <row r="604" spans="1:9">
      <c r="A604" s="245" t="s">
        <v>2696</v>
      </c>
      <c r="B604" s="245"/>
      <c r="I604" t="s">
        <v>2697</v>
      </c>
    </row>
    <row r="605" spans="1:9">
      <c r="A605" s="245" t="s">
        <v>2698</v>
      </c>
      <c r="B605" s="245"/>
      <c r="I605" t="s">
        <v>2699</v>
      </c>
    </row>
    <row r="606" spans="1:9">
      <c r="A606" s="245" t="s">
        <v>2700</v>
      </c>
      <c r="B606" s="245"/>
      <c r="I606" t="s">
        <v>2701</v>
      </c>
    </row>
    <row r="607" spans="1:9">
      <c r="A607" s="245" t="s">
        <v>2702</v>
      </c>
      <c r="B607" s="245"/>
      <c r="I607" t="s">
        <v>2703</v>
      </c>
    </row>
    <row r="608" spans="1:9">
      <c r="A608" s="244" t="s">
        <v>1714</v>
      </c>
      <c r="B608" s="245"/>
      <c r="I608" t="s">
        <v>2704</v>
      </c>
    </row>
    <row r="609" spans="1:9">
      <c r="A609" s="245" t="s">
        <v>2705</v>
      </c>
      <c r="B609" s="245"/>
      <c r="I609" t="s">
        <v>2706</v>
      </c>
    </row>
    <row r="610" spans="1:9">
      <c r="A610" s="245" t="s">
        <v>2707</v>
      </c>
      <c r="B610" s="245"/>
      <c r="I610" t="s">
        <v>2708</v>
      </c>
    </row>
    <row r="611" spans="1:9">
      <c r="A611" s="245" t="s">
        <v>2709</v>
      </c>
      <c r="B611" s="245"/>
      <c r="I611" t="s">
        <v>2710</v>
      </c>
    </row>
    <row r="612" spans="1:9">
      <c r="A612" s="245" t="s">
        <v>2711</v>
      </c>
      <c r="B612" s="245"/>
      <c r="I612" t="s">
        <v>2712</v>
      </c>
    </row>
    <row r="613" spans="1:9">
      <c r="A613" s="245" t="s">
        <v>2713</v>
      </c>
      <c r="B613" s="245"/>
      <c r="I613" t="s">
        <v>2714</v>
      </c>
    </row>
    <row r="614" spans="1:9">
      <c r="A614" s="245" t="s">
        <v>2715</v>
      </c>
      <c r="B614" s="245"/>
      <c r="I614" t="s">
        <v>2716</v>
      </c>
    </row>
    <row r="615" spans="1:9">
      <c r="A615" s="245" t="s">
        <v>2717</v>
      </c>
      <c r="B615" s="245"/>
      <c r="I615" t="s">
        <v>2718</v>
      </c>
    </row>
    <row r="616" spans="1:9">
      <c r="A616" s="245" t="s">
        <v>2719</v>
      </c>
      <c r="B616" s="245"/>
      <c r="I616" t="s">
        <v>2720</v>
      </c>
    </row>
    <row r="617" spans="1:9">
      <c r="A617" s="245" t="s">
        <v>2721</v>
      </c>
      <c r="B617" s="245"/>
      <c r="I617" t="s">
        <v>2722</v>
      </c>
    </row>
    <row r="618" spans="1:9">
      <c r="A618" s="244" t="s">
        <v>1718</v>
      </c>
      <c r="B618" s="245"/>
      <c r="I618" t="s">
        <v>2723</v>
      </c>
    </row>
    <row r="619" spans="1:9">
      <c r="A619" s="245" t="s">
        <v>2724</v>
      </c>
      <c r="B619" s="245"/>
      <c r="I619" t="s">
        <v>2725</v>
      </c>
    </row>
    <row r="620" spans="1:9">
      <c r="A620" s="245" t="s">
        <v>2726</v>
      </c>
      <c r="B620" s="245"/>
      <c r="I620" t="s">
        <v>2727</v>
      </c>
    </row>
    <row r="621" spans="1:9">
      <c r="A621" s="245" t="s">
        <v>2728</v>
      </c>
      <c r="B621" s="245"/>
      <c r="I621" t="s">
        <v>2729</v>
      </c>
    </row>
    <row r="622" spans="1:9">
      <c r="A622" s="244" t="s">
        <v>1723</v>
      </c>
      <c r="B622" s="245"/>
      <c r="I622" t="s">
        <v>2730</v>
      </c>
    </row>
    <row r="623" spans="1:9">
      <c r="A623" s="245" t="s">
        <v>2731</v>
      </c>
      <c r="B623" s="245"/>
      <c r="I623" t="s">
        <v>2732</v>
      </c>
    </row>
    <row r="624" spans="1:9">
      <c r="A624" s="245" t="s">
        <v>2733</v>
      </c>
      <c r="B624" s="245"/>
      <c r="I624" t="s">
        <v>2734</v>
      </c>
    </row>
    <row r="625" spans="1:9">
      <c r="A625" s="242" t="s">
        <v>1834</v>
      </c>
      <c r="B625" s="245"/>
      <c r="I625" t="s">
        <v>2735</v>
      </c>
    </row>
    <row r="626" spans="1:9">
      <c r="A626" s="241" t="s">
        <v>1731</v>
      </c>
      <c r="B626" s="245"/>
      <c r="I626" t="s">
        <v>2736</v>
      </c>
    </row>
    <row r="627" spans="1:9">
      <c r="A627" s="244" t="s">
        <v>1736</v>
      </c>
      <c r="B627" s="245"/>
      <c r="I627" t="s">
        <v>2737</v>
      </c>
    </row>
    <row r="628" spans="1:9">
      <c r="A628" s="245" t="s">
        <v>2738</v>
      </c>
      <c r="B628" s="245"/>
      <c r="I628" t="s">
        <v>2739</v>
      </c>
    </row>
    <row r="629" spans="1:9">
      <c r="A629" s="245" t="s">
        <v>2740</v>
      </c>
      <c r="B629" s="245"/>
      <c r="I629" t="s">
        <v>2741</v>
      </c>
    </row>
    <row r="630" spans="1:9">
      <c r="A630" s="244" t="s">
        <v>1741</v>
      </c>
      <c r="B630" s="245"/>
      <c r="I630" t="s">
        <v>2742</v>
      </c>
    </row>
    <row r="631" spans="1:9">
      <c r="A631" s="245" t="s">
        <v>2743</v>
      </c>
      <c r="B631" s="245"/>
      <c r="I631" t="s">
        <v>2744</v>
      </c>
    </row>
    <row r="632" spans="1:9">
      <c r="A632" s="244" t="s">
        <v>1746</v>
      </c>
      <c r="B632" s="245"/>
      <c r="I632" t="s">
        <v>2745</v>
      </c>
    </row>
    <row r="633" spans="1:9">
      <c r="A633" s="245" t="s">
        <v>2746</v>
      </c>
      <c r="B633" s="245"/>
      <c r="I633" t="s">
        <v>2747</v>
      </c>
    </row>
    <row r="634" spans="1:9">
      <c r="A634" s="245" t="s">
        <v>2748</v>
      </c>
      <c r="B634" s="245"/>
      <c r="I634" t="s">
        <v>2749</v>
      </c>
    </row>
    <row r="635" spans="1:9">
      <c r="A635" s="245" t="s">
        <v>2750</v>
      </c>
      <c r="B635" s="245"/>
      <c r="I635" t="s">
        <v>2751</v>
      </c>
    </row>
    <row r="636" spans="1:9">
      <c r="A636" s="245" t="s">
        <v>2752</v>
      </c>
      <c r="B636" s="245"/>
      <c r="I636" t="s">
        <v>2753</v>
      </c>
    </row>
    <row r="637" spans="1:9">
      <c r="A637" s="245" t="s">
        <v>2754</v>
      </c>
      <c r="B637" s="245"/>
      <c r="I637" t="s">
        <v>2755</v>
      </c>
    </row>
    <row r="638" spans="1:9">
      <c r="A638" s="244" t="s">
        <v>1751</v>
      </c>
      <c r="B638" s="245"/>
      <c r="I638" t="s">
        <v>2756</v>
      </c>
    </row>
    <row r="639" spans="1:9">
      <c r="A639" s="245" t="s">
        <v>2757</v>
      </c>
      <c r="B639" s="245"/>
      <c r="I639" t="s">
        <v>2758</v>
      </c>
    </row>
    <row r="640" spans="1:9">
      <c r="A640" s="245" t="s">
        <v>2759</v>
      </c>
      <c r="B640" s="245"/>
      <c r="I640" t="s">
        <v>2760</v>
      </c>
    </row>
    <row r="641" spans="1:9">
      <c r="A641" s="244" t="s">
        <v>1756</v>
      </c>
      <c r="B641" s="245"/>
      <c r="I641" t="s">
        <v>2761</v>
      </c>
    </row>
    <row r="642" spans="1:9">
      <c r="A642" s="245" t="s">
        <v>2762</v>
      </c>
      <c r="B642" s="245"/>
      <c r="I642" t="s">
        <v>2763</v>
      </c>
    </row>
    <row r="643" spans="1:9">
      <c r="A643" s="241" t="s">
        <v>1761</v>
      </c>
      <c r="B643" s="245"/>
      <c r="I643" t="s">
        <v>2764</v>
      </c>
    </row>
    <row r="644" spans="1:9">
      <c r="A644" s="244" t="s">
        <v>1766</v>
      </c>
      <c r="B644" s="245"/>
      <c r="I644" t="s">
        <v>2765</v>
      </c>
    </row>
    <row r="645" spans="1:9">
      <c r="A645" s="245" t="s">
        <v>2766</v>
      </c>
      <c r="B645" s="245"/>
      <c r="I645" t="s">
        <v>2767</v>
      </c>
    </row>
    <row r="646" spans="1:9">
      <c r="A646" s="244" t="s">
        <v>1770</v>
      </c>
      <c r="B646" s="245"/>
      <c r="I646" t="s">
        <v>2768</v>
      </c>
    </row>
    <row r="647" spans="1:9">
      <c r="A647" s="245" t="s">
        <v>2769</v>
      </c>
      <c r="B647" s="245"/>
      <c r="I647" t="s">
        <v>2770</v>
      </c>
    </row>
    <row r="648" spans="1:9">
      <c r="A648" s="244" t="s">
        <v>1775</v>
      </c>
      <c r="B648" s="245"/>
      <c r="I648" t="s">
        <v>2771</v>
      </c>
    </row>
    <row r="649" spans="1:9">
      <c r="A649" s="245" t="s">
        <v>2772</v>
      </c>
      <c r="B649" s="245"/>
      <c r="I649" t="s">
        <v>2773</v>
      </c>
    </row>
    <row r="650" spans="1:9">
      <c r="A650" s="244" t="s">
        <v>1779</v>
      </c>
      <c r="B650" s="245"/>
      <c r="I650" t="s">
        <v>2774</v>
      </c>
    </row>
    <row r="651" spans="1:9">
      <c r="A651" s="245" t="s">
        <v>2775</v>
      </c>
      <c r="B651" s="245"/>
      <c r="I651" t="s">
        <v>2776</v>
      </c>
    </row>
    <row r="652" spans="1:9">
      <c r="A652" s="241" t="s">
        <v>1784</v>
      </c>
      <c r="B652" s="245"/>
      <c r="I652" t="s">
        <v>2777</v>
      </c>
    </row>
    <row r="653" spans="1:9">
      <c r="A653" s="244" t="s">
        <v>1788</v>
      </c>
      <c r="B653" s="245"/>
      <c r="I653" t="s">
        <v>2778</v>
      </c>
    </row>
    <row r="654" spans="1:9">
      <c r="A654" s="245" t="s">
        <v>2779</v>
      </c>
      <c r="B654" s="245"/>
      <c r="I654" t="s">
        <v>2780</v>
      </c>
    </row>
    <row r="655" spans="1:9">
      <c r="A655" s="244" t="s">
        <v>1793</v>
      </c>
      <c r="B655" s="245"/>
      <c r="I655" t="s">
        <v>2781</v>
      </c>
    </row>
    <row r="656" spans="1:9">
      <c r="A656" s="245" t="s">
        <v>2782</v>
      </c>
      <c r="B656" s="245"/>
      <c r="I656" t="s">
        <v>2783</v>
      </c>
    </row>
    <row r="657" spans="1:9">
      <c r="A657" s="245" t="s">
        <v>2784</v>
      </c>
      <c r="B657" s="245"/>
      <c r="I657" t="s">
        <v>2785</v>
      </c>
    </row>
    <row r="658" spans="1:9">
      <c r="A658" s="241" t="s">
        <v>1798</v>
      </c>
      <c r="B658" s="245"/>
      <c r="I658" t="s">
        <v>2786</v>
      </c>
    </row>
    <row r="659" spans="1:9">
      <c r="A659" s="244" t="s">
        <v>1802</v>
      </c>
      <c r="B659" s="245"/>
      <c r="I659" t="s">
        <v>2787</v>
      </c>
    </row>
    <row r="660" spans="1:9">
      <c r="A660" s="245" t="s">
        <v>2788</v>
      </c>
      <c r="B660" s="245"/>
      <c r="I660" t="s">
        <v>2789</v>
      </c>
    </row>
    <row r="661" spans="1:9">
      <c r="A661" s="244" t="s">
        <v>1807</v>
      </c>
      <c r="B661" s="245"/>
      <c r="I661" t="s">
        <v>2790</v>
      </c>
    </row>
    <row r="662" spans="1:9">
      <c r="A662" s="245" t="s">
        <v>2791</v>
      </c>
      <c r="B662" s="245"/>
      <c r="I662" t="s">
        <v>2792</v>
      </c>
    </row>
    <row r="663" spans="1:9">
      <c r="A663" s="245" t="s">
        <v>2793</v>
      </c>
      <c r="B663" s="245"/>
      <c r="I663" t="s">
        <v>2794</v>
      </c>
    </row>
    <row r="664" spans="1:9">
      <c r="A664" s="245" t="s">
        <v>2795</v>
      </c>
      <c r="B664" s="245"/>
      <c r="I664" t="s">
        <v>2796</v>
      </c>
    </row>
    <row r="665" spans="1:9">
      <c r="A665" s="245" t="s">
        <v>2797</v>
      </c>
      <c r="B665" s="245"/>
      <c r="I665" t="s">
        <v>2798</v>
      </c>
    </row>
    <row r="666" spans="1:9">
      <c r="A666" s="245" t="s">
        <v>2799</v>
      </c>
      <c r="B666" s="245"/>
      <c r="I666" t="s">
        <v>2800</v>
      </c>
    </row>
    <row r="667" spans="1:9">
      <c r="A667" s="245" t="s">
        <v>2801</v>
      </c>
      <c r="B667" s="245"/>
      <c r="I667" t="s">
        <v>2802</v>
      </c>
    </row>
    <row r="668" spans="1:9">
      <c r="A668" s="244" t="s">
        <v>1812</v>
      </c>
      <c r="B668" s="245"/>
      <c r="I668" t="s">
        <v>2803</v>
      </c>
    </row>
    <row r="669" spans="1:9">
      <c r="A669" s="245" t="s">
        <v>2804</v>
      </c>
      <c r="B669" s="245"/>
      <c r="I669" t="s">
        <v>2805</v>
      </c>
    </row>
    <row r="670" spans="1:9">
      <c r="A670" s="245" t="s">
        <v>2806</v>
      </c>
      <c r="B670" s="245"/>
      <c r="I670" t="s">
        <v>2807</v>
      </c>
    </row>
    <row r="671" spans="1:9">
      <c r="A671" s="241" t="s">
        <v>1816</v>
      </c>
      <c r="B671" s="245"/>
      <c r="I671" t="s">
        <v>2808</v>
      </c>
    </row>
    <row r="672" spans="1:9">
      <c r="A672" s="244" t="s">
        <v>1821</v>
      </c>
      <c r="B672" s="245"/>
      <c r="I672" t="s">
        <v>2809</v>
      </c>
    </row>
    <row r="673" spans="1:9">
      <c r="A673" s="245" t="s">
        <v>2810</v>
      </c>
      <c r="B673" s="245"/>
      <c r="I673" t="s">
        <v>2811</v>
      </c>
    </row>
    <row r="674" spans="1:9">
      <c r="A674" s="244" t="s">
        <v>1825</v>
      </c>
      <c r="B674" s="245"/>
      <c r="I674" t="s">
        <v>2812</v>
      </c>
    </row>
    <row r="675" spans="1:9">
      <c r="A675" s="245" t="s">
        <v>2813</v>
      </c>
      <c r="B675" s="245"/>
      <c r="I675" t="s">
        <v>2814</v>
      </c>
    </row>
    <row r="676" spans="1:9">
      <c r="A676" s="244" t="s">
        <v>1829</v>
      </c>
      <c r="B676" s="245"/>
      <c r="I676" t="s">
        <v>2815</v>
      </c>
    </row>
    <row r="677" spans="1:9">
      <c r="A677" s="245" t="s">
        <v>2816</v>
      </c>
      <c r="B677" s="245"/>
      <c r="I677" t="s">
        <v>2817</v>
      </c>
    </row>
    <row r="678" spans="1:9">
      <c r="A678" s="242" t="s">
        <v>1895</v>
      </c>
      <c r="B678" s="245"/>
      <c r="I678" t="s">
        <v>2818</v>
      </c>
    </row>
    <row r="679" spans="1:9">
      <c r="A679" s="241" t="s">
        <v>1838</v>
      </c>
      <c r="B679" s="245"/>
      <c r="I679" t="s">
        <v>2819</v>
      </c>
    </row>
    <row r="680" spans="1:9">
      <c r="A680" s="244" t="s">
        <v>1843</v>
      </c>
      <c r="B680" s="245"/>
      <c r="I680" t="s">
        <v>2820</v>
      </c>
    </row>
    <row r="681" spans="1:9">
      <c r="A681" s="245" t="s">
        <v>2821</v>
      </c>
      <c r="B681" s="245"/>
      <c r="I681" t="s">
        <v>2822</v>
      </c>
    </row>
    <row r="682" spans="1:9">
      <c r="A682" s="244" t="s">
        <v>1847</v>
      </c>
      <c r="B682" s="245"/>
      <c r="I682" t="s">
        <v>2823</v>
      </c>
    </row>
    <row r="683" spans="1:9">
      <c r="A683" s="245" t="s">
        <v>2824</v>
      </c>
      <c r="B683" s="245"/>
      <c r="I683" t="s">
        <v>2825</v>
      </c>
    </row>
    <row r="684" spans="1:9">
      <c r="A684" s="244" t="s">
        <v>1851</v>
      </c>
      <c r="B684" s="245"/>
      <c r="I684" t="s">
        <v>2826</v>
      </c>
    </row>
    <row r="685" spans="1:9">
      <c r="A685" s="245" t="s">
        <v>2827</v>
      </c>
      <c r="B685" s="245"/>
      <c r="I685" t="s">
        <v>2828</v>
      </c>
    </row>
    <row r="686" spans="1:9">
      <c r="A686" s="244" t="s">
        <v>1856</v>
      </c>
      <c r="B686" s="245"/>
      <c r="I686" t="s">
        <v>2829</v>
      </c>
    </row>
    <row r="687" spans="1:9">
      <c r="A687" s="245" t="s">
        <v>2830</v>
      </c>
      <c r="B687" s="245"/>
      <c r="I687" t="s">
        <v>2831</v>
      </c>
    </row>
    <row r="688" spans="1:9">
      <c r="A688" s="244" t="s">
        <v>1861</v>
      </c>
      <c r="B688" s="245"/>
      <c r="I688" t="s">
        <v>2832</v>
      </c>
    </row>
    <row r="689" spans="1:9">
      <c r="A689" s="245" t="s">
        <v>2833</v>
      </c>
      <c r="B689" s="245"/>
      <c r="I689" t="s">
        <v>2834</v>
      </c>
    </row>
    <row r="690" spans="1:9">
      <c r="A690" s="241" t="s">
        <v>1865</v>
      </c>
      <c r="B690" s="245"/>
      <c r="I690" t="s">
        <v>2835</v>
      </c>
    </row>
    <row r="691" spans="1:9">
      <c r="A691" s="244" t="s">
        <v>1870</v>
      </c>
      <c r="B691" s="245"/>
      <c r="I691" t="s">
        <v>2836</v>
      </c>
    </row>
    <row r="692" spans="1:9">
      <c r="A692" s="245" t="s">
        <v>2837</v>
      </c>
      <c r="B692" s="245"/>
      <c r="I692" t="s">
        <v>2838</v>
      </c>
    </row>
    <row r="693" spans="1:9">
      <c r="A693" s="245" t="s">
        <v>2839</v>
      </c>
      <c r="B693" s="245"/>
      <c r="I693" t="s">
        <v>2840</v>
      </c>
    </row>
    <row r="694" spans="1:9">
      <c r="A694" s="244" t="s">
        <v>1875</v>
      </c>
      <c r="B694" s="245"/>
      <c r="I694" t="s">
        <v>2841</v>
      </c>
    </row>
    <row r="695" spans="1:9">
      <c r="A695" s="245" t="s">
        <v>1880</v>
      </c>
      <c r="B695" s="245"/>
      <c r="I695" t="s">
        <v>2842</v>
      </c>
    </row>
    <row r="696" spans="1:9">
      <c r="A696" s="245" t="s">
        <v>2843</v>
      </c>
      <c r="B696" s="245"/>
      <c r="I696" t="s">
        <v>2844</v>
      </c>
    </row>
    <row r="697" spans="1:9">
      <c r="A697" s="244" t="s">
        <v>1885</v>
      </c>
      <c r="B697" s="245"/>
      <c r="I697" t="s">
        <v>2845</v>
      </c>
    </row>
    <row r="698" spans="1:9">
      <c r="A698" s="245" t="s">
        <v>2846</v>
      </c>
      <c r="B698" s="245"/>
      <c r="I698" t="s">
        <v>2847</v>
      </c>
    </row>
    <row r="699" spans="1:9">
      <c r="A699" s="244" t="s">
        <v>1890</v>
      </c>
      <c r="B699" s="245"/>
      <c r="I699" t="s">
        <v>2848</v>
      </c>
    </row>
    <row r="700" spans="1:9">
      <c r="A700" s="245" t="s">
        <v>2849</v>
      </c>
      <c r="B700" s="245"/>
      <c r="I700" t="s">
        <v>2850</v>
      </c>
    </row>
    <row r="701" spans="1:9">
      <c r="A701" s="242" t="s">
        <v>1946</v>
      </c>
      <c r="B701" s="245"/>
      <c r="I701" t="s">
        <v>2851</v>
      </c>
    </row>
    <row r="702" spans="1:9">
      <c r="A702" s="241" t="s">
        <v>1899</v>
      </c>
      <c r="B702" s="245"/>
      <c r="I702" t="s">
        <v>2852</v>
      </c>
    </row>
    <row r="703" spans="1:9">
      <c r="A703" s="244" t="s">
        <v>1903</v>
      </c>
      <c r="B703" s="245"/>
      <c r="I703" t="s">
        <v>2853</v>
      </c>
    </row>
    <row r="704" spans="1:9">
      <c r="A704" s="245" t="s">
        <v>2854</v>
      </c>
      <c r="B704" s="245"/>
      <c r="I704" t="s">
        <v>2855</v>
      </c>
    </row>
    <row r="705" spans="1:9">
      <c r="A705" s="245" t="s">
        <v>2856</v>
      </c>
      <c r="B705" s="245"/>
      <c r="I705" t="s">
        <v>2857</v>
      </c>
    </row>
    <row r="706" spans="1:9">
      <c r="A706" s="245" t="s">
        <v>2858</v>
      </c>
      <c r="B706" s="245"/>
      <c r="I706" t="s">
        <v>2859</v>
      </c>
    </row>
    <row r="707" spans="1:9">
      <c r="A707" s="245" t="s">
        <v>2860</v>
      </c>
      <c r="B707" s="245"/>
      <c r="I707" t="s">
        <v>2861</v>
      </c>
    </row>
    <row r="708" spans="1:9">
      <c r="A708" s="244" t="s">
        <v>1908</v>
      </c>
      <c r="B708" s="245"/>
      <c r="I708" t="s">
        <v>2862</v>
      </c>
    </row>
    <row r="709" spans="1:9">
      <c r="A709" s="245" t="s">
        <v>2863</v>
      </c>
      <c r="B709" s="245"/>
      <c r="I709" t="s">
        <v>2864</v>
      </c>
    </row>
    <row r="710" spans="1:9">
      <c r="A710" s="245" t="s">
        <v>2865</v>
      </c>
      <c r="B710" s="245"/>
      <c r="I710" t="s">
        <v>2866</v>
      </c>
    </row>
    <row r="711" spans="1:9">
      <c r="A711" s="241" t="s">
        <v>1913</v>
      </c>
      <c r="B711" s="245"/>
      <c r="I711" t="s">
        <v>2867</v>
      </c>
    </row>
    <row r="712" spans="1:9">
      <c r="A712" s="244" t="s">
        <v>1918</v>
      </c>
      <c r="B712" s="245"/>
      <c r="I712" t="s">
        <v>2868</v>
      </c>
    </row>
    <row r="713" spans="1:9">
      <c r="A713" s="245" t="s">
        <v>2869</v>
      </c>
      <c r="B713" s="245"/>
      <c r="I713" t="s">
        <v>2870</v>
      </c>
    </row>
    <row r="714" spans="1:9">
      <c r="A714" s="245" t="s">
        <v>2871</v>
      </c>
      <c r="B714" s="245"/>
      <c r="I714" t="s">
        <v>2872</v>
      </c>
    </row>
    <row r="715" spans="1:9">
      <c r="A715" s="245" t="s">
        <v>2873</v>
      </c>
      <c r="B715" s="245"/>
      <c r="I715" t="s">
        <v>2874</v>
      </c>
    </row>
    <row r="716" spans="1:9">
      <c r="A716" s="245" t="s">
        <v>2875</v>
      </c>
      <c r="B716" s="245"/>
      <c r="I716" t="s">
        <v>2876</v>
      </c>
    </row>
    <row r="717" spans="1:9">
      <c r="A717" s="244" t="s">
        <v>1923</v>
      </c>
      <c r="B717" s="245"/>
      <c r="I717" t="s">
        <v>2877</v>
      </c>
    </row>
    <row r="718" spans="1:9">
      <c r="A718" s="245" t="s">
        <v>2878</v>
      </c>
      <c r="B718" s="245"/>
      <c r="I718" t="s">
        <v>2879</v>
      </c>
    </row>
    <row r="719" spans="1:9">
      <c r="A719" s="241" t="s">
        <v>1928</v>
      </c>
      <c r="B719" s="245"/>
      <c r="I719" t="s">
        <v>2880</v>
      </c>
    </row>
    <row r="720" spans="1:9">
      <c r="A720" s="244" t="s">
        <v>1932</v>
      </c>
      <c r="B720" s="245"/>
      <c r="I720" t="s">
        <v>2881</v>
      </c>
    </row>
    <row r="721" spans="1:9">
      <c r="A721" s="245" t="s">
        <v>2882</v>
      </c>
      <c r="B721" s="245"/>
      <c r="I721" t="s">
        <v>2883</v>
      </c>
    </row>
    <row r="722" spans="1:9">
      <c r="A722" s="244" t="s">
        <v>1937</v>
      </c>
      <c r="B722" s="245"/>
      <c r="I722" t="s">
        <v>2884</v>
      </c>
    </row>
    <row r="723" spans="1:9">
      <c r="A723" s="245" t="s">
        <v>2885</v>
      </c>
      <c r="B723" s="245"/>
      <c r="I723" s="71" t="s">
        <v>2886</v>
      </c>
    </row>
    <row r="724" spans="1:9">
      <c r="A724" s="244" t="s">
        <v>1941</v>
      </c>
      <c r="B724" s="245"/>
      <c r="I724" s="71" t="s">
        <v>2887</v>
      </c>
    </row>
    <row r="725" spans="1:9">
      <c r="A725" s="245" t="s">
        <v>2888</v>
      </c>
      <c r="B725" s="245"/>
      <c r="I725" s="71" t="s">
        <v>2889</v>
      </c>
    </row>
    <row r="726" spans="1:9">
      <c r="A726" s="245" t="s">
        <v>2890</v>
      </c>
      <c r="B726" s="245"/>
      <c r="I726" s="71" t="s">
        <v>2891</v>
      </c>
    </row>
    <row r="727" spans="1:9">
      <c r="A727" s="242" t="s">
        <v>1991</v>
      </c>
      <c r="B727" s="245"/>
      <c r="I727" s="71" t="s">
        <v>2892</v>
      </c>
    </row>
    <row r="728" spans="1:9">
      <c r="A728" s="241" t="s">
        <v>1951</v>
      </c>
      <c r="B728" s="245"/>
      <c r="I728" s="71" t="s">
        <v>2893</v>
      </c>
    </row>
    <row r="729" spans="1:9">
      <c r="A729" s="244" t="s">
        <v>1955</v>
      </c>
      <c r="B729" s="245"/>
      <c r="I729" s="71" t="s">
        <v>2894</v>
      </c>
    </row>
    <row r="730" spans="1:9">
      <c r="A730" s="245" t="s">
        <v>2895</v>
      </c>
      <c r="B730" s="245"/>
      <c r="I730" s="71" t="s">
        <v>2896</v>
      </c>
    </row>
    <row r="731" spans="1:9">
      <c r="A731" s="244" t="s">
        <v>1960</v>
      </c>
      <c r="B731" s="245"/>
      <c r="I731" s="71" t="s">
        <v>2897</v>
      </c>
    </row>
    <row r="732" spans="1:9">
      <c r="A732" s="245" t="s">
        <v>2898</v>
      </c>
      <c r="B732" s="245"/>
      <c r="I732" s="71" t="s">
        <v>2899</v>
      </c>
    </row>
    <row r="733" spans="1:9">
      <c r="A733" s="244" t="s">
        <v>1965</v>
      </c>
      <c r="B733" s="245"/>
      <c r="I733" s="71" t="s">
        <v>2900</v>
      </c>
    </row>
    <row r="734" spans="1:9">
      <c r="A734" s="245" t="s">
        <v>2901</v>
      </c>
      <c r="B734" s="245"/>
      <c r="I734" s="71" t="s">
        <v>2902</v>
      </c>
    </row>
    <row r="735" spans="1:9">
      <c r="A735" s="241" t="s">
        <v>1970</v>
      </c>
      <c r="B735" s="245"/>
      <c r="I735" s="71" t="s">
        <v>2903</v>
      </c>
    </row>
    <row r="736" spans="1:9">
      <c r="A736" s="244" t="s">
        <v>1975</v>
      </c>
      <c r="B736" s="245"/>
      <c r="I736" s="71" t="s">
        <v>2904</v>
      </c>
    </row>
    <row r="737" spans="1:9">
      <c r="A737" s="245" t="s">
        <v>2905</v>
      </c>
      <c r="B737" s="245"/>
      <c r="I737" s="71" t="s">
        <v>2906</v>
      </c>
    </row>
    <row r="738" spans="1:9">
      <c r="A738" s="244" t="s">
        <v>1978</v>
      </c>
      <c r="B738" s="245"/>
      <c r="I738" s="71" t="s">
        <v>2907</v>
      </c>
    </row>
    <row r="739" spans="1:9">
      <c r="A739" s="245" t="s">
        <v>2908</v>
      </c>
      <c r="B739" s="245"/>
      <c r="I739" s="71" t="s">
        <v>2909</v>
      </c>
    </row>
    <row r="740" spans="1:9">
      <c r="A740" s="244" t="s">
        <v>1980</v>
      </c>
      <c r="B740" s="245"/>
      <c r="I740" s="71" t="s">
        <v>2910</v>
      </c>
    </row>
    <row r="741" spans="1:9">
      <c r="A741" s="245" t="s">
        <v>2911</v>
      </c>
      <c r="B741" s="245"/>
      <c r="I741" s="71" t="s">
        <v>2912</v>
      </c>
    </row>
    <row r="742" spans="1:9">
      <c r="A742" s="241" t="s">
        <v>1983</v>
      </c>
      <c r="B742" s="245"/>
      <c r="I742" s="71" t="s">
        <v>2913</v>
      </c>
    </row>
    <row r="743" spans="1:9">
      <c r="A743" s="244" t="s">
        <v>1986</v>
      </c>
      <c r="B743" s="245"/>
      <c r="I743" s="71" t="s">
        <v>2914</v>
      </c>
    </row>
    <row r="744" spans="1:9">
      <c r="A744" s="245" t="s">
        <v>2915</v>
      </c>
      <c r="B744" s="245"/>
      <c r="I744" s="71" t="s">
        <v>2916</v>
      </c>
    </row>
    <row r="745" spans="1:9">
      <c r="A745" s="244" t="s">
        <v>1988</v>
      </c>
      <c r="B745" s="245"/>
      <c r="I745" s="71" t="s">
        <v>2917</v>
      </c>
    </row>
    <row r="746" spans="1:9">
      <c r="A746" s="245" t="s">
        <v>2918</v>
      </c>
      <c r="B746" s="245"/>
      <c r="I746" s="71" t="s">
        <v>2919</v>
      </c>
    </row>
    <row r="747" spans="1:9">
      <c r="A747" s="245" t="s">
        <v>2920</v>
      </c>
      <c r="B747" s="245"/>
      <c r="I747" s="71" t="s">
        <v>2921</v>
      </c>
    </row>
    <row r="748" spans="1:9">
      <c r="A748" s="242" t="s">
        <v>2028</v>
      </c>
      <c r="B748" s="245"/>
      <c r="I748" s="71" t="s">
        <v>2922</v>
      </c>
    </row>
    <row r="749" spans="1:9">
      <c r="A749" s="241" t="s">
        <v>1994</v>
      </c>
      <c r="B749" s="245"/>
      <c r="I749" s="71" t="s">
        <v>2923</v>
      </c>
    </row>
    <row r="750" spans="1:9">
      <c r="A750" s="244" t="s">
        <v>1997</v>
      </c>
      <c r="B750" s="245"/>
      <c r="I750" s="71" t="s">
        <v>2924</v>
      </c>
    </row>
    <row r="751" spans="1:9">
      <c r="A751" s="245" t="s">
        <v>2925</v>
      </c>
      <c r="B751" s="245"/>
      <c r="I751" t="s">
        <v>2926</v>
      </c>
    </row>
    <row r="752" spans="1:9">
      <c r="A752" s="245" t="s">
        <v>2927</v>
      </c>
      <c r="B752" s="245"/>
      <c r="I752" t="s">
        <v>2928</v>
      </c>
    </row>
    <row r="753" spans="1:9">
      <c r="A753" s="244" t="s">
        <v>2000</v>
      </c>
      <c r="B753" s="245"/>
      <c r="I753" t="s">
        <v>2929</v>
      </c>
    </row>
    <row r="754" spans="1:9">
      <c r="A754" s="245" t="s">
        <v>2930</v>
      </c>
      <c r="B754" s="245"/>
      <c r="I754" t="s">
        <v>2931</v>
      </c>
    </row>
    <row r="755" spans="1:9">
      <c r="A755" s="245" t="s">
        <v>2932</v>
      </c>
      <c r="B755" s="245"/>
      <c r="I755" t="s">
        <v>2933</v>
      </c>
    </row>
    <row r="756" spans="1:9">
      <c r="A756" s="244" t="s">
        <v>2003</v>
      </c>
      <c r="B756" s="245"/>
      <c r="I756" t="s">
        <v>2934</v>
      </c>
    </row>
    <row r="757" spans="1:9">
      <c r="A757" s="245" t="s">
        <v>2935</v>
      </c>
      <c r="B757" s="245"/>
      <c r="I757" t="s">
        <v>2936</v>
      </c>
    </row>
    <row r="758" spans="1:9">
      <c r="A758" s="245" t="s">
        <v>2937</v>
      </c>
      <c r="B758" s="245"/>
      <c r="I758" t="s">
        <v>2938</v>
      </c>
    </row>
    <row r="759" spans="1:9">
      <c r="A759" s="244" t="s">
        <v>2006</v>
      </c>
      <c r="B759" s="245"/>
      <c r="I759" t="s">
        <v>2939</v>
      </c>
    </row>
    <row r="760" spans="1:9">
      <c r="A760" s="245" t="s">
        <v>2940</v>
      </c>
      <c r="B760" s="245"/>
      <c r="I760" t="s">
        <v>2941</v>
      </c>
    </row>
    <row r="761" spans="1:9">
      <c r="A761" s="245" t="s">
        <v>2942</v>
      </c>
      <c r="B761" s="245"/>
      <c r="I761" t="s">
        <v>2943</v>
      </c>
    </row>
    <row r="762" spans="1:9">
      <c r="A762" s="245" t="s">
        <v>2944</v>
      </c>
      <c r="B762" s="245"/>
      <c r="I762" t="s">
        <v>2945</v>
      </c>
    </row>
    <row r="763" spans="1:9">
      <c r="A763" s="241" t="s">
        <v>2008</v>
      </c>
      <c r="B763" s="245"/>
      <c r="I763" t="s">
        <v>2946</v>
      </c>
    </row>
    <row r="764" spans="1:9">
      <c r="A764" s="244" t="s">
        <v>2011</v>
      </c>
      <c r="B764" s="245"/>
      <c r="I764" t="s">
        <v>2947</v>
      </c>
    </row>
    <row r="765" spans="1:9">
      <c r="A765" s="245" t="s">
        <v>2948</v>
      </c>
      <c r="B765" s="245"/>
      <c r="I765" t="s">
        <v>2949</v>
      </c>
    </row>
    <row r="766" spans="1:9">
      <c r="A766" s="245" t="s">
        <v>2950</v>
      </c>
      <c r="B766" s="245"/>
      <c r="I766" t="s">
        <v>2951</v>
      </c>
    </row>
    <row r="767" spans="1:9">
      <c r="A767" s="244" t="s">
        <v>2013</v>
      </c>
      <c r="B767" s="245"/>
      <c r="I767" t="s">
        <v>2952</v>
      </c>
    </row>
    <row r="768" spans="1:9">
      <c r="A768" s="245" t="s">
        <v>2953</v>
      </c>
      <c r="B768" s="245"/>
      <c r="I768" t="s">
        <v>2954</v>
      </c>
    </row>
    <row r="769" spans="1:9">
      <c r="A769" s="244" t="s">
        <v>2016</v>
      </c>
      <c r="B769" s="245"/>
      <c r="I769" t="s">
        <v>2955</v>
      </c>
    </row>
    <row r="770" spans="1:9">
      <c r="A770" s="245" t="s">
        <v>2956</v>
      </c>
      <c r="B770" s="245"/>
      <c r="I770" t="s">
        <v>2957</v>
      </c>
    </row>
    <row r="771" spans="1:9">
      <c r="A771" s="241" t="s">
        <v>2019</v>
      </c>
      <c r="B771" s="245"/>
      <c r="I771" t="s">
        <v>2958</v>
      </c>
    </row>
    <row r="772" spans="1:9">
      <c r="A772" s="244" t="s">
        <v>2021</v>
      </c>
      <c r="B772" s="245"/>
      <c r="I772" t="s">
        <v>2959</v>
      </c>
    </row>
    <row r="773" spans="1:9">
      <c r="A773" s="245" t="s">
        <v>2960</v>
      </c>
      <c r="B773" s="245"/>
      <c r="I773" t="s">
        <v>2961</v>
      </c>
    </row>
    <row r="774" spans="1:9">
      <c r="A774" s="245" t="s">
        <v>2962</v>
      </c>
      <c r="B774" s="245"/>
      <c r="I774" t="s">
        <v>2963</v>
      </c>
    </row>
    <row r="775" spans="1:9">
      <c r="A775" s="245" t="s">
        <v>2964</v>
      </c>
      <c r="B775" s="245"/>
      <c r="I775" t="s">
        <v>2965</v>
      </c>
    </row>
    <row r="776" spans="1:9">
      <c r="A776" s="244" t="s">
        <v>2023</v>
      </c>
      <c r="B776" s="245"/>
      <c r="I776" t="s">
        <v>2966</v>
      </c>
    </row>
    <row r="777" spans="1:9">
      <c r="A777" s="245" t="s">
        <v>2967</v>
      </c>
      <c r="B777" s="245"/>
      <c r="I777" t="s">
        <v>2968</v>
      </c>
    </row>
    <row r="778" spans="1:9">
      <c r="A778" s="245" t="s">
        <v>2969</v>
      </c>
      <c r="B778" s="245"/>
      <c r="I778" t="s">
        <v>2970</v>
      </c>
    </row>
    <row r="779" spans="1:9">
      <c r="A779" s="245" t="s">
        <v>2971</v>
      </c>
      <c r="B779" s="245"/>
      <c r="I779" t="s">
        <v>2972</v>
      </c>
    </row>
    <row r="780" spans="1:9">
      <c r="A780" s="244" t="s">
        <v>2026</v>
      </c>
      <c r="B780" s="245"/>
      <c r="I780" t="s">
        <v>2973</v>
      </c>
    </row>
    <row r="781" spans="1:9">
      <c r="A781" s="245" t="s">
        <v>2974</v>
      </c>
      <c r="B781" s="245"/>
      <c r="I781" t="s">
        <v>2975</v>
      </c>
    </row>
    <row r="782" spans="1:9">
      <c r="A782" s="242" t="s">
        <v>2042</v>
      </c>
      <c r="B782" s="245"/>
      <c r="I782" t="s">
        <v>2976</v>
      </c>
    </row>
    <row r="783" spans="1:9">
      <c r="A783" s="241" t="s">
        <v>2031</v>
      </c>
      <c r="B783" s="245"/>
      <c r="I783" t="s">
        <v>2977</v>
      </c>
    </row>
    <row r="784" spans="1:9">
      <c r="A784" s="244" t="s">
        <v>2033</v>
      </c>
      <c r="B784" s="245"/>
      <c r="I784" t="s">
        <v>2978</v>
      </c>
    </row>
    <row r="785" spans="1:9">
      <c r="A785" s="245" t="s">
        <v>2979</v>
      </c>
      <c r="B785" s="245"/>
      <c r="I785" t="s">
        <v>2980</v>
      </c>
    </row>
    <row r="786" spans="1:9">
      <c r="A786" s="245" t="s">
        <v>2981</v>
      </c>
      <c r="B786" s="245"/>
      <c r="I786" t="s">
        <v>2982</v>
      </c>
    </row>
    <row r="787" spans="1:9">
      <c r="A787" s="244" t="s">
        <v>2036</v>
      </c>
      <c r="B787" s="245"/>
      <c r="I787" t="s">
        <v>2983</v>
      </c>
    </row>
    <row r="788" spans="1:9">
      <c r="A788" s="245" t="s">
        <v>2984</v>
      </c>
      <c r="B788" s="245"/>
      <c r="I788" t="s">
        <v>2985</v>
      </c>
    </row>
    <row r="789" spans="1:9">
      <c r="A789" s="244" t="s">
        <v>2039</v>
      </c>
      <c r="B789" s="245"/>
      <c r="I789" t="s">
        <v>2986</v>
      </c>
    </row>
    <row r="790" spans="1:9">
      <c r="A790" s="245" t="s">
        <v>2987</v>
      </c>
      <c r="B790" s="245"/>
      <c r="I790" t="s">
        <v>2988</v>
      </c>
    </row>
    <row r="791" spans="1:9">
      <c r="A791" s="245" t="s">
        <v>2989</v>
      </c>
      <c r="B791" s="245"/>
      <c r="I791" t="s">
        <v>2990</v>
      </c>
    </row>
    <row r="792" spans="1:9">
      <c r="A792" s="242" t="s">
        <v>2107</v>
      </c>
      <c r="B792" s="245"/>
      <c r="I792" t="s">
        <v>2991</v>
      </c>
    </row>
    <row r="793" spans="1:9">
      <c r="A793" s="241" t="s">
        <v>2045</v>
      </c>
      <c r="B793" s="245"/>
      <c r="I793" t="s">
        <v>2992</v>
      </c>
    </row>
    <row r="794" spans="1:9">
      <c r="A794" s="244" t="s">
        <v>2047</v>
      </c>
      <c r="B794" s="245"/>
      <c r="I794" t="s">
        <v>2993</v>
      </c>
    </row>
    <row r="795" spans="1:9">
      <c r="A795" s="245" t="s">
        <v>2994</v>
      </c>
      <c r="B795" s="245"/>
      <c r="I795" t="s">
        <v>2995</v>
      </c>
    </row>
    <row r="796" spans="1:9">
      <c r="A796" s="244" t="s">
        <v>2050</v>
      </c>
      <c r="B796" s="245"/>
      <c r="I796" t="s">
        <v>2996</v>
      </c>
    </row>
    <row r="797" spans="1:9">
      <c r="A797" s="245" t="s">
        <v>2997</v>
      </c>
      <c r="B797" s="245"/>
      <c r="I797" t="s">
        <v>2998</v>
      </c>
    </row>
    <row r="798" spans="1:9">
      <c r="A798" s="241" t="s">
        <v>2053</v>
      </c>
      <c r="B798" s="245"/>
      <c r="I798" t="s">
        <v>2999</v>
      </c>
    </row>
    <row r="799" spans="1:9">
      <c r="A799" s="244" t="s">
        <v>2056</v>
      </c>
      <c r="B799" s="245"/>
      <c r="I799" t="s">
        <v>3000</v>
      </c>
    </row>
    <row r="800" spans="1:9">
      <c r="A800" s="245" t="s">
        <v>3001</v>
      </c>
      <c r="B800" s="245"/>
      <c r="I800" t="s">
        <v>3002</v>
      </c>
    </row>
    <row r="801" spans="1:9">
      <c r="A801" s="244" t="s">
        <v>2059</v>
      </c>
      <c r="B801" s="245"/>
      <c r="I801" t="s">
        <v>3003</v>
      </c>
    </row>
    <row r="802" spans="1:9">
      <c r="A802" s="245" t="s">
        <v>3004</v>
      </c>
      <c r="B802" s="245"/>
      <c r="I802" t="s">
        <v>3005</v>
      </c>
    </row>
    <row r="803" spans="1:9">
      <c r="A803" s="241" t="s">
        <v>2062</v>
      </c>
      <c r="B803" s="245"/>
      <c r="I803" t="s">
        <v>3006</v>
      </c>
    </row>
    <row r="804" spans="1:9">
      <c r="A804" s="244" t="s">
        <v>2065</v>
      </c>
      <c r="B804" s="245"/>
      <c r="I804" t="s">
        <v>3007</v>
      </c>
    </row>
    <row r="805" spans="1:9">
      <c r="A805" s="245" t="s">
        <v>3008</v>
      </c>
      <c r="B805" s="245"/>
      <c r="I805" t="s">
        <v>3009</v>
      </c>
    </row>
    <row r="806" spans="1:9">
      <c r="A806" s="245" t="s">
        <v>3010</v>
      </c>
      <c r="B806" s="245"/>
      <c r="I806" t="s">
        <v>3011</v>
      </c>
    </row>
    <row r="807" spans="1:9">
      <c r="A807" s="244" t="s">
        <v>2067</v>
      </c>
      <c r="B807" s="245"/>
      <c r="I807" t="s">
        <v>3012</v>
      </c>
    </row>
    <row r="808" spans="1:9">
      <c r="A808" s="245" t="s">
        <v>3013</v>
      </c>
      <c r="B808" s="245"/>
      <c r="I808" t="s">
        <v>3014</v>
      </c>
    </row>
    <row r="809" spans="1:9">
      <c r="A809" s="241" t="s">
        <v>2070</v>
      </c>
      <c r="B809" s="245"/>
      <c r="I809" t="s">
        <v>3015</v>
      </c>
    </row>
    <row r="810" spans="1:9">
      <c r="A810" s="244" t="s">
        <v>2073</v>
      </c>
      <c r="B810" s="245"/>
      <c r="I810" t="s">
        <v>3016</v>
      </c>
    </row>
    <row r="811" spans="1:9">
      <c r="A811" s="245" t="s">
        <v>3017</v>
      </c>
      <c r="B811" s="245"/>
      <c r="I811" t="s">
        <v>3018</v>
      </c>
    </row>
    <row r="812" spans="1:9">
      <c r="A812" s="244" t="s">
        <v>2076</v>
      </c>
      <c r="B812" s="245"/>
      <c r="I812" t="s">
        <v>3019</v>
      </c>
    </row>
    <row r="813" spans="1:9">
      <c r="A813" s="245" t="s">
        <v>3020</v>
      </c>
      <c r="B813" s="245"/>
      <c r="I813" t="s">
        <v>3021</v>
      </c>
    </row>
    <row r="814" spans="1:9">
      <c r="A814" s="241" t="s">
        <v>2079</v>
      </c>
      <c r="B814" s="245"/>
      <c r="I814" t="s">
        <v>3022</v>
      </c>
    </row>
    <row r="815" spans="1:9">
      <c r="A815" s="244" t="s">
        <v>2081</v>
      </c>
      <c r="B815" s="245"/>
      <c r="I815" t="s">
        <v>3023</v>
      </c>
    </row>
    <row r="816" spans="1:9">
      <c r="A816" s="245" t="s">
        <v>3024</v>
      </c>
      <c r="B816" s="245"/>
      <c r="I816" t="s">
        <v>3025</v>
      </c>
    </row>
    <row r="817" spans="1:9">
      <c r="A817" s="245" t="s">
        <v>3026</v>
      </c>
      <c r="B817" s="245"/>
      <c r="I817" t="s">
        <v>3027</v>
      </c>
    </row>
    <row r="818" spans="1:9">
      <c r="A818" s="244" t="s">
        <v>2083</v>
      </c>
      <c r="B818" s="245"/>
      <c r="I818" t="s">
        <v>3028</v>
      </c>
    </row>
    <row r="819" spans="1:9">
      <c r="A819" s="245" t="s">
        <v>3029</v>
      </c>
      <c r="B819" s="245"/>
      <c r="I819" t="s">
        <v>3030</v>
      </c>
    </row>
    <row r="820" spans="1:9">
      <c r="A820" s="244" t="s">
        <v>2086</v>
      </c>
      <c r="B820" s="245"/>
      <c r="I820" t="s">
        <v>3031</v>
      </c>
    </row>
    <row r="821" spans="1:9">
      <c r="A821" s="245" t="s">
        <v>3032</v>
      </c>
      <c r="B821" s="245"/>
      <c r="I821" t="s">
        <v>3033</v>
      </c>
    </row>
    <row r="822" spans="1:9">
      <c r="A822" s="241" t="s">
        <v>2089</v>
      </c>
      <c r="B822" s="245"/>
      <c r="I822" t="s">
        <v>3034</v>
      </c>
    </row>
    <row r="823" spans="1:9">
      <c r="A823" s="244" t="s">
        <v>2091</v>
      </c>
      <c r="B823" s="245"/>
      <c r="I823" t="s">
        <v>3035</v>
      </c>
    </row>
    <row r="824" spans="1:9">
      <c r="A824" s="245" t="s">
        <v>3036</v>
      </c>
      <c r="B824" s="245"/>
      <c r="I824" t="s">
        <v>3037</v>
      </c>
    </row>
    <row r="825" spans="1:9">
      <c r="A825" s="245" t="s">
        <v>3038</v>
      </c>
      <c r="B825" s="245"/>
      <c r="I825" t="s">
        <v>3039</v>
      </c>
    </row>
    <row r="826" spans="1:9">
      <c r="A826" s="245" t="s">
        <v>3040</v>
      </c>
      <c r="B826" s="245"/>
      <c r="I826" t="s">
        <v>3041</v>
      </c>
    </row>
    <row r="827" spans="1:9">
      <c r="A827" s="245" t="s">
        <v>3042</v>
      </c>
      <c r="B827" s="245"/>
      <c r="I827" t="s">
        <v>3043</v>
      </c>
    </row>
    <row r="828" spans="1:9">
      <c r="A828" s="244" t="s">
        <v>2094</v>
      </c>
      <c r="B828" s="245"/>
      <c r="I828" t="s">
        <v>3044</v>
      </c>
    </row>
    <row r="829" spans="1:9">
      <c r="A829" s="245" t="s">
        <v>3045</v>
      </c>
      <c r="B829" s="245"/>
      <c r="I829" t="s">
        <v>3046</v>
      </c>
    </row>
    <row r="830" spans="1:9">
      <c r="A830" s="244" t="s">
        <v>2097</v>
      </c>
      <c r="B830" s="245"/>
      <c r="I830" t="s">
        <v>3047</v>
      </c>
    </row>
    <row r="831" spans="1:9">
      <c r="A831" s="245" t="s">
        <v>3048</v>
      </c>
      <c r="B831" s="245"/>
      <c r="I831" t="s">
        <v>3049</v>
      </c>
    </row>
    <row r="832" spans="1:9">
      <c r="A832" s="244" t="s">
        <v>2099</v>
      </c>
      <c r="B832" s="245"/>
      <c r="I832" t="s">
        <v>3050</v>
      </c>
    </row>
    <row r="833" spans="1:9">
      <c r="A833" s="245" t="s">
        <v>3051</v>
      </c>
      <c r="B833" s="245"/>
      <c r="I833" t="s">
        <v>3052</v>
      </c>
    </row>
    <row r="834" spans="1:9">
      <c r="A834" s="245" t="s">
        <v>3053</v>
      </c>
      <c r="B834" s="245"/>
      <c r="I834" t="s">
        <v>3054</v>
      </c>
    </row>
    <row r="835" spans="1:9">
      <c r="A835" s="241" t="s">
        <v>2102</v>
      </c>
      <c r="B835" s="245"/>
      <c r="I835" t="s">
        <v>3055</v>
      </c>
    </row>
    <row r="836" spans="1:9">
      <c r="A836" s="244" t="s">
        <v>2104</v>
      </c>
      <c r="B836" s="245"/>
      <c r="I836" t="s">
        <v>3056</v>
      </c>
    </row>
    <row r="837" spans="1:9">
      <c r="A837" s="245" t="s">
        <v>3057</v>
      </c>
      <c r="B837" s="245"/>
      <c r="I837" t="s">
        <v>3058</v>
      </c>
    </row>
    <row r="838" spans="1:9">
      <c r="A838" s="242" t="s">
        <v>2173</v>
      </c>
      <c r="B838" s="245"/>
      <c r="I838" t="s">
        <v>3059</v>
      </c>
    </row>
    <row r="839" spans="1:9">
      <c r="A839" s="241" t="s">
        <v>2109</v>
      </c>
      <c r="B839" s="245"/>
      <c r="I839" t="s">
        <v>3060</v>
      </c>
    </row>
    <row r="840" spans="1:9">
      <c r="A840" s="244" t="s">
        <v>2112</v>
      </c>
      <c r="B840" s="245"/>
      <c r="I840" t="s">
        <v>3061</v>
      </c>
    </row>
    <row r="841" spans="1:9">
      <c r="A841" s="245" t="s">
        <v>3062</v>
      </c>
      <c r="B841" s="245"/>
      <c r="I841" t="s">
        <v>3063</v>
      </c>
    </row>
    <row r="842" spans="1:9">
      <c r="A842" s="245" t="s">
        <v>3064</v>
      </c>
      <c r="B842" s="245"/>
      <c r="I842" t="s">
        <v>3065</v>
      </c>
    </row>
    <row r="843" spans="1:9">
      <c r="A843" s="244" t="s">
        <v>2115</v>
      </c>
      <c r="B843" s="245"/>
      <c r="I843" t="s">
        <v>3066</v>
      </c>
    </row>
    <row r="844" spans="1:9">
      <c r="A844" s="245" t="s">
        <v>3067</v>
      </c>
      <c r="B844" s="245"/>
      <c r="I844" t="s">
        <v>3068</v>
      </c>
    </row>
    <row r="845" spans="1:9">
      <c r="A845" s="245" t="s">
        <v>3069</v>
      </c>
      <c r="B845" s="245"/>
      <c r="I845" t="s">
        <v>3070</v>
      </c>
    </row>
    <row r="846" spans="1:9">
      <c r="A846" s="244" t="s">
        <v>2118</v>
      </c>
      <c r="B846" s="245"/>
      <c r="I846" t="s">
        <v>3071</v>
      </c>
    </row>
    <row r="847" spans="1:9">
      <c r="A847" s="245" t="s">
        <v>3072</v>
      </c>
      <c r="B847" s="245"/>
      <c r="I847" t="s">
        <v>3073</v>
      </c>
    </row>
    <row r="848" spans="1:9">
      <c r="A848" s="245" t="s">
        <v>3074</v>
      </c>
      <c r="B848" s="245"/>
      <c r="I848" t="s">
        <v>3075</v>
      </c>
    </row>
    <row r="849" spans="1:9">
      <c r="A849" s="245" t="s">
        <v>3076</v>
      </c>
      <c r="B849" s="245"/>
      <c r="I849" t="s">
        <v>3077</v>
      </c>
    </row>
    <row r="850" spans="1:9">
      <c r="A850" s="245" t="s">
        <v>3078</v>
      </c>
      <c r="B850" s="245"/>
      <c r="I850" t="s">
        <v>3079</v>
      </c>
    </row>
    <row r="851" spans="1:9">
      <c r="A851" s="245" t="s">
        <v>3080</v>
      </c>
      <c r="B851" s="245"/>
      <c r="I851" t="s">
        <v>3081</v>
      </c>
    </row>
    <row r="852" spans="1:9">
      <c r="A852" s="245" t="s">
        <v>3082</v>
      </c>
      <c r="B852" s="245"/>
      <c r="I852" t="s">
        <v>3083</v>
      </c>
    </row>
    <row r="853" spans="1:9">
      <c r="A853" s="244" t="s">
        <v>2120</v>
      </c>
      <c r="B853" s="245"/>
      <c r="I853" t="s">
        <v>3084</v>
      </c>
    </row>
    <row r="854" spans="1:9">
      <c r="A854" s="245" t="s">
        <v>3085</v>
      </c>
      <c r="B854" s="245"/>
      <c r="I854" t="s">
        <v>3086</v>
      </c>
    </row>
    <row r="855" spans="1:9">
      <c r="A855" s="244" t="s">
        <v>2123</v>
      </c>
      <c r="B855" s="245"/>
      <c r="I855" t="s">
        <v>3087</v>
      </c>
    </row>
    <row r="856" spans="1:9">
      <c r="A856" s="245" t="s">
        <v>3088</v>
      </c>
      <c r="B856" s="245"/>
      <c r="I856" t="s">
        <v>3089</v>
      </c>
    </row>
    <row r="857" spans="1:9">
      <c r="A857" s="245" t="s">
        <v>3090</v>
      </c>
      <c r="B857" s="245"/>
      <c r="I857" t="s">
        <v>3091</v>
      </c>
    </row>
    <row r="858" spans="1:9">
      <c r="A858" s="241" t="s">
        <v>2126</v>
      </c>
      <c r="B858" s="245"/>
      <c r="I858" t="s">
        <v>3092</v>
      </c>
    </row>
    <row r="859" spans="1:9">
      <c r="A859" s="244" t="s">
        <v>2129</v>
      </c>
      <c r="B859" s="245"/>
      <c r="I859" t="s">
        <v>3093</v>
      </c>
    </row>
    <row r="860" spans="1:9">
      <c r="A860" s="245" t="s">
        <v>3094</v>
      </c>
      <c r="B860" s="245"/>
      <c r="I860" t="s">
        <v>3095</v>
      </c>
    </row>
    <row r="861" spans="1:9">
      <c r="A861" s="244" t="s">
        <v>2131</v>
      </c>
      <c r="B861" s="245"/>
      <c r="I861" t="s">
        <v>3096</v>
      </c>
    </row>
    <row r="862" spans="1:9">
      <c r="A862" s="245" t="s">
        <v>3097</v>
      </c>
      <c r="B862" s="245"/>
      <c r="I862" t="s">
        <v>3098</v>
      </c>
    </row>
    <row r="863" spans="1:9">
      <c r="A863" s="241" t="s">
        <v>2134</v>
      </c>
      <c r="B863" s="245"/>
      <c r="I863" t="s">
        <v>3099</v>
      </c>
    </row>
    <row r="864" spans="1:9">
      <c r="A864" s="244" t="s">
        <v>2137</v>
      </c>
      <c r="B864" s="245"/>
      <c r="I864" t="s">
        <v>3100</v>
      </c>
    </row>
    <row r="865" spans="1:9">
      <c r="A865" s="245" t="s">
        <v>3101</v>
      </c>
      <c r="B865" s="245"/>
      <c r="I865" t="s">
        <v>3102</v>
      </c>
    </row>
    <row r="866" spans="1:9">
      <c r="A866" s="245" t="s">
        <v>3103</v>
      </c>
      <c r="B866" s="245"/>
      <c r="I866" t="s">
        <v>3104</v>
      </c>
    </row>
    <row r="867" spans="1:9">
      <c r="A867" s="244" t="s">
        <v>2140</v>
      </c>
      <c r="B867" s="245"/>
      <c r="I867" t="s">
        <v>3105</v>
      </c>
    </row>
    <row r="868" spans="1:9">
      <c r="A868" s="245" t="s">
        <v>3106</v>
      </c>
      <c r="B868" s="245"/>
      <c r="I868" t="s">
        <v>3107</v>
      </c>
    </row>
    <row r="869" spans="1:9">
      <c r="A869" s="241" t="s">
        <v>2143</v>
      </c>
      <c r="B869" s="245"/>
      <c r="I869" t="s">
        <v>3108</v>
      </c>
    </row>
    <row r="870" spans="1:9">
      <c r="A870" s="244" t="s">
        <v>2146</v>
      </c>
      <c r="B870" s="245"/>
      <c r="I870" t="s">
        <v>3109</v>
      </c>
    </row>
    <row r="871" spans="1:9">
      <c r="A871" s="245" t="s">
        <v>3110</v>
      </c>
      <c r="B871" s="245"/>
      <c r="I871" t="s">
        <v>3111</v>
      </c>
    </row>
    <row r="872" spans="1:9">
      <c r="A872" s="245" t="s">
        <v>3112</v>
      </c>
      <c r="B872" s="245"/>
      <c r="I872" s="71" t="s">
        <v>3113</v>
      </c>
    </row>
    <row r="873" spans="1:9">
      <c r="A873" s="241" t="s">
        <v>2148</v>
      </c>
      <c r="B873" s="245"/>
      <c r="I873" s="71" t="s">
        <v>3114</v>
      </c>
    </row>
    <row r="874" spans="1:9">
      <c r="A874" s="244" t="s">
        <v>2150</v>
      </c>
      <c r="B874" s="245"/>
      <c r="I874" t="s">
        <v>3115</v>
      </c>
    </row>
    <row r="875" spans="1:9">
      <c r="A875" s="245" t="s">
        <v>3116</v>
      </c>
      <c r="B875" s="245"/>
      <c r="I875" t="s">
        <v>3117</v>
      </c>
    </row>
    <row r="876" spans="1:9">
      <c r="A876" s="244" t="s">
        <v>2153</v>
      </c>
      <c r="B876" s="245"/>
      <c r="I876" t="s">
        <v>3118</v>
      </c>
    </row>
    <row r="877" spans="1:9">
      <c r="A877" s="245" t="s">
        <v>3119</v>
      </c>
      <c r="B877" s="245"/>
      <c r="I877" t="s">
        <v>3120</v>
      </c>
    </row>
    <row r="878" spans="1:9">
      <c r="A878" s="245" t="s">
        <v>3121</v>
      </c>
      <c r="B878" s="245"/>
      <c r="I878" t="s">
        <v>3122</v>
      </c>
    </row>
    <row r="879" spans="1:9">
      <c r="A879" s="245" t="s">
        <v>3123</v>
      </c>
      <c r="B879" s="245"/>
      <c r="I879" t="s">
        <v>3124</v>
      </c>
    </row>
    <row r="880" spans="1:9">
      <c r="A880" s="244" t="s">
        <v>2156</v>
      </c>
      <c r="B880" s="245"/>
      <c r="I880" t="s">
        <v>3125</v>
      </c>
    </row>
    <row r="881" spans="1:9">
      <c r="A881" s="245" t="s">
        <v>3126</v>
      </c>
      <c r="B881" s="245"/>
      <c r="I881" t="s">
        <v>3127</v>
      </c>
    </row>
    <row r="882" spans="1:9">
      <c r="A882" s="241" t="s">
        <v>2158</v>
      </c>
      <c r="B882" s="245"/>
      <c r="I882" t="s">
        <v>3128</v>
      </c>
    </row>
    <row r="883" spans="1:9">
      <c r="A883" s="244" t="s">
        <v>2161</v>
      </c>
      <c r="B883" s="245"/>
      <c r="I883" t="s">
        <v>3129</v>
      </c>
    </row>
    <row r="884" spans="1:9">
      <c r="A884" s="245" t="s">
        <v>3130</v>
      </c>
      <c r="B884" s="245"/>
      <c r="I884" t="s">
        <v>3131</v>
      </c>
    </row>
    <row r="885" spans="1:9">
      <c r="A885" s="244" t="s">
        <v>2163</v>
      </c>
      <c r="B885" s="245"/>
      <c r="I885" t="s">
        <v>3132</v>
      </c>
    </row>
    <row r="886" spans="1:9">
      <c r="A886" s="245" t="s">
        <v>3133</v>
      </c>
      <c r="B886" s="245"/>
      <c r="I886" t="s">
        <v>3134</v>
      </c>
    </row>
    <row r="887" spans="1:9">
      <c r="A887" s="244" t="s">
        <v>2166</v>
      </c>
      <c r="B887" s="245"/>
      <c r="I887" t="s">
        <v>3135</v>
      </c>
    </row>
    <row r="888" spans="1:9">
      <c r="A888" s="245" t="s">
        <v>3136</v>
      </c>
      <c r="B888" s="245"/>
      <c r="I888" t="s">
        <v>3137</v>
      </c>
    </row>
    <row r="889" spans="1:9">
      <c r="A889" s="244" t="s">
        <v>2168</v>
      </c>
      <c r="B889" s="245"/>
      <c r="I889" t="s">
        <v>3138</v>
      </c>
    </row>
    <row r="890" spans="1:9">
      <c r="A890" s="245" t="s">
        <v>3139</v>
      </c>
      <c r="B890" s="245"/>
      <c r="I890" t="s">
        <v>3140</v>
      </c>
    </row>
    <row r="891" spans="1:9">
      <c r="A891" s="244" t="s">
        <v>2171</v>
      </c>
      <c r="B891" s="245"/>
      <c r="I891" t="s">
        <v>3141</v>
      </c>
    </row>
    <row r="892" spans="1:9">
      <c r="A892" s="245" t="s">
        <v>3142</v>
      </c>
      <c r="B892" s="245"/>
      <c r="I892" t="s">
        <v>3143</v>
      </c>
    </row>
    <row r="893" spans="1:9">
      <c r="A893" s="245" t="s">
        <v>3144</v>
      </c>
      <c r="B893" s="245"/>
      <c r="I893" t="s">
        <v>3145</v>
      </c>
    </row>
    <row r="894" spans="1:9">
      <c r="A894" s="245" t="s">
        <v>3146</v>
      </c>
      <c r="B894" s="245"/>
      <c r="I894" t="s">
        <v>3147</v>
      </c>
    </row>
    <row r="895" spans="1:9">
      <c r="A895" s="242" t="s">
        <v>2186</v>
      </c>
      <c r="B895" s="245"/>
      <c r="I895" t="s">
        <v>3148</v>
      </c>
    </row>
    <row r="896" spans="1:9">
      <c r="A896" s="241" t="s">
        <v>2176</v>
      </c>
      <c r="B896" s="245"/>
      <c r="I896" t="s">
        <v>3149</v>
      </c>
    </row>
    <row r="897" spans="1:9">
      <c r="A897" s="244" t="s">
        <v>2179</v>
      </c>
      <c r="B897" s="245"/>
      <c r="I897" t="s">
        <v>3150</v>
      </c>
    </row>
    <row r="898" spans="1:9">
      <c r="A898" s="245" t="s">
        <v>3151</v>
      </c>
      <c r="B898" s="245"/>
      <c r="I898" t="s">
        <v>3152</v>
      </c>
    </row>
    <row r="899" spans="1:9">
      <c r="A899" s="245" t="s">
        <v>3153</v>
      </c>
      <c r="B899" s="245"/>
      <c r="I899" t="s">
        <v>3154</v>
      </c>
    </row>
    <row r="900" spans="1:9">
      <c r="A900" s="245" t="s">
        <v>3155</v>
      </c>
      <c r="B900" s="245"/>
      <c r="I900" t="s">
        <v>3156</v>
      </c>
    </row>
    <row r="901" spans="1:9">
      <c r="A901" s="244" t="s">
        <v>2181</v>
      </c>
      <c r="B901" s="245"/>
      <c r="I901" t="s">
        <v>3157</v>
      </c>
    </row>
    <row r="902" spans="1:9">
      <c r="A902" s="245" t="s">
        <v>3158</v>
      </c>
      <c r="B902" s="245"/>
      <c r="I902" t="s">
        <v>3159</v>
      </c>
    </row>
    <row r="903" spans="1:9">
      <c r="A903" s="245" t="s">
        <v>3160</v>
      </c>
      <c r="B903" s="245"/>
      <c r="I903" t="s">
        <v>3161</v>
      </c>
    </row>
    <row r="904" spans="1:9">
      <c r="A904" s="245" t="s">
        <v>3162</v>
      </c>
      <c r="B904" s="245"/>
      <c r="I904" t="s">
        <v>3163</v>
      </c>
    </row>
    <row r="905" spans="1:9">
      <c r="A905" s="245" t="s">
        <v>3164</v>
      </c>
      <c r="B905" s="245"/>
      <c r="I905" t="s">
        <v>3165</v>
      </c>
    </row>
    <row r="906" spans="1:9">
      <c r="A906" s="245" t="s">
        <v>3166</v>
      </c>
      <c r="B906" s="245"/>
      <c r="I906" t="s">
        <v>3167</v>
      </c>
    </row>
    <row r="907" spans="1:9">
      <c r="A907" s="244" t="s">
        <v>2184</v>
      </c>
      <c r="B907" s="245"/>
      <c r="I907" t="s">
        <v>3168</v>
      </c>
    </row>
    <row r="908" spans="1:9">
      <c r="A908" s="245" t="s">
        <v>3169</v>
      </c>
      <c r="B908" s="245"/>
      <c r="I908" t="s">
        <v>3170</v>
      </c>
    </row>
    <row r="909" spans="1:9">
      <c r="A909" s="242" t="s">
        <v>2206</v>
      </c>
      <c r="B909" s="245"/>
      <c r="I909" t="s">
        <v>3171</v>
      </c>
    </row>
    <row r="910" spans="1:9">
      <c r="A910" s="241" t="s">
        <v>2189</v>
      </c>
      <c r="B910" s="245"/>
      <c r="I910" t="s">
        <v>3172</v>
      </c>
    </row>
    <row r="911" spans="1:9">
      <c r="A911" s="244" t="s">
        <v>2191</v>
      </c>
      <c r="B911" s="245"/>
      <c r="I911" t="s">
        <v>3173</v>
      </c>
    </row>
    <row r="912" spans="1:9">
      <c r="A912" s="245" t="s">
        <v>3174</v>
      </c>
      <c r="B912" s="245"/>
      <c r="I912" t="s">
        <v>3175</v>
      </c>
    </row>
    <row r="913" spans="1:9">
      <c r="A913" s="244" t="s">
        <v>2193</v>
      </c>
      <c r="B913" s="245"/>
      <c r="I913" t="s">
        <v>3176</v>
      </c>
    </row>
    <row r="914" spans="1:9">
      <c r="A914" s="245" t="s">
        <v>3177</v>
      </c>
      <c r="B914" s="245"/>
      <c r="I914" t="s">
        <v>3178</v>
      </c>
    </row>
    <row r="915" spans="1:9">
      <c r="A915" s="244" t="s">
        <v>2196</v>
      </c>
      <c r="B915" s="245"/>
      <c r="I915" t="s">
        <v>3179</v>
      </c>
    </row>
    <row r="916" spans="1:9">
      <c r="A916" s="245" t="s">
        <v>3180</v>
      </c>
      <c r="B916" s="245"/>
      <c r="I916" t="s">
        <v>3181</v>
      </c>
    </row>
    <row r="917" spans="1:9">
      <c r="A917" s="245" t="s">
        <v>3182</v>
      </c>
      <c r="B917" s="245"/>
      <c r="I917" t="s">
        <v>3183</v>
      </c>
    </row>
    <row r="918" spans="1:9">
      <c r="A918" s="245" t="s">
        <v>3184</v>
      </c>
      <c r="B918" s="245"/>
      <c r="I918" t="s">
        <v>3185</v>
      </c>
    </row>
    <row r="919" spans="1:9">
      <c r="A919" s="244" t="s">
        <v>2199</v>
      </c>
      <c r="B919" s="245"/>
      <c r="I919" t="s">
        <v>3186</v>
      </c>
    </row>
    <row r="920" spans="1:9">
      <c r="A920" s="245" t="s">
        <v>3187</v>
      </c>
      <c r="B920" s="245"/>
      <c r="I920" t="s">
        <v>3188</v>
      </c>
    </row>
    <row r="921" spans="1:9">
      <c r="A921" s="244" t="s">
        <v>2201</v>
      </c>
      <c r="B921" s="245"/>
      <c r="I921" t="s">
        <v>3189</v>
      </c>
    </row>
    <row r="922" spans="1:9">
      <c r="A922" s="245" t="s">
        <v>3190</v>
      </c>
      <c r="B922" s="245"/>
      <c r="I922" t="s">
        <v>3191</v>
      </c>
    </row>
    <row r="923" spans="1:9">
      <c r="A923" s="245" t="s">
        <v>3192</v>
      </c>
      <c r="B923" s="245"/>
      <c r="I923" t="s">
        <v>3193</v>
      </c>
    </row>
    <row r="924" spans="1:9">
      <c r="A924" s="245" t="s">
        <v>3194</v>
      </c>
      <c r="B924" s="245"/>
      <c r="I924" t="s">
        <v>3195</v>
      </c>
    </row>
    <row r="925" spans="1:9">
      <c r="A925" s="245" t="s">
        <v>3196</v>
      </c>
      <c r="B925" s="245"/>
      <c r="I925" t="s">
        <v>3197</v>
      </c>
    </row>
    <row r="926" spans="1:9">
      <c r="A926" s="244" t="s">
        <v>2204</v>
      </c>
      <c r="B926" s="245"/>
      <c r="I926" t="s">
        <v>3198</v>
      </c>
    </row>
    <row r="927" spans="1:9">
      <c r="A927" s="245" t="s">
        <v>3199</v>
      </c>
      <c r="B927" s="245"/>
      <c r="I927" t="s">
        <v>3200</v>
      </c>
    </row>
    <row r="928" spans="1:9">
      <c r="A928" s="245" t="s">
        <v>3201</v>
      </c>
      <c r="B928" s="245"/>
      <c r="I928" t="s">
        <v>3202</v>
      </c>
    </row>
    <row r="929" spans="1:9">
      <c r="A929" s="242" t="s">
        <v>2240</v>
      </c>
      <c r="B929" s="245"/>
      <c r="I929" t="s">
        <v>3203</v>
      </c>
    </row>
    <row r="930" spans="1:9">
      <c r="A930" s="241" t="s">
        <v>2209</v>
      </c>
      <c r="B930" s="245"/>
      <c r="I930" t="s">
        <v>3204</v>
      </c>
    </row>
    <row r="931" spans="1:9">
      <c r="A931" s="244" t="s">
        <v>2212</v>
      </c>
      <c r="B931" s="245"/>
      <c r="I931" t="s">
        <v>3205</v>
      </c>
    </row>
    <row r="932" spans="1:9">
      <c r="A932" s="245" t="s">
        <v>3206</v>
      </c>
      <c r="B932" s="245"/>
      <c r="I932" t="s">
        <v>3207</v>
      </c>
    </row>
    <row r="933" spans="1:9">
      <c r="A933" s="244" t="s">
        <v>2215</v>
      </c>
      <c r="B933" s="245"/>
      <c r="I933" t="s">
        <v>3208</v>
      </c>
    </row>
    <row r="934" spans="1:9">
      <c r="A934" s="245" t="s">
        <v>3209</v>
      </c>
      <c r="B934" s="245"/>
      <c r="I934" t="s">
        <v>3210</v>
      </c>
    </row>
    <row r="935" spans="1:9">
      <c r="A935" s="245" t="s">
        <v>3211</v>
      </c>
      <c r="B935" s="245"/>
      <c r="I935" t="s">
        <v>3212</v>
      </c>
    </row>
    <row r="936" spans="1:9">
      <c r="A936" s="245" t="s">
        <v>3213</v>
      </c>
      <c r="B936" s="245"/>
      <c r="I936" t="s">
        <v>3214</v>
      </c>
    </row>
    <row r="937" spans="1:9">
      <c r="A937" s="244" t="s">
        <v>2217</v>
      </c>
      <c r="B937" s="245"/>
      <c r="I937" t="s">
        <v>3215</v>
      </c>
    </row>
    <row r="938" spans="1:9">
      <c r="A938" s="245" t="s">
        <v>3216</v>
      </c>
      <c r="B938" s="245"/>
      <c r="I938" t="s">
        <v>3217</v>
      </c>
    </row>
    <row r="939" spans="1:9">
      <c r="A939" s="245" t="s">
        <v>3218</v>
      </c>
      <c r="B939" s="245"/>
      <c r="I939" t="s">
        <v>3219</v>
      </c>
    </row>
    <row r="940" spans="1:9">
      <c r="A940" s="245" t="s">
        <v>3220</v>
      </c>
      <c r="B940" s="245"/>
      <c r="I940" t="s">
        <v>3221</v>
      </c>
    </row>
    <row r="941" spans="1:9">
      <c r="A941" s="245" t="s">
        <v>3222</v>
      </c>
      <c r="B941" s="245"/>
      <c r="I941" t="s">
        <v>3223</v>
      </c>
    </row>
    <row r="942" spans="1:9">
      <c r="A942" s="245" t="s">
        <v>3224</v>
      </c>
      <c r="B942" s="245"/>
      <c r="I942" t="s">
        <v>3225</v>
      </c>
    </row>
    <row r="943" spans="1:9">
      <c r="A943" s="245" t="s">
        <v>3226</v>
      </c>
      <c r="B943" s="245"/>
      <c r="I943" t="s">
        <v>3227</v>
      </c>
    </row>
    <row r="944" spans="1:9">
      <c r="A944" s="245" t="s">
        <v>3228</v>
      </c>
      <c r="B944" s="245"/>
      <c r="I944" t="s">
        <v>3229</v>
      </c>
    </row>
    <row r="945" spans="1:9">
      <c r="A945" s="245" t="s">
        <v>3230</v>
      </c>
      <c r="B945" s="245"/>
      <c r="I945" t="s">
        <v>3231</v>
      </c>
    </row>
    <row r="946" spans="1:9">
      <c r="A946" s="241" t="s">
        <v>2220</v>
      </c>
      <c r="B946" s="245"/>
      <c r="I946" t="s">
        <v>3232</v>
      </c>
    </row>
    <row r="947" spans="1:9">
      <c r="A947" s="244" t="s">
        <v>2222</v>
      </c>
      <c r="B947" s="245"/>
      <c r="I947" t="s">
        <v>3233</v>
      </c>
    </row>
    <row r="948" spans="1:9">
      <c r="A948" s="245" t="s">
        <v>3234</v>
      </c>
      <c r="B948" s="245"/>
      <c r="I948" t="s">
        <v>3235</v>
      </c>
    </row>
    <row r="949" spans="1:9">
      <c r="A949" s="244" t="s">
        <v>2225</v>
      </c>
      <c r="B949" s="245"/>
      <c r="I949" t="s">
        <v>3236</v>
      </c>
    </row>
    <row r="950" spans="1:9">
      <c r="A950" s="245" t="s">
        <v>3237</v>
      </c>
      <c r="B950" s="245"/>
      <c r="I950" t="s">
        <v>3238</v>
      </c>
    </row>
    <row r="951" spans="1:9">
      <c r="A951" s="244" t="s">
        <v>2228</v>
      </c>
      <c r="B951" s="245"/>
      <c r="I951" t="s">
        <v>3239</v>
      </c>
    </row>
    <row r="952" spans="1:9">
      <c r="A952" s="245" t="s">
        <v>3240</v>
      </c>
      <c r="B952" s="245"/>
      <c r="I952" t="s">
        <v>3241</v>
      </c>
    </row>
    <row r="953" spans="1:9">
      <c r="A953" s="244" t="s">
        <v>2230</v>
      </c>
      <c r="B953" s="245"/>
      <c r="I953" t="s">
        <v>3242</v>
      </c>
    </row>
    <row r="954" spans="1:9">
      <c r="A954" s="245" t="s">
        <v>3243</v>
      </c>
      <c r="B954" s="245"/>
      <c r="I954" t="s">
        <v>3244</v>
      </c>
    </row>
    <row r="955" spans="1:9">
      <c r="A955" s="245" t="s">
        <v>3245</v>
      </c>
      <c r="B955" s="245"/>
      <c r="I955" t="s">
        <v>3246</v>
      </c>
    </row>
    <row r="956" spans="1:9">
      <c r="A956" s="241" t="s">
        <v>2233</v>
      </c>
      <c r="B956" s="245"/>
      <c r="I956" t="s">
        <v>3247</v>
      </c>
    </row>
    <row r="957" spans="1:9">
      <c r="A957" s="244" t="s">
        <v>2235</v>
      </c>
      <c r="B957" s="245"/>
      <c r="I957" t="s">
        <v>3248</v>
      </c>
    </row>
    <row r="958" spans="1:9">
      <c r="A958" s="245" t="s">
        <v>3249</v>
      </c>
      <c r="B958" s="245"/>
      <c r="I958" t="s">
        <v>3250</v>
      </c>
    </row>
    <row r="959" spans="1:9">
      <c r="A959" s="244" t="s">
        <v>2237</v>
      </c>
      <c r="B959" s="245"/>
      <c r="I959" t="s">
        <v>3251</v>
      </c>
    </row>
    <row r="960" spans="1:9">
      <c r="A960" s="245" t="s">
        <v>3252</v>
      </c>
      <c r="B960" s="245"/>
      <c r="I960" s="71" t="s">
        <v>3253</v>
      </c>
    </row>
    <row r="961" spans="1:9">
      <c r="A961" s="245" t="s">
        <v>3254</v>
      </c>
      <c r="B961" s="245"/>
      <c r="I961" s="71" t="s">
        <v>3255</v>
      </c>
    </row>
    <row r="962" spans="1:9">
      <c r="A962" s="242" t="s">
        <v>2282</v>
      </c>
      <c r="B962" s="245"/>
      <c r="I962" s="71" t="s">
        <v>3256</v>
      </c>
    </row>
    <row r="963" spans="1:9">
      <c r="A963" s="241" t="s">
        <v>2243</v>
      </c>
      <c r="B963" s="245"/>
      <c r="I963" s="71" t="s">
        <v>3257</v>
      </c>
    </row>
    <row r="964" spans="1:9">
      <c r="A964" s="244" t="s">
        <v>2246</v>
      </c>
      <c r="B964" s="245"/>
      <c r="I964" s="71" t="s">
        <v>3258</v>
      </c>
    </row>
    <row r="965" spans="1:9">
      <c r="A965" s="245" t="s">
        <v>3259</v>
      </c>
      <c r="B965" s="245"/>
      <c r="I965" s="71" t="s">
        <v>3260</v>
      </c>
    </row>
    <row r="966" spans="1:9">
      <c r="A966" s="245" t="s">
        <v>3261</v>
      </c>
      <c r="B966" s="245"/>
      <c r="I966" s="71" t="s">
        <v>3262</v>
      </c>
    </row>
    <row r="967" spans="1:9">
      <c r="A967" s="245" t="s">
        <v>3263</v>
      </c>
      <c r="B967" s="245"/>
      <c r="I967" s="71" t="s">
        <v>3264</v>
      </c>
    </row>
    <row r="968" spans="1:9">
      <c r="A968" s="244" t="s">
        <v>2249</v>
      </c>
      <c r="B968" s="245"/>
      <c r="I968" s="71" t="s">
        <v>3265</v>
      </c>
    </row>
    <row r="969" spans="1:9">
      <c r="A969" s="245" t="s">
        <v>3266</v>
      </c>
      <c r="B969" s="245"/>
      <c r="I969" t="s">
        <v>3267</v>
      </c>
    </row>
    <row r="970" spans="1:9">
      <c r="A970" s="244" t="s">
        <v>2252</v>
      </c>
      <c r="B970" s="245"/>
      <c r="I970" t="s">
        <v>3268</v>
      </c>
    </row>
    <row r="971" spans="1:9">
      <c r="A971" s="245" t="s">
        <v>3269</v>
      </c>
      <c r="B971" s="245"/>
      <c r="I971" s="71" t="s">
        <v>3270</v>
      </c>
    </row>
    <row r="972" spans="1:9">
      <c r="A972" s="245" t="s">
        <v>3271</v>
      </c>
      <c r="B972" s="245"/>
      <c r="I972" t="s">
        <v>3272</v>
      </c>
    </row>
    <row r="973" spans="1:9">
      <c r="A973" s="241" t="s">
        <v>2254</v>
      </c>
      <c r="B973" s="245"/>
      <c r="I973" t="s">
        <v>3273</v>
      </c>
    </row>
    <row r="974" spans="1:9">
      <c r="A974" s="244" t="s">
        <v>2257</v>
      </c>
      <c r="B974" s="245"/>
      <c r="I974" t="s">
        <v>3274</v>
      </c>
    </row>
    <row r="975" spans="1:9">
      <c r="A975" s="245" t="s">
        <v>3275</v>
      </c>
      <c r="B975" s="245"/>
      <c r="I975" t="s">
        <v>3276</v>
      </c>
    </row>
    <row r="976" spans="1:9">
      <c r="A976" s="245" t="s">
        <v>3277</v>
      </c>
      <c r="B976" s="245"/>
      <c r="I976" t="s">
        <v>3278</v>
      </c>
    </row>
    <row r="977" spans="1:9">
      <c r="A977" s="244" t="s">
        <v>2260</v>
      </c>
      <c r="B977" s="245"/>
      <c r="I977" t="s">
        <v>3279</v>
      </c>
    </row>
    <row r="978" spans="1:9">
      <c r="A978" s="245" t="s">
        <v>3280</v>
      </c>
      <c r="B978" s="245"/>
      <c r="I978" t="s">
        <v>3281</v>
      </c>
    </row>
    <row r="979" spans="1:9">
      <c r="A979" s="245" t="s">
        <v>3282</v>
      </c>
      <c r="B979" s="245"/>
      <c r="I979" t="s">
        <v>3283</v>
      </c>
    </row>
    <row r="980" spans="1:9">
      <c r="A980" s="244" t="s">
        <v>2263</v>
      </c>
      <c r="B980" s="245"/>
      <c r="I980" t="s">
        <v>3284</v>
      </c>
    </row>
    <row r="981" spans="1:9">
      <c r="A981" s="245" t="s">
        <v>3285</v>
      </c>
      <c r="B981" s="245"/>
      <c r="I981" t="s">
        <v>3286</v>
      </c>
    </row>
    <row r="982" spans="1:9">
      <c r="A982" s="244" t="s">
        <v>2266</v>
      </c>
      <c r="B982" s="245"/>
      <c r="I982" t="s">
        <v>3287</v>
      </c>
    </row>
    <row r="983" spans="1:9">
      <c r="A983" s="245" t="s">
        <v>3288</v>
      </c>
      <c r="B983" s="245"/>
      <c r="I983" t="s">
        <v>3289</v>
      </c>
    </row>
    <row r="984" spans="1:9">
      <c r="A984" s="245" t="s">
        <v>3290</v>
      </c>
      <c r="B984" s="245"/>
      <c r="I984" t="s">
        <v>3291</v>
      </c>
    </row>
    <row r="985" spans="1:9">
      <c r="A985" s="241" t="s">
        <v>2269</v>
      </c>
      <c r="B985" s="245"/>
      <c r="I985" t="s">
        <v>3292</v>
      </c>
    </row>
    <row r="986" spans="1:9">
      <c r="A986" s="244" t="s">
        <v>2272</v>
      </c>
      <c r="B986" s="245"/>
      <c r="I986" t="s">
        <v>3293</v>
      </c>
    </row>
    <row r="987" spans="1:9">
      <c r="A987" s="245" t="s">
        <v>3294</v>
      </c>
      <c r="B987" s="245"/>
      <c r="I987" t="s">
        <v>3295</v>
      </c>
    </row>
    <row r="988" spans="1:9">
      <c r="A988" s="241" t="s">
        <v>2274</v>
      </c>
      <c r="B988" s="245"/>
      <c r="I988" t="s">
        <v>3296</v>
      </c>
    </row>
    <row r="989" spans="1:9">
      <c r="A989" s="244" t="s">
        <v>2277</v>
      </c>
      <c r="B989" s="245"/>
      <c r="I989" t="s">
        <v>3297</v>
      </c>
    </row>
    <row r="990" spans="1:9">
      <c r="A990" s="245" t="s">
        <v>3298</v>
      </c>
      <c r="B990" s="245"/>
      <c r="I990" t="s">
        <v>3299</v>
      </c>
    </row>
    <row r="991" spans="1:9">
      <c r="A991" s="245" t="s">
        <v>3300</v>
      </c>
      <c r="B991" s="245"/>
      <c r="I991" t="s">
        <v>3301</v>
      </c>
    </row>
    <row r="992" spans="1:9">
      <c r="A992" s="245" t="s">
        <v>3302</v>
      </c>
      <c r="B992" s="245"/>
      <c r="I992" t="s">
        <v>3303</v>
      </c>
    </row>
    <row r="993" spans="1:9">
      <c r="A993" s="245" t="s">
        <v>3304</v>
      </c>
      <c r="B993" s="245"/>
      <c r="I993" t="s">
        <v>3305</v>
      </c>
    </row>
    <row r="994" spans="1:9">
      <c r="A994" s="244" t="s">
        <v>2279</v>
      </c>
      <c r="B994" s="245"/>
      <c r="I994" t="s">
        <v>3306</v>
      </c>
    </row>
    <row r="995" spans="1:9">
      <c r="A995" s="245" t="s">
        <v>3307</v>
      </c>
      <c r="B995" s="245"/>
      <c r="I995" t="s">
        <v>3308</v>
      </c>
    </row>
    <row r="996" spans="1:9">
      <c r="A996" s="245" t="s">
        <v>3309</v>
      </c>
      <c r="B996" s="245"/>
      <c r="I996" t="s">
        <v>3310</v>
      </c>
    </row>
    <row r="997" spans="1:9">
      <c r="A997" s="242" t="s">
        <v>2325</v>
      </c>
      <c r="B997" s="245"/>
      <c r="I997" t="s">
        <v>3311</v>
      </c>
    </row>
    <row r="998" spans="1:9">
      <c r="A998" s="241" t="s">
        <v>2285</v>
      </c>
      <c r="B998" s="245"/>
      <c r="I998" t="s">
        <v>3312</v>
      </c>
    </row>
    <row r="999" spans="1:9">
      <c r="A999" s="244" t="s">
        <v>2287</v>
      </c>
      <c r="B999" s="245"/>
      <c r="I999" t="s">
        <v>3313</v>
      </c>
    </row>
    <row r="1000" spans="1:9">
      <c r="A1000" s="245" t="s">
        <v>3314</v>
      </c>
      <c r="B1000" s="245"/>
      <c r="I1000" t="s">
        <v>3315</v>
      </c>
    </row>
    <row r="1001" spans="1:9">
      <c r="A1001" s="245" t="s">
        <v>3316</v>
      </c>
      <c r="B1001" s="245"/>
      <c r="I1001" t="s">
        <v>3317</v>
      </c>
    </row>
    <row r="1002" spans="1:9">
      <c r="A1002" s="244" t="s">
        <v>2290</v>
      </c>
      <c r="B1002" s="245"/>
      <c r="I1002" t="s">
        <v>3318</v>
      </c>
    </row>
    <row r="1003" spans="1:9">
      <c r="A1003" s="245" t="s">
        <v>3319</v>
      </c>
      <c r="B1003" s="245"/>
      <c r="I1003" t="s">
        <v>3320</v>
      </c>
    </row>
    <row r="1004" spans="1:9">
      <c r="A1004" s="244" t="s">
        <v>2293</v>
      </c>
      <c r="B1004" s="245"/>
      <c r="I1004" t="s">
        <v>3321</v>
      </c>
    </row>
    <row r="1005" spans="1:9">
      <c r="A1005" s="245" t="s">
        <v>3322</v>
      </c>
      <c r="B1005" s="245"/>
      <c r="I1005" t="s">
        <v>3323</v>
      </c>
    </row>
    <row r="1006" spans="1:9">
      <c r="A1006" s="245" t="s">
        <v>3324</v>
      </c>
      <c r="B1006" s="245"/>
      <c r="I1006" t="s">
        <v>3325</v>
      </c>
    </row>
    <row r="1007" spans="1:9">
      <c r="A1007" s="245" t="s">
        <v>3326</v>
      </c>
      <c r="B1007" s="245"/>
      <c r="I1007" t="s">
        <v>3327</v>
      </c>
    </row>
    <row r="1008" spans="1:9">
      <c r="A1008" s="241" t="s">
        <v>2296</v>
      </c>
      <c r="B1008" s="245"/>
      <c r="I1008" t="s">
        <v>3328</v>
      </c>
    </row>
    <row r="1009" spans="1:9">
      <c r="A1009" s="244" t="s">
        <v>2299</v>
      </c>
      <c r="B1009" s="245"/>
      <c r="I1009" t="s">
        <v>3329</v>
      </c>
    </row>
    <row r="1010" spans="1:9">
      <c r="A1010" s="245" t="s">
        <v>3330</v>
      </c>
      <c r="B1010" s="245"/>
      <c r="I1010" t="s">
        <v>3331</v>
      </c>
    </row>
    <row r="1011" spans="1:9">
      <c r="A1011" s="244" t="s">
        <v>2302</v>
      </c>
      <c r="B1011" s="245"/>
      <c r="I1011" t="s">
        <v>3332</v>
      </c>
    </row>
    <row r="1012" spans="1:9">
      <c r="A1012" s="245" t="s">
        <v>3333</v>
      </c>
      <c r="B1012" s="245"/>
      <c r="I1012" t="s">
        <v>3334</v>
      </c>
    </row>
    <row r="1013" spans="1:9">
      <c r="A1013" s="245" t="s">
        <v>3335</v>
      </c>
      <c r="B1013" s="245"/>
      <c r="I1013" t="s">
        <v>3336</v>
      </c>
    </row>
    <row r="1014" spans="1:9">
      <c r="A1014" s="245" t="s">
        <v>3337</v>
      </c>
      <c r="B1014" s="245"/>
    </row>
    <row r="1015" spans="1:9">
      <c r="A1015" s="245" t="s">
        <v>3338</v>
      </c>
      <c r="B1015" s="245"/>
    </row>
    <row r="1016" spans="1:9">
      <c r="A1016" s="245" t="s">
        <v>3339</v>
      </c>
      <c r="B1016" s="245"/>
    </row>
    <row r="1017" spans="1:9">
      <c r="A1017" s="245" t="s">
        <v>3340</v>
      </c>
      <c r="B1017" s="245"/>
    </row>
    <row r="1018" spans="1:9">
      <c r="A1018" s="244" t="s">
        <v>2305</v>
      </c>
      <c r="B1018" s="245"/>
    </row>
    <row r="1019" spans="1:9">
      <c r="A1019" s="245" t="s">
        <v>3341</v>
      </c>
      <c r="B1019" s="245"/>
    </row>
    <row r="1020" spans="1:9">
      <c r="A1020" s="245" t="s">
        <v>3342</v>
      </c>
      <c r="B1020" s="245"/>
    </row>
    <row r="1021" spans="1:9">
      <c r="A1021" s="244" t="s">
        <v>2308</v>
      </c>
      <c r="B1021" s="245"/>
    </row>
    <row r="1022" spans="1:9">
      <c r="A1022" s="245" t="s">
        <v>3343</v>
      </c>
      <c r="B1022" s="245"/>
    </row>
    <row r="1023" spans="1:9">
      <c r="A1023" s="241" t="s">
        <v>2311</v>
      </c>
      <c r="B1023" s="245"/>
    </row>
    <row r="1024" spans="1:9">
      <c r="A1024" s="244" t="s">
        <v>2313</v>
      </c>
      <c r="B1024" s="245"/>
    </row>
    <row r="1025" spans="1:2">
      <c r="A1025" s="245" t="s">
        <v>3344</v>
      </c>
      <c r="B1025" s="245"/>
    </row>
    <row r="1026" spans="1:2">
      <c r="A1026" s="244" t="s">
        <v>2315</v>
      </c>
      <c r="B1026" s="245"/>
    </row>
    <row r="1027" spans="1:2">
      <c r="A1027" s="245" t="s">
        <v>3345</v>
      </c>
      <c r="B1027" s="245"/>
    </row>
    <row r="1028" spans="1:2">
      <c r="A1028" s="245" t="s">
        <v>3346</v>
      </c>
      <c r="B1028" s="245"/>
    </row>
    <row r="1029" spans="1:2">
      <c r="A1029" s="245" t="s">
        <v>3347</v>
      </c>
      <c r="B1029" s="245"/>
    </row>
    <row r="1030" spans="1:2">
      <c r="A1030" s="244" t="s">
        <v>2318</v>
      </c>
      <c r="B1030" s="245"/>
    </row>
    <row r="1031" spans="1:2">
      <c r="A1031" s="245" t="s">
        <v>3348</v>
      </c>
      <c r="B1031" s="245"/>
    </row>
    <row r="1032" spans="1:2">
      <c r="A1032" s="244" t="s">
        <v>2320</v>
      </c>
      <c r="B1032" s="245"/>
    </row>
    <row r="1033" spans="1:2">
      <c r="A1033" s="245" t="s">
        <v>3349</v>
      </c>
      <c r="B1033" s="245"/>
    </row>
    <row r="1034" spans="1:2">
      <c r="A1034" s="244" t="s">
        <v>2323</v>
      </c>
      <c r="B1034" s="245"/>
    </row>
    <row r="1035" spans="1:2">
      <c r="A1035" s="245" t="s">
        <v>3350</v>
      </c>
      <c r="B1035" s="245"/>
    </row>
    <row r="1036" spans="1:2">
      <c r="A1036" s="245" t="s">
        <v>3351</v>
      </c>
      <c r="B1036" s="245"/>
    </row>
    <row r="1037" spans="1:2">
      <c r="A1037" s="242" t="s">
        <v>2341</v>
      </c>
      <c r="B1037" s="245"/>
    </row>
    <row r="1038" spans="1:2">
      <c r="A1038" s="241" t="s">
        <v>2328</v>
      </c>
      <c r="B1038" s="245"/>
    </row>
    <row r="1039" spans="1:2">
      <c r="A1039" s="244" t="s">
        <v>2331</v>
      </c>
      <c r="B1039" s="245"/>
    </row>
    <row r="1040" spans="1:2">
      <c r="A1040" s="245" t="s">
        <v>3352</v>
      </c>
      <c r="B1040" s="245"/>
    </row>
    <row r="1041" spans="1:2">
      <c r="A1041" s="241" t="s">
        <v>2333</v>
      </c>
      <c r="B1041" s="245"/>
    </row>
    <row r="1042" spans="1:2">
      <c r="A1042" s="244" t="s">
        <v>2335</v>
      </c>
      <c r="B1042" s="245"/>
    </row>
    <row r="1043" spans="1:2">
      <c r="A1043" s="245" t="s">
        <v>3353</v>
      </c>
      <c r="B1043" s="245"/>
    </row>
    <row r="1044" spans="1:2">
      <c r="A1044" s="244" t="s">
        <v>2338</v>
      </c>
      <c r="B1044" s="245"/>
    </row>
    <row r="1045" spans="1:2">
      <c r="A1045" s="245" t="s">
        <v>3354</v>
      </c>
      <c r="B1045" s="245"/>
    </row>
    <row r="1046" spans="1:2">
      <c r="A1046" s="242" t="s">
        <v>2349</v>
      </c>
      <c r="B1046" s="245"/>
    </row>
    <row r="1047" spans="1:2">
      <c r="A1047" s="241" t="s">
        <v>2344</v>
      </c>
      <c r="B1047" s="245"/>
    </row>
    <row r="1048" spans="1:2">
      <c r="A1048" s="244" t="s">
        <v>2346</v>
      </c>
      <c r="B1048" s="245"/>
    </row>
    <row r="1049" spans="1:2">
      <c r="A1049" s="245" t="s">
        <v>3355</v>
      </c>
    </row>
  </sheetData>
  <autoFilter ref="A1:AE1049" xr:uid="{06D7FC05-FF15-4F3B-A168-94BA93CE0D77}"/>
  <sortState xmlns:xlrd2="http://schemas.microsoft.com/office/spreadsheetml/2017/richdata2" ref="B3:B398">
    <sortCondition ref="B3:B398"/>
  </sortState>
  <phoneticPr fontId="3" type="noConversion"/>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sheetPr codeName="Sheet14" filterMode="1"/>
  <dimension ref="A1:N798"/>
  <sheetViews>
    <sheetView zoomScale="96" zoomScaleNormal="100" workbookViewId="0">
      <pane ySplit="1" topLeftCell="A54" activePane="bottomLeft" state="frozen"/>
      <selection pane="bottomLeft" activeCell="B491" sqref="B491"/>
    </sheetView>
  </sheetViews>
  <sheetFormatPr defaultColWidth="11" defaultRowHeight="14.6"/>
  <cols>
    <col min="1" max="1" width="97.53515625" style="2" bestFit="1" customWidth="1"/>
    <col min="2" max="2" width="56.4609375" style="2" customWidth="1"/>
    <col min="3" max="6" width="50.53515625" style="2" customWidth="1"/>
    <col min="7" max="8" width="51.07421875" style="2" bestFit="1" customWidth="1"/>
    <col min="9" max="14" width="50.53515625" style="2" customWidth="1"/>
  </cols>
  <sheetData>
    <row r="1" spans="1:14" ht="29.15">
      <c r="A1" s="443" t="s">
        <v>3356</v>
      </c>
      <c r="B1" s="443" t="s">
        <v>3357</v>
      </c>
      <c r="C1" s="444" t="s">
        <v>3358</v>
      </c>
      <c r="D1" s="444" t="s">
        <v>3359</v>
      </c>
      <c r="E1" s="444" t="s">
        <v>3360</v>
      </c>
      <c r="F1" s="444" t="s">
        <v>3361</v>
      </c>
      <c r="G1" s="444" t="s">
        <v>3362</v>
      </c>
      <c r="H1" s="444" t="s">
        <v>3363</v>
      </c>
      <c r="I1" s="444" t="s">
        <v>3364</v>
      </c>
      <c r="J1" s="444" t="s">
        <v>3365</v>
      </c>
      <c r="K1" s="444" t="s">
        <v>3366</v>
      </c>
      <c r="L1" s="444" t="s">
        <v>3367</v>
      </c>
      <c r="M1" s="444" t="s">
        <v>3368</v>
      </c>
      <c r="N1" s="444" t="s">
        <v>3369</v>
      </c>
    </row>
    <row r="2" spans="1:14" hidden="1">
      <c r="A2" s="68"/>
      <c r="B2" s="68"/>
      <c r="C2" s="445" t="s">
        <v>3370</v>
      </c>
      <c r="D2" s="445" t="s">
        <v>3371</v>
      </c>
      <c r="E2" s="445" t="s">
        <v>3372</v>
      </c>
      <c r="F2" s="445" t="s">
        <v>3373</v>
      </c>
      <c r="G2" s="445" t="s">
        <v>3374</v>
      </c>
      <c r="H2" s="445" t="s">
        <v>3375</v>
      </c>
      <c r="I2" s="445" t="s">
        <v>3376</v>
      </c>
      <c r="J2" s="445" t="s">
        <v>3377</v>
      </c>
      <c r="K2" s="445" t="s">
        <v>3378</v>
      </c>
      <c r="L2" s="445" t="s">
        <v>3379</v>
      </c>
      <c r="M2" s="445" t="s">
        <v>3380</v>
      </c>
      <c r="N2" s="445" t="s">
        <v>3381</v>
      </c>
    </row>
    <row r="3" spans="1:14" ht="29.15" hidden="1">
      <c r="A3" s="68"/>
      <c r="B3" s="446"/>
      <c r="C3" s="445" t="str">
        <f>C1&amp; " [" &amp;C2 &amp; "]"</f>
        <v>English - Official [en]</v>
      </c>
      <c r="D3" s="445" t="str">
        <f t="shared" ref="D3:E3" si="0">D1&amp; " [" &amp;D2 &amp; "]"</f>
        <v>Danish - Reviewed translation by Danish Standard Setter [da]</v>
      </c>
      <c r="E3" s="445" t="str">
        <f t="shared" si="0"/>
        <v>Dutch - Reviewed translation by Ducth Standard Setter [nl]</v>
      </c>
      <c r="F3" s="445" t="str">
        <f>F1&amp; " [" &amp;F2 &amp; "]"</f>
        <v>French - Reviewed translation by French Standard Setter [fr]</v>
      </c>
      <c r="G3" s="445" t="str">
        <f>G1&amp; " [" &amp;G2 &amp; "]"</f>
        <v>German - Reviewed translation by German Standard Setter [de]</v>
      </c>
      <c r="H3" s="445" t="str">
        <f>H1&amp; " [" &amp;H2 &amp; "]"</f>
        <v>Irish - Reviewed translation by Irish Standard Setter [ga]</v>
      </c>
      <c r="I3" s="445" t="str">
        <f t="shared" ref="I3:N3" si="1">I1&amp; " [" &amp;I2 &amp; "]"</f>
        <v>Italian - Reviewed translation by Italian Standard Setter [it]</v>
      </c>
      <c r="J3" s="445" t="str">
        <f t="shared" si="1"/>
        <v>Lithuanian - Reviewed translation by Lithuanian Standard Setter [lt]</v>
      </c>
      <c r="K3" s="445" t="str">
        <f t="shared" si="1"/>
        <v>Polish - Reviewed translation by Polish Standard Setter [pl]</v>
      </c>
      <c r="L3" s="445" t="str">
        <f t="shared" si="1"/>
        <v>Portuguese - Reviewed translation by Portuguese Standard Setter [pt]</v>
      </c>
      <c r="M3" s="445" t="str">
        <f>M1&amp; " [" &amp;M2 &amp; "]"</f>
        <v>Slovenian - Reviewed translation by Slovenian Standard Setter [sl]</v>
      </c>
      <c r="N3" s="445" t="str">
        <f t="shared" si="1"/>
        <v>Spanish - Reviewed translation by Spanish Standard Setter [es]</v>
      </c>
    </row>
    <row r="4" spans="1:14" hidden="1">
      <c r="A4" s="442" t="s">
        <v>3382</v>
      </c>
      <c r="B4" s="447" t="str">
        <f t="shared" ref="B4:B68" si="2">INDEX(C4:N4,MATCH(template_selected_display_language,$C$3:$N$3,0))</f>
        <v>Entity Name</v>
      </c>
      <c r="C4" s="448" t="s">
        <v>3383</v>
      </c>
      <c r="D4" s="442" t="s">
        <v>3384</v>
      </c>
      <c r="E4" s="442" t="s">
        <v>3385</v>
      </c>
      <c r="F4" s="442" t="s">
        <v>3386</v>
      </c>
      <c r="G4" s="449" t="s">
        <v>3387</v>
      </c>
      <c r="H4" s="449" t="s">
        <v>3388</v>
      </c>
      <c r="I4" s="448" t="s">
        <v>3389</v>
      </c>
      <c r="J4" s="448" t="s">
        <v>3390</v>
      </c>
      <c r="K4" s="448" t="s">
        <v>3391</v>
      </c>
      <c r="L4" s="448" t="s">
        <v>3392</v>
      </c>
      <c r="M4" s="448" t="s">
        <v>3393</v>
      </c>
      <c r="N4" s="448" t="s">
        <v>3394</v>
      </c>
    </row>
    <row r="5" spans="1:14" hidden="1">
      <c r="A5" s="442" t="s">
        <v>3395</v>
      </c>
      <c r="B5" s="447" t="str">
        <f t="shared" si="2"/>
        <v>Entity Identifier</v>
      </c>
      <c r="C5" s="448" t="s">
        <v>3396</v>
      </c>
      <c r="D5" s="442" t="s">
        <v>3397</v>
      </c>
      <c r="E5" s="442" t="s">
        <v>3398</v>
      </c>
      <c r="F5" s="442" t="s">
        <v>3399</v>
      </c>
      <c r="G5" s="449" t="s">
        <v>3400</v>
      </c>
      <c r="H5" s="449" t="s">
        <v>3401</v>
      </c>
      <c r="I5" s="448" t="s">
        <v>3402</v>
      </c>
      <c r="J5" s="448" t="s">
        <v>3403</v>
      </c>
      <c r="K5" s="448" t="s">
        <v>3404</v>
      </c>
      <c r="L5" s="448" t="s">
        <v>3405</v>
      </c>
      <c r="M5" s="448" t="s">
        <v>3406</v>
      </c>
      <c r="N5" s="448" t="s">
        <v>3407</v>
      </c>
    </row>
    <row r="6" spans="1:14" hidden="1">
      <c r="A6" s="442" t="s">
        <v>3408</v>
      </c>
      <c r="B6" s="447" t="str">
        <f t="shared" si="2"/>
        <v>Entity Identifier Scheme</v>
      </c>
      <c r="C6" s="448" t="s">
        <v>3409</v>
      </c>
      <c r="D6" s="442" t="s">
        <v>3410</v>
      </c>
      <c r="E6" s="442" t="s">
        <v>3411</v>
      </c>
      <c r="F6" s="442" t="s">
        <v>3412</v>
      </c>
      <c r="G6" s="449" t="s">
        <v>3413</v>
      </c>
      <c r="H6" s="449" t="s">
        <v>3414</v>
      </c>
      <c r="I6" s="448" t="s">
        <v>3415</v>
      </c>
      <c r="J6" s="448" t="s">
        <v>3416</v>
      </c>
      <c r="K6" s="448" t="s">
        <v>3417</v>
      </c>
      <c r="L6" s="448" t="s">
        <v>3418</v>
      </c>
      <c r="M6" s="448" t="s">
        <v>3419</v>
      </c>
      <c r="N6" s="448" t="s">
        <v>3420</v>
      </c>
    </row>
    <row r="7" spans="1:14" hidden="1">
      <c r="A7" s="442" t="s">
        <v>3421</v>
      </c>
      <c r="B7" s="447" t="str">
        <f t="shared" si="2"/>
        <v>Report currency</v>
      </c>
      <c r="C7" s="448" t="s">
        <v>3422</v>
      </c>
      <c r="D7" s="442" t="s">
        <v>3423</v>
      </c>
      <c r="E7" s="442" t="s">
        <v>3423</v>
      </c>
      <c r="F7" s="442" t="s">
        <v>3424</v>
      </c>
      <c r="G7" s="449" t="s">
        <v>3425</v>
      </c>
      <c r="H7" s="449" t="s">
        <v>3426</v>
      </c>
      <c r="I7" s="448" t="s">
        <v>3427</v>
      </c>
      <c r="J7" s="448" t="s">
        <v>3428</v>
      </c>
      <c r="K7" s="448" t="s">
        <v>3429</v>
      </c>
      <c r="L7" s="448" t="s">
        <v>3430</v>
      </c>
      <c r="M7" s="448" t="s">
        <v>3431</v>
      </c>
      <c r="N7" s="448" t="s">
        <v>3432</v>
      </c>
    </row>
    <row r="8" spans="1:14" hidden="1">
      <c r="A8" s="442" t="s">
        <v>3433</v>
      </c>
      <c r="B8" s="447" t="str">
        <f t="shared" si="2"/>
        <v>Decimal separator</v>
      </c>
      <c r="C8" s="448" t="s">
        <v>3434</v>
      </c>
      <c r="D8" s="442" t="s">
        <v>3434</v>
      </c>
      <c r="E8" s="442" t="s">
        <v>3435</v>
      </c>
      <c r="F8" s="442" t="s">
        <v>3436</v>
      </c>
      <c r="G8" s="449" t="s">
        <v>3437</v>
      </c>
      <c r="H8" s="449" t="s">
        <v>3438</v>
      </c>
      <c r="I8" s="448" t="s">
        <v>3439</v>
      </c>
      <c r="J8" s="448" t="s">
        <v>3440</v>
      </c>
      <c r="K8" s="448" t="s">
        <v>3441</v>
      </c>
      <c r="L8" s="448" t="s">
        <v>3442</v>
      </c>
      <c r="M8" s="448" t="s">
        <v>3443</v>
      </c>
      <c r="N8" s="448" t="s">
        <v>3442</v>
      </c>
    </row>
    <row r="9" spans="1:14" ht="43.75" hidden="1">
      <c r="A9" s="442" t="s">
        <v>3444</v>
      </c>
      <c r="B9" s="447" t="str">
        <f t="shared" si="2"/>
        <v>Report period</v>
      </c>
      <c r="C9" s="448" t="s">
        <v>3445</v>
      </c>
      <c r="D9" s="442" t="s">
        <v>3446</v>
      </c>
      <c r="E9" s="442" t="s">
        <v>3447</v>
      </c>
      <c r="F9" s="442" t="s">
        <v>3448</v>
      </c>
      <c r="G9" s="449" t="s">
        <v>3449</v>
      </c>
      <c r="H9" s="449" t="s">
        <v>3450</v>
      </c>
      <c r="I9" s="448" t="s">
        <v>3451</v>
      </c>
      <c r="J9" s="448" t="s">
        <v>3452</v>
      </c>
      <c r="K9" s="448" t="s">
        <v>3453</v>
      </c>
      <c r="L9" s="448" t="s">
        <v>3454</v>
      </c>
      <c r="M9" s="448" t="s">
        <v>3455</v>
      </c>
      <c r="N9" s="448" t="s">
        <v>3456</v>
      </c>
    </row>
    <row r="10" spans="1:14" hidden="1">
      <c r="A10" s="442" t="s">
        <v>3457</v>
      </c>
      <c r="B10" s="447" t="str">
        <f t="shared" si="2"/>
        <v>Report generated</v>
      </c>
      <c r="C10" s="448" t="s">
        <v>3458</v>
      </c>
      <c r="D10" s="442" t="s">
        <v>3459</v>
      </c>
      <c r="E10" s="442" t="s">
        <v>3460</v>
      </c>
      <c r="F10" s="442" t="s">
        <v>3461</v>
      </c>
      <c r="G10" s="449" t="s">
        <v>3462</v>
      </c>
      <c r="H10" s="449" t="s">
        <v>3463</v>
      </c>
      <c r="I10" s="448" t="s">
        <v>3464</v>
      </c>
      <c r="J10" s="448" t="s">
        <v>3465</v>
      </c>
      <c r="K10" s="448" t="s">
        <v>3466</v>
      </c>
      <c r="L10" s="448" t="s">
        <v>3467</v>
      </c>
      <c r="M10" s="448" t="s">
        <v>3468</v>
      </c>
      <c r="N10" s="448" t="s">
        <v>3469</v>
      </c>
    </row>
    <row r="11" spans="1:14" ht="29.15" hidden="1">
      <c r="A11" s="442" t="s">
        <v>3470</v>
      </c>
      <c r="B11" s="447" t="str">
        <f t="shared" si="2"/>
        <v>All disclosures are related to the reporting period above unless specified otherwise.</v>
      </c>
      <c r="C11" s="448" t="s">
        <v>3471</v>
      </c>
      <c r="D11" s="442" t="s">
        <v>3472</v>
      </c>
      <c r="E11" s="442" t="s">
        <v>3473</v>
      </c>
      <c r="F11" s="442" t="s">
        <v>3474</v>
      </c>
      <c r="G11" s="449" t="s">
        <v>3475</v>
      </c>
      <c r="H11" s="449" t="s">
        <v>3476</v>
      </c>
      <c r="I11" s="448" t="s">
        <v>3477</v>
      </c>
      <c r="J11" s="448" t="s">
        <v>3478</v>
      </c>
      <c r="K11" s="448" t="s">
        <v>3479</v>
      </c>
      <c r="L11" s="448" t="s">
        <v>3480</v>
      </c>
      <c r="M11" s="448" t="s">
        <v>3481</v>
      </c>
      <c r="N11" s="448" t="s">
        <v>3482</v>
      </c>
    </row>
    <row r="12" spans="1:14" ht="43.75" hidden="1">
      <c r="A12" s="442" t="s">
        <v>3483</v>
      </c>
      <c r="B12" s="447" t="str">
        <f t="shared" si="2"/>
        <v>Table of Contents</v>
      </c>
      <c r="C12" s="448" t="s">
        <v>3484</v>
      </c>
      <c r="D12" s="442" t="s">
        <v>3485</v>
      </c>
      <c r="E12" s="442" t="s">
        <v>3486</v>
      </c>
      <c r="F12" s="442" t="s">
        <v>3487</v>
      </c>
      <c r="G12" s="449" t="s">
        <v>3488</v>
      </c>
      <c r="H12" s="449" t="s">
        <v>3489</v>
      </c>
      <c r="I12" s="448" t="s">
        <v>3490</v>
      </c>
      <c r="J12" s="448" t="s">
        <v>3491</v>
      </c>
      <c r="K12" s="448" t="s">
        <v>3492</v>
      </c>
      <c r="L12" s="448" t="s">
        <v>3493</v>
      </c>
      <c r="M12" s="448" t="s">
        <v>3494</v>
      </c>
      <c r="N12" s="448" t="s">
        <v>3495</v>
      </c>
    </row>
    <row r="13" spans="1:14" hidden="1">
      <c r="A13" s="442" t="s">
        <v>3496</v>
      </c>
      <c r="B13" s="447" t="str">
        <f t="shared" si="2"/>
        <v>Reporting period:</v>
      </c>
      <c r="C13" s="448" t="s">
        <v>3497</v>
      </c>
      <c r="D13" s="442" t="s">
        <v>3498</v>
      </c>
      <c r="E13" s="442" t="s">
        <v>3499</v>
      </c>
      <c r="F13" s="442" t="s">
        <v>3500</v>
      </c>
      <c r="G13" s="449" t="s">
        <v>3501</v>
      </c>
      <c r="H13" s="449" t="s">
        <v>3502</v>
      </c>
      <c r="I13" s="448" t="s">
        <v>3451</v>
      </c>
      <c r="J13" s="448" t="s">
        <v>3503</v>
      </c>
      <c r="K13" s="448" t="s">
        <v>3453</v>
      </c>
      <c r="L13" s="448" t="s">
        <v>3504</v>
      </c>
      <c r="M13" s="448" t="s">
        <v>3505</v>
      </c>
      <c r="N13" s="448" t="s">
        <v>3506</v>
      </c>
    </row>
    <row r="14" spans="1:14" ht="29.6" hidden="1" thickBot="1">
      <c r="A14" s="450" t="s">
        <v>3507</v>
      </c>
      <c r="B14" s="451" t="str">
        <f t="shared" si="2"/>
        <v>This report contains {{ ns.fact_count }} XBRL facts ({{ facts | count }} unique facts).</v>
      </c>
      <c r="C14" s="452" t="s">
        <v>3508</v>
      </c>
      <c r="D14" s="450" t="s">
        <v>3509</v>
      </c>
      <c r="E14" s="450" t="s">
        <v>3510</v>
      </c>
      <c r="F14" s="450" t="s">
        <v>3511</v>
      </c>
      <c r="G14" s="453" t="s">
        <v>3512</v>
      </c>
      <c r="H14" s="453" t="s">
        <v>3513</v>
      </c>
      <c r="I14" s="452" t="s">
        <v>3514</v>
      </c>
      <c r="J14" s="452" t="s">
        <v>3515</v>
      </c>
      <c r="K14" s="452" t="s">
        <v>3516</v>
      </c>
      <c r="L14" s="452" t="s">
        <v>3517</v>
      </c>
      <c r="M14" s="452" t="s">
        <v>3518</v>
      </c>
      <c r="N14" s="452" t="s">
        <v>3519</v>
      </c>
    </row>
    <row r="15" spans="1:14" hidden="1">
      <c r="A15" s="442" t="s">
        <v>3520</v>
      </c>
      <c r="B15" s="447" t="str">
        <f t="shared" si="2"/>
        <v>Version:</v>
      </c>
      <c r="C15" s="448" t="s">
        <v>3521</v>
      </c>
      <c r="D15" s="442" t="s">
        <v>3521</v>
      </c>
      <c r="E15" s="442" t="s">
        <v>3522</v>
      </c>
      <c r="F15" s="442" t="s">
        <v>3523</v>
      </c>
      <c r="G15" s="449" t="s">
        <v>3521</v>
      </c>
      <c r="H15" s="449" t="s">
        <v>3524</v>
      </c>
      <c r="I15" s="448" t="s">
        <v>3525</v>
      </c>
      <c r="J15" s="448" t="s">
        <v>3526</v>
      </c>
      <c r="K15" s="448" t="s">
        <v>3527</v>
      </c>
      <c r="L15" s="448" t="s">
        <v>3528</v>
      </c>
      <c r="M15" s="448" t="s">
        <v>3529</v>
      </c>
      <c r="N15" s="448" t="s">
        <v>3530</v>
      </c>
    </row>
    <row r="16" spans="1:14" hidden="1">
      <c r="A16" s="442" t="s">
        <v>3531</v>
      </c>
      <c r="B16" s="447" t="str">
        <f t="shared" si="2"/>
        <v>Publication date:</v>
      </c>
      <c r="C16" s="448" t="s">
        <v>3532</v>
      </c>
      <c r="D16" s="442" t="s">
        <v>3533</v>
      </c>
      <c r="E16" s="442" t="s">
        <v>3534</v>
      </c>
      <c r="F16" s="442" t="s">
        <v>3535</v>
      </c>
      <c r="G16" s="449" t="s">
        <v>3536</v>
      </c>
      <c r="H16" s="449" t="s">
        <v>3537</v>
      </c>
      <c r="I16" s="2" t="s">
        <v>3538</v>
      </c>
      <c r="J16" s="448" t="s">
        <v>3539</v>
      </c>
      <c r="K16" s="448" t="s">
        <v>3540</v>
      </c>
      <c r="L16" s="448" t="s">
        <v>3541</v>
      </c>
      <c r="M16" s="448" t="s">
        <v>3542</v>
      </c>
      <c r="N16" s="448" t="s">
        <v>3543</v>
      </c>
    </row>
    <row r="17" spans="1:14" hidden="1">
      <c r="A17" s="442" t="s">
        <v>3544</v>
      </c>
      <c r="B17" s="447" t="str">
        <f t="shared" si="2"/>
        <v>Taxonomy entry point:</v>
      </c>
      <c r="C17" s="448" t="s">
        <v>3545</v>
      </c>
      <c r="D17" s="442" t="s">
        <v>3546</v>
      </c>
      <c r="E17" s="442" t="s">
        <v>3547</v>
      </c>
      <c r="F17" s="442" t="s">
        <v>3548</v>
      </c>
      <c r="G17" s="449" t="s">
        <v>3549</v>
      </c>
      <c r="H17" s="449" t="s">
        <v>3550</v>
      </c>
      <c r="I17" s="2" t="s">
        <v>3551</v>
      </c>
      <c r="J17" s="448" t="s">
        <v>3552</v>
      </c>
      <c r="K17" s="448" t="s">
        <v>3553</v>
      </c>
      <c r="L17" s="448" t="s">
        <v>3554</v>
      </c>
      <c r="M17" s="448" t="s">
        <v>3555</v>
      </c>
      <c r="N17" s="448" t="s">
        <v>3556</v>
      </c>
    </row>
    <row r="18" spans="1:14" hidden="1">
      <c r="A18" s="442" t="s">
        <v>3557</v>
      </c>
      <c r="B18" s="447" t="str">
        <f>INDEX(C18:N18,MATCH(template_selected_display_language,$C$3:$N$3,0))</f>
        <v>Language selection</v>
      </c>
      <c r="C18" s="448" t="s">
        <v>3558</v>
      </c>
      <c r="D18" s="442" t="s">
        <v>3559</v>
      </c>
      <c r="E18" s="442" t="s">
        <v>3560</v>
      </c>
      <c r="F18" s="442" t="s">
        <v>3561</v>
      </c>
      <c r="G18" s="442" t="s">
        <v>3562</v>
      </c>
      <c r="H18" s="442" t="s">
        <v>3563</v>
      </c>
      <c r="I18" s="442" t="s">
        <v>3564</v>
      </c>
      <c r="J18" s="442" t="s">
        <v>3565</v>
      </c>
      <c r="K18" s="442" t="s">
        <v>3566</v>
      </c>
      <c r="L18" s="442" t="s">
        <v>3567</v>
      </c>
      <c r="M18" s="442" t="s">
        <v>3568</v>
      </c>
      <c r="N18" s="442" t="s">
        <v>3569</v>
      </c>
    </row>
    <row r="19" spans="1:14" s="511" customFormat="1" ht="58.3" hidden="1">
      <c r="A19" s="547" t="s">
        <v>3570</v>
      </c>
      <c r="B19" s="559" t="str">
        <f>INDEX(C19:N19,MATCH(template_selected_display_language,$C$3:$N$3,0))</f>
        <v>VS Digital Template enables translations into different EU languages.
Please select the language from the dropdown below.</v>
      </c>
      <c r="C19" s="550" t="s">
        <v>3571</v>
      </c>
      <c r="D19" s="547" t="s">
        <v>3572</v>
      </c>
      <c r="E19" s="547" t="s">
        <v>3573</v>
      </c>
      <c r="F19" s="547" t="s">
        <v>3574</v>
      </c>
      <c r="G19" s="547" t="s">
        <v>3575</v>
      </c>
      <c r="H19" s="547" t="s">
        <v>3576</v>
      </c>
      <c r="I19" s="547" t="s">
        <v>3577</v>
      </c>
      <c r="J19" s="547" t="s">
        <v>3578</v>
      </c>
      <c r="K19" s="547" t="s">
        <v>3579</v>
      </c>
      <c r="L19" s="547" t="s">
        <v>3580</v>
      </c>
      <c r="M19" s="547" t="s">
        <v>3581</v>
      </c>
      <c r="N19" s="547" t="s">
        <v>3582</v>
      </c>
    </row>
    <row r="20" spans="1:14" hidden="1">
      <c r="A20" s="442" t="s">
        <v>3583</v>
      </c>
      <c r="B20" s="447" t="str">
        <f t="shared" si="2"/>
        <v>Main title of the report</v>
      </c>
      <c r="C20" s="448" t="s">
        <v>3584</v>
      </c>
      <c r="D20" s="442" t="s">
        <v>3585</v>
      </c>
      <c r="E20" s="442" t="s">
        <v>3586</v>
      </c>
      <c r="F20" s="442" t="s">
        <v>3587</v>
      </c>
      <c r="G20" s="449" t="s">
        <v>3588</v>
      </c>
      <c r="H20" s="449" t="s">
        <v>3589</v>
      </c>
      <c r="I20" s="2" t="s">
        <v>3590</v>
      </c>
      <c r="J20" s="448" t="s">
        <v>3591</v>
      </c>
      <c r="K20" s="448" t="s">
        <v>3592</v>
      </c>
      <c r="L20" s="448" t="s">
        <v>3593</v>
      </c>
      <c r="M20" s="448" t="s">
        <v>3594</v>
      </c>
      <c r="N20" s="448" t="s">
        <v>3595</v>
      </c>
    </row>
    <row r="21" spans="1:14" ht="43.75" hidden="1">
      <c r="A21" s="442" t="s">
        <v>3596</v>
      </c>
      <c r="B21" s="447" t="str">
        <f t="shared" si="2"/>
        <v xml:space="preserve">Sustainability Report </v>
      </c>
      <c r="C21" s="448" t="s">
        <v>3597</v>
      </c>
      <c r="D21" s="442" t="s">
        <v>3598</v>
      </c>
      <c r="E21" s="442" t="s">
        <v>3599</v>
      </c>
      <c r="F21" s="442" t="s">
        <v>3600</v>
      </c>
      <c r="G21" s="449" t="s">
        <v>3601</v>
      </c>
      <c r="H21" s="449" t="s">
        <v>3602</v>
      </c>
      <c r="I21" s="2" t="s">
        <v>3603</v>
      </c>
      <c r="J21" s="448" t="s">
        <v>3604</v>
      </c>
      <c r="K21" s="448" t="s">
        <v>3605</v>
      </c>
      <c r="L21" s="448" t="s">
        <v>3606</v>
      </c>
      <c r="M21" s="448" t="s">
        <v>3607</v>
      </c>
      <c r="N21" s="448" t="s">
        <v>3608</v>
      </c>
    </row>
    <row r="22" spans="1:14" ht="43.75" hidden="1">
      <c r="A22" s="442" t="s">
        <v>3609</v>
      </c>
      <c r="B22" s="447" t="str">
        <f t="shared" si="2"/>
        <v>Subtitle of the report</v>
      </c>
      <c r="C22" s="448" t="s">
        <v>3610</v>
      </c>
      <c r="D22" s="442" t="s">
        <v>3611</v>
      </c>
      <c r="E22" s="442" t="s">
        <v>3612</v>
      </c>
      <c r="F22" s="442" t="s">
        <v>3613</v>
      </c>
      <c r="G22" s="449" t="s">
        <v>3614</v>
      </c>
      <c r="H22" s="449" t="s">
        <v>3615</v>
      </c>
      <c r="I22" s="2" t="s">
        <v>3616</v>
      </c>
      <c r="J22" s="448" t="s">
        <v>3617</v>
      </c>
      <c r="K22" s="448" t="s">
        <v>3618</v>
      </c>
      <c r="L22" s="448" t="s">
        <v>3619</v>
      </c>
      <c r="M22" s="448" t="s">
        <v>3620</v>
      </c>
      <c r="N22" s="448" t="s">
        <v>3621</v>
      </c>
    </row>
    <row r="23" spans="1:14" s="511" customFormat="1" ht="72.900000000000006" hidden="1">
      <c r="A23" s="547" t="s">
        <v>3622</v>
      </c>
      <c r="B23" s="547" t="str">
        <f>INDEX(C23:N23,MATCH(template_selected_display_language,$C$3:$N$3,0))</f>
        <v xml:space="preserve">Prepared in accordance with the  Voluntary Standard (Annex I of  Commission Delegated Regulation (EU) 2026/1560) published in the Official Journal on 21 September 2026. </v>
      </c>
      <c r="C23" s="550" t="s">
        <v>3623</v>
      </c>
      <c r="D23" s="547" t="s">
        <v>3624</v>
      </c>
      <c r="E23" s="547" t="s">
        <v>3625</v>
      </c>
      <c r="F23" s="547" t="s">
        <v>3626</v>
      </c>
      <c r="G23" s="560" t="s">
        <v>3627</v>
      </c>
      <c r="H23" s="560" t="s">
        <v>3628</v>
      </c>
      <c r="I23" s="558" t="s">
        <v>3629</v>
      </c>
      <c r="J23" s="550" t="s">
        <v>3630</v>
      </c>
      <c r="K23" s="550" t="s">
        <v>3631</v>
      </c>
      <c r="L23" s="550" t="s">
        <v>3632</v>
      </c>
      <c r="M23" s="550" t="s">
        <v>3633</v>
      </c>
      <c r="N23" s="550" t="s">
        <v>3634</v>
      </c>
    </row>
    <row r="24" spans="1:14" s="511" customFormat="1" hidden="1">
      <c r="A24" s="547" t="s">
        <v>3635</v>
      </c>
      <c r="B24" s="559" t="str">
        <f t="shared" si="2"/>
        <v>VS Digital Template</v>
      </c>
      <c r="C24" s="550" t="s">
        <v>3636</v>
      </c>
      <c r="D24" s="547" t="s">
        <v>3637</v>
      </c>
      <c r="E24" s="547" t="s">
        <v>3638</v>
      </c>
      <c r="F24" s="547" t="s">
        <v>3639</v>
      </c>
      <c r="G24" s="560" t="s">
        <v>3640</v>
      </c>
      <c r="H24" s="560" t="s">
        <v>3641</v>
      </c>
      <c r="I24" s="558" t="s">
        <v>3642</v>
      </c>
      <c r="J24" s="550" t="s">
        <v>3643</v>
      </c>
      <c r="K24" s="550" t="s">
        <v>3644</v>
      </c>
      <c r="L24" s="550" t="s">
        <v>3645</v>
      </c>
      <c r="M24" s="550" t="s">
        <v>3646</v>
      </c>
      <c r="N24" s="550" t="s">
        <v>3647</v>
      </c>
    </row>
    <row r="25" spans="1:14" s="511" customFormat="1" ht="197.15" hidden="1" customHeight="1">
      <c r="A25" s="547" t="s">
        <v>3648</v>
      </c>
      <c r="B25" s="559" t="str">
        <f t="shared" si="2"/>
        <v>The purpose of this digital template is to illustrate how VS reporting can be implemented in a digital template. The template reflects the Voluntary Standard (Annex I of  Commission Delegated Regulation (EU) 2026/1560) as published by the European Commission in the Official Journal on 21 September 2026. The template is accompanied by a digital VS XBRL taxonomy, which represents the digital data model of the disclosures and is available on EFRAG's website.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Voluntary Standard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 Digital Template or the Digital Template to XBRL Converter, please do so by creating an issue in the GitHub project.</v>
      </c>
      <c r="C25" s="550" t="s">
        <v>3649</v>
      </c>
      <c r="D25" s="547" t="s">
        <v>3650</v>
      </c>
      <c r="E25" s="547" t="s">
        <v>3651</v>
      </c>
      <c r="F25" s="547" t="s">
        <v>3652</v>
      </c>
      <c r="G25" s="560" t="s">
        <v>3653</v>
      </c>
      <c r="H25" s="560" t="s">
        <v>3654</v>
      </c>
      <c r="I25" s="558" t="s">
        <v>3655</v>
      </c>
      <c r="J25" s="550" t="s">
        <v>3656</v>
      </c>
      <c r="K25" s="550" t="s">
        <v>3657</v>
      </c>
      <c r="L25" s="550" t="s">
        <v>3658</v>
      </c>
      <c r="M25" s="550" t="s">
        <v>3659</v>
      </c>
      <c r="N25" s="550" t="s">
        <v>3660</v>
      </c>
    </row>
    <row r="26" spans="1:14" hidden="1">
      <c r="A26" s="442" t="s">
        <v>3661</v>
      </c>
      <c r="B26" s="447" t="str">
        <f t="shared" si="2"/>
        <v>How to use it:</v>
      </c>
      <c r="C26" s="448" t="s">
        <v>3662</v>
      </c>
      <c r="D26" s="442" t="s">
        <v>3663</v>
      </c>
      <c r="E26" s="442" t="s">
        <v>3664</v>
      </c>
      <c r="F26" s="442" t="s">
        <v>3665</v>
      </c>
      <c r="G26" s="449" t="s">
        <v>3666</v>
      </c>
      <c r="H26" s="449" t="s">
        <v>3667</v>
      </c>
      <c r="I26" s="2" t="s">
        <v>3668</v>
      </c>
      <c r="J26" s="448" t="s">
        <v>3669</v>
      </c>
      <c r="K26" s="448" t="s">
        <v>3670</v>
      </c>
      <c r="L26" s="448" t="s">
        <v>3671</v>
      </c>
      <c r="M26" s="448" t="s">
        <v>3672</v>
      </c>
      <c r="N26" s="448" t="s">
        <v>3673</v>
      </c>
    </row>
    <row r="27" spans="1:14" s="511" customFormat="1" ht="29.15" hidden="1">
      <c r="A27" s="547" t="s">
        <v>3674</v>
      </c>
      <c r="B27" s="559" t="str">
        <f t="shared" si="2"/>
        <v>0. Provide information that is mandatory in order to generate the VS and XBRL Report.</v>
      </c>
      <c r="C27" s="550" t="s">
        <v>3675</v>
      </c>
      <c r="D27" s="547" t="s">
        <v>3676</v>
      </c>
      <c r="E27" s="547" t="s">
        <v>3677</v>
      </c>
      <c r="F27" s="547" t="s">
        <v>3678</v>
      </c>
      <c r="G27" s="560" t="s">
        <v>3679</v>
      </c>
      <c r="H27" s="560" t="s">
        <v>3680</v>
      </c>
      <c r="I27" s="558" t="s">
        <v>3681</v>
      </c>
      <c r="J27" s="550" t="s">
        <v>3682</v>
      </c>
      <c r="K27" s="550" t="s">
        <v>3683</v>
      </c>
      <c r="L27" s="550" t="s">
        <v>3684</v>
      </c>
      <c r="M27" s="550" t="s">
        <v>3685</v>
      </c>
      <c r="N27" s="550" t="s">
        <v>3686</v>
      </c>
    </row>
    <row r="28" spans="1:14" ht="131.15" hidden="1">
      <c r="A28" s="442" t="s">
        <v>3687</v>
      </c>
      <c r="B28" s="447" t="str">
        <f t="shared" si="2"/>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8" s="448" t="s">
        <v>3688</v>
      </c>
      <c r="D28" s="442" t="s">
        <v>3689</v>
      </c>
      <c r="E28" s="442" t="s">
        <v>3690</v>
      </c>
      <c r="F28" s="442" t="s">
        <v>3691</v>
      </c>
      <c r="G28" s="449" t="s">
        <v>3692</v>
      </c>
      <c r="H28" s="449" t="s">
        <v>3693</v>
      </c>
      <c r="I28" s="2" t="s">
        <v>3694</v>
      </c>
      <c r="J28" s="448" t="s">
        <v>3695</v>
      </c>
      <c r="K28" s="448" t="s">
        <v>3696</v>
      </c>
      <c r="L28" s="448" t="s">
        <v>3697</v>
      </c>
      <c r="M28" s="448" t="s">
        <v>3698</v>
      </c>
      <c r="N28" s="448" t="s">
        <v>3699</v>
      </c>
    </row>
    <row r="29" spans="1:14" s="511" customFormat="1" ht="102" hidden="1">
      <c r="A29" s="547" t="s">
        <v>3700</v>
      </c>
      <c r="B29" s="559" t="str">
        <f t="shared" si="2"/>
        <v>2. Find more information on the actual disclosure requirements in the Voluntary Standard and the related guidance linked to each cell. Additional or entity-specific disclosures can be provided in each text box at the end of each worksheet.</v>
      </c>
      <c r="C29" s="550" t="s">
        <v>3701</v>
      </c>
      <c r="D29" s="547" t="s">
        <v>3702</v>
      </c>
      <c r="E29" s="547" t="s">
        <v>3703</v>
      </c>
      <c r="F29" s="547" t="s">
        <v>3704</v>
      </c>
      <c r="G29" s="560" t="s">
        <v>3705</v>
      </c>
      <c r="H29" s="560" t="s">
        <v>3706</v>
      </c>
      <c r="I29" s="558" t="s">
        <v>3707</v>
      </c>
      <c r="J29" s="550" t="s">
        <v>3708</v>
      </c>
      <c r="K29" s="550" t="s">
        <v>3709</v>
      </c>
      <c r="L29" s="550" t="s">
        <v>3710</v>
      </c>
      <c r="M29" s="550" t="s">
        <v>3711</v>
      </c>
      <c r="N29" s="550" t="s">
        <v>3712</v>
      </c>
    </row>
    <row r="30" spans="1:14" ht="116.6" hidden="1">
      <c r="A30" s="442" t="s">
        <v>3713</v>
      </c>
      <c r="B30" s="447" t="str">
        <f t="shared" si="2"/>
        <v>3. For open tables like the List of subsidiaries/sites, please expand the groups by clicking the plus [+] icon on the left side. If more rows are needed, they can be added by inserting them between the first and last row. The row IDs in open tables must remain unique per table.</v>
      </c>
      <c r="C30" s="448" t="s">
        <v>3714</v>
      </c>
      <c r="D30" s="442" t="s">
        <v>3715</v>
      </c>
      <c r="E30" s="442" t="s">
        <v>3716</v>
      </c>
      <c r="F30" s="442" t="s">
        <v>3717</v>
      </c>
      <c r="G30" s="449" t="s">
        <v>3718</v>
      </c>
      <c r="H30" s="449" t="s">
        <v>3719</v>
      </c>
      <c r="I30" s="2" t="s">
        <v>3720</v>
      </c>
      <c r="J30" s="448" t="s">
        <v>3721</v>
      </c>
      <c r="K30" s="448" t="s">
        <v>3722</v>
      </c>
      <c r="L30" s="448" t="s">
        <v>3723</v>
      </c>
      <c r="M30" s="448" t="s">
        <v>3724</v>
      </c>
      <c r="N30" s="448" t="s">
        <v>3725</v>
      </c>
    </row>
    <row r="31" spans="1:14" ht="87.45" hidden="1">
      <c r="A31" s="442" t="s">
        <v>3726</v>
      </c>
      <c r="B31" s="447" t="str">
        <f t="shared" si="2"/>
        <v>4. Validate the data entered by checking the validation status. The report is considered incomplete or erroneous if the validation fails, which might result in an invalid XBRL report.</v>
      </c>
      <c r="C31" s="448" t="s">
        <v>3727</v>
      </c>
      <c r="D31" s="442" t="s">
        <v>3728</v>
      </c>
      <c r="E31" s="442" t="s">
        <v>3729</v>
      </c>
      <c r="F31" s="442" t="s">
        <v>3730</v>
      </c>
      <c r="G31" s="449" t="s">
        <v>3731</v>
      </c>
      <c r="H31" s="449" t="s">
        <v>3732</v>
      </c>
      <c r="I31" s="2" t="s">
        <v>3733</v>
      </c>
      <c r="J31" s="448" t="s">
        <v>3734</v>
      </c>
      <c r="K31" s="448" t="s">
        <v>3735</v>
      </c>
      <c r="L31" s="448" t="s">
        <v>3736</v>
      </c>
      <c r="M31" s="448" t="s">
        <v>3737</v>
      </c>
      <c r="N31" s="448" t="s">
        <v>3738</v>
      </c>
    </row>
    <row r="32" spans="1:14" ht="72.900000000000006" hidden="1">
      <c r="A32" s="442" t="s">
        <v>3739</v>
      </c>
      <c r="B32" s="447" t="str">
        <f t="shared" si="2"/>
        <v>5. Convert this template to an Inline XBRL report (or XBRL-JSON, XBRL-CSV), using the online converter: https://xbrl.efrag.org/convert/. Pay attention to the XBRL validation performed by the validator.</v>
      </c>
      <c r="C32" s="448" t="s">
        <v>3740</v>
      </c>
      <c r="D32" s="442" t="s">
        <v>3741</v>
      </c>
      <c r="E32" s="442" t="s">
        <v>3742</v>
      </c>
      <c r="F32" s="442" t="s">
        <v>3743</v>
      </c>
      <c r="G32" s="449" t="s">
        <v>3744</v>
      </c>
      <c r="H32" s="449" t="s">
        <v>3745</v>
      </c>
      <c r="I32" s="2" t="s">
        <v>3746</v>
      </c>
      <c r="J32" s="448" t="s">
        <v>3747</v>
      </c>
      <c r="K32" s="448" t="s">
        <v>3748</v>
      </c>
      <c r="L32" s="448" t="s">
        <v>3749</v>
      </c>
      <c r="M32" s="448" t="s">
        <v>3750</v>
      </c>
      <c r="N32" s="448" t="s">
        <v>3751</v>
      </c>
    </row>
    <row r="33" spans="1:14" ht="29.15" hidden="1">
      <c r="A33" s="442" t="s">
        <v>3752</v>
      </c>
      <c r="B33" s="447" t="str">
        <f t="shared" si="2"/>
        <v>6. The undertaking may also upload the report to public repositories or a webpage.</v>
      </c>
      <c r="C33" s="448" t="s">
        <v>3753</v>
      </c>
      <c r="D33" s="442" t="s">
        <v>3754</v>
      </c>
      <c r="E33" s="442" t="s">
        <v>3755</v>
      </c>
      <c r="F33" s="442" t="s">
        <v>3756</v>
      </c>
      <c r="G33" s="449" t="s">
        <v>3757</v>
      </c>
      <c r="H33" s="449" t="s">
        <v>3758</v>
      </c>
      <c r="I33" s="2" t="s">
        <v>3759</v>
      </c>
      <c r="J33" s="448" t="s">
        <v>3760</v>
      </c>
      <c r="K33" s="448" t="s">
        <v>3761</v>
      </c>
      <c r="L33" s="448" t="s">
        <v>3762</v>
      </c>
      <c r="M33" s="448" t="s">
        <v>3763</v>
      </c>
      <c r="N33" s="448" t="s">
        <v>3764</v>
      </c>
    </row>
    <row r="34" spans="1:14" ht="29.15" hidden="1">
      <c r="A34" s="442" t="s">
        <v>3765</v>
      </c>
      <c r="B34" s="447" t="str">
        <f t="shared" si="2"/>
        <v>Cell background color index:</v>
      </c>
      <c r="C34" s="448" t="s">
        <v>3766</v>
      </c>
      <c r="D34" s="442" t="s">
        <v>3767</v>
      </c>
      <c r="E34" s="442" t="s">
        <v>3768</v>
      </c>
      <c r="F34" s="442" t="s">
        <v>3769</v>
      </c>
      <c r="G34" s="449" t="s">
        <v>3770</v>
      </c>
      <c r="H34" s="449" t="s">
        <v>3771</v>
      </c>
      <c r="I34" s="2" t="s">
        <v>3772</v>
      </c>
      <c r="J34" s="448" t="s">
        <v>3773</v>
      </c>
      <c r="K34" s="448" t="s">
        <v>3774</v>
      </c>
      <c r="L34" s="448" t="s">
        <v>3775</v>
      </c>
      <c r="M34" s="448" t="s">
        <v>3776</v>
      </c>
      <c r="N34" s="448" t="s">
        <v>3777</v>
      </c>
    </row>
    <row r="35" spans="1:14" ht="43.75" hidden="1">
      <c r="A35" s="442" t="s">
        <v>3778</v>
      </c>
      <c r="B35" s="447" t="str">
        <f t="shared" si="2"/>
        <v>General Principles</v>
      </c>
      <c r="C35" s="448" t="s">
        <v>3779</v>
      </c>
      <c r="D35" s="442" t="s">
        <v>3780</v>
      </c>
      <c r="E35" s="442" t="s">
        <v>3781</v>
      </c>
      <c r="F35" s="442" t="s">
        <v>3782</v>
      </c>
      <c r="G35" s="449" t="s">
        <v>3783</v>
      </c>
      <c r="H35" s="449" t="s">
        <v>3784</v>
      </c>
      <c r="I35" s="2" t="s">
        <v>3785</v>
      </c>
      <c r="J35" s="448" t="s">
        <v>3786</v>
      </c>
      <c r="K35" s="448" t="s">
        <v>3787</v>
      </c>
      <c r="L35" s="448" t="s">
        <v>3788</v>
      </c>
      <c r="M35" s="448" t="s">
        <v>3789</v>
      </c>
      <c r="N35" s="448" t="s">
        <v>3790</v>
      </c>
    </row>
    <row r="36" spans="1:14" s="511" customFormat="1" ht="29.15" hidden="1">
      <c r="A36" s="547" t="s">
        <v>3791</v>
      </c>
      <c r="B36" s="559" t="str">
        <f t="shared" si="2"/>
        <v>Indicates that the disclosure is from the general principles of the Voluntary Standard.</v>
      </c>
      <c r="C36" s="550" t="s">
        <v>3792</v>
      </c>
      <c r="D36" s="547" t="s">
        <v>3793</v>
      </c>
      <c r="E36" s="547" t="s">
        <v>3794</v>
      </c>
      <c r="F36" s="547" t="s">
        <v>3795</v>
      </c>
      <c r="G36" s="560" t="s">
        <v>3796</v>
      </c>
      <c r="H36" s="560" t="s">
        <v>3797</v>
      </c>
      <c r="I36" s="558" t="s">
        <v>3798</v>
      </c>
      <c r="J36" s="550" t="s">
        <v>3799</v>
      </c>
      <c r="K36" s="550" t="s">
        <v>3800</v>
      </c>
      <c r="L36" s="550" t="s">
        <v>3801</v>
      </c>
      <c r="M36" s="550" t="s">
        <v>3802</v>
      </c>
      <c r="N36" s="550" t="s">
        <v>3803</v>
      </c>
    </row>
    <row r="37" spans="1:14" hidden="1">
      <c r="A37" s="442" t="s">
        <v>3804</v>
      </c>
      <c r="B37" s="447" t="str">
        <f t="shared" si="2"/>
        <v>Basic Module</v>
      </c>
      <c r="C37" s="448" t="s">
        <v>3805</v>
      </c>
      <c r="D37" s="442" t="s">
        <v>3806</v>
      </c>
      <c r="E37" s="442" t="s">
        <v>3807</v>
      </c>
      <c r="F37" s="442" t="s">
        <v>3808</v>
      </c>
      <c r="G37" s="449" t="s">
        <v>3809</v>
      </c>
      <c r="H37" s="449" t="s">
        <v>3810</v>
      </c>
      <c r="I37" s="2" t="s">
        <v>3811</v>
      </c>
      <c r="J37" s="448" t="s">
        <v>3812</v>
      </c>
      <c r="K37" s="448" t="s">
        <v>3813</v>
      </c>
      <c r="L37" s="448" t="s">
        <v>3814</v>
      </c>
      <c r="M37" s="448" t="s">
        <v>3815</v>
      </c>
      <c r="N37" s="448" t="s">
        <v>3816</v>
      </c>
    </row>
    <row r="38" spans="1:14" s="511" customFormat="1" ht="29.15" hidden="1">
      <c r="A38" s="547" t="s">
        <v>3817</v>
      </c>
      <c r="B38" s="559" t="str">
        <f t="shared" si="2"/>
        <v>Indicates that the disclosure is from the Voluntary Standard Basic Module.</v>
      </c>
      <c r="C38" s="550" t="s">
        <v>3818</v>
      </c>
      <c r="D38" s="547" t="s">
        <v>3819</v>
      </c>
      <c r="E38" s="547" t="s">
        <v>3820</v>
      </c>
      <c r="F38" s="547" t="s">
        <v>3821</v>
      </c>
      <c r="G38" s="560" t="s">
        <v>3822</v>
      </c>
      <c r="H38" s="560" t="s">
        <v>3823</v>
      </c>
      <c r="I38" s="558" t="s">
        <v>3824</v>
      </c>
      <c r="J38" s="550" t="s">
        <v>3825</v>
      </c>
      <c r="K38" s="550" t="s">
        <v>3826</v>
      </c>
      <c r="L38" s="550" t="s">
        <v>3827</v>
      </c>
      <c r="M38" s="550" t="s">
        <v>3828</v>
      </c>
      <c r="N38" s="550" t="s">
        <v>3829</v>
      </c>
    </row>
    <row r="39" spans="1:14" ht="29.15" hidden="1">
      <c r="A39" s="442" t="s">
        <v>3830</v>
      </c>
      <c r="B39" s="447" t="str">
        <f t="shared" si="2"/>
        <v>Comprehensive Module</v>
      </c>
      <c r="C39" s="448" t="s">
        <v>3831</v>
      </c>
      <c r="D39" s="442" t="s">
        <v>3832</v>
      </c>
      <c r="E39" s="442" t="s">
        <v>3833</v>
      </c>
      <c r="F39" s="442" t="s">
        <v>3834</v>
      </c>
      <c r="G39" s="449" t="s">
        <v>3835</v>
      </c>
      <c r="H39" s="449" t="s">
        <v>3836</v>
      </c>
      <c r="I39" s="2" t="s">
        <v>3837</v>
      </c>
      <c r="J39" s="448" t="s">
        <v>3838</v>
      </c>
      <c r="K39" s="448" t="s">
        <v>3839</v>
      </c>
      <c r="L39" s="448" t="s">
        <v>3827</v>
      </c>
      <c r="M39" s="448" t="s">
        <v>3840</v>
      </c>
      <c r="N39" s="448" t="s">
        <v>3841</v>
      </c>
    </row>
    <row r="40" spans="1:14" s="511" customFormat="1" ht="29.15" hidden="1">
      <c r="A40" s="547" t="s">
        <v>3842</v>
      </c>
      <c r="B40" s="559" t="str">
        <f t="shared" si="2"/>
        <v>Indicates that the disclosure is from the Voluntary Standard Comprehensive Module.</v>
      </c>
      <c r="C40" s="550" t="s">
        <v>3843</v>
      </c>
      <c r="D40" s="547" t="s">
        <v>3844</v>
      </c>
      <c r="E40" s="547" t="s">
        <v>3845</v>
      </c>
      <c r="F40" s="547" t="s">
        <v>3846</v>
      </c>
      <c r="G40" s="560" t="s">
        <v>3847</v>
      </c>
      <c r="H40" s="560" t="s">
        <v>3848</v>
      </c>
      <c r="I40" s="558" t="s">
        <v>3849</v>
      </c>
      <c r="J40" s="550" t="s">
        <v>3850</v>
      </c>
      <c r="K40" s="550" t="s">
        <v>3851</v>
      </c>
      <c r="L40" s="550" t="s">
        <v>3827</v>
      </c>
      <c r="M40" s="550" t="s">
        <v>3852</v>
      </c>
      <c r="N40" s="550" t="s">
        <v>3853</v>
      </c>
    </row>
    <row r="41" spans="1:14" ht="58.3" hidden="1">
      <c r="A41" s="442" t="s">
        <v>3854</v>
      </c>
      <c r="B41" s="447" t="str">
        <f t="shared" si="2"/>
        <v>Indicates that the cell is automatically calculated and that no data entry is required.</v>
      </c>
      <c r="C41" s="448" t="s">
        <v>3855</v>
      </c>
      <c r="D41" s="442" t="s">
        <v>3856</v>
      </c>
      <c r="E41" s="442" t="s">
        <v>3857</v>
      </c>
      <c r="F41" s="442" t="s">
        <v>3846</v>
      </c>
      <c r="G41" s="449" t="s">
        <v>3858</v>
      </c>
      <c r="H41" s="449" t="s">
        <v>3859</v>
      </c>
      <c r="I41" s="2" t="s">
        <v>3860</v>
      </c>
      <c r="J41" s="448" t="s">
        <v>3861</v>
      </c>
      <c r="K41" s="448" t="s">
        <v>3862</v>
      </c>
      <c r="L41" s="448" t="s">
        <v>3863</v>
      </c>
      <c r="M41" s="448" t="s">
        <v>3864</v>
      </c>
      <c r="N41" s="448" t="s">
        <v>3865</v>
      </c>
    </row>
    <row r="42" spans="1:14" s="511" customFormat="1" ht="145.75" hidden="1">
      <c r="A42" s="547" t="s">
        <v>3866</v>
      </c>
      <c r="B42" s="559" t="str">
        <f t="shared" si="2"/>
        <v>Indicates that the datapoint (often a condition) will not be included in the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by overwriting the formula.</v>
      </c>
      <c r="C42" s="550" t="s">
        <v>3867</v>
      </c>
      <c r="D42" s="547" t="s">
        <v>3868</v>
      </c>
      <c r="E42" s="547" t="s">
        <v>3869</v>
      </c>
      <c r="F42" s="547" t="s">
        <v>3870</v>
      </c>
      <c r="G42" s="560" t="s">
        <v>3871</v>
      </c>
      <c r="H42" s="560" t="s">
        <v>3872</v>
      </c>
      <c r="I42" s="558" t="s">
        <v>3873</v>
      </c>
      <c r="J42" s="550" t="s">
        <v>3874</v>
      </c>
      <c r="K42" s="550" t="s">
        <v>3875</v>
      </c>
      <c r="L42" s="550" t="s">
        <v>3876</v>
      </c>
      <c r="M42" s="550" t="s">
        <v>3877</v>
      </c>
      <c r="N42" s="550" t="s">
        <v>3878</v>
      </c>
    </row>
    <row r="43" spans="1:14" ht="58.3" hidden="1">
      <c r="A43" s="442" t="s">
        <v>3879</v>
      </c>
      <c r="B43" s="447" t="str">
        <f t="shared" si="2"/>
        <v>Indicates that no data entry is required unless certain logics are selected in the disclosure itself. When one of these logics is selected, this cell will turn white.</v>
      </c>
      <c r="C43" s="448" t="s">
        <v>3880</v>
      </c>
      <c r="D43" s="442" t="s">
        <v>3881</v>
      </c>
      <c r="E43" s="442" t="s">
        <v>3882</v>
      </c>
      <c r="F43" s="442" t="s">
        <v>3883</v>
      </c>
      <c r="G43" s="449" t="s">
        <v>3884</v>
      </c>
      <c r="H43" s="449" t="s">
        <v>3885</v>
      </c>
      <c r="I43" s="2" t="s">
        <v>3886</v>
      </c>
      <c r="J43" s="448" t="s">
        <v>3887</v>
      </c>
      <c r="K43" s="448" t="s">
        <v>3888</v>
      </c>
      <c r="L43" s="448" t="s">
        <v>3889</v>
      </c>
      <c r="M43" s="448" t="s">
        <v>3890</v>
      </c>
      <c r="N43" s="448" t="s">
        <v>3891</v>
      </c>
    </row>
    <row r="44" spans="1:14" ht="43.75" hidden="1">
      <c r="A44" s="442" t="s">
        <v>3892</v>
      </c>
      <c r="B44" s="447" t="str">
        <f t="shared" si="2"/>
        <v>Validation MISSING VALUE/ERROR/VALUE INCONSISTENCY/INVALID URL</v>
      </c>
      <c r="C44" s="447" t="s">
        <v>3893</v>
      </c>
      <c r="D44" s="442" t="s">
        <v>3894</v>
      </c>
      <c r="E44" s="442" t="s">
        <v>3895</v>
      </c>
      <c r="F44" s="442" t="s">
        <v>3896</v>
      </c>
      <c r="G44" s="449" t="s">
        <v>3897</v>
      </c>
      <c r="H44" s="449" t="s">
        <v>3898</v>
      </c>
      <c r="I44" s="2" t="s">
        <v>3899</v>
      </c>
      <c r="J44" s="448" t="s">
        <v>3900</v>
      </c>
      <c r="K44" s="448" t="s">
        <v>3901</v>
      </c>
      <c r="L44" s="448" t="s">
        <v>3902</v>
      </c>
      <c r="M44" s="448" t="s">
        <v>3903</v>
      </c>
      <c r="N44" s="448" t="s">
        <v>3904</v>
      </c>
    </row>
    <row r="45" spans="1:14" ht="58.3" hidden="1">
      <c r="A45" s="442" t="s">
        <v>3905</v>
      </c>
      <c r="B45" s="447" t="str">
        <f t="shared" si="2"/>
        <v>Indicates that either data entry is incorrect in terms of format or that certain information is missing in order to correctly report on the disclosure.</v>
      </c>
      <c r="C45" s="448" t="s">
        <v>3906</v>
      </c>
      <c r="D45" s="442" t="s">
        <v>3907</v>
      </c>
      <c r="E45" s="442" t="s">
        <v>3908</v>
      </c>
      <c r="F45" s="442" t="s">
        <v>3909</v>
      </c>
      <c r="G45" s="449" t="s">
        <v>3910</v>
      </c>
      <c r="H45" s="449" t="s">
        <v>3911</v>
      </c>
      <c r="I45" s="2" t="s">
        <v>3912</v>
      </c>
      <c r="J45" s="448" t="s">
        <v>3913</v>
      </c>
      <c r="K45" s="448" t="s">
        <v>3914</v>
      </c>
      <c r="L45" s="448" t="s">
        <v>3915</v>
      </c>
      <c r="M45" s="448" t="s">
        <v>3916</v>
      </c>
      <c r="N45" s="448" t="s">
        <v>3917</v>
      </c>
    </row>
    <row r="46" spans="1:14" hidden="1">
      <c r="A46" s="442" t="s">
        <v>3918</v>
      </c>
      <c r="B46" s="447" t="str">
        <f t="shared" si="2"/>
        <v>Validation OK</v>
      </c>
      <c r="C46" s="448" t="s">
        <v>4</v>
      </c>
      <c r="D46" s="442" t="s">
        <v>3919</v>
      </c>
      <c r="E46" s="442" t="s">
        <v>3920</v>
      </c>
      <c r="F46" s="442" t="s">
        <v>4</v>
      </c>
      <c r="G46" s="449" t="s">
        <v>3921</v>
      </c>
      <c r="H46" s="449" t="s">
        <v>3922</v>
      </c>
      <c r="I46" s="2" t="s">
        <v>3923</v>
      </c>
      <c r="J46" s="448" t="s">
        <v>3924</v>
      </c>
      <c r="K46" s="448" t="s">
        <v>3925</v>
      </c>
      <c r="L46" s="448" t="s">
        <v>3926</v>
      </c>
      <c r="M46" s="448" t="s">
        <v>3927</v>
      </c>
      <c r="N46" s="448" t="s">
        <v>3928</v>
      </c>
    </row>
    <row r="47" spans="1:14" ht="58.3" hidden="1">
      <c r="A47" s="442" t="s">
        <v>3929</v>
      </c>
      <c r="B47" s="447" t="str">
        <f t="shared" si="2"/>
        <v>Indicates that data entry is OK and the undertaking can proceed to the next disclosure.</v>
      </c>
      <c r="C47" s="448" t="s">
        <v>3930</v>
      </c>
      <c r="D47" s="442" t="s">
        <v>3931</v>
      </c>
      <c r="E47" s="442" t="s">
        <v>3932</v>
      </c>
      <c r="F47" s="442" t="s">
        <v>3933</v>
      </c>
      <c r="G47" s="449" t="s">
        <v>3934</v>
      </c>
      <c r="H47" s="449" t="s">
        <v>3935</v>
      </c>
      <c r="I47" s="2" t="s">
        <v>3936</v>
      </c>
      <c r="J47" s="448" t="s">
        <v>3937</v>
      </c>
      <c r="K47" s="448" t="s">
        <v>3938</v>
      </c>
      <c r="L47" s="448" t="s">
        <v>3939</v>
      </c>
      <c r="M47" s="448" t="s">
        <v>3940</v>
      </c>
      <c r="N47" s="448" t="s">
        <v>3941</v>
      </c>
    </row>
    <row r="48" spans="1:14" ht="29.15" hidden="1">
      <c r="A48" s="442" t="s">
        <v>3942</v>
      </c>
      <c r="B48" s="447" t="str">
        <f t="shared" si="2"/>
        <v>Validation CLASSIFIED OR SENSITIVE INFORMATION</v>
      </c>
      <c r="C48" s="448" t="s">
        <v>3943</v>
      </c>
      <c r="D48" s="442" t="s">
        <v>3944</v>
      </c>
      <c r="E48" s="442" t="s">
        <v>3945</v>
      </c>
      <c r="F48" s="442" t="s">
        <v>3946</v>
      </c>
      <c r="G48" s="442" t="s">
        <v>3947</v>
      </c>
      <c r="H48" s="442" t="s">
        <v>3948</v>
      </c>
      <c r="I48" s="442" t="s">
        <v>3949</v>
      </c>
      <c r="J48" s="442" t="s">
        <v>3950</v>
      </c>
      <c r="K48" s="442" t="s">
        <v>3951</v>
      </c>
      <c r="L48" s="442" t="s">
        <v>3952</v>
      </c>
      <c r="M48" s="442" t="s">
        <v>3953</v>
      </c>
      <c r="N48" s="442" t="s">
        <v>3954</v>
      </c>
    </row>
    <row r="49" spans="1:14" ht="43.75" hidden="1">
      <c r="A49" s="442" t="s">
        <v>3955</v>
      </c>
      <c r="B49" s="447" t="str">
        <f t="shared" si="2"/>
        <v>Indicates that the undertaking has omitted the data entry as it is deemed to be classified or sensitive information.</v>
      </c>
      <c r="C49" s="448" t="s">
        <v>3956</v>
      </c>
      <c r="D49" s="442" t="s">
        <v>3957</v>
      </c>
      <c r="E49" s="442" t="s">
        <v>3958</v>
      </c>
      <c r="F49" s="442" t="s">
        <v>3959</v>
      </c>
      <c r="G49" s="442" t="s">
        <v>3960</v>
      </c>
      <c r="H49" s="442" t="s">
        <v>3961</v>
      </c>
      <c r="I49" s="442" t="s">
        <v>3962</v>
      </c>
      <c r="J49" s="442" t="s">
        <v>3963</v>
      </c>
      <c r="K49" s="442" t="s">
        <v>3964</v>
      </c>
      <c r="L49" s="442" t="s">
        <v>3965</v>
      </c>
      <c r="M49" s="442" t="s">
        <v>3966</v>
      </c>
      <c r="N49" s="442" t="s">
        <v>3967</v>
      </c>
    </row>
    <row r="50" spans="1:14" hidden="1">
      <c r="A50" s="442" t="s">
        <v>3968</v>
      </c>
      <c r="B50" s="447" t="str">
        <f t="shared" si="2"/>
        <v>No value can be entered in the cell.</v>
      </c>
      <c r="C50" s="448" t="s">
        <v>3969</v>
      </c>
      <c r="D50" s="442" t="s">
        <v>3970</v>
      </c>
      <c r="E50" s="442" t="s">
        <v>3971</v>
      </c>
      <c r="F50" s="442" t="s">
        <v>3972</v>
      </c>
      <c r="G50" s="449" t="s">
        <v>3973</v>
      </c>
      <c r="H50" s="449" t="s">
        <v>3974</v>
      </c>
      <c r="I50" s="2" t="s">
        <v>3975</v>
      </c>
      <c r="J50" s="448" t="s">
        <v>3976</v>
      </c>
      <c r="K50" s="448" t="s">
        <v>3977</v>
      </c>
      <c r="L50" s="448" t="s">
        <v>3978</v>
      </c>
      <c r="M50" s="448" t="s">
        <v>3979</v>
      </c>
      <c r="N50" s="448" t="s">
        <v>3980</v>
      </c>
    </row>
    <row r="51" spans="1:14" ht="218.6" hidden="1">
      <c r="A51" s="442" t="s">
        <v>3981</v>
      </c>
      <c r="B51" s="447" t="str">
        <f t="shared" si="2"/>
        <v>Lists can be expanded using the plus [+] button on the left. If the number of rows is not sufficient, additional rows can be added by right clicking the second row and selecting "Insert row".</v>
      </c>
      <c r="C51" s="448" t="s">
        <v>3982</v>
      </c>
      <c r="D51" s="442" t="s">
        <v>3983</v>
      </c>
      <c r="E51" s="442" t="s">
        <v>3984</v>
      </c>
      <c r="F51" s="442" t="s">
        <v>3985</v>
      </c>
      <c r="G51" s="449" t="s">
        <v>3986</v>
      </c>
      <c r="H51" s="449" t="s">
        <v>3987</v>
      </c>
      <c r="I51" s="2" t="s">
        <v>3988</v>
      </c>
      <c r="J51" s="448" t="s">
        <v>3989</v>
      </c>
      <c r="K51" s="448" t="s">
        <v>3990</v>
      </c>
      <c r="L51" s="448" t="s">
        <v>3991</v>
      </c>
      <c r="M51" s="448" t="s">
        <v>3992</v>
      </c>
      <c r="N51" s="448" t="s">
        <v>3993</v>
      </c>
    </row>
    <row r="52" spans="1:14" ht="204" hidden="1">
      <c r="A52" s="442" t="s">
        <v>3994</v>
      </c>
      <c r="B52" s="447" t="str">
        <f t="shared" si="2"/>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52" s="448" t="s">
        <v>3995</v>
      </c>
      <c r="D52" s="442" t="s">
        <v>3996</v>
      </c>
      <c r="E52" s="442" t="s">
        <v>3997</v>
      </c>
      <c r="F52" s="442" t="s">
        <v>3998</v>
      </c>
      <c r="G52" s="449" t="s">
        <v>3999</v>
      </c>
      <c r="H52" s="449" t="s">
        <v>4000</v>
      </c>
      <c r="I52" s="2" t="s">
        <v>4001</v>
      </c>
      <c r="J52" s="448" t="s">
        <v>4002</v>
      </c>
      <c r="K52" s="448" t="s">
        <v>4003</v>
      </c>
      <c r="L52" s="448" t="s">
        <v>4004</v>
      </c>
      <c r="M52" s="448" t="s">
        <v>4005</v>
      </c>
      <c r="N52" s="448" t="s">
        <v>4006</v>
      </c>
    </row>
    <row r="53" spans="1:14" s="511" customFormat="1" ht="72.900000000000006" hidden="1">
      <c r="A53" s="547" t="s">
        <v>4007</v>
      </c>
      <c r="B53" s="559" t="str">
        <f t="shared" si="2"/>
        <v>For further details please contact efragsecretariat@efrag.org</v>
      </c>
      <c r="C53" s="547" t="s">
        <v>4008</v>
      </c>
      <c r="D53" s="547" t="s">
        <v>4009</v>
      </c>
      <c r="E53" s="547" t="s">
        <v>4010</v>
      </c>
      <c r="F53" s="547" t="s">
        <v>4011</v>
      </c>
      <c r="G53" s="560" t="s">
        <v>4012</v>
      </c>
      <c r="H53" s="560" t="s">
        <v>4013</v>
      </c>
      <c r="I53" s="558" t="s">
        <v>4014</v>
      </c>
      <c r="J53" s="550" t="s">
        <v>4015</v>
      </c>
      <c r="K53" s="550" t="s">
        <v>4016</v>
      </c>
      <c r="L53" s="550" t="s">
        <v>4017</v>
      </c>
      <c r="M53" s="550" t="s">
        <v>4018</v>
      </c>
      <c r="N53" s="550" t="s">
        <v>4019</v>
      </c>
    </row>
    <row r="54" spans="1:14" ht="29.15">
      <c r="A54" s="442" t="s">
        <v>4020</v>
      </c>
      <c r="B54" s="447" t="str">
        <f>INDEX(C54:N54,MATCH(template_selected_display_language,$C$3:$N$3,0))</f>
        <v>Narrative content provided as external DOCX file</v>
      </c>
      <c r="C54" s="442" t="s">
        <v>4021</v>
      </c>
      <c r="D54" s="442" t="s">
        <v>11037</v>
      </c>
      <c r="E54" s="442" t="s">
        <v>11038</v>
      </c>
      <c r="F54" s="442" t="s">
        <v>11039</v>
      </c>
      <c r="G54" s="442" t="s">
        <v>11040</v>
      </c>
      <c r="H54" s="442" t="s">
        <v>11041</v>
      </c>
      <c r="I54" s="442" t="s">
        <v>11042</v>
      </c>
      <c r="J54" s="442" t="s">
        <v>11043</v>
      </c>
      <c r="K54" s="442" t="s">
        <v>11044</v>
      </c>
      <c r="L54" s="442" t="s">
        <v>11045</v>
      </c>
      <c r="M54" s="442" t="s">
        <v>11046</v>
      </c>
      <c r="N54" s="442" t="s">
        <v>11047</v>
      </c>
    </row>
    <row r="55" spans="1:14" ht="29.15" hidden="1">
      <c r="A55" s="442" t="s">
        <v>4022</v>
      </c>
      <c r="B55" s="447" t="str">
        <f t="shared" si="2"/>
        <v>Checking this box will allow users to customizable DOCX files for narrative disclosures</v>
      </c>
      <c r="C55" s="448" t="s">
        <v>4023</v>
      </c>
      <c r="D55" s="442" t="s">
        <v>4024</v>
      </c>
      <c r="E55" s="442" t="s">
        <v>4025</v>
      </c>
      <c r="F55" s="442" t="s">
        <v>4025</v>
      </c>
      <c r="G55" s="442" t="s">
        <v>4025</v>
      </c>
      <c r="H55" s="442" t="s">
        <v>4025</v>
      </c>
      <c r="I55" s="442" t="s">
        <v>4025</v>
      </c>
      <c r="J55" s="442" t="s">
        <v>4025</v>
      </c>
      <c r="K55" s="442" t="s">
        <v>4025</v>
      </c>
      <c r="L55" s="442" t="s">
        <v>4025</v>
      </c>
      <c r="M55" s="442" t="s">
        <v>4025</v>
      </c>
      <c r="N55" s="442" t="s">
        <v>4025</v>
      </c>
    </row>
    <row r="56" spans="1:14" s="586" customFormat="1" ht="29.6" hidden="1" thickBot="1">
      <c r="A56" s="567" t="s">
        <v>4026</v>
      </c>
      <c r="B56" s="566" t="str">
        <f t="shared" si="2"/>
        <v>Undertaking with 10 or less employees: Please note that certain cells will be greyed out in the template</v>
      </c>
      <c r="C56" s="569" t="s">
        <v>4027</v>
      </c>
      <c r="D56" s="567" t="s">
        <v>4028</v>
      </c>
      <c r="E56" s="567" t="s">
        <v>4028</v>
      </c>
      <c r="F56" s="567" t="s">
        <v>4029</v>
      </c>
      <c r="G56" s="567" t="s">
        <v>4030</v>
      </c>
      <c r="H56" s="567" t="s">
        <v>4030</v>
      </c>
      <c r="I56" s="567" t="s">
        <v>4030</v>
      </c>
      <c r="J56" s="567" t="s">
        <v>4030</v>
      </c>
      <c r="K56" s="567" t="s">
        <v>4030</v>
      </c>
      <c r="L56" s="567" t="s">
        <v>4030</v>
      </c>
      <c r="M56" s="567" t="s">
        <v>4030</v>
      </c>
      <c r="N56" s="567" t="s">
        <v>4030</v>
      </c>
    </row>
    <row r="57" spans="1:14" ht="58.3" hidden="1">
      <c r="A57" s="442" t="s">
        <v>4031</v>
      </c>
      <c r="B57" s="447" t="str">
        <f>INDEX(C57:N57,MATCH(template_selected_display_language,$C$3:$N$3,0))</f>
        <v>Filling the checkboxes below will fill automatically the list of omitted disclosures in B1 (from row 123 to 172 within General Information sheet)</v>
      </c>
      <c r="C57" s="442" t="s">
        <v>4032</v>
      </c>
      <c r="D57" s="442" t="s">
        <v>4033</v>
      </c>
      <c r="E57" s="442" t="s">
        <v>4034</v>
      </c>
      <c r="F57" s="442" t="s">
        <v>4035</v>
      </c>
      <c r="G57" s="442" t="s">
        <v>4036</v>
      </c>
      <c r="H57" s="442" t="s">
        <v>4037</v>
      </c>
      <c r="I57" s="442" t="s">
        <v>4038</v>
      </c>
      <c r="J57" s="442" t="s">
        <v>4039</v>
      </c>
      <c r="K57" s="442" t="s">
        <v>4040</v>
      </c>
      <c r="L57" s="442" t="s">
        <v>4041</v>
      </c>
      <c r="M57" s="442" t="s">
        <v>4042</v>
      </c>
      <c r="N57" s="442" t="s">
        <v>4043</v>
      </c>
    </row>
    <row r="58" spans="1:14" ht="43.75" hidden="1">
      <c r="A58" s="442" t="s">
        <v>4044</v>
      </c>
      <c r="B58" s="447" t="str">
        <f t="shared" si="2"/>
        <v>Overall Validation Status</v>
      </c>
      <c r="C58" s="442" t="s">
        <v>4045</v>
      </c>
      <c r="D58" s="442" t="s">
        <v>4046</v>
      </c>
      <c r="E58" s="442" t="s">
        <v>4047</v>
      </c>
      <c r="F58" s="442" t="s">
        <v>4048</v>
      </c>
      <c r="G58" s="449" t="s">
        <v>4049</v>
      </c>
      <c r="H58" s="449" t="s">
        <v>4050</v>
      </c>
      <c r="I58" s="2" t="s">
        <v>4051</v>
      </c>
      <c r="J58" s="448" t="s">
        <v>4052</v>
      </c>
      <c r="K58" s="448" t="s">
        <v>4053</v>
      </c>
      <c r="L58" s="448" t="s">
        <v>4054</v>
      </c>
      <c r="M58" s="448" t="s">
        <v>4055</v>
      </c>
      <c r="N58" s="448" t="s">
        <v>4056</v>
      </c>
    </row>
    <row r="59" spans="1:14" hidden="1">
      <c r="A59" s="442" t="s">
        <v>4057</v>
      </c>
      <c r="B59" s="447" t="str">
        <f t="shared" si="2"/>
        <v>Table of Contents</v>
      </c>
      <c r="C59" s="442" t="s">
        <v>3484</v>
      </c>
      <c r="D59" s="442" t="s">
        <v>4058</v>
      </c>
      <c r="E59" s="442" t="s">
        <v>4059</v>
      </c>
      <c r="F59" s="442" t="s">
        <v>3487</v>
      </c>
      <c r="G59" s="449" t="s">
        <v>3488</v>
      </c>
      <c r="H59" s="449" t="s">
        <v>4060</v>
      </c>
      <c r="I59" s="2" t="s">
        <v>3490</v>
      </c>
      <c r="J59" s="448" t="s">
        <v>3491</v>
      </c>
      <c r="K59" s="448" t="s">
        <v>3492</v>
      </c>
      <c r="L59" s="448" t="s">
        <v>3493</v>
      </c>
      <c r="M59" s="448" t="s">
        <v>3494</v>
      </c>
      <c r="N59" s="448" t="s">
        <v>3493</v>
      </c>
    </row>
    <row r="60" spans="1:14" hidden="1">
      <c r="A60" s="442" t="s">
        <v>4061</v>
      </c>
      <c r="B60" s="447" t="str">
        <f t="shared" si="2"/>
        <v>Classified or sensitive information</v>
      </c>
      <c r="C60" s="442" t="s">
        <v>4062</v>
      </c>
      <c r="D60" s="442" t="s">
        <v>4063</v>
      </c>
      <c r="E60" s="442" t="s">
        <v>4064</v>
      </c>
      <c r="F60" s="442" t="s">
        <v>4065</v>
      </c>
      <c r="G60" s="442" t="s">
        <v>4066</v>
      </c>
      <c r="H60" s="442" t="s">
        <v>4067</v>
      </c>
      <c r="I60" s="442" t="s">
        <v>4068</v>
      </c>
      <c r="J60" s="442" t="s">
        <v>4069</v>
      </c>
      <c r="K60" s="442" t="s">
        <v>4070</v>
      </c>
      <c r="L60" s="442" t="s">
        <v>4071</v>
      </c>
      <c r="M60" s="442" t="s">
        <v>4072</v>
      </c>
      <c r="N60" s="442" t="s">
        <v>4073</v>
      </c>
    </row>
    <row r="61" spans="1:14" ht="43.75" hidden="1">
      <c r="A61" s="442" t="s">
        <v>4074</v>
      </c>
      <c r="B61" s="447" t="str">
        <f t="shared" si="2"/>
        <v>Contents grouping follows template's framework</v>
      </c>
      <c r="C61" s="442" t="s">
        <v>4075</v>
      </c>
      <c r="D61" s="442" t="s">
        <v>4076</v>
      </c>
      <c r="E61" s="442" t="s">
        <v>4077</v>
      </c>
      <c r="F61" s="442" t="s">
        <v>4078</v>
      </c>
      <c r="G61" s="449" t="s">
        <v>4079</v>
      </c>
      <c r="H61" s="449" t="s">
        <v>4080</v>
      </c>
      <c r="I61" s="2" t="s">
        <v>4081</v>
      </c>
      <c r="J61" s="448" t="s">
        <v>4082</v>
      </c>
      <c r="K61" s="448" t="s">
        <v>4083</v>
      </c>
      <c r="L61" s="448" t="s">
        <v>4084</v>
      </c>
      <c r="M61" s="448" t="s">
        <v>4085</v>
      </c>
      <c r="N61" s="448" t="s">
        <v>4086</v>
      </c>
    </row>
    <row r="62" spans="1:14" hidden="1">
      <c r="A62" s="442" t="s">
        <v>4087</v>
      </c>
      <c r="B62" s="447" t="str">
        <f t="shared" si="2"/>
        <v>Specific Content Validation Status</v>
      </c>
      <c r="C62" s="442" t="s">
        <v>4088</v>
      </c>
      <c r="D62" s="442" t="s">
        <v>4089</v>
      </c>
      <c r="E62" s="442" t="s">
        <v>4090</v>
      </c>
      <c r="F62" s="442" t="s">
        <v>4091</v>
      </c>
      <c r="G62" s="449" t="s">
        <v>4092</v>
      </c>
      <c r="H62" s="449" t="s">
        <v>4093</v>
      </c>
      <c r="I62" s="2" t="s">
        <v>4094</v>
      </c>
      <c r="J62" s="448" t="s">
        <v>4095</v>
      </c>
      <c r="K62" s="448" t="s">
        <v>4096</v>
      </c>
      <c r="L62" s="448" t="s">
        <v>4097</v>
      </c>
      <c r="M62" s="448" t="s">
        <v>4098</v>
      </c>
      <c r="N62" s="448" t="s">
        <v>4099</v>
      </c>
    </row>
    <row r="63" spans="1:14" ht="43.75" hidden="1">
      <c r="A63" s="442" t="s">
        <v>4100</v>
      </c>
      <c r="B63" s="447" t="str">
        <f t="shared" si="2"/>
        <v>General Information</v>
      </c>
      <c r="C63" s="442" t="s">
        <v>4101</v>
      </c>
      <c r="D63" s="442" t="s">
        <v>4102</v>
      </c>
      <c r="E63" s="442" t="s">
        <v>4103</v>
      </c>
      <c r="F63" s="442" t="s">
        <v>4104</v>
      </c>
      <c r="G63" s="449" t="s">
        <v>4105</v>
      </c>
      <c r="H63" s="449" t="s">
        <v>4106</v>
      </c>
      <c r="I63" s="2" t="s">
        <v>4107</v>
      </c>
      <c r="J63" s="448" t="s">
        <v>4108</v>
      </c>
      <c r="K63" s="448" t="s">
        <v>4109</v>
      </c>
      <c r="L63" s="448" t="s">
        <v>4110</v>
      </c>
      <c r="M63" s="448" t="s">
        <v>4111</v>
      </c>
      <c r="N63" s="448" t="s">
        <v>4112</v>
      </c>
    </row>
    <row r="64" spans="1:14" hidden="1">
      <c r="A64" s="442" t="s">
        <v>4113</v>
      </c>
      <c r="B64" s="447" t="str">
        <f t="shared" si="2"/>
        <v>Information on the report necessary for  XBRL</v>
      </c>
      <c r="C64" s="442" t="s">
        <v>4114</v>
      </c>
      <c r="D64" s="442" t="s">
        <v>4115</v>
      </c>
      <c r="E64" s="442" t="s">
        <v>4116</v>
      </c>
      <c r="F64" s="442" t="s">
        <v>4117</v>
      </c>
      <c r="G64" s="449" t="s">
        <v>4118</v>
      </c>
      <c r="H64" s="449" t="s">
        <v>4119</v>
      </c>
      <c r="I64" s="2" t="s">
        <v>4120</v>
      </c>
      <c r="J64" s="448" t="s">
        <v>4121</v>
      </c>
      <c r="K64" s="448" t="s">
        <v>4122</v>
      </c>
      <c r="L64" s="448" t="s">
        <v>4123</v>
      </c>
      <c r="M64" s="448" t="s">
        <v>4124</v>
      </c>
      <c r="N64" s="448" t="s">
        <v>4125</v>
      </c>
    </row>
    <row r="65" spans="1:14" ht="72.900000000000006" hidden="1">
      <c r="A65" s="442" t="s">
        <v>4126</v>
      </c>
      <c r="B65" s="447" t="str">
        <f t="shared" si="2"/>
        <v>Information on previous reporting period</v>
      </c>
      <c r="C65" s="442" t="s">
        <v>4127</v>
      </c>
      <c r="D65" s="442" t="s">
        <v>4128</v>
      </c>
      <c r="E65" s="442" t="s">
        <v>4129</v>
      </c>
      <c r="F65" s="442" t="s">
        <v>4130</v>
      </c>
      <c r="G65" s="449" t="s">
        <v>4131</v>
      </c>
      <c r="H65" s="449" t="s">
        <v>4132</v>
      </c>
      <c r="I65" s="2" t="s">
        <v>4133</v>
      </c>
      <c r="J65" s="448" t="s">
        <v>4134</v>
      </c>
      <c r="K65" s="448" t="s">
        <v>4135</v>
      </c>
      <c r="L65" s="448" t="s">
        <v>4136</v>
      </c>
      <c r="M65" s="448" t="s">
        <v>4137</v>
      </c>
      <c r="N65" s="448" t="s">
        <v>4138</v>
      </c>
    </row>
    <row r="66" spans="1:14" hidden="1">
      <c r="A66" s="442" t="s">
        <v>4139</v>
      </c>
      <c r="B66" s="447" t="str">
        <f t="shared" si="2"/>
        <v>Basic Module</v>
      </c>
      <c r="C66" s="442" t="s">
        <v>3805</v>
      </c>
      <c r="D66" s="442" t="s">
        <v>3809</v>
      </c>
      <c r="E66" s="442" t="s">
        <v>3807</v>
      </c>
      <c r="F66" s="442" t="s">
        <v>4140</v>
      </c>
      <c r="G66" s="449" t="s">
        <v>3809</v>
      </c>
      <c r="H66" s="449" t="s">
        <v>3810</v>
      </c>
      <c r="I66" s="2" t="s">
        <v>3811</v>
      </c>
      <c r="J66" s="448" t="s">
        <v>3812</v>
      </c>
      <c r="K66" s="448" t="s">
        <v>3813</v>
      </c>
      <c r="L66" s="448" t="s">
        <v>3814</v>
      </c>
      <c r="M66" s="448" t="s">
        <v>3815</v>
      </c>
      <c r="N66" s="448" t="s">
        <v>3816</v>
      </c>
    </row>
    <row r="67" spans="1:14" hidden="1">
      <c r="A67" s="442" t="s">
        <v>4141</v>
      </c>
      <c r="B67" s="447" t="str">
        <f t="shared" si="2"/>
        <v>B1 - Basis for Preparation</v>
      </c>
      <c r="C67" s="442" t="s">
        <v>4142</v>
      </c>
      <c r="D67" s="442" t="s">
        <v>4143</v>
      </c>
      <c r="E67" s="442" t="s">
        <v>4144</v>
      </c>
      <c r="F67" s="442" t="s">
        <v>4145</v>
      </c>
      <c r="G67" s="449" t="s">
        <v>4146</v>
      </c>
      <c r="H67" s="449" t="s">
        <v>4147</v>
      </c>
      <c r="I67" s="2" t="s">
        <v>4148</v>
      </c>
      <c r="J67" s="448" t="s">
        <v>4149</v>
      </c>
      <c r="K67" s="448" t="s">
        <v>4150</v>
      </c>
      <c r="L67" s="448" t="s">
        <v>4151</v>
      </c>
      <c r="M67" s="448" t="s">
        <v>4152</v>
      </c>
      <c r="N67" s="448" t="s">
        <v>4153</v>
      </c>
    </row>
    <row r="68" spans="1:14" ht="29.15" hidden="1">
      <c r="A68" s="442" t="s">
        <v>4154</v>
      </c>
      <c r="B68" s="447" t="str">
        <f t="shared" si="2"/>
        <v xml:space="preserve">B2 - Practices, policies and future initiatives for transitioning towards a more sustainable economy </v>
      </c>
      <c r="C68" s="2" t="s">
        <v>4155</v>
      </c>
      <c r="D68" s="2" t="s">
        <v>4156</v>
      </c>
      <c r="E68" s="2" t="s">
        <v>4157</v>
      </c>
      <c r="F68" s="2" t="s">
        <v>4158</v>
      </c>
      <c r="G68" s="2" t="s">
        <v>4159</v>
      </c>
      <c r="H68" s="2" t="s">
        <v>4160</v>
      </c>
      <c r="I68" s="2" t="s">
        <v>4161</v>
      </c>
      <c r="J68" s="2" t="s">
        <v>4162</v>
      </c>
      <c r="K68" s="2" t="s">
        <v>4163</v>
      </c>
      <c r="L68" s="2" t="s">
        <v>4164</v>
      </c>
      <c r="M68" s="2" t="s">
        <v>4165</v>
      </c>
      <c r="N68" s="2" t="s">
        <v>4166</v>
      </c>
    </row>
    <row r="69" spans="1:14" hidden="1">
      <c r="A69" s="442" t="s">
        <v>4167</v>
      </c>
      <c r="B69" s="447" t="str">
        <f t="shared" ref="B69:B102" si="3">INDEX(C69:N69,MATCH(template_selected_display_language,$C$3:$N$3,0))</f>
        <v>Environmental Disclosures</v>
      </c>
      <c r="C69" s="442" t="s">
        <v>4168</v>
      </c>
      <c r="D69" s="442" t="s">
        <v>4169</v>
      </c>
      <c r="E69" s="442" t="s">
        <v>4170</v>
      </c>
      <c r="F69" s="442" t="s">
        <v>4171</v>
      </c>
      <c r="G69" s="449" t="s">
        <v>4172</v>
      </c>
      <c r="H69" s="449" t="s">
        <v>4173</v>
      </c>
      <c r="I69" s="2" t="s">
        <v>4174</v>
      </c>
      <c r="J69" s="448" t="s">
        <v>4175</v>
      </c>
      <c r="K69" s="448" t="s">
        <v>4176</v>
      </c>
      <c r="L69" s="448" t="s">
        <v>4177</v>
      </c>
      <c r="M69" s="448" t="s">
        <v>4178</v>
      </c>
      <c r="N69" s="448" t="s">
        <v>4179</v>
      </c>
    </row>
    <row r="70" spans="1:14" hidden="1">
      <c r="A70" s="442" t="s">
        <v>4180</v>
      </c>
      <c r="B70" s="447" t="str">
        <f t="shared" si="3"/>
        <v>B3 - Energy and greenhouse gas emissions</v>
      </c>
      <c r="C70" s="442" t="s">
        <v>4181</v>
      </c>
      <c r="D70" s="442" t="s">
        <v>4182</v>
      </c>
      <c r="E70" s="442" t="s">
        <v>4183</v>
      </c>
      <c r="F70" s="442" t="s">
        <v>4184</v>
      </c>
      <c r="G70" s="449" t="s">
        <v>4185</v>
      </c>
      <c r="H70" s="449" t="s">
        <v>4186</v>
      </c>
      <c r="I70" s="2" t="s">
        <v>4187</v>
      </c>
      <c r="J70" s="448" t="s">
        <v>4188</v>
      </c>
      <c r="K70" s="448" t="s">
        <v>4189</v>
      </c>
      <c r="L70" s="448" t="s">
        <v>4190</v>
      </c>
      <c r="M70" s="448" t="s">
        <v>4191</v>
      </c>
      <c r="N70" s="448" t="s">
        <v>4192</v>
      </c>
    </row>
    <row r="71" spans="1:14" hidden="1">
      <c r="A71" s="442" t="s">
        <v>4193</v>
      </c>
      <c r="B71" s="447" t="str">
        <f t="shared" si="3"/>
        <v>B4 - Pollution of air, water and soil</v>
      </c>
      <c r="C71" s="442" t="s">
        <v>4194</v>
      </c>
      <c r="D71" s="442" t="s">
        <v>4195</v>
      </c>
      <c r="E71" s="442" t="s">
        <v>4196</v>
      </c>
      <c r="F71" s="442" t="s">
        <v>4197</v>
      </c>
      <c r="G71" s="449" t="s">
        <v>4198</v>
      </c>
      <c r="H71" s="449" t="s">
        <v>4199</v>
      </c>
      <c r="I71" s="2" t="s">
        <v>4200</v>
      </c>
      <c r="J71" s="448" t="s">
        <v>4201</v>
      </c>
      <c r="K71" s="448" t="s">
        <v>4202</v>
      </c>
      <c r="L71" s="448" t="s">
        <v>4203</v>
      </c>
      <c r="M71" s="448" t="s">
        <v>4204</v>
      </c>
      <c r="N71" s="448" t="s">
        <v>4205</v>
      </c>
    </row>
    <row r="72" spans="1:14" ht="43.75" hidden="1">
      <c r="A72" s="442" t="s">
        <v>4206</v>
      </c>
      <c r="B72" s="447" t="str">
        <f t="shared" si="3"/>
        <v>B5 - Biodiversity</v>
      </c>
      <c r="C72" s="442" t="s">
        <v>4207</v>
      </c>
      <c r="D72" s="442" t="s">
        <v>4208</v>
      </c>
      <c r="E72" s="442" t="s">
        <v>4209</v>
      </c>
      <c r="F72" s="442" t="s">
        <v>4210</v>
      </c>
      <c r="G72" s="449" t="s">
        <v>4211</v>
      </c>
      <c r="H72" s="449" t="s">
        <v>4212</v>
      </c>
      <c r="I72" s="2" t="s">
        <v>4213</v>
      </c>
      <c r="J72" s="448" t="s">
        <v>4214</v>
      </c>
      <c r="K72" s="448" t="s">
        <v>4215</v>
      </c>
      <c r="L72" s="448" t="s">
        <v>4216</v>
      </c>
      <c r="M72" s="448" t="s">
        <v>4217</v>
      </c>
      <c r="N72" s="448" t="s">
        <v>4218</v>
      </c>
    </row>
    <row r="73" spans="1:14" hidden="1">
      <c r="A73" s="442" t="s">
        <v>4219</v>
      </c>
      <c r="B73" s="447" t="str">
        <f t="shared" si="3"/>
        <v>B6 - Water</v>
      </c>
      <c r="C73" s="442" t="s">
        <v>4220</v>
      </c>
      <c r="D73" s="442" t="s">
        <v>4221</v>
      </c>
      <c r="E73" s="442" t="s">
        <v>4222</v>
      </c>
      <c r="F73" s="442" t="s">
        <v>4223</v>
      </c>
      <c r="G73" s="449" t="s">
        <v>4224</v>
      </c>
      <c r="H73" s="449" t="s">
        <v>4225</v>
      </c>
      <c r="I73" s="2" t="s">
        <v>4226</v>
      </c>
      <c r="J73" s="448" t="s">
        <v>4227</v>
      </c>
      <c r="K73" s="448" t="s">
        <v>4228</v>
      </c>
      <c r="L73" s="448" t="s">
        <v>4229</v>
      </c>
      <c r="M73" s="448" t="s">
        <v>4230</v>
      </c>
      <c r="N73" s="448" t="s">
        <v>4231</v>
      </c>
    </row>
    <row r="74" spans="1:14" ht="54" hidden="1" customHeight="1">
      <c r="A74" s="442" t="s">
        <v>4232</v>
      </c>
      <c r="B74" s="447" t="str">
        <f t="shared" si="3"/>
        <v>B7 - Resource use, circular economy and waste management</v>
      </c>
      <c r="C74" s="442" t="s">
        <v>4233</v>
      </c>
      <c r="D74" s="442" t="s">
        <v>4234</v>
      </c>
      <c r="E74" s="442" t="s">
        <v>4235</v>
      </c>
      <c r="F74" s="442" t="s">
        <v>4236</v>
      </c>
      <c r="G74" s="449" t="s">
        <v>4237</v>
      </c>
      <c r="H74" s="449" t="s">
        <v>4238</v>
      </c>
      <c r="I74" s="2" t="s">
        <v>4239</v>
      </c>
      <c r="J74" s="448" t="s">
        <v>4240</v>
      </c>
      <c r="K74" s="448" t="s">
        <v>4241</v>
      </c>
      <c r="L74" s="448" t="s">
        <v>4242</v>
      </c>
      <c r="M74" s="448" t="s">
        <v>4243</v>
      </c>
      <c r="N74" s="448" t="s">
        <v>4244</v>
      </c>
    </row>
    <row r="75" spans="1:14" hidden="1">
      <c r="A75" s="442" t="s">
        <v>4245</v>
      </c>
      <c r="B75" s="447" t="str">
        <f t="shared" si="3"/>
        <v>Social Disclosures</v>
      </c>
      <c r="C75" s="442" t="s">
        <v>4246</v>
      </c>
      <c r="D75" s="442" t="s">
        <v>4247</v>
      </c>
      <c r="E75" s="442" t="s">
        <v>4248</v>
      </c>
      <c r="F75" s="442" t="s">
        <v>4249</v>
      </c>
      <c r="G75" s="449" t="s">
        <v>4250</v>
      </c>
      <c r="H75" s="449" t="s">
        <v>4251</v>
      </c>
      <c r="I75" s="2" t="s">
        <v>4252</v>
      </c>
      <c r="J75" s="448" t="s">
        <v>4253</v>
      </c>
      <c r="K75" s="448" t="s">
        <v>4254</v>
      </c>
      <c r="L75" s="448" t="s">
        <v>4255</v>
      </c>
      <c r="M75" s="448" t="s">
        <v>4256</v>
      </c>
      <c r="N75" s="448" t="s">
        <v>4257</v>
      </c>
    </row>
    <row r="76" spans="1:14" hidden="1">
      <c r="A76" s="442" t="s">
        <v>4258</v>
      </c>
      <c r="B76" s="447" t="str">
        <f t="shared" si="3"/>
        <v>B8 - Workforce - General characteristics</v>
      </c>
      <c r="C76" s="442" t="s">
        <v>4259</v>
      </c>
      <c r="D76" s="442" t="s">
        <v>4260</v>
      </c>
      <c r="E76" s="442" t="s">
        <v>4261</v>
      </c>
      <c r="F76" s="442" t="s">
        <v>4262</v>
      </c>
      <c r="G76" s="449" t="s">
        <v>4263</v>
      </c>
      <c r="H76" s="449" t="s">
        <v>4264</v>
      </c>
      <c r="I76" s="2" t="s">
        <v>4265</v>
      </c>
      <c r="J76" s="448" t="s">
        <v>4266</v>
      </c>
      <c r="K76" s="448" t="s">
        <v>4267</v>
      </c>
      <c r="L76" s="448" t="s">
        <v>4268</v>
      </c>
      <c r="M76" s="448" t="s">
        <v>4269</v>
      </c>
      <c r="N76" s="448" t="s">
        <v>4270</v>
      </c>
    </row>
    <row r="77" spans="1:14" hidden="1">
      <c r="A77" s="442" t="s">
        <v>4271</v>
      </c>
      <c r="B77" s="447" t="str">
        <f t="shared" si="3"/>
        <v>B9 - Workforce - Health and safety</v>
      </c>
      <c r="C77" s="442" t="s">
        <v>4272</v>
      </c>
      <c r="D77" s="442" t="s">
        <v>4273</v>
      </c>
      <c r="E77" s="442" t="s">
        <v>4274</v>
      </c>
      <c r="F77" s="442" t="s">
        <v>4275</v>
      </c>
      <c r="G77" s="449" t="s">
        <v>4276</v>
      </c>
      <c r="H77" s="449" t="s">
        <v>4277</v>
      </c>
      <c r="I77" s="2" t="s">
        <v>4278</v>
      </c>
      <c r="J77" s="448" t="s">
        <v>4279</v>
      </c>
      <c r="K77" s="448" t="s">
        <v>4280</v>
      </c>
      <c r="L77" s="448" t="s">
        <v>4281</v>
      </c>
      <c r="M77" s="448" t="s">
        <v>4282</v>
      </c>
      <c r="N77" s="448" t="s">
        <v>4283</v>
      </c>
    </row>
    <row r="78" spans="1:14" ht="58.3" hidden="1">
      <c r="A78" s="442" t="s">
        <v>4284</v>
      </c>
      <c r="B78" s="447" t="str">
        <f t="shared" si="3"/>
        <v>B10 - Workforce - Remuneration, collective bargaining and training</v>
      </c>
      <c r="C78" s="442" t="s">
        <v>4285</v>
      </c>
      <c r="D78" s="442" t="s">
        <v>4286</v>
      </c>
      <c r="E78" s="442" t="s">
        <v>4287</v>
      </c>
      <c r="F78" s="442" t="s">
        <v>4288</v>
      </c>
      <c r="G78" s="449" t="s">
        <v>4289</v>
      </c>
      <c r="H78" s="449" t="s">
        <v>4290</v>
      </c>
      <c r="I78" s="2" t="s">
        <v>4291</v>
      </c>
      <c r="J78" s="448" t="s">
        <v>4292</v>
      </c>
      <c r="K78" s="448" t="s">
        <v>4293</v>
      </c>
      <c r="L78" s="448" t="s">
        <v>4294</v>
      </c>
      <c r="M78" s="448" t="s">
        <v>4295</v>
      </c>
      <c r="N78" s="448" t="s">
        <v>4296</v>
      </c>
    </row>
    <row r="79" spans="1:14" hidden="1">
      <c r="A79" s="442" t="s">
        <v>4297</v>
      </c>
      <c r="B79" s="447" t="str">
        <f t="shared" si="3"/>
        <v>Governance Disclosures</v>
      </c>
      <c r="C79" s="442" t="s">
        <v>4298</v>
      </c>
      <c r="D79" s="442" t="s">
        <v>4299</v>
      </c>
      <c r="E79" s="442" t="s">
        <v>4300</v>
      </c>
      <c r="F79" s="442" t="s">
        <v>4301</v>
      </c>
      <c r="G79" s="449" t="s">
        <v>4302</v>
      </c>
      <c r="H79" s="449" t="s">
        <v>4303</v>
      </c>
      <c r="I79" s="2" t="s">
        <v>4304</v>
      </c>
      <c r="J79" s="448" t="s">
        <v>4305</v>
      </c>
      <c r="K79" s="448" t="s">
        <v>4306</v>
      </c>
      <c r="L79" s="448" t="s">
        <v>4307</v>
      </c>
      <c r="M79" s="448" t="s">
        <v>4308</v>
      </c>
      <c r="N79" s="448" t="s">
        <v>4309</v>
      </c>
    </row>
    <row r="80" spans="1:14" ht="43.75" hidden="1">
      <c r="A80" s="442" t="s">
        <v>4310</v>
      </c>
      <c r="B80" s="447" t="str">
        <f t="shared" si="3"/>
        <v>B11 - Convictions and fines for corruption and bribery</v>
      </c>
      <c r="C80" s="442" t="s">
        <v>4311</v>
      </c>
      <c r="D80" s="442" t="s">
        <v>4312</v>
      </c>
      <c r="E80" s="442" t="s">
        <v>4313</v>
      </c>
      <c r="F80" s="442" t="s">
        <v>4314</v>
      </c>
      <c r="G80" s="449" t="s">
        <v>4315</v>
      </c>
      <c r="H80" s="449" t="s">
        <v>4316</v>
      </c>
      <c r="I80" s="2" t="s">
        <v>4317</v>
      </c>
      <c r="J80" s="448" t="s">
        <v>4318</v>
      </c>
      <c r="K80" s="448" t="s">
        <v>4319</v>
      </c>
      <c r="L80" s="448" t="s">
        <v>4320</v>
      </c>
      <c r="M80" s="448" t="s">
        <v>4321</v>
      </c>
      <c r="N80" s="448" t="s">
        <v>4322</v>
      </c>
    </row>
    <row r="81" spans="1:14" hidden="1">
      <c r="A81" s="442" t="s">
        <v>4323</v>
      </c>
      <c r="B81" s="447" t="str">
        <f t="shared" si="3"/>
        <v>Comprehensive Module</v>
      </c>
      <c r="C81" s="442" t="s">
        <v>3831</v>
      </c>
      <c r="D81" s="442" t="s">
        <v>4324</v>
      </c>
      <c r="E81" s="442" t="s">
        <v>3833</v>
      </c>
      <c r="F81" s="442" t="s">
        <v>3821</v>
      </c>
      <c r="G81" s="449" t="s">
        <v>3835</v>
      </c>
      <c r="H81" s="449" t="s">
        <v>3836</v>
      </c>
      <c r="I81" s="2" t="s">
        <v>4325</v>
      </c>
      <c r="J81" s="448" t="s">
        <v>4326</v>
      </c>
      <c r="K81" s="448" t="s">
        <v>3839</v>
      </c>
      <c r="L81" s="448" t="s">
        <v>4327</v>
      </c>
      <c r="M81" s="448" t="s">
        <v>3840</v>
      </c>
      <c r="N81" s="448" t="s">
        <v>3841</v>
      </c>
    </row>
    <row r="82" spans="1:14" ht="58.3" hidden="1">
      <c r="A82" s="442" t="s">
        <v>4328</v>
      </c>
      <c r="B82" s="447" t="str">
        <f t="shared" si="3"/>
        <v>C1 - Strategy: Business Model and Sustainability - Related Initiatives</v>
      </c>
      <c r="C82" s="442" t="s">
        <v>4329</v>
      </c>
      <c r="D82" s="442" t="s">
        <v>4330</v>
      </c>
      <c r="E82" s="442" t="s">
        <v>4331</v>
      </c>
      <c r="F82" s="442" t="s">
        <v>4332</v>
      </c>
      <c r="G82" s="449" t="s">
        <v>4333</v>
      </c>
      <c r="H82" s="449" t="s">
        <v>4334</v>
      </c>
      <c r="I82" s="2" t="s">
        <v>4335</v>
      </c>
      <c r="J82" s="448" t="s">
        <v>4336</v>
      </c>
      <c r="K82" s="448" t="s">
        <v>4337</v>
      </c>
      <c r="L82" s="448" t="s">
        <v>4338</v>
      </c>
      <c r="M82" s="448" t="s">
        <v>4339</v>
      </c>
      <c r="N82" s="448" t="s">
        <v>4340</v>
      </c>
    </row>
    <row r="83" spans="1:14" ht="43.75" hidden="1">
      <c r="A83" s="442" t="s">
        <v>4341</v>
      </c>
      <c r="B83" s="447" t="str">
        <f t="shared" si="3"/>
        <v>C2 - Description of practices, policies and future initiatives for transitioning towards a more sustainable economy</v>
      </c>
      <c r="C83" s="442" t="s">
        <v>4342</v>
      </c>
      <c r="D83" s="442" t="s">
        <v>4343</v>
      </c>
      <c r="E83" s="442" t="s">
        <v>4344</v>
      </c>
      <c r="F83" s="442" t="s">
        <v>4345</v>
      </c>
      <c r="G83" s="449" t="s">
        <v>4346</v>
      </c>
      <c r="H83" s="449" t="s">
        <v>4347</v>
      </c>
      <c r="I83" s="2" t="s">
        <v>4348</v>
      </c>
      <c r="J83" s="448" t="s">
        <v>4349</v>
      </c>
      <c r="K83" s="448" t="s">
        <v>4350</v>
      </c>
      <c r="L83" s="448" t="s">
        <v>4351</v>
      </c>
      <c r="M83" s="448" t="s">
        <v>4352</v>
      </c>
      <c r="N83" s="448" t="s">
        <v>4353</v>
      </c>
    </row>
    <row r="84" spans="1:14" ht="29.15" hidden="1">
      <c r="A84" s="442" t="s">
        <v>4354</v>
      </c>
      <c r="B84" s="447" t="str">
        <f t="shared" si="3"/>
        <v>C3 - GHG reduction targets and climate transition</v>
      </c>
      <c r="C84" s="442" t="s">
        <v>4355</v>
      </c>
      <c r="D84" s="442" t="s">
        <v>4356</v>
      </c>
      <c r="E84" s="442" t="s">
        <v>4357</v>
      </c>
      <c r="F84" s="442" t="s">
        <v>4358</v>
      </c>
      <c r="G84" s="449" t="s">
        <v>4359</v>
      </c>
      <c r="H84" s="449" t="s">
        <v>4360</v>
      </c>
      <c r="I84" s="2" t="s">
        <v>4361</v>
      </c>
      <c r="J84" s="448" t="s">
        <v>4362</v>
      </c>
      <c r="K84" s="448" t="s">
        <v>4363</v>
      </c>
      <c r="L84" s="448" t="s">
        <v>4364</v>
      </c>
      <c r="M84" s="448" t="s">
        <v>4365</v>
      </c>
      <c r="N84" s="448" t="s">
        <v>4366</v>
      </c>
    </row>
    <row r="85" spans="1:14" hidden="1">
      <c r="A85" s="442" t="s">
        <v>4367</v>
      </c>
      <c r="B85" s="447" t="str">
        <f t="shared" si="3"/>
        <v>C4 - Climate risks</v>
      </c>
      <c r="C85" s="442" t="s">
        <v>4368</v>
      </c>
      <c r="D85" s="442" t="s">
        <v>4369</v>
      </c>
      <c r="E85" s="442" t="s">
        <v>4370</v>
      </c>
      <c r="F85" s="442" t="s">
        <v>4371</v>
      </c>
      <c r="G85" s="449" t="s">
        <v>4372</v>
      </c>
      <c r="H85" s="449" t="s">
        <v>4373</v>
      </c>
      <c r="I85" s="2" t="s">
        <v>4374</v>
      </c>
      <c r="J85" s="448" t="s">
        <v>4375</v>
      </c>
      <c r="K85" s="448" t="s">
        <v>4376</v>
      </c>
      <c r="L85" s="448" t="s">
        <v>4377</v>
      </c>
      <c r="M85" s="448" t="s">
        <v>4378</v>
      </c>
      <c r="N85" s="448" t="s">
        <v>4379</v>
      </c>
    </row>
    <row r="86" spans="1:14" ht="29.15" hidden="1">
      <c r="A86" s="442" t="s">
        <v>4380</v>
      </c>
      <c r="B86" s="447" t="str">
        <f t="shared" si="3"/>
        <v>C5 - Additional (general) workforce characteristics</v>
      </c>
      <c r="C86" s="442" t="s">
        <v>4381</v>
      </c>
      <c r="D86" s="442" t="s">
        <v>4382</v>
      </c>
      <c r="E86" s="442" t="s">
        <v>4383</v>
      </c>
      <c r="F86" s="442" t="s">
        <v>4384</v>
      </c>
      <c r="G86" s="449" t="s">
        <v>4385</v>
      </c>
      <c r="H86" s="449" t="s">
        <v>4386</v>
      </c>
      <c r="I86" s="2" t="s">
        <v>4387</v>
      </c>
      <c r="J86" s="448" t="s">
        <v>4388</v>
      </c>
      <c r="K86" s="448" t="s">
        <v>4389</v>
      </c>
      <c r="L86" s="448" t="s">
        <v>4390</v>
      </c>
      <c r="M86" s="448" t="s">
        <v>4391</v>
      </c>
      <c r="N86" s="448" t="s">
        <v>4392</v>
      </c>
    </row>
    <row r="87" spans="1:14" ht="58.3" hidden="1">
      <c r="A87" s="442" t="s">
        <v>4393</v>
      </c>
      <c r="B87" s="447" t="str">
        <f t="shared" si="3"/>
        <v>C6 - Additional own workforce information - Human rights policies and processes</v>
      </c>
      <c r="C87" s="442" t="s">
        <v>4394</v>
      </c>
      <c r="D87" s="442" t="s">
        <v>4395</v>
      </c>
      <c r="E87" s="442" t="s">
        <v>4396</v>
      </c>
      <c r="F87" s="442" t="s">
        <v>4397</v>
      </c>
      <c r="G87" s="449" t="s">
        <v>4398</v>
      </c>
      <c r="H87" s="449" t="s">
        <v>4399</v>
      </c>
      <c r="I87" s="2" t="s">
        <v>4400</v>
      </c>
      <c r="J87" s="448" t="s">
        <v>4401</v>
      </c>
      <c r="K87" s="448" t="s">
        <v>4402</v>
      </c>
      <c r="L87" s="448" t="s">
        <v>4403</v>
      </c>
      <c r="M87" s="448" t="s">
        <v>4404</v>
      </c>
      <c r="N87" s="448" t="s">
        <v>4405</v>
      </c>
    </row>
    <row r="88" spans="1:14" s="511" customFormat="1" ht="43.75" hidden="1">
      <c r="A88" s="547" t="s">
        <v>4406</v>
      </c>
      <c r="B88" s="559" t="str">
        <f>INDEX(C88:N88,MATCH(template_selected_display_language,$C$3:$N$3,0))</f>
        <v>C7 - Human rights incidents</v>
      </c>
      <c r="C88" s="547" t="s">
        <v>4407</v>
      </c>
      <c r="D88" s="547" t="s">
        <v>4408</v>
      </c>
      <c r="E88" s="547" t="s">
        <v>4409</v>
      </c>
      <c r="F88" s="547" t="s">
        <v>4410</v>
      </c>
      <c r="G88" s="560" t="s">
        <v>4411</v>
      </c>
      <c r="H88" s="560" t="s">
        <v>4412</v>
      </c>
      <c r="I88" s="558" t="s">
        <v>4413</v>
      </c>
      <c r="J88" s="550" t="s">
        <v>4414</v>
      </c>
      <c r="K88" s="550" t="s">
        <v>4415</v>
      </c>
      <c r="L88" s="550" t="s">
        <v>4416</v>
      </c>
      <c r="M88" s="550" t="s">
        <v>4417</v>
      </c>
      <c r="N88" s="550" t="s">
        <v>4418</v>
      </c>
    </row>
    <row r="89" spans="1:14" s="511" customFormat="1" ht="29.15" hidden="1">
      <c r="A89" s="547" t="s">
        <v>4419</v>
      </c>
      <c r="B89" s="559" t="str">
        <f t="shared" si="3"/>
        <v>C8 - Revenues from certain activities</v>
      </c>
      <c r="C89" s="547" t="s">
        <v>4420</v>
      </c>
      <c r="D89" s="547" t="s">
        <v>4421</v>
      </c>
      <c r="E89" s="547" t="s">
        <v>4422</v>
      </c>
      <c r="F89" s="547" t="s">
        <v>4423</v>
      </c>
      <c r="G89" s="560" t="s">
        <v>4424</v>
      </c>
      <c r="H89" s="560" t="s">
        <v>4425</v>
      </c>
      <c r="I89" s="558" t="s">
        <v>4426</v>
      </c>
      <c r="J89" s="550" t="s">
        <v>4427</v>
      </c>
      <c r="K89" s="550" t="s">
        <v>4428</v>
      </c>
      <c r="L89" s="550" t="s">
        <v>4429</v>
      </c>
      <c r="M89" s="550" t="s">
        <v>4430</v>
      </c>
      <c r="N89" s="550" t="s">
        <v>4431</v>
      </c>
    </row>
    <row r="90" spans="1:14" ht="29.15" hidden="1">
      <c r="A90" s="442" t="s">
        <v>4432</v>
      </c>
      <c r="B90" s="447" t="str">
        <f t="shared" si="3"/>
        <v>C9 - Gender diversity ratio in the governance body</v>
      </c>
      <c r="C90" s="442" t="s">
        <v>4433</v>
      </c>
      <c r="D90" s="442" t="s">
        <v>4434</v>
      </c>
      <c r="E90" s="442" t="s">
        <v>4435</v>
      </c>
      <c r="F90" s="442" t="s">
        <v>4436</v>
      </c>
      <c r="G90" s="449" t="s">
        <v>4437</v>
      </c>
      <c r="H90" s="449" t="s">
        <v>4438</v>
      </c>
      <c r="I90" s="2" t="s">
        <v>4439</v>
      </c>
      <c r="J90" s="448" t="s">
        <v>4440</v>
      </c>
      <c r="K90" s="448" t="s">
        <v>4441</v>
      </c>
      <c r="L90" s="448" t="s">
        <v>4442</v>
      </c>
      <c r="M90" s="448" t="s">
        <v>4443</v>
      </c>
      <c r="N90" s="448" t="s">
        <v>4444</v>
      </c>
    </row>
    <row r="91" spans="1:14" hidden="1">
      <c r="A91" s="442" t="s">
        <v>4445</v>
      </c>
      <c r="B91" s="447" t="str">
        <f t="shared" si="3"/>
        <v>Additional Disclosures</v>
      </c>
      <c r="C91" s="442" t="s">
        <v>4446</v>
      </c>
      <c r="D91" s="442" t="s">
        <v>4447</v>
      </c>
      <c r="E91" s="442" t="s">
        <v>4448</v>
      </c>
      <c r="F91" s="442" t="s">
        <v>4449</v>
      </c>
      <c r="G91" s="449" t="s">
        <v>4450</v>
      </c>
      <c r="H91" s="449" t="s">
        <v>4451</v>
      </c>
      <c r="I91" s="2" t="s">
        <v>4452</v>
      </c>
      <c r="J91" s="448" t="s">
        <v>4453</v>
      </c>
      <c r="K91" s="448" t="s">
        <v>4454</v>
      </c>
      <c r="L91" s="448" t="s">
        <v>4455</v>
      </c>
      <c r="M91" s="448" t="s">
        <v>4456</v>
      </c>
      <c r="N91" s="448" t="s">
        <v>4457</v>
      </c>
    </row>
    <row r="92" spans="1:14" hidden="1">
      <c r="A92" s="2" t="s">
        <v>4458</v>
      </c>
      <c r="B92" s="447" t="str">
        <f t="shared" si="3"/>
        <v>Paragraph Reference</v>
      </c>
      <c r="C92" s="2" t="s">
        <v>86</v>
      </c>
      <c r="D92" s="442" t="s">
        <v>4459</v>
      </c>
      <c r="E92" s="442" t="s">
        <v>4460</v>
      </c>
      <c r="F92" s="442" t="s">
        <v>4461</v>
      </c>
      <c r="G92" s="449" t="s">
        <v>4462</v>
      </c>
      <c r="H92" s="449" t="s">
        <v>4463</v>
      </c>
      <c r="I92" s="2" t="s">
        <v>4464</v>
      </c>
      <c r="J92" s="448" t="s">
        <v>4465</v>
      </c>
      <c r="K92" s="448" t="s">
        <v>4466</v>
      </c>
      <c r="L92" s="448" t="s">
        <v>4467</v>
      </c>
      <c r="M92" s="448" t="s">
        <v>4468</v>
      </c>
      <c r="N92" s="448" t="s">
        <v>4469</v>
      </c>
    </row>
    <row r="93" spans="1:14" ht="43.75" hidden="1">
      <c r="A93" s="2" t="s">
        <v>4470</v>
      </c>
      <c r="B93" s="447" t="str">
        <f t="shared" si="3"/>
        <v>Paragraph Guidance Reference</v>
      </c>
      <c r="C93" s="2" t="s">
        <v>87</v>
      </c>
      <c r="D93" s="442" t="s">
        <v>4471</v>
      </c>
      <c r="E93" s="442" t="s">
        <v>4472</v>
      </c>
      <c r="F93" s="442" t="s">
        <v>4473</v>
      </c>
      <c r="G93" s="449" t="s">
        <v>4474</v>
      </c>
      <c r="H93" s="449" t="s">
        <v>4475</v>
      </c>
      <c r="I93" s="2" t="s">
        <v>4476</v>
      </c>
      <c r="J93" s="448" t="s">
        <v>4477</v>
      </c>
      <c r="K93" s="448" t="s">
        <v>4478</v>
      </c>
      <c r="L93" s="448" t="s">
        <v>4479</v>
      </c>
      <c r="M93" s="448" t="s">
        <v>4480</v>
      </c>
      <c r="N93" s="448" t="s">
        <v>4481</v>
      </c>
    </row>
    <row r="94" spans="1:14" hidden="1">
      <c r="A94" s="2" t="s">
        <v>4482</v>
      </c>
      <c r="B94" s="447" t="str">
        <f t="shared" si="3"/>
        <v>from</v>
      </c>
      <c r="C94" s="2" t="s">
        <v>4483</v>
      </c>
      <c r="D94" s="442" t="s">
        <v>4484</v>
      </c>
      <c r="E94" s="442" t="s">
        <v>4485</v>
      </c>
      <c r="F94" s="442" t="s">
        <v>4486</v>
      </c>
      <c r="G94" s="449" t="s">
        <v>4487</v>
      </c>
      <c r="H94" s="449" t="s">
        <v>4488</v>
      </c>
      <c r="I94" s="2" t="s">
        <v>3371</v>
      </c>
      <c r="J94" s="448" t="s">
        <v>4489</v>
      </c>
      <c r="K94" s="448" t="s">
        <v>4490</v>
      </c>
      <c r="L94" s="448" t="s">
        <v>3374</v>
      </c>
      <c r="M94" s="448" t="s">
        <v>4491</v>
      </c>
      <c r="N94" s="448" t="s">
        <v>3374</v>
      </c>
    </row>
    <row r="95" spans="1:14" hidden="1">
      <c r="A95" s="2" t="s">
        <v>4492</v>
      </c>
      <c r="B95" s="447" t="str">
        <f t="shared" si="3"/>
        <v>to</v>
      </c>
      <c r="C95" s="2" t="s">
        <v>4493</v>
      </c>
      <c r="D95" s="442" t="s">
        <v>4494</v>
      </c>
      <c r="E95" s="442" t="s">
        <v>4495</v>
      </c>
      <c r="F95" s="442" t="s">
        <v>4496</v>
      </c>
      <c r="G95" s="449" t="s">
        <v>4497</v>
      </c>
      <c r="H95" s="449" t="s">
        <v>4498</v>
      </c>
      <c r="I95" s="2" t="s">
        <v>4499</v>
      </c>
      <c r="J95" s="448" t="s">
        <v>4500</v>
      </c>
      <c r="K95" s="448" t="s">
        <v>4501</v>
      </c>
      <c r="L95" s="448" t="s">
        <v>4502</v>
      </c>
      <c r="M95" s="448" t="s">
        <v>4501</v>
      </c>
      <c r="N95" s="448" t="s">
        <v>4499</v>
      </c>
    </row>
    <row r="96" spans="1:14" ht="44.15" hidden="1" thickBot="1">
      <c r="A96" s="454" t="s">
        <v>4503</v>
      </c>
      <c r="B96" s="451" t="str">
        <f t="shared" si="3"/>
        <v>at</v>
      </c>
      <c r="C96" s="454" t="s">
        <v>4504</v>
      </c>
      <c r="D96" s="450" t="s">
        <v>4505</v>
      </c>
      <c r="E96" s="450" t="s">
        <v>4506</v>
      </c>
      <c r="F96" s="450" t="s">
        <v>4507</v>
      </c>
      <c r="G96" s="453" t="s">
        <v>4508</v>
      </c>
      <c r="H96" s="453" t="s">
        <v>4509</v>
      </c>
      <c r="I96" s="454" t="s">
        <v>4499</v>
      </c>
      <c r="J96" s="452" t="s">
        <v>4510</v>
      </c>
      <c r="K96" s="452" t="s">
        <v>4511</v>
      </c>
      <c r="L96" s="452" t="s">
        <v>4512</v>
      </c>
      <c r="M96" s="452" t="s">
        <v>4513</v>
      </c>
      <c r="N96" s="452" t="s">
        <v>3370</v>
      </c>
    </row>
    <row r="97" spans="1:14" ht="58.75" hidden="1" thickBot="1">
      <c r="A97" s="454" t="s">
        <v>4514</v>
      </c>
      <c r="B97" s="451" t="str">
        <f t="shared" si="3"/>
        <v>amount in</v>
      </c>
      <c r="C97" s="454" t="s">
        <v>4515</v>
      </c>
      <c r="D97" s="450" t="s">
        <v>4516</v>
      </c>
      <c r="E97" s="450" t="s">
        <v>4517</v>
      </c>
      <c r="F97" s="450" t="s">
        <v>4518</v>
      </c>
      <c r="G97" s="453" t="s">
        <v>4519</v>
      </c>
      <c r="H97" s="453" t="s">
        <v>4520</v>
      </c>
      <c r="I97" s="454" t="s">
        <v>4521</v>
      </c>
      <c r="J97" s="452" t="s">
        <v>4522</v>
      </c>
      <c r="K97" s="452" t="s">
        <v>4523</v>
      </c>
      <c r="L97" s="452" t="s">
        <v>4524</v>
      </c>
      <c r="M97" s="452" t="s">
        <v>4525</v>
      </c>
      <c r="N97" s="452" t="s">
        <v>4526</v>
      </c>
    </row>
    <row r="98" spans="1:14" hidden="1">
      <c r="A98" s="2" t="s">
        <v>4527</v>
      </c>
      <c r="B98" s="447" t="str">
        <f t="shared" si="3"/>
        <v>Information on the report necessary for  XBRL</v>
      </c>
      <c r="C98" s="2" t="s">
        <v>4114</v>
      </c>
      <c r="D98" s="442" t="s">
        <v>4115</v>
      </c>
      <c r="E98" s="442" t="s">
        <v>4528</v>
      </c>
      <c r="F98" s="442" t="s">
        <v>4117</v>
      </c>
      <c r="G98" s="449" t="s">
        <v>4118</v>
      </c>
      <c r="H98" s="449" t="s">
        <v>4119</v>
      </c>
      <c r="I98" s="2" t="s">
        <v>4120</v>
      </c>
      <c r="J98" s="448" t="s">
        <v>4529</v>
      </c>
      <c r="K98" s="448" t="s">
        <v>4530</v>
      </c>
      <c r="L98" s="448" t="s">
        <v>4123</v>
      </c>
      <c r="M98" s="448" t="s">
        <v>4124</v>
      </c>
      <c r="N98" s="448" t="s">
        <v>4531</v>
      </c>
    </row>
    <row r="99" spans="1:14" ht="29.15" hidden="1">
      <c r="A99" s="2" t="s">
        <v>4532</v>
      </c>
      <c r="B99" s="447" t="str">
        <f t="shared" si="3"/>
        <v>Name of the reporting entity</v>
      </c>
      <c r="C99" s="2" t="s">
        <v>4533</v>
      </c>
      <c r="D99" s="442" t="s">
        <v>4534</v>
      </c>
      <c r="E99" s="442" t="s">
        <v>4535</v>
      </c>
      <c r="F99" s="442" t="s">
        <v>4536</v>
      </c>
      <c r="G99" s="449" t="s">
        <v>4537</v>
      </c>
      <c r="H99" s="449" t="s">
        <v>4538</v>
      </c>
      <c r="I99" s="2" t="s">
        <v>4539</v>
      </c>
      <c r="J99" s="448" t="s">
        <v>4540</v>
      </c>
      <c r="K99" s="448" t="s">
        <v>4541</v>
      </c>
      <c r="L99" s="448" t="s">
        <v>4542</v>
      </c>
      <c r="M99" s="448" t="s">
        <v>4543</v>
      </c>
      <c r="N99" s="448" t="s">
        <v>4544</v>
      </c>
    </row>
    <row r="100" spans="1:14" ht="29.15" hidden="1">
      <c r="A100" s="2" t="s">
        <v>4545</v>
      </c>
      <c r="B100" s="447" t="str">
        <f t="shared" si="3"/>
        <v>Identifier of the reporting entity (select and specify on the right)</v>
      </c>
      <c r="C100" s="2" t="s">
        <v>4546</v>
      </c>
      <c r="D100" s="442" t="s">
        <v>4547</v>
      </c>
      <c r="E100" s="442" t="s">
        <v>3398</v>
      </c>
      <c r="F100" s="442" t="s">
        <v>4548</v>
      </c>
      <c r="G100" s="449" t="s">
        <v>4549</v>
      </c>
      <c r="H100" s="449" t="s">
        <v>4550</v>
      </c>
      <c r="I100" s="2" t="s">
        <v>4551</v>
      </c>
      <c r="J100" s="448" t="s">
        <v>4552</v>
      </c>
      <c r="K100" s="448" t="s">
        <v>4553</v>
      </c>
      <c r="L100" s="448" t="s">
        <v>4554</v>
      </c>
      <c r="M100" s="448" t="s">
        <v>4555</v>
      </c>
      <c r="N100" s="448" t="s">
        <v>4556</v>
      </c>
    </row>
    <row r="101" spans="1:14" ht="29.15" hidden="1">
      <c r="A101" s="2" t="s">
        <v>4557</v>
      </c>
      <c r="B101" s="447" t="str">
        <f t="shared" si="3"/>
        <v>Currency of the monetary values in the report</v>
      </c>
      <c r="C101" s="2" t="s">
        <v>4558</v>
      </c>
      <c r="D101" s="442" t="s">
        <v>4559</v>
      </c>
      <c r="E101" s="442" t="s">
        <v>4560</v>
      </c>
      <c r="F101" s="442" t="s">
        <v>4561</v>
      </c>
      <c r="G101" s="449" t="s">
        <v>4562</v>
      </c>
      <c r="H101" s="449" t="s">
        <v>4563</v>
      </c>
      <c r="I101" s="2" t="s">
        <v>4564</v>
      </c>
      <c r="J101" s="448" t="s">
        <v>4565</v>
      </c>
      <c r="K101" s="448" t="s">
        <v>4566</v>
      </c>
      <c r="L101" s="448" t="s">
        <v>4567</v>
      </c>
      <c r="M101" s="448" t="s">
        <v>4568</v>
      </c>
      <c r="N101" s="448" t="s">
        <v>4569</v>
      </c>
    </row>
    <row r="102" spans="1:14" hidden="1">
      <c r="A102" s="2" t="s">
        <v>4570</v>
      </c>
      <c r="B102" s="447" t="str">
        <f t="shared" si="3"/>
        <v>Starting year</v>
      </c>
      <c r="C102" s="2" t="s">
        <v>4571</v>
      </c>
      <c r="D102" s="442" t="s">
        <v>4572</v>
      </c>
      <c r="E102" s="442" t="s">
        <v>4573</v>
      </c>
      <c r="F102" s="442" t="s">
        <v>4574</v>
      </c>
      <c r="G102" s="449" t="s">
        <v>4575</v>
      </c>
      <c r="H102" s="449" t="s">
        <v>4576</v>
      </c>
      <c r="I102" s="2" t="s">
        <v>4577</v>
      </c>
      <c r="J102" s="448" t="s">
        <v>4578</v>
      </c>
      <c r="K102" s="448" t="s">
        <v>4579</v>
      </c>
      <c r="L102" s="448" t="s">
        <v>4580</v>
      </c>
      <c r="M102" s="448" t="s">
        <v>4581</v>
      </c>
      <c r="N102" s="448" t="s">
        <v>4582</v>
      </c>
    </row>
    <row r="103" spans="1:14" ht="29.15" hidden="1">
      <c r="A103" s="2" t="s">
        <v>4583</v>
      </c>
      <c r="B103" s="447" t="str">
        <f t="shared" ref="B103:B168" si="4">INDEX(C103:N103,MATCH(template_selected_display_language,$C$3:$N$3,0))</f>
        <v>Starting month</v>
      </c>
      <c r="C103" s="2" t="s">
        <v>4584</v>
      </c>
      <c r="D103" s="442" t="s">
        <v>4585</v>
      </c>
      <c r="E103" s="442" t="s">
        <v>4586</v>
      </c>
      <c r="F103" s="442" t="s">
        <v>4587</v>
      </c>
      <c r="G103" s="449" t="s">
        <v>4588</v>
      </c>
      <c r="H103" s="449" t="s">
        <v>4589</v>
      </c>
      <c r="I103" s="2" t="s">
        <v>4590</v>
      </c>
      <c r="J103" s="448" t="s">
        <v>4591</v>
      </c>
      <c r="K103" s="448" t="s">
        <v>4592</v>
      </c>
      <c r="L103" s="448" t="s">
        <v>4593</v>
      </c>
      <c r="M103" s="448" t="s">
        <v>4594</v>
      </c>
      <c r="N103" s="448" t="s">
        <v>4595</v>
      </c>
    </row>
    <row r="104" spans="1:14" hidden="1">
      <c r="A104" s="2" t="s">
        <v>4596</v>
      </c>
      <c r="B104" s="447" t="str">
        <f t="shared" si="4"/>
        <v>Starting day</v>
      </c>
      <c r="C104" s="2" t="s">
        <v>4597</v>
      </c>
      <c r="D104" s="442" t="s">
        <v>4598</v>
      </c>
      <c r="E104" s="442" t="s">
        <v>4599</v>
      </c>
      <c r="F104" s="442" t="s">
        <v>4600</v>
      </c>
      <c r="G104" s="449" t="s">
        <v>4601</v>
      </c>
      <c r="H104" s="449" t="s">
        <v>4602</v>
      </c>
      <c r="I104" s="2" t="s">
        <v>4603</v>
      </c>
      <c r="J104" s="448" t="s">
        <v>4604</v>
      </c>
      <c r="K104" s="448" t="s">
        <v>4605</v>
      </c>
      <c r="L104" s="448" t="s">
        <v>4606</v>
      </c>
      <c r="M104" s="448" t="s">
        <v>4607</v>
      </c>
      <c r="N104" s="448" t="s">
        <v>4608</v>
      </c>
    </row>
    <row r="105" spans="1:14" hidden="1">
      <c r="A105" s="2" t="s">
        <v>4609</v>
      </c>
      <c r="B105" s="447" t="str">
        <f t="shared" si="4"/>
        <v>Reporting period start date (yyyy-mm-dd)</v>
      </c>
      <c r="C105" s="2" t="s">
        <v>4610</v>
      </c>
      <c r="D105" s="442" t="s">
        <v>4611</v>
      </c>
      <c r="E105" s="442" t="s">
        <v>4612</v>
      </c>
      <c r="F105" s="442" t="s">
        <v>4613</v>
      </c>
      <c r="G105" s="449" t="s">
        <v>4614</v>
      </c>
      <c r="H105" s="449" t="s">
        <v>4615</v>
      </c>
      <c r="I105" s="2" t="s">
        <v>4616</v>
      </c>
      <c r="J105" s="448" t="s">
        <v>4617</v>
      </c>
      <c r="K105" s="448" t="s">
        <v>4618</v>
      </c>
      <c r="L105" s="448" t="s">
        <v>4619</v>
      </c>
      <c r="M105" s="448" t="s">
        <v>4620</v>
      </c>
      <c r="N105" s="448" t="s">
        <v>4621</v>
      </c>
    </row>
    <row r="106" spans="1:14" ht="29.15" hidden="1">
      <c r="A106" s="2" t="s">
        <v>4622</v>
      </c>
      <c r="B106" s="447" t="str">
        <f t="shared" si="4"/>
        <v>Ending year</v>
      </c>
      <c r="C106" s="2" t="s">
        <v>4623</v>
      </c>
      <c r="D106" s="442" t="s">
        <v>4624</v>
      </c>
      <c r="E106" s="442" t="s">
        <v>4625</v>
      </c>
      <c r="F106" s="442" t="s">
        <v>4626</v>
      </c>
      <c r="G106" s="449" t="s">
        <v>4627</v>
      </c>
      <c r="H106" s="449" t="s">
        <v>4628</v>
      </c>
      <c r="I106" s="2" t="s">
        <v>4629</v>
      </c>
      <c r="J106" s="448" t="s">
        <v>4630</v>
      </c>
      <c r="K106" s="448" t="s">
        <v>4631</v>
      </c>
      <c r="L106" s="448" t="s">
        <v>4632</v>
      </c>
      <c r="M106" s="448" t="s">
        <v>4633</v>
      </c>
      <c r="N106" s="448" t="s">
        <v>4634</v>
      </c>
    </row>
    <row r="107" spans="1:14" ht="29.15" hidden="1">
      <c r="A107" s="2" t="s">
        <v>4635</v>
      </c>
      <c r="B107" s="447" t="str">
        <f t="shared" si="4"/>
        <v>Ending month</v>
      </c>
      <c r="C107" s="2" t="s">
        <v>4636</v>
      </c>
      <c r="D107" s="442" t="s">
        <v>4637</v>
      </c>
      <c r="E107" s="442" t="s">
        <v>4638</v>
      </c>
      <c r="F107" s="442" t="s">
        <v>4639</v>
      </c>
      <c r="G107" s="449" t="s">
        <v>4640</v>
      </c>
      <c r="H107" s="449" t="s">
        <v>4641</v>
      </c>
      <c r="I107" s="2" t="s">
        <v>4642</v>
      </c>
      <c r="J107" s="448" t="s">
        <v>4643</v>
      </c>
      <c r="K107" s="448" t="s">
        <v>4644</v>
      </c>
      <c r="L107" s="448" t="s">
        <v>4645</v>
      </c>
      <c r="M107" s="448" t="s">
        <v>4646</v>
      </c>
      <c r="N107" s="448" t="s">
        <v>4647</v>
      </c>
    </row>
    <row r="108" spans="1:14" ht="43.75" hidden="1">
      <c r="A108" s="2" t="s">
        <v>4648</v>
      </c>
      <c r="B108" s="447" t="str">
        <f t="shared" si="4"/>
        <v>Ending day</v>
      </c>
      <c r="C108" s="2" t="s">
        <v>8</v>
      </c>
      <c r="D108" s="442" t="s">
        <v>4649</v>
      </c>
      <c r="E108" s="442" t="s">
        <v>4650</v>
      </c>
      <c r="F108" s="442" t="s">
        <v>4651</v>
      </c>
      <c r="G108" s="449" t="s">
        <v>4652</v>
      </c>
      <c r="H108" s="449" t="s">
        <v>4653</v>
      </c>
      <c r="I108" s="2" t="s">
        <v>4654</v>
      </c>
      <c r="J108" s="448" t="s">
        <v>4655</v>
      </c>
      <c r="K108" s="448" t="s">
        <v>4656</v>
      </c>
      <c r="L108" s="448" t="s">
        <v>4657</v>
      </c>
      <c r="M108" s="448" t="s">
        <v>4658</v>
      </c>
      <c r="N108" s="448" t="s">
        <v>4659</v>
      </c>
    </row>
    <row r="109" spans="1:14" ht="15" hidden="1" thickBot="1">
      <c r="A109" s="454" t="s">
        <v>4660</v>
      </c>
      <c r="B109" s="451" t="str">
        <f t="shared" si="4"/>
        <v>Reporting period end date  (yyyy-mm-dd)</v>
      </c>
      <c r="C109" s="454" t="s">
        <v>4661</v>
      </c>
      <c r="D109" s="450" t="s">
        <v>4662</v>
      </c>
      <c r="E109" s="450" t="s">
        <v>4663</v>
      </c>
      <c r="F109" s="450" t="s">
        <v>4664</v>
      </c>
      <c r="G109" s="453" t="s">
        <v>4665</v>
      </c>
      <c r="H109" s="453" t="s">
        <v>4666</v>
      </c>
      <c r="I109" s="454" t="s">
        <v>4667</v>
      </c>
      <c r="J109" s="452" t="s">
        <v>4668</v>
      </c>
      <c r="K109" s="452" t="s">
        <v>4669</v>
      </c>
      <c r="L109" s="452" t="s">
        <v>4670</v>
      </c>
      <c r="M109" s="452" t="s">
        <v>4671</v>
      </c>
      <c r="N109" s="452" t="s">
        <v>4672</v>
      </c>
    </row>
    <row r="110" spans="1:14" ht="43.75" hidden="1">
      <c r="A110" s="2" t="s">
        <v>4673</v>
      </c>
      <c r="B110" s="447" t="str">
        <f t="shared" si="4"/>
        <v>Information on previous reporting period</v>
      </c>
      <c r="C110" s="2" t="s">
        <v>4127</v>
      </c>
      <c r="D110" s="442" t="s">
        <v>4674</v>
      </c>
      <c r="E110" s="442" t="s">
        <v>4675</v>
      </c>
      <c r="F110" s="442" t="s">
        <v>4130</v>
      </c>
      <c r="G110" s="449" t="s">
        <v>4131</v>
      </c>
      <c r="H110" s="449" t="s">
        <v>4132</v>
      </c>
      <c r="I110" s="2" t="s">
        <v>4133</v>
      </c>
      <c r="J110" s="448" t="s">
        <v>4134</v>
      </c>
      <c r="K110" s="448" t="s">
        <v>4676</v>
      </c>
      <c r="L110" s="448" t="s">
        <v>4136</v>
      </c>
      <c r="M110" s="448" t="s">
        <v>4137</v>
      </c>
      <c r="N110" s="448" t="s">
        <v>4138</v>
      </c>
    </row>
    <row r="111" spans="1:14" ht="43.75" hidden="1">
      <c r="A111" s="2" t="s">
        <v>4677</v>
      </c>
      <c r="B111" s="447" t="str">
        <f t="shared" si="4"/>
        <v>This report contains disclosures from the previous reporting period that remain unchanged</v>
      </c>
      <c r="C111" s="2" t="s">
        <v>4678</v>
      </c>
      <c r="D111" s="442" t="s">
        <v>4679</v>
      </c>
      <c r="E111" s="442" t="s">
        <v>4680</v>
      </c>
      <c r="F111" s="442" t="s">
        <v>4681</v>
      </c>
      <c r="G111" s="449" t="s">
        <v>4682</v>
      </c>
      <c r="H111" s="449" t="s">
        <v>4683</v>
      </c>
      <c r="I111" s="2" t="s">
        <v>4684</v>
      </c>
      <c r="J111" s="448" t="s">
        <v>4685</v>
      </c>
      <c r="K111" s="448" t="s">
        <v>4686</v>
      </c>
      <c r="L111" s="448" t="s">
        <v>4687</v>
      </c>
      <c r="M111" s="448" t="s">
        <v>4688</v>
      </c>
      <c r="N111" s="448" t="s">
        <v>4689</v>
      </c>
    </row>
    <row r="112" spans="1:14" ht="72.900000000000006" hidden="1">
      <c r="A112" s="2" t="s">
        <v>4690</v>
      </c>
      <c r="B112" s="447" t="str">
        <f t="shared" si="4"/>
        <v>List of disclosures for which no changes are reported compared to the previous period reporting</v>
      </c>
      <c r="C112" s="2" t="s">
        <v>4691</v>
      </c>
      <c r="D112" s="442" t="s">
        <v>4692</v>
      </c>
      <c r="E112" s="442" t="s">
        <v>4693</v>
      </c>
      <c r="F112" s="442" t="s">
        <v>4694</v>
      </c>
      <c r="G112" s="449" t="s">
        <v>4695</v>
      </c>
      <c r="H112" s="449" t="s">
        <v>4696</v>
      </c>
      <c r="I112" s="2" t="s">
        <v>4697</v>
      </c>
      <c r="J112" s="448" t="s">
        <v>4698</v>
      </c>
      <c r="K112" s="448" t="s">
        <v>4699</v>
      </c>
      <c r="L112" s="448" t="s">
        <v>4700</v>
      </c>
      <c r="M112" s="448" t="s">
        <v>4701</v>
      </c>
      <c r="N112" s="448" t="s">
        <v>4702</v>
      </c>
    </row>
    <row r="113" spans="1:14" ht="29.6" hidden="1" thickBot="1">
      <c r="A113" s="454" t="s">
        <v>4703</v>
      </c>
      <c r="B113" s="451" t="str">
        <f t="shared" si="4"/>
        <v>Link to previous report containing disclosures that remain unchanged</v>
      </c>
      <c r="C113" s="454" t="s">
        <v>4704</v>
      </c>
      <c r="D113" s="450" t="s">
        <v>4705</v>
      </c>
      <c r="E113" s="450" t="s">
        <v>4706</v>
      </c>
      <c r="F113" s="450" t="s">
        <v>4707</v>
      </c>
      <c r="G113" s="453" t="s">
        <v>4708</v>
      </c>
      <c r="H113" s="453" t="s">
        <v>4709</v>
      </c>
      <c r="I113" s="454" t="s">
        <v>4710</v>
      </c>
      <c r="J113" s="452" t="s">
        <v>4711</v>
      </c>
      <c r="K113" s="452" t="s">
        <v>4712</v>
      </c>
      <c r="L113" s="452" t="s">
        <v>4713</v>
      </c>
      <c r="M113" s="452" t="s">
        <v>4714</v>
      </c>
      <c r="N113" s="452" t="s">
        <v>4715</v>
      </c>
    </row>
    <row r="114" spans="1:14" ht="29.15" hidden="1">
      <c r="A114" s="2" t="s">
        <v>4716</v>
      </c>
      <c r="B114" s="447" t="str">
        <f t="shared" si="4"/>
        <v>B1 - Basis for Preparation &amp; Module</v>
      </c>
      <c r="C114" s="2" t="s">
        <v>4717</v>
      </c>
      <c r="D114" s="442" t="s">
        <v>4718</v>
      </c>
      <c r="E114" s="442" t="s">
        <v>4719</v>
      </c>
      <c r="F114" s="442" t="s">
        <v>4720</v>
      </c>
      <c r="G114" s="449" t="s">
        <v>4721</v>
      </c>
      <c r="H114" s="449" t="s">
        <v>4722</v>
      </c>
      <c r="I114" s="2" t="s">
        <v>4723</v>
      </c>
      <c r="J114" s="448" t="s">
        <v>4724</v>
      </c>
      <c r="K114" s="448" t="s">
        <v>4725</v>
      </c>
      <c r="L114" s="448" t="s">
        <v>4726</v>
      </c>
      <c r="M114" s="448" t="s">
        <v>4727</v>
      </c>
      <c r="N114" s="448" t="s">
        <v>4728</v>
      </c>
    </row>
    <row r="115" spans="1:14" hidden="1">
      <c r="A115" s="2" t="s">
        <v>4729</v>
      </c>
      <c r="B115" s="447" t="str">
        <f t="shared" ref="B115" si="5">INDEX(C115:N115,MATCH(template_selected_display_language,$C$3:$N$3,0))</f>
        <v>B1 - Other undertaking's general information</v>
      </c>
      <c r="C115" s="2" t="s">
        <v>4730</v>
      </c>
      <c r="D115" s="442" t="s">
        <v>4731</v>
      </c>
      <c r="E115" s="442" t="s">
        <v>4732</v>
      </c>
      <c r="F115" s="442" t="s">
        <v>4733</v>
      </c>
      <c r="G115" s="449" t="s">
        <v>4734</v>
      </c>
      <c r="H115" s="449" t="s">
        <v>4735</v>
      </c>
      <c r="I115" s="2" t="s">
        <v>4736</v>
      </c>
      <c r="J115" s="448" t="s">
        <v>4737</v>
      </c>
      <c r="K115" s="448" t="s">
        <v>4738</v>
      </c>
      <c r="L115" s="448" t="s">
        <v>4739</v>
      </c>
      <c r="M115" s="448" t="s">
        <v>4740</v>
      </c>
      <c r="N115" s="448" t="s">
        <v>4741</v>
      </c>
    </row>
    <row r="116" spans="1:14" ht="29.15" hidden="1">
      <c r="A116" s="2" t="s">
        <v>4742</v>
      </c>
      <c r="B116" s="447" t="str">
        <f t="shared" si="4"/>
        <v>Basis for preparation (Basic Module Only or Basic &amp; Comprehensive Module)</v>
      </c>
      <c r="C116" s="2" t="s">
        <v>4743</v>
      </c>
      <c r="D116" s="442" t="s">
        <v>4744</v>
      </c>
      <c r="E116" s="442" t="s">
        <v>4745</v>
      </c>
      <c r="F116" s="442" t="s">
        <v>4746</v>
      </c>
      <c r="G116" s="449" t="s">
        <v>4747</v>
      </c>
      <c r="H116" s="449" t="s">
        <v>4748</v>
      </c>
      <c r="I116" s="2" t="s">
        <v>4749</v>
      </c>
      <c r="J116" s="448" t="s">
        <v>4750</v>
      </c>
      <c r="K116" s="448" t="s">
        <v>4751</v>
      </c>
      <c r="L116" s="448" t="s">
        <v>4752</v>
      </c>
      <c r="M116" s="448" t="s">
        <v>4753</v>
      </c>
      <c r="N116" s="448" t="s">
        <v>4754</v>
      </c>
    </row>
    <row r="117" spans="1:14" hidden="1">
      <c r="A117" s="2" t="s">
        <v>4755</v>
      </c>
      <c r="B117" s="447" t="str">
        <f t="shared" si="4"/>
        <v xml:space="preserve">Explicit statement of compliance </v>
      </c>
      <c r="C117" s="2" t="s">
        <v>4756</v>
      </c>
      <c r="D117" s="442" t="str">
        <f t="shared" ref="D117:N117" si="6">_xlfn.TRANSLATE(template_label_statement_of_compliance,"en",D2)</f>
        <v>Eksplicit overholdelseserklæring</v>
      </c>
      <c r="E117" s="442" t="str">
        <f t="shared" si="6"/>
        <v>Expliciete verklaring van naleving</v>
      </c>
      <c r="F117" s="442" t="str">
        <f t="shared" si="6"/>
        <v>Déclaration explicite de conformité</v>
      </c>
      <c r="G117" s="442" t="str">
        <f t="shared" si="6"/>
        <v>Explizite Compliance-Erklärung</v>
      </c>
      <c r="H117" s="442" t="str">
        <f t="shared" si="6"/>
        <v>Ráiteas comhlíonta sainráite</v>
      </c>
      <c r="I117" s="442" t="str">
        <f t="shared" si="6"/>
        <v>Dichiarazione esplicita di conformità</v>
      </c>
      <c r="J117" s="442" t="str">
        <f t="shared" si="6"/>
        <v>Aiškus atitikties pareiškimas</v>
      </c>
      <c r="K117" s="442" t="str">
        <f t="shared" si="6"/>
        <v>Wyraźne oświadczenie o zgodności</v>
      </c>
      <c r="L117" s="442" t="str">
        <f t="shared" si="6"/>
        <v>Declaração explícita de conformidade</v>
      </c>
      <c r="M117" s="442" t="str">
        <f t="shared" si="6"/>
        <v>Izrecna izjava o skladnosti</v>
      </c>
      <c r="N117" s="442" t="str">
        <f t="shared" si="6"/>
        <v>Declaración explícita de cumplimiento</v>
      </c>
    </row>
    <row r="118" spans="1:14" ht="29.15" hidden="1">
      <c r="A118" s="312" t="s">
        <v>4757</v>
      </c>
      <c r="B118" s="447" t="str">
        <f t="shared" si="4"/>
        <v xml:space="preserve">List of omitted disclosures </v>
      </c>
      <c r="C118" s="312" t="s">
        <v>309</v>
      </c>
      <c r="D118" s="442" t="s">
        <v>4758</v>
      </c>
      <c r="E118" s="442" t="s">
        <v>4759</v>
      </c>
      <c r="F118" s="442" t="s">
        <v>4760</v>
      </c>
      <c r="G118" s="449" t="s">
        <v>4761</v>
      </c>
      <c r="H118" s="449" t="s">
        <v>4762</v>
      </c>
      <c r="I118" s="2" t="s">
        <v>4763</v>
      </c>
      <c r="J118" s="448" t="s">
        <v>4764</v>
      </c>
      <c r="K118" s="448" t="s">
        <v>4765</v>
      </c>
      <c r="L118" s="448" t="s">
        <v>4766</v>
      </c>
      <c r="M118" s="448" t="s">
        <v>4767</v>
      </c>
      <c r="N118" s="448" t="s">
        <v>4768</v>
      </c>
    </row>
    <row r="119" spans="1:14" ht="29.15" hidden="1">
      <c r="A119" s="2" t="s">
        <v>4769</v>
      </c>
      <c r="B119" s="447" t="str">
        <f t="shared" si="4"/>
        <v>Basis for reporting (consolidated or individual basis)</v>
      </c>
      <c r="C119" s="2" t="s">
        <v>4770</v>
      </c>
      <c r="D119" s="442" t="s">
        <v>4771</v>
      </c>
      <c r="E119" s="442" t="s">
        <v>4772</v>
      </c>
      <c r="F119" s="442" t="s">
        <v>4773</v>
      </c>
      <c r="G119" s="449" t="s">
        <v>4774</v>
      </c>
      <c r="H119" s="449" t="s">
        <v>4775</v>
      </c>
      <c r="I119" s="2" t="s">
        <v>4776</v>
      </c>
      <c r="J119" s="448" t="s">
        <v>4777</v>
      </c>
      <c r="K119" s="448" t="s">
        <v>4778</v>
      </c>
      <c r="L119" s="448" t="s">
        <v>4779</v>
      </c>
      <c r="M119" s="448" t="s">
        <v>4780</v>
      </c>
      <c r="N119" s="448" t="s">
        <v>4781</v>
      </c>
    </row>
    <row r="120" spans="1:14" hidden="1">
      <c r="A120" s="2" t="s">
        <v>4782</v>
      </c>
      <c r="B120" s="447" t="str">
        <f t="shared" si="4"/>
        <v>Undertakings legal form</v>
      </c>
      <c r="C120" s="2" t="s">
        <v>4783</v>
      </c>
      <c r="D120" s="442" t="s">
        <v>4784</v>
      </c>
      <c r="E120" s="442" t="s">
        <v>4785</v>
      </c>
      <c r="F120" s="442" t="s">
        <v>4786</v>
      </c>
      <c r="G120" s="449" t="s">
        <v>4787</v>
      </c>
      <c r="H120" s="449" t="s">
        <v>4788</v>
      </c>
      <c r="I120" s="2" t="s">
        <v>4789</v>
      </c>
      <c r="J120" s="448" t="s">
        <v>4790</v>
      </c>
      <c r="K120" s="448" t="s">
        <v>4791</v>
      </c>
      <c r="L120" s="448" t="s">
        <v>4792</v>
      </c>
      <c r="M120" s="448" t="s">
        <v>4793</v>
      </c>
      <c r="N120" s="448" t="s">
        <v>4794</v>
      </c>
    </row>
    <row r="121" spans="1:14" hidden="1">
      <c r="A121" s="2" t="s">
        <v>4795</v>
      </c>
      <c r="B121" s="447" t="str">
        <f t="shared" si="4"/>
        <v>Other undertaking's legal form specification</v>
      </c>
      <c r="C121" s="2" t="s">
        <v>4796</v>
      </c>
      <c r="D121" s="442" t="s">
        <v>4797</v>
      </c>
      <c r="E121" s="442" t="s">
        <v>4798</v>
      </c>
      <c r="F121" s="442" t="s">
        <v>4799</v>
      </c>
      <c r="G121" s="449" t="s">
        <v>4800</v>
      </c>
      <c r="H121" s="449" t="s">
        <v>4801</v>
      </c>
      <c r="I121" s="2" t="s">
        <v>4802</v>
      </c>
      <c r="J121" s="448" t="s">
        <v>4803</v>
      </c>
      <c r="K121" s="448" t="s">
        <v>4804</v>
      </c>
      <c r="L121" s="448" t="s">
        <v>4805</v>
      </c>
      <c r="M121" s="448" t="s">
        <v>4806</v>
      </c>
      <c r="N121" s="448" t="s">
        <v>4807</v>
      </c>
    </row>
    <row r="122" spans="1:14" hidden="1">
      <c r="A122" s="2" t="s">
        <v>4808</v>
      </c>
      <c r="B122" s="447" t="str">
        <f t="shared" si="4"/>
        <v>NACE sector classification code(s)</v>
      </c>
      <c r="C122" s="2" t="s">
        <v>4809</v>
      </c>
      <c r="D122" s="442" t="s">
        <v>4810</v>
      </c>
      <c r="E122" s="442" t="s">
        <v>4811</v>
      </c>
      <c r="F122" s="455" t="s">
        <v>4812</v>
      </c>
      <c r="G122" s="449" t="s">
        <v>4813</v>
      </c>
      <c r="H122" s="449" t="s">
        <v>4814</v>
      </c>
      <c r="I122" s="2" t="s">
        <v>4815</v>
      </c>
      <c r="J122" s="448" t="s">
        <v>4816</v>
      </c>
      <c r="K122" s="448" t="s">
        <v>4817</v>
      </c>
      <c r="L122" s="448" t="s">
        <v>4818</v>
      </c>
      <c r="M122" s="448" t="s">
        <v>4819</v>
      </c>
      <c r="N122" s="448" t="s">
        <v>4820</v>
      </c>
    </row>
    <row r="123" spans="1:14" hidden="1">
      <c r="A123" s="2" t="s">
        <v>4821</v>
      </c>
      <c r="B123" s="447" t="str">
        <f t="shared" si="4"/>
        <v>Size of balance sheet (total assets) in</v>
      </c>
      <c r="C123" s="2" t="s">
        <v>4822</v>
      </c>
      <c r="D123" s="442" t="s">
        <v>4823</v>
      </c>
      <c r="E123" s="442" t="s">
        <v>4824</v>
      </c>
      <c r="F123" s="455" t="s">
        <v>4825</v>
      </c>
      <c r="G123" s="449" t="s">
        <v>4826</v>
      </c>
      <c r="H123" s="449" t="s">
        <v>4827</v>
      </c>
      <c r="I123" s="2" t="s">
        <v>4828</v>
      </c>
      <c r="J123" s="448" t="s">
        <v>4829</v>
      </c>
      <c r="K123" s="448" t="s">
        <v>4830</v>
      </c>
      <c r="L123" s="448" t="s">
        <v>4831</v>
      </c>
      <c r="M123" s="448" t="s">
        <v>4832</v>
      </c>
      <c r="N123" s="448" t="s">
        <v>4833</v>
      </c>
    </row>
    <row r="124" spans="1:14" hidden="1">
      <c r="A124" s="2" t="s">
        <v>4834</v>
      </c>
      <c r="B124" s="447" t="str">
        <f t="shared" si="4"/>
        <v>Turnover in</v>
      </c>
      <c r="C124" s="2" t="s">
        <v>4835</v>
      </c>
      <c r="D124" s="442" t="s">
        <v>4836</v>
      </c>
      <c r="E124" s="442" t="s">
        <v>4837</v>
      </c>
      <c r="F124" s="442" t="s">
        <v>4838</v>
      </c>
      <c r="G124" s="449" t="s">
        <v>4839</v>
      </c>
      <c r="H124" s="449" t="s">
        <v>4840</v>
      </c>
      <c r="I124" s="2" t="s">
        <v>4841</v>
      </c>
      <c r="J124" s="448" t="s">
        <v>4842</v>
      </c>
      <c r="K124" s="448" t="s">
        <v>4843</v>
      </c>
      <c r="L124" s="448" t="s">
        <v>4844</v>
      </c>
      <c r="M124" s="448" t="s">
        <v>4845</v>
      </c>
      <c r="N124" s="448" t="s">
        <v>4846</v>
      </c>
    </row>
    <row r="125" spans="1:14" hidden="1">
      <c r="A125" s="2" t="s">
        <v>4847</v>
      </c>
      <c r="B125" s="447" t="str">
        <f t="shared" si="4"/>
        <v>Number of employees</v>
      </c>
      <c r="C125" s="2" t="s">
        <v>4848</v>
      </c>
      <c r="D125" s="442" t="s">
        <v>4849</v>
      </c>
      <c r="E125" s="442" t="s">
        <v>4850</v>
      </c>
      <c r="F125" s="442" t="s">
        <v>4851</v>
      </c>
      <c r="G125" s="449" t="s">
        <v>4852</v>
      </c>
      <c r="H125" s="449" t="s">
        <v>4853</v>
      </c>
      <c r="I125" s="2" t="s">
        <v>4854</v>
      </c>
      <c r="J125" s="448" t="s">
        <v>4855</v>
      </c>
      <c r="K125" s="448" t="s">
        <v>4856</v>
      </c>
      <c r="L125" s="448" t="s">
        <v>4857</v>
      </c>
      <c r="M125" s="448" t="s">
        <v>4858</v>
      </c>
      <c r="N125" s="448" t="s">
        <v>4859</v>
      </c>
    </row>
    <row r="126" spans="1:14" ht="43.75" hidden="1">
      <c r="A126" s="2" t="s">
        <v>4860</v>
      </c>
      <c r="B126" s="447" t="str">
        <f t="shared" si="4"/>
        <v>Employee counting methodology (At the end of reporting period or as an average during the reporting period)</v>
      </c>
      <c r="C126" s="2" t="s">
        <v>4861</v>
      </c>
      <c r="D126" s="442" t="s">
        <v>4862</v>
      </c>
      <c r="E126" s="442" t="s">
        <v>4863</v>
      </c>
      <c r="F126" s="442" t="s">
        <v>4864</v>
      </c>
      <c r="G126" s="449" t="s">
        <v>4865</v>
      </c>
      <c r="H126" s="449" t="s">
        <v>4866</v>
      </c>
      <c r="I126" s="2" t="s">
        <v>4867</v>
      </c>
      <c r="J126" s="448" t="s">
        <v>4868</v>
      </c>
      <c r="K126" s="448" t="s">
        <v>4869</v>
      </c>
      <c r="L126" s="448" t="s">
        <v>4870</v>
      </c>
      <c r="M126" s="448" t="s">
        <v>4871</v>
      </c>
      <c r="N126" s="448" t="s">
        <v>4872</v>
      </c>
    </row>
    <row r="127" spans="1:14" ht="29.15" hidden="1">
      <c r="A127" s="2" t="s">
        <v>4873</v>
      </c>
      <c r="B127" s="447" t="str">
        <f t="shared" si="4"/>
        <v>Employee counting methodology (Headcount or Full-time equivalent)</v>
      </c>
      <c r="C127" s="2" t="s">
        <v>4874</v>
      </c>
      <c r="D127" s="442" t="s">
        <v>4875</v>
      </c>
      <c r="E127" s="442" t="s">
        <v>4876</v>
      </c>
      <c r="F127" s="442" t="s">
        <v>4877</v>
      </c>
      <c r="G127" s="449" t="s">
        <v>4878</v>
      </c>
      <c r="H127" s="449" t="s">
        <v>4879</v>
      </c>
      <c r="I127" s="2" t="s">
        <v>4880</v>
      </c>
      <c r="J127" s="448" t="s">
        <v>4881</v>
      </c>
      <c r="K127" s="448" t="s">
        <v>4882</v>
      </c>
      <c r="L127" s="448" t="s">
        <v>4883</v>
      </c>
      <c r="M127" s="448" t="s">
        <v>4884</v>
      </c>
      <c r="N127" s="448" t="s">
        <v>4885</v>
      </c>
    </row>
    <row r="128" spans="1:14" ht="29.6" hidden="1" thickBot="1">
      <c r="A128" s="454" t="s">
        <v>4886</v>
      </c>
      <c r="B128" s="451" t="str">
        <f t="shared" si="4"/>
        <v>Country of primary operations and location of significant asset(s)</v>
      </c>
      <c r="C128" s="454" t="s">
        <v>4887</v>
      </c>
      <c r="D128" s="450" t="s">
        <v>4888</v>
      </c>
      <c r="E128" s="450" t="s">
        <v>4889</v>
      </c>
      <c r="F128" s="450" t="s">
        <v>4890</v>
      </c>
      <c r="G128" s="453" t="s">
        <v>4891</v>
      </c>
      <c r="H128" s="453" t="s">
        <v>4892</v>
      </c>
      <c r="I128" s="454" t="s">
        <v>4893</v>
      </c>
      <c r="J128" s="452" t="s">
        <v>4894</v>
      </c>
      <c r="K128" s="452" t="s">
        <v>4895</v>
      </c>
      <c r="L128" s="452" t="s">
        <v>4896</v>
      </c>
      <c r="M128" s="452" t="s">
        <v>4897</v>
      </c>
      <c r="N128" s="452" t="s">
        <v>4898</v>
      </c>
    </row>
    <row r="129" spans="1:14" hidden="1">
      <c r="A129" s="2" t="s">
        <v>4899</v>
      </c>
      <c r="B129" s="447" t="str">
        <f t="shared" si="4"/>
        <v>B1 - List of subsidiaries</v>
      </c>
      <c r="C129" s="2" t="s">
        <v>4900</v>
      </c>
      <c r="D129" s="442" t="s">
        <v>4901</v>
      </c>
      <c r="E129" s="442" t="s">
        <v>4902</v>
      </c>
      <c r="F129" s="442" t="s">
        <v>4903</v>
      </c>
      <c r="G129" s="449" t="s">
        <v>4904</v>
      </c>
      <c r="H129" s="449" t="s">
        <v>4905</v>
      </c>
      <c r="I129" s="2" t="s">
        <v>4906</v>
      </c>
      <c r="J129" s="448" t="s">
        <v>4907</v>
      </c>
      <c r="K129" s="448" t="s">
        <v>4908</v>
      </c>
      <c r="L129" s="448" t="s">
        <v>4909</v>
      </c>
      <c r="M129" s="448" t="s">
        <v>4910</v>
      </c>
      <c r="N129" s="448" t="s">
        <v>4911</v>
      </c>
    </row>
    <row r="130" spans="1:14" hidden="1">
      <c r="A130" s="2" t="s">
        <v>4912</v>
      </c>
      <c r="B130" s="447" t="str">
        <f t="shared" si="4"/>
        <v>ID</v>
      </c>
      <c r="C130" s="2" t="s">
        <v>4913</v>
      </c>
      <c r="D130" s="442" t="s">
        <v>4913</v>
      </c>
      <c r="E130" s="442" t="s">
        <v>4913</v>
      </c>
      <c r="F130" s="442" t="s">
        <v>4913</v>
      </c>
      <c r="G130" s="449" t="s">
        <v>4914</v>
      </c>
      <c r="H130" s="449" t="s">
        <v>4915</v>
      </c>
      <c r="I130" s="2" t="s">
        <v>4913</v>
      </c>
      <c r="J130" s="448" t="s">
        <v>4913</v>
      </c>
      <c r="K130" s="448" t="s">
        <v>4913</v>
      </c>
      <c r="L130" s="448" t="s">
        <v>4913</v>
      </c>
      <c r="M130" s="448" t="s">
        <v>4913</v>
      </c>
      <c r="N130" s="448" t="s">
        <v>4913</v>
      </c>
    </row>
    <row r="131" spans="1:14" hidden="1">
      <c r="A131" s="2" t="s">
        <v>4916</v>
      </c>
      <c r="B131" s="447" t="str">
        <f t="shared" si="4"/>
        <v>Name</v>
      </c>
      <c r="C131" s="2" t="s">
        <v>4917</v>
      </c>
      <c r="D131" s="442" t="s">
        <v>4918</v>
      </c>
      <c r="E131" s="442" t="s">
        <v>4919</v>
      </c>
      <c r="F131" s="442" t="s">
        <v>4920</v>
      </c>
      <c r="G131" s="449" t="s">
        <v>4917</v>
      </c>
      <c r="H131" s="449" t="s">
        <v>4921</v>
      </c>
      <c r="I131" s="2" t="s">
        <v>4922</v>
      </c>
      <c r="J131" s="448" t="s">
        <v>4923</v>
      </c>
      <c r="K131" s="448" t="s">
        <v>4924</v>
      </c>
      <c r="L131" s="448" t="s">
        <v>4922</v>
      </c>
      <c r="M131" s="448" t="s">
        <v>4925</v>
      </c>
      <c r="N131" s="448" t="s">
        <v>4926</v>
      </c>
    </row>
    <row r="132" spans="1:14" ht="29.6" hidden="1" thickBot="1">
      <c r="A132" s="454" t="s">
        <v>4927</v>
      </c>
      <c r="B132" s="451" t="str">
        <f t="shared" si="4"/>
        <v>Registered Address</v>
      </c>
      <c r="C132" s="454" t="s">
        <v>4928</v>
      </c>
      <c r="D132" s="450" t="s">
        <v>4929</v>
      </c>
      <c r="E132" s="450" t="s">
        <v>4930</v>
      </c>
      <c r="F132" s="450" t="s">
        <v>4931</v>
      </c>
      <c r="G132" s="453" t="s">
        <v>4932</v>
      </c>
      <c r="H132" s="453" t="s">
        <v>4933</v>
      </c>
      <c r="I132" s="454" t="s">
        <v>4934</v>
      </c>
      <c r="J132" s="452" t="s">
        <v>4935</v>
      </c>
      <c r="K132" s="452" t="s">
        <v>4936</v>
      </c>
      <c r="L132" s="452" t="s">
        <v>4937</v>
      </c>
      <c r="M132" s="452" t="s">
        <v>4938</v>
      </c>
      <c r="N132" s="452" t="s">
        <v>4939</v>
      </c>
    </row>
    <row r="133" spans="1:14" ht="29.15" hidden="1">
      <c r="A133" s="2" t="s">
        <v>4940</v>
      </c>
      <c r="B133" s="447" t="str">
        <f t="shared" si="4"/>
        <v>B1 - Disclosure of sustainability-related certification(s) or label(s)</v>
      </c>
      <c r="C133" s="2" t="s">
        <v>4941</v>
      </c>
      <c r="D133" s="442" t="s">
        <v>4942</v>
      </c>
      <c r="E133" s="442" t="s">
        <v>4943</v>
      </c>
      <c r="F133" s="442" t="s">
        <v>4944</v>
      </c>
      <c r="G133" s="449" t="s">
        <v>4945</v>
      </c>
      <c r="H133" s="449" t="s">
        <v>4946</v>
      </c>
      <c r="I133" s="2" t="s">
        <v>4947</v>
      </c>
      <c r="J133" s="448" t="s">
        <v>4948</v>
      </c>
      <c r="K133" s="448" t="s">
        <v>4949</v>
      </c>
      <c r="L133" s="448" t="s">
        <v>4950</v>
      </c>
      <c r="M133" s="448" t="s">
        <v>4951</v>
      </c>
      <c r="N133" s="448" t="s">
        <v>4952</v>
      </c>
    </row>
    <row r="134" spans="1:14" ht="43.75" hidden="1">
      <c r="A134" s="2" t="s">
        <v>4953</v>
      </c>
      <c r="B134" s="447" t="str">
        <f t="shared" si="4"/>
        <v>Has the undertaking obtained any sustainability-related certification(s) or label(s) ?</v>
      </c>
      <c r="C134" s="2" t="s">
        <v>4954</v>
      </c>
      <c r="D134" s="442" t="s">
        <v>4955</v>
      </c>
      <c r="E134" s="442" t="s">
        <v>4956</v>
      </c>
      <c r="F134" s="442" t="s">
        <v>4957</v>
      </c>
      <c r="G134" s="449" t="s">
        <v>4958</v>
      </c>
      <c r="H134" s="449" t="s">
        <v>4959</v>
      </c>
      <c r="I134" s="2" t="s">
        <v>4960</v>
      </c>
      <c r="J134" s="448" t="s">
        <v>4961</v>
      </c>
      <c r="K134" s="448" t="s">
        <v>4962</v>
      </c>
      <c r="L134" s="448" t="s">
        <v>4963</v>
      </c>
      <c r="M134" s="448" t="s">
        <v>4964</v>
      </c>
      <c r="N134" s="448" t="s">
        <v>4965</v>
      </c>
    </row>
    <row r="135" spans="1:14" ht="73.3" hidden="1" thickBot="1">
      <c r="A135" s="454" t="s">
        <v>4966</v>
      </c>
      <c r="B135" s="451" t="str">
        <f t="shared" si="4"/>
        <v>Description of sustainability-related certification(s) or label(s) including where relevant the issuers of the certification or label date and rating score</v>
      </c>
      <c r="C135" s="454" t="s">
        <v>4967</v>
      </c>
      <c r="D135" s="450" t="s">
        <v>4968</v>
      </c>
      <c r="E135" s="450" t="s">
        <v>4969</v>
      </c>
      <c r="F135" s="450" t="s">
        <v>4970</v>
      </c>
      <c r="G135" s="453" t="s">
        <v>4971</v>
      </c>
      <c r="H135" s="453" t="s">
        <v>4972</v>
      </c>
      <c r="I135" s="454" t="s">
        <v>4973</v>
      </c>
      <c r="J135" s="452" t="s">
        <v>4974</v>
      </c>
      <c r="K135" s="452" t="s">
        <v>4975</v>
      </c>
      <c r="L135" s="452" t="s">
        <v>4976</v>
      </c>
      <c r="M135" s="452" t="s">
        <v>4977</v>
      </c>
      <c r="N135" s="452" t="s">
        <v>4978</v>
      </c>
    </row>
    <row r="136" spans="1:14" ht="29.15" hidden="1">
      <c r="A136" s="2" t="s">
        <v>4979</v>
      </c>
      <c r="B136" s="447" t="str">
        <f t="shared" si="4"/>
        <v>B1 - List of site(s)</v>
      </c>
      <c r="C136" s="2" t="s">
        <v>4980</v>
      </c>
      <c r="D136" s="442" t="s">
        <v>4981</v>
      </c>
      <c r="E136" s="442" t="s">
        <v>4982</v>
      </c>
      <c r="F136" s="442" t="s">
        <v>4983</v>
      </c>
      <c r="G136" s="449" t="s">
        <v>4984</v>
      </c>
      <c r="H136" s="449" t="s">
        <v>4985</v>
      </c>
      <c r="I136" s="2" t="s">
        <v>4986</v>
      </c>
      <c r="J136" s="448" t="s">
        <v>4987</v>
      </c>
      <c r="K136" s="448" t="s">
        <v>4988</v>
      </c>
      <c r="L136" s="448" t="s">
        <v>4989</v>
      </c>
      <c r="M136" s="448" t="s">
        <v>4990</v>
      </c>
      <c r="N136" s="448" t="s">
        <v>4991</v>
      </c>
    </row>
    <row r="137" spans="1:14" hidden="1">
      <c r="A137" s="2" t="s">
        <v>4992</v>
      </c>
      <c r="B137" s="447" t="str">
        <f t="shared" si="4"/>
        <v>Address</v>
      </c>
      <c r="C137" s="2" t="s">
        <v>4993</v>
      </c>
      <c r="D137" s="442" t="s">
        <v>4994</v>
      </c>
      <c r="E137" s="442" t="s">
        <v>4995</v>
      </c>
      <c r="F137" s="442" t="s">
        <v>4994</v>
      </c>
      <c r="G137" s="449" t="s">
        <v>4994</v>
      </c>
      <c r="H137" s="449" t="s">
        <v>4996</v>
      </c>
      <c r="I137" s="2" t="s">
        <v>4997</v>
      </c>
      <c r="J137" s="448" t="s">
        <v>4998</v>
      </c>
      <c r="K137" s="448" t="s">
        <v>4995</v>
      </c>
      <c r="L137" s="448" t="s">
        <v>4999</v>
      </c>
      <c r="M137" s="448" t="s">
        <v>5000</v>
      </c>
      <c r="N137" s="448" t="s">
        <v>5001</v>
      </c>
    </row>
    <row r="138" spans="1:14" hidden="1">
      <c r="A138" s="2" t="s">
        <v>5002</v>
      </c>
      <c r="B138" s="447" t="str">
        <f t="shared" si="4"/>
        <v>Postal code</v>
      </c>
      <c r="C138" s="2" t="s">
        <v>5003</v>
      </c>
      <c r="D138" s="442" t="s">
        <v>5004</v>
      </c>
      <c r="E138" s="442" t="s">
        <v>5005</v>
      </c>
      <c r="F138" s="442" t="s">
        <v>5006</v>
      </c>
      <c r="G138" s="449" t="s">
        <v>5007</v>
      </c>
      <c r="H138" s="449" t="s">
        <v>5008</v>
      </c>
      <c r="I138" s="2" t="s">
        <v>5009</v>
      </c>
      <c r="J138" s="448" t="s">
        <v>5010</v>
      </c>
      <c r="K138" s="448" t="s">
        <v>5011</v>
      </c>
      <c r="L138" s="448" t="s">
        <v>5012</v>
      </c>
      <c r="M138" s="448" t="s">
        <v>5013</v>
      </c>
      <c r="N138" s="448" t="s">
        <v>5012</v>
      </c>
    </row>
    <row r="139" spans="1:14" ht="43.75" hidden="1">
      <c r="A139" s="2" t="s">
        <v>5014</v>
      </c>
      <c r="B139" s="447" t="str">
        <f t="shared" si="4"/>
        <v>City</v>
      </c>
      <c r="C139" s="2" t="s">
        <v>5015</v>
      </c>
      <c r="D139" s="442" t="s">
        <v>5016</v>
      </c>
      <c r="E139" s="442" t="s">
        <v>5017</v>
      </c>
      <c r="F139" s="442" t="s">
        <v>5018</v>
      </c>
      <c r="G139" s="449" t="s">
        <v>5019</v>
      </c>
      <c r="H139" s="449" t="s">
        <v>5020</v>
      </c>
      <c r="I139" s="2" t="s">
        <v>5021</v>
      </c>
      <c r="J139" s="448" t="s">
        <v>5022</v>
      </c>
      <c r="K139" s="448" t="s">
        <v>5023</v>
      </c>
      <c r="L139" s="448" t="s">
        <v>5024</v>
      </c>
      <c r="M139" s="448" t="s">
        <v>5025</v>
      </c>
      <c r="N139" s="448" t="s">
        <v>5026</v>
      </c>
    </row>
    <row r="140" spans="1:14" hidden="1">
      <c r="A140" s="2" t="s">
        <v>5027</v>
      </c>
      <c r="B140" s="447" t="str">
        <f t="shared" si="4"/>
        <v>Country</v>
      </c>
      <c r="C140" s="2" t="s">
        <v>5028</v>
      </c>
      <c r="D140" s="442" t="s">
        <v>5029</v>
      </c>
      <c r="E140" s="442" t="s">
        <v>5029</v>
      </c>
      <c r="F140" s="442" t="s">
        <v>5030</v>
      </c>
      <c r="G140" s="449" t="s">
        <v>5029</v>
      </c>
      <c r="H140" s="449" t="s">
        <v>5031</v>
      </c>
      <c r="I140" s="2" t="s">
        <v>5032</v>
      </c>
      <c r="J140" s="448" t="s">
        <v>5033</v>
      </c>
      <c r="K140" s="448" t="s">
        <v>5034</v>
      </c>
      <c r="L140" s="448" t="s">
        <v>5035</v>
      </c>
      <c r="M140" s="448" t="s">
        <v>5036</v>
      </c>
      <c r="N140" s="448" t="s">
        <v>5035</v>
      </c>
    </row>
    <row r="141" spans="1:14" hidden="1">
      <c r="A141" s="2" t="s">
        <v>5037</v>
      </c>
      <c r="B141" s="447" t="str">
        <f t="shared" si="4"/>
        <v>GPS Coordinates (geolocation)</v>
      </c>
      <c r="C141" s="2" t="s">
        <v>5038</v>
      </c>
      <c r="D141" s="442" t="s">
        <v>5039</v>
      </c>
      <c r="E141" s="442" t="s">
        <v>5040</v>
      </c>
      <c r="F141" s="442" t="s">
        <v>5041</v>
      </c>
      <c r="G141" s="449" t="s">
        <v>5042</v>
      </c>
      <c r="H141" s="449" t="s">
        <v>5043</v>
      </c>
      <c r="I141" s="2" t="s">
        <v>5044</v>
      </c>
      <c r="J141" s="448" t="s">
        <v>5045</v>
      </c>
      <c r="K141" s="448" t="s">
        <v>5046</v>
      </c>
      <c r="L141" s="448" t="s">
        <v>5047</v>
      </c>
      <c r="M141" s="448" t="s">
        <v>5048</v>
      </c>
      <c r="N141" s="448" t="s">
        <v>5049</v>
      </c>
    </row>
    <row r="142" spans="1:14" ht="14.15" hidden="1" customHeight="1" thickBot="1">
      <c r="A142" s="454" t="s">
        <v>5050</v>
      </c>
      <c r="B142" s="451" t="str">
        <f t="shared" si="4"/>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42" s="454" t="s">
        <v>5051</v>
      </c>
      <c r="D142" s="450" t="s">
        <v>5052</v>
      </c>
      <c r="E142" s="450" t="s">
        <v>5053</v>
      </c>
      <c r="F142" s="450" t="s">
        <v>5054</v>
      </c>
      <c r="G142" s="453" t="s">
        <v>5055</v>
      </c>
      <c r="H142" s="453" t="s">
        <v>5056</v>
      </c>
      <c r="I142" s="454" t="s">
        <v>5057</v>
      </c>
      <c r="J142" s="452" t="s">
        <v>5058</v>
      </c>
      <c r="K142" s="452" t="s">
        <v>5059</v>
      </c>
      <c r="L142" s="452" t="s">
        <v>5060</v>
      </c>
      <c r="M142" s="452" t="s">
        <v>5061</v>
      </c>
      <c r="N142" s="452" t="s">
        <v>5062</v>
      </c>
    </row>
    <row r="143" spans="1:14" ht="29.15" hidden="1">
      <c r="A143" s="2" t="s">
        <v>5063</v>
      </c>
      <c r="B143" s="447" t="str">
        <f t="shared" si="4"/>
        <v>B2 - Practices, policies and future initiatives for transitioning towards a more sustainable economy</v>
      </c>
      <c r="C143" s="2" t="s">
        <v>5064</v>
      </c>
      <c r="D143" s="442" t="s">
        <v>5065</v>
      </c>
      <c r="E143" s="442" t="s">
        <v>5066</v>
      </c>
      <c r="F143" s="442" t="s">
        <v>5067</v>
      </c>
      <c r="G143" s="449" t="s">
        <v>5068</v>
      </c>
      <c r="H143" s="449" t="s">
        <v>5069</v>
      </c>
      <c r="I143" s="2" t="s">
        <v>5070</v>
      </c>
      <c r="J143" s="448" t="s">
        <v>5071</v>
      </c>
      <c r="K143" s="448" t="s">
        <v>5072</v>
      </c>
      <c r="L143" s="448" t="s">
        <v>5073</v>
      </c>
      <c r="M143" s="448" t="s">
        <v>5074</v>
      </c>
      <c r="N143" s="448" t="s">
        <v>5075</v>
      </c>
    </row>
    <row r="144" spans="1:14" ht="43.75" hidden="1">
      <c r="A144" s="2" t="s">
        <v>5076</v>
      </c>
      <c r="B144" s="447" t="str">
        <f t="shared" si="4"/>
        <v>Has the undertaking put in place specific practices policies and or future initiatives for transitioning towards a more sustainable economy?</v>
      </c>
      <c r="C144" s="2" t="s">
        <v>5077</v>
      </c>
      <c r="D144" s="442" t="s">
        <v>5078</v>
      </c>
      <c r="E144" s="442" t="s">
        <v>5079</v>
      </c>
      <c r="F144" s="442" t="s">
        <v>5080</v>
      </c>
      <c r="G144" s="449" t="s">
        <v>5081</v>
      </c>
      <c r="H144" s="449" t="s">
        <v>5082</v>
      </c>
      <c r="I144" s="2" t="s">
        <v>5083</v>
      </c>
      <c r="J144" s="448" t="s">
        <v>5084</v>
      </c>
      <c r="K144" s="448" t="s">
        <v>5085</v>
      </c>
      <c r="L144" s="448" t="s">
        <v>5086</v>
      </c>
      <c r="M144" s="448" t="s">
        <v>5087</v>
      </c>
      <c r="N144" s="448" t="s">
        <v>5088</v>
      </c>
    </row>
    <row r="145" spans="1:14" ht="58.3" hidden="1">
      <c r="A145" s="2" t="s">
        <v>5089</v>
      </c>
      <c r="B145" s="447" t="str">
        <f t="shared" si="4"/>
        <v>Sustainability issues addressed by a practice policy and or future initiatives that the undertaking has put in place</v>
      </c>
      <c r="C145" s="2" t="s">
        <v>5090</v>
      </c>
      <c r="D145" s="442" t="s">
        <v>5091</v>
      </c>
      <c r="E145" s="442" t="s">
        <v>5092</v>
      </c>
      <c r="F145" s="442" t="s">
        <v>5093</v>
      </c>
      <c r="G145" s="449" t="s">
        <v>5094</v>
      </c>
      <c r="H145" s="449" t="s">
        <v>5095</v>
      </c>
      <c r="I145" s="2" t="s">
        <v>5096</v>
      </c>
      <c r="J145" s="448" t="s">
        <v>5097</v>
      </c>
      <c r="K145" s="448" t="s">
        <v>5098</v>
      </c>
      <c r="L145" s="448" t="s">
        <v>5099</v>
      </c>
      <c r="M145" s="448" t="s">
        <v>5100</v>
      </c>
      <c r="N145" s="448" t="s">
        <v>5101</v>
      </c>
    </row>
    <row r="146" spans="1:14" ht="58.3" hidden="1">
      <c r="A146" s="2" t="s">
        <v>5102</v>
      </c>
      <c r="B146" s="447" t="str">
        <f t="shared" si="4"/>
        <v>Undertaking has a practice policy and or future initiative that is publicly available</v>
      </c>
      <c r="C146" s="2" t="s">
        <v>5103</v>
      </c>
      <c r="D146" s="442" t="s">
        <v>5104</v>
      </c>
      <c r="E146" s="442" t="s">
        <v>5105</v>
      </c>
      <c r="F146" s="442" t="s">
        <v>5106</v>
      </c>
      <c r="G146" s="449" t="s">
        <v>5107</v>
      </c>
      <c r="H146" s="449" t="s">
        <v>5108</v>
      </c>
      <c r="I146" s="2" t="s">
        <v>5109</v>
      </c>
      <c r="J146" s="448" t="s">
        <v>5110</v>
      </c>
      <c r="K146" s="448" t="s">
        <v>5111</v>
      </c>
      <c r="L146" s="448" t="s">
        <v>5112</v>
      </c>
      <c r="M146" s="448" t="s">
        <v>5113</v>
      </c>
      <c r="N146" s="448" t="s">
        <v>5114</v>
      </c>
    </row>
    <row r="147" spans="1:14" ht="29.15" hidden="1">
      <c r="A147" s="2" t="s">
        <v>5115</v>
      </c>
      <c r="B147" s="447" t="str">
        <f t="shared" si="4"/>
        <v>Undertaking has set a target which is related to a policy</v>
      </c>
      <c r="C147" s="2" t="s">
        <v>5116</v>
      </c>
      <c r="D147" s="442" t="s">
        <v>5117</v>
      </c>
      <c r="E147" s="442" t="s">
        <v>5118</v>
      </c>
      <c r="F147" s="442" t="s">
        <v>5119</v>
      </c>
      <c r="G147" s="449" t="s">
        <v>5120</v>
      </c>
      <c r="H147" s="449" t="s">
        <v>5121</v>
      </c>
      <c r="I147" s="2" t="s">
        <v>5122</v>
      </c>
      <c r="J147" s="448" t="s">
        <v>5123</v>
      </c>
      <c r="K147" s="448" t="s">
        <v>5124</v>
      </c>
      <c r="L147" s="448" t="s">
        <v>5125</v>
      </c>
      <c r="M147" s="448" t="s">
        <v>5126</v>
      </c>
      <c r="N147" s="448" t="s">
        <v>5127</v>
      </c>
    </row>
    <row r="148" spans="1:14" hidden="1">
      <c r="A148" s="2" t="s">
        <v>5128</v>
      </c>
      <c r="B148" s="447" t="str">
        <f t="shared" si="4"/>
        <v>Climate change</v>
      </c>
      <c r="C148" s="2" t="s">
        <v>330</v>
      </c>
      <c r="D148" s="442" t="s">
        <v>5129</v>
      </c>
      <c r="E148" s="442" t="s">
        <v>5130</v>
      </c>
      <c r="F148" s="442" t="s">
        <v>5131</v>
      </c>
      <c r="G148" s="449" t="s">
        <v>5132</v>
      </c>
      <c r="H148" s="449" t="s">
        <v>5133</v>
      </c>
      <c r="I148" s="2" t="s">
        <v>5134</v>
      </c>
      <c r="J148" s="448" t="s">
        <v>5135</v>
      </c>
      <c r="K148" s="448" t="s">
        <v>5136</v>
      </c>
      <c r="L148" s="448" t="s">
        <v>5137</v>
      </c>
      <c r="M148" s="448" t="s">
        <v>5138</v>
      </c>
      <c r="N148" s="448" t="s">
        <v>5139</v>
      </c>
    </row>
    <row r="149" spans="1:14" hidden="1">
      <c r="A149" s="2" t="s">
        <v>5140</v>
      </c>
      <c r="B149" s="447" t="str">
        <f t="shared" si="4"/>
        <v>Pollution</v>
      </c>
      <c r="C149" s="2" t="s">
        <v>349</v>
      </c>
      <c r="D149" s="442" t="s">
        <v>5141</v>
      </c>
      <c r="E149" s="442" t="s">
        <v>5142</v>
      </c>
      <c r="F149" s="442" t="s">
        <v>349</v>
      </c>
      <c r="G149" s="449" t="s">
        <v>5143</v>
      </c>
      <c r="H149" s="449" t="s">
        <v>5144</v>
      </c>
      <c r="I149" s="2" t="s">
        <v>5145</v>
      </c>
      <c r="J149" s="448" t="s">
        <v>5146</v>
      </c>
      <c r="K149" s="448" t="s">
        <v>5147</v>
      </c>
      <c r="L149" s="448" t="s">
        <v>5148</v>
      </c>
      <c r="M149" s="448" t="s">
        <v>5149</v>
      </c>
      <c r="N149" s="448" t="s">
        <v>5150</v>
      </c>
    </row>
    <row r="150" spans="1:14" hidden="1">
      <c r="A150" s="2" t="s">
        <v>5151</v>
      </c>
      <c r="B150" s="447" t="str">
        <f t="shared" si="4"/>
        <v>Water and marine resources</v>
      </c>
      <c r="C150" s="2" t="s">
        <v>369</v>
      </c>
      <c r="D150" s="442" t="s">
        <v>5152</v>
      </c>
      <c r="E150" s="442" t="s">
        <v>5153</v>
      </c>
      <c r="F150" s="442" t="s">
        <v>5154</v>
      </c>
      <c r="G150" s="449" t="s">
        <v>5155</v>
      </c>
      <c r="H150" s="449" t="s">
        <v>5156</v>
      </c>
      <c r="I150" s="2" t="s">
        <v>5157</v>
      </c>
      <c r="J150" s="448" t="s">
        <v>5158</v>
      </c>
      <c r="K150" s="448" t="s">
        <v>5159</v>
      </c>
      <c r="L150" s="448" t="s">
        <v>5160</v>
      </c>
      <c r="M150" s="448" t="s">
        <v>5161</v>
      </c>
      <c r="N150" s="448" t="s">
        <v>5162</v>
      </c>
    </row>
    <row r="151" spans="1:14" hidden="1">
      <c r="A151" s="2" t="s">
        <v>5163</v>
      </c>
      <c r="B151" s="447" t="str">
        <f t="shared" si="4"/>
        <v>Biodiversity and ecosystems</v>
      </c>
      <c r="C151" s="2" t="s">
        <v>382</v>
      </c>
      <c r="D151" s="442" t="s">
        <v>5164</v>
      </c>
      <c r="E151" s="442" t="s">
        <v>5165</v>
      </c>
      <c r="F151" s="442" t="s">
        <v>5166</v>
      </c>
      <c r="G151" s="449" t="s">
        <v>5167</v>
      </c>
      <c r="H151" s="449" t="s">
        <v>5168</v>
      </c>
      <c r="I151" s="2" t="s">
        <v>5169</v>
      </c>
      <c r="J151" s="448" t="s">
        <v>5170</v>
      </c>
      <c r="K151" s="448" t="s">
        <v>5171</v>
      </c>
      <c r="L151" s="448" t="s">
        <v>5172</v>
      </c>
      <c r="M151" s="448" t="s">
        <v>5173</v>
      </c>
      <c r="N151" s="448" t="s">
        <v>5174</v>
      </c>
    </row>
    <row r="152" spans="1:14" s="511" customFormat="1" hidden="1">
      <c r="A152" s="558" t="s">
        <v>5175</v>
      </c>
      <c r="B152" s="559" t="str">
        <f t="shared" si="4"/>
        <v>Circular economy and Resource Use</v>
      </c>
      <c r="C152" s="558" t="s">
        <v>5176</v>
      </c>
      <c r="D152" s="547" t="s">
        <v>5177</v>
      </c>
      <c r="E152" s="547" t="s">
        <v>5178</v>
      </c>
      <c r="F152" s="547" t="s">
        <v>5179</v>
      </c>
      <c r="G152" s="560" t="s">
        <v>5180</v>
      </c>
      <c r="H152" s="560" t="s">
        <v>5181</v>
      </c>
      <c r="I152" s="558" t="s">
        <v>5182</v>
      </c>
      <c r="J152" s="550" t="s">
        <v>5183</v>
      </c>
      <c r="K152" s="550" t="s">
        <v>5184</v>
      </c>
      <c r="L152" s="550" t="s">
        <v>5185</v>
      </c>
      <c r="M152" s="550" t="s">
        <v>5186</v>
      </c>
      <c r="N152" s="550" t="s">
        <v>5187</v>
      </c>
    </row>
    <row r="153" spans="1:14" hidden="1">
      <c r="A153" s="2" t="s">
        <v>5188</v>
      </c>
      <c r="B153" s="447" t="str">
        <f t="shared" si="4"/>
        <v>Own workforce</v>
      </c>
      <c r="C153" s="2" t="s">
        <v>406</v>
      </c>
      <c r="D153" s="442" t="s">
        <v>5189</v>
      </c>
      <c r="E153" s="442" t="s">
        <v>5190</v>
      </c>
      <c r="F153" s="442" t="s">
        <v>5191</v>
      </c>
      <c r="G153" s="449" t="s">
        <v>5192</v>
      </c>
      <c r="H153" s="449" t="s">
        <v>5193</v>
      </c>
      <c r="I153" s="2" t="s">
        <v>5194</v>
      </c>
      <c r="J153" s="448" t="s">
        <v>5195</v>
      </c>
      <c r="K153" s="448" t="s">
        <v>5196</v>
      </c>
      <c r="L153" s="448" t="s">
        <v>5197</v>
      </c>
      <c r="M153" s="448" t="s">
        <v>5198</v>
      </c>
      <c r="N153" s="448" t="s">
        <v>5199</v>
      </c>
    </row>
    <row r="154" spans="1:14" ht="43.75" hidden="1">
      <c r="A154" s="2" t="s">
        <v>5200</v>
      </c>
      <c r="B154" s="447" t="str">
        <f t="shared" si="4"/>
        <v>Workers in the value chain</v>
      </c>
      <c r="C154" s="2" t="s">
        <v>417</v>
      </c>
      <c r="D154" s="442" t="s">
        <v>5201</v>
      </c>
      <c r="E154" s="442" t="s">
        <v>5202</v>
      </c>
      <c r="F154" s="442" t="s">
        <v>5203</v>
      </c>
      <c r="G154" s="449" t="s">
        <v>5204</v>
      </c>
      <c r="H154" s="449" t="s">
        <v>5205</v>
      </c>
      <c r="I154" s="2" t="s">
        <v>5206</v>
      </c>
      <c r="J154" s="448" t="s">
        <v>5207</v>
      </c>
      <c r="K154" s="448" t="s">
        <v>5208</v>
      </c>
      <c r="L154" s="448" t="s">
        <v>5209</v>
      </c>
      <c r="M154" s="448" t="s">
        <v>5210</v>
      </c>
      <c r="N154" s="448" t="s">
        <v>5211</v>
      </c>
    </row>
    <row r="155" spans="1:14" ht="43.75" hidden="1">
      <c r="A155" s="2" t="s">
        <v>5212</v>
      </c>
      <c r="B155" s="447" t="str">
        <f t="shared" si="4"/>
        <v>Affected communities</v>
      </c>
      <c r="C155" s="2" t="s">
        <v>428</v>
      </c>
      <c r="D155" s="442" t="s">
        <v>5213</v>
      </c>
      <c r="E155" s="442" t="s">
        <v>5214</v>
      </c>
      <c r="F155" s="442" t="s">
        <v>5215</v>
      </c>
      <c r="G155" s="449" t="s">
        <v>5216</v>
      </c>
      <c r="H155" s="449" t="s">
        <v>5217</v>
      </c>
      <c r="I155" s="2" t="s">
        <v>5218</v>
      </c>
      <c r="J155" s="448" t="s">
        <v>5219</v>
      </c>
      <c r="K155" s="448" t="s">
        <v>5220</v>
      </c>
      <c r="L155" s="448" t="s">
        <v>5221</v>
      </c>
      <c r="M155" s="448" t="s">
        <v>5222</v>
      </c>
      <c r="N155" s="448" t="s">
        <v>5223</v>
      </c>
    </row>
    <row r="156" spans="1:14" hidden="1">
      <c r="A156" s="2" t="s">
        <v>5224</v>
      </c>
      <c r="B156" s="447" t="str">
        <f t="shared" si="4"/>
        <v>Consumers and end-users</v>
      </c>
      <c r="C156" s="2" t="s">
        <v>439</v>
      </c>
      <c r="D156" s="442" t="s">
        <v>5225</v>
      </c>
      <c r="E156" s="442" t="s">
        <v>5226</v>
      </c>
      <c r="F156" s="442" t="s">
        <v>5227</v>
      </c>
      <c r="G156" s="449" t="s">
        <v>5228</v>
      </c>
      <c r="H156" s="449" t="s">
        <v>5229</v>
      </c>
      <c r="I156" s="2" t="s">
        <v>5230</v>
      </c>
      <c r="J156" s="448" t="s">
        <v>5231</v>
      </c>
      <c r="K156" s="448" t="s">
        <v>5232</v>
      </c>
      <c r="L156" s="448" t="s">
        <v>5233</v>
      </c>
      <c r="M156" s="448" t="s">
        <v>5234</v>
      </c>
      <c r="N156" s="448" t="s">
        <v>5235</v>
      </c>
    </row>
    <row r="157" spans="1:14" ht="15" hidden="1" thickBot="1">
      <c r="A157" s="454" t="s">
        <v>5236</v>
      </c>
      <c r="B157" s="451" t="str">
        <f t="shared" si="4"/>
        <v>Business conduct</v>
      </c>
      <c r="C157" s="454" t="s">
        <v>450</v>
      </c>
      <c r="D157" s="450" t="s">
        <v>5237</v>
      </c>
      <c r="E157" s="450" t="s">
        <v>5238</v>
      </c>
      <c r="F157" s="450" t="s">
        <v>5239</v>
      </c>
      <c r="G157" s="453" t="s">
        <v>5240</v>
      </c>
      <c r="H157" s="453" t="s">
        <v>5241</v>
      </c>
      <c r="I157" s="454" t="s">
        <v>5242</v>
      </c>
      <c r="J157" s="452" t="s">
        <v>5243</v>
      </c>
      <c r="K157" s="452" t="s">
        <v>5244</v>
      </c>
      <c r="L157" s="452" t="s">
        <v>5245</v>
      </c>
      <c r="M157" s="452" t="s">
        <v>5246</v>
      </c>
      <c r="N157" s="452" t="s">
        <v>5247</v>
      </c>
    </row>
    <row r="158" spans="1:14" hidden="1">
      <c r="A158" s="2" t="s">
        <v>5248</v>
      </c>
      <c r="B158" s="447" t="str">
        <f t="shared" si="4"/>
        <v>B2 - Cooperative specific disclosures</v>
      </c>
      <c r="C158" s="2" t="s">
        <v>5249</v>
      </c>
      <c r="D158" s="442" t="s">
        <v>5250</v>
      </c>
      <c r="E158" s="442" t="s">
        <v>5251</v>
      </c>
      <c r="F158" s="448" t="s">
        <v>5252</v>
      </c>
      <c r="G158" s="449" t="s">
        <v>5253</v>
      </c>
      <c r="H158" s="449" t="s">
        <v>5254</v>
      </c>
      <c r="I158" s="2" t="s">
        <v>5255</v>
      </c>
      <c r="J158" s="448" t="s">
        <v>5256</v>
      </c>
      <c r="K158" s="448" t="s">
        <v>5257</v>
      </c>
      <c r="L158" s="448" t="s">
        <v>5258</v>
      </c>
      <c r="M158" s="448" t="s">
        <v>5259</v>
      </c>
      <c r="N158" s="448" t="s">
        <v>5260</v>
      </c>
    </row>
    <row r="159" spans="1:14" ht="43.75" hidden="1">
      <c r="A159" s="2" t="s">
        <v>5261</v>
      </c>
      <c r="B159" s="447" t="str">
        <f t="shared" si="4"/>
        <v>Effective participation of workers users or other interested parties or communities in governance</v>
      </c>
      <c r="C159" s="2" t="s">
        <v>5262</v>
      </c>
      <c r="D159" s="442" t="s">
        <v>5263</v>
      </c>
      <c r="E159" s="442" t="s">
        <v>5264</v>
      </c>
      <c r="F159" s="442" t="s">
        <v>5265</v>
      </c>
      <c r="G159" s="449" t="s">
        <v>5266</v>
      </c>
      <c r="H159" s="449" t="s">
        <v>5267</v>
      </c>
      <c r="I159" s="2" t="s">
        <v>5268</v>
      </c>
      <c r="J159" s="448" t="s">
        <v>5269</v>
      </c>
      <c r="K159" s="448" t="s">
        <v>5270</v>
      </c>
      <c r="L159" s="448" t="s">
        <v>5271</v>
      </c>
      <c r="M159" s="448" t="s">
        <v>5272</v>
      </c>
      <c r="N159" s="448" t="s">
        <v>5273</v>
      </c>
    </row>
    <row r="160" spans="1:14" ht="58.3" hidden="1">
      <c r="A160" s="2" t="s">
        <v>5274</v>
      </c>
      <c r="B160" s="447" t="str">
        <f t="shared" si="4"/>
        <v>Financial investment in the capital or assets of social economy entities referred to in the Council Recommendation of 29 September 2023 (excluding donations and contributions)</v>
      </c>
      <c r="C160" s="2" t="s">
        <v>5275</v>
      </c>
      <c r="D160" s="442" t="s">
        <v>5276</v>
      </c>
      <c r="E160" s="442" t="s">
        <v>5277</v>
      </c>
      <c r="F160" s="442" t="s">
        <v>5278</v>
      </c>
      <c r="G160" s="449" t="s">
        <v>5279</v>
      </c>
      <c r="H160" s="449" t="s">
        <v>5280</v>
      </c>
      <c r="I160" s="2" t="s">
        <v>5281</v>
      </c>
      <c r="J160" s="448" t="s">
        <v>5282</v>
      </c>
      <c r="K160" s="448" t="s">
        <v>5283</v>
      </c>
      <c r="L160" s="448" t="s">
        <v>5284</v>
      </c>
      <c r="M160" s="448" t="s">
        <v>5285</v>
      </c>
      <c r="N160" s="448" t="s">
        <v>5286</v>
      </c>
    </row>
    <row r="161" spans="1:14" ht="58.75" hidden="1" thickBot="1">
      <c r="A161" s="454" t="s">
        <v>5287</v>
      </c>
      <c r="B161" s="451" t="str">
        <f t="shared" si="4"/>
        <v>Any limits to the distribution of profits connected to the mutualistic nature or to the nature of the activities consisting in services of general economic interest (SGEI)</v>
      </c>
      <c r="C161" s="454" t="s">
        <v>5288</v>
      </c>
      <c r="D161" s="450" t="s">
        <v>5289</v>
      </c>
      <c r="E161" s="450" t="s">
        <v>5290</v>
      </c>
      <c r="F161" s="450" t="s">
        <v>5291</v>
      </c>
      <c r="G161" s="453" t="s">
        <v>5292</v>
      </c>
      <c r="H161" s="453" t="s">
        <v>5293</v>
      </c>
      <c r="I161" s="454" t="s">
        <v>5294</v>
      </c>
      <c r="J161" s="452" t="s">
        <v>5295</v>
      </c>
      <c r="K161" s="452" t="s">
        <v>5296</v>
      </c>
      <c r="L161" s="452" t="s">
        <v>5297</v>
      </c>
      <c r="M161" s="452" t="s">
        <v>5298</v>
      </c>
      <c r="N161" s="452" t="s">
        <v>5299</v>
      </c>
    </row>
    <row r="162" spans="1:14" ht="43.75" hidden="1">
      <c r="A162" s="2" t="s">
        <v>5300</v>
      </c>
      <c r="B162" s="447" t="str">
        <f t="shared" si="4"/>
        <v>C2 - Description of practices policies and future initiatives for transitioning towards a more sustainable economy</v>
      </c>
      <c r="C162" s="2" t="s">
        <v>5301</v>
      </c>
      <c r="D162" s="442" t="s">
        <v>5302</v>
      </c>
      <c r="E162" s="442" t="s">
        <v>4344</v>
      </c>
      <c r="F162" s="442" t="s">
        <v>4345</v>
      </c>
      <c r="G162" s="449" t="s">
        <v>5303</v>
      </c>
      <c r="H162" s="449" t="s">
        <v>5304</v>
      </c>
      <c r="I162" s="2" t="s">
        <v>4348</v>
      </c>
      <c r="J162" s="448" t="s">
        <v>5305</v>
      </c>
      <c r="K162" s="448" t="s">
        <v>4350</v>
      </c>
      <c r="L162" s="448" t="s">
        <v>5306</v>
      </c>
      <c r="M162" s="448" t="s">
        <v>5307</v>
      </c>
      <c r="N162" s="448" t="s">
        <v>4353</v>
      </c>
    </row>
    <row r="163" spans="1:14" ht="72.900000000000006" hidden="1">
      <c r="A163" s="2" t="s">
        <v>5308</v>
      </c>
      <c r="B163" s="447" t="str">
        <f t="shared" si="4"/>
        <v>Description of a practice policy and or future initiative towards a more sustainable future (In case the practice  policy  future initiative covers suppliers or clients the undertaking shall mention it)</v>
      </c>
      <c r="C163" s="2" t="s">
        <v>5309</v>
      </c>
      <c r="D163" s="442" t="s">
        <v>5310</v>
      </c>
      <c r="E163" s="442" t="s">
        <v>5311</v>
      </c>
      <c r="F163" s="442" t="s">
        <v>5312</v>
      </c>
      <c r="G163" s="449" t="s">
        <v>5313</v>
      </c>
      <c r="H163" s="449" t="s">
        <v>5314</v>
      </c>
      <c r="I163" s="2" t="s">
        <v>5315</v>
      </c>
      <c r="J163" s="448" t="s">
        <v>5316</v>
      </c>
      <c r="K163" s="448" t="s">
        <v>5317</v>
      </c>
      <c r="L163" s="448" t="s">
        <v>5318</v>
      </c>
      <c r="M163" s="448" t="s">
        <v>5319</v>
      </c>
      <c r="N163" s="448" t="s">
        <v>5320</v>
      </c>
    </row>
    <row r="164" spans="1:14" ht="43.75" hidden="1">
      <c r="A164" s="2" t="s">
        <v>5321</v>
      </c>
      <c r="B164" s="447" t="str">
        <f t="shared" si="4"/>
        <v>Description of target related to a policy</v>
      </c>
      <c r="C164" s="2" t="s">
        <v>5322</v>
      </c>
      <c r="D164" s="442" t="s">
        <v>5323</v>
      </c>
      <c r="E164" s="442" t="s">
        <v>5324</v>
      </c>
      <c r="F164" s="442" t="s">
        <v>5325</v>
      </c>
      <c r="G164" s="449" t="s">
        <v>5326</v>
      </c>
      <c r="H164" s="449" t="s">
        <v>5327</v>
      </c>
      <c r="I164" s="2" t="s">
        <v>5328</v>
      </c>
      <c r="J164" s="448" t="s">
        <v>5329</v>
      </c>
      <c r="K164" s="448" t="s">
        <v>5330</v>
      </c>
      <c r="L164" s="448" t="s">
        <v>5331</v>
      </c>
      <c r="M164" s="448" t="s">
        <v>5332</v>
      </c>
      <c r="N164" s="448" t="s">
        <v>5333</v>
      </c>
    </row>
    <row r="165" spans="1:14" s="511" customFormat="1" ht="58.75" hidden="1" thickBot="1">
      <c r="A165" s="565" t="s">
        <v>5334</v>
      </c>
      <c r="B165" s="566" t="str">
        <f t="shared" si="4"/>
        <v>Most senior level in the undertaking (i.e. a person or a body) that is accountable for implementing those practices, policies, and future initiatives  when this has been determined by the undertaking</v>
      </c>
      <c r="C165" s="565" t="s">
        <v>5335</v>
      </c>
      <c r="D165" s="567" t="s">
        <v>5336</v>
      </c>
      <c r="E165" s="567" t="s">
        <v>5337</v>
      </c>
      <c r="F165" s="567" t="s">
        <v>5338</v>
      </c>
      <c r="G165" s="568" t="s">
        <v>5339</v>
      </c>
      <c r="H165" s="568" t="s">
        <v>5340</v>
      </c>
      <c r="I165" s="565" t="s">
        <v>5341</v>
      </c>
      <c r="J165" s="569" t="s">
        <v>5342</v>
      </c>
      <c r="K165" s="569" t="s">
        <v>5343</v>
      </c>
      <c r="L165" s="569" t="s">
        <v>5344</v>
      </c>
      <c r="M165" s="569" t="s">
        <v>5345</v>
      </c>
      <c r="N165" s="569" t="s">
        <v>5346</v>
      </c>
    </row>
    <row r="166" spans="1:14" ht="58.3" hidden="1">
      <c r="A166" s="2" t="s">
        <v>5347</v>
      </c>
      <c r="B166" s="447" t="str">
        <f t="shared" si="4"/>
        <v>C1 - Strategy: Business Model and Sustainability - Related Initiatives</v>
      </c>
      <c r="C166" s="2" t="s">
        <v>4329</v>
      </c>
      <c r="D166" s="442" t="s">
        <v>5348</v>
      </c>
      <c r="E166" s="442" t="s">
        <v>5349</v>
      </c>
      <c r="F166" s="442" t="s">
        <v>5350</v>
      </c>
      <c r="G166" s="449" t="s">
        <v>5351</v>
      </c>
      <c r="H166" s="449" t="s">
        <v>5352</v>
      </c>
      <c r="I166" s="2" t="s">
        <v>5353</v>
      </c>
      <c r="J166" s="448" t="s">
        <v>5354</v>
      </c>
      <c r="K166" s="448" t="s">
        <v>5355</v>
      </c>
      <c r="L166" s="448" t="s">
        <v>5356</v>
      </c>
      <c r="M166" s="448" t="s">
        <v>5357</v>
      </c>
      <c r="N166" s="448" t="s">
        <v>4340</v>
      </c>
    </row>
    <row r="167" spans="1:14" ht="29.15" hidden="1">
      <c r="A167" s="2" t="s">
        <v>5358</v>
      </c>
      <c r="B167" s="447" t="str">
        <f t="shared" si="4"/>
        <v>Description of significant groups of products and or services offered</v>
      </c>
      <c r="C167" s="2" t="s">
        <v>5359</v>
      </c>
      <c r="D167" s="442" t="s">
        <v>5360</v>
      </c>
      <c r="E167" s="442" t="s">
        <v>5361</v>
      </c>
      <c r="F167" s="442" t="s">
        <v>5362</v>
      </c>
      <c r="G167" s="449" t="s">
        <v>5363</v>
      </c>
      <c r="H167" s="449" t="s">
        <v>5364</v>
      </c>
      <c r="I167" s="2" t="s">
        <v>5365</v>
      </c>
      <c r="J167" s="448" t="s">
        <v>5366</v>
      </c>
      <c r="K167" s="448" t="s">
        <v>5367</v>
      </c>
      <c r="L167" s="448" t="s">
        <v>5368</v>
      </c>
      <c r="M167" s="448" t="s">
        <v>5369</v>
      </c>
      <c r="N167" s="448" t="s">
        <v>5370</v>
      </c>
    </row>
    <row r="168" spans="1:14" ht="58.3" hidden="1">
      <c r="A168" s="2" t="s">
        <v>5371</v>
      </c>
      <c r="B168" s="447" t="str">
        <f t="shared" si="4"/>
        <v>Description of significant market(s) the undertaking operates in (e.g. B2B, wholesale, retail, countries)</v>
      </c>
      <c r="C168" s="2" t="s">
        <v>5372</v>
      </c>
      <c r="D168" s="442" t="s">
        <v>5373</v>
      </c>
      <c r="E168" s="442" t="s">
        <v>5374</v>
      </c>
      <c r="F168" s="442" t="s">
        <v>5375</v>
      </c>
      <c r="G168" s="449" t="s">
        <v>5376</v>
      </c>
      <c r="H168" s="449" t="s">
        <v>5377</v>
      </c>
      <c r="I168" s="2" t="s">
        <v>5378</v>
      </c>
      <c r="J168" s="448" t="s">
        <v>5379</v>
      </c>
      <c r="K168" s="448" t="s">
        <v>5380</v>
      </c>
      <c r="L168" s="448" t="s">
        <v>5381</v>
      </c>
      <c r="M168" s="448" t="s">
        <v>5382</v>
      </c>
      <c r="N168" s="448" t="s">
        <v>5383</v>
      </c>
    </row>
    <row r="169" spans="1:14" ht="29.6" hidden="1" thickBot="1">
      <c r="A169" s="454" t="s">
        <v>5384</v>
      </c>
      <c r="B169" s="451" t="str">
        <f t="shared" ref="B169:B228" si="7">INDEX(C169:N169,MATCH(template_selected_display_language,$C$3:$N$3,0))</f>
        <v>Description of main business relationships (such as key suppliers, customers, distribution channels)</v>
      </c>
      <c r="C169" s="454" t="s">
        <v>5385</v>
      </c>
      <c r="D169" s="450" t="s">
        <v>5386</v>
      </c>
      <c r="E169" s="450" t="s">
        <v>5387</v>
      </c>
      <c r="F169" s="450" t="s">
        <v>5388</v>
      </c>
      <c r="G169" s="453" t="s">
        <v>5389</v>
      </c>
      <c r="H169" s="453" t="s">
        <v>5390</v>
      </c>
      <c r="I169" s="454" t="s">
        <v>5391</v>
      </c>
      <c r="J169" s="452" t="s">
        <v>5392</v>
      </c>
      <c r="K169" s="452" t="s">
        <v>5393</v>
      </c>
      <c r="L169" s="452" t="s">
        <v>5394</v>
      </c>
      <c r="M169" s="452" t="s">
        <v>5395</v>
      </c>
      <c r="N169" s="452" t="s">
        <v>5396</v>
      </c>
    </row>
    <row r="170" spans="1:14" s="585" customFormat="1" ht="43.75" hidden="1">
      <c r="A170" s="580" t="s">
        <v>5397</v>
      </c>
      <c r="B170" s="581" t="str">
        <f t="shared" si="7"/>
        <v>Voluntary for undertakings with 10 employees or less - Does the strategy have key elements in relation to or affecting sustainability issues?</v>
      </c>
      <c r="C170" s="580" t="s">
        <v>5398</v>
      </c>
      <c r="D170" s="582" t="s">
        <v>5399</v>
      </c>
      <c r="E170" s="582" t="s">
        <v>5400</v>
      </c>
      <c r="F170" s="582" t="s">
        <v>5401</v>
      </c>
      <c r="G170" s="582" t="s">
        <v>5402</v>
      </c>
      <c r="H170" s="582" t="s">
        <v>5402</v>
      </c>
      <c r="I170" s="582" t="s">
        <v>5402</v>
      </c>
      <c r="J170" s="582" t="s">
        <v>5402</v>
      </c>
      <c r="K170" s="582" t="s">
        <v>5402</v>
      </c>
      <c r="L170" s="582" t="s">
        <v>5402</v>
      </c>
      <c r="M170" s="582" t="s">
        <v>5402</v>
      </c>
      <c r="N170" s="582" t="s">
        <v>5402</v>
      </c>
    </row>
    <row r="171" spans="1:14" ht="43.75" hidden="1">
      <c r="A171" s="2" t="s">
        <v>5403</v>
      </c>
      <c r="B171" s="447" t="str">
        <f t="shared" si="7"/>
        <v>Description of those key elements in the strategy that relate or affect sustainability issues</v>
      </c>
      <c r="C171" s="2" t="s">
        <v>5404</v>
      </c>
      <c r="D171" s="442" t="s">
        <v>5405</v>
      </c>
      <c r="E171" s="442" t="s">
        <v>5406</v>
      </c>
      <c r="F171" s="442" t="s">
        <v>5407</v>
      </c>
      <c r="G171" s="449" t="s">
        <v>5408</v>
      </c>
      <c r="H171" s="449" t="s">
        <v>5409</v>
      </c>
      <c r="I171" s="2" t="s">
        <v>5410</v>
      </c>
      <c r="J171" s="448" t="s">
        <v>5411</v>
      </c>
      <c r="K171" s="448" t="s">
        <v>5412</v>
      </c>
      <c r="L171" s="448" t="s">
        <v>5413</v>
      </c>
      <c r="M171" s="448" t="s">
        <v>5414</v>
      </c>
      <c r="N171" s="448" t="s">
        <v>5415</v>
      </c>
    </row>
    <row r="172" spans="1:14" hidden="1">
      <c r="A172" s="2" t="s">
        <v>5416</v>
      </c>
      <c r="B172" s="447" t="str">
        <f t="shared" si="7"/>
        <v>Introduction</v>
      </c>
      <c r="C172" s="2" t="s">
        <v>5417</v>
      </c>
      <c r="D172" s="442" t="s">
        <v>5418</v>
      </c>
      <c r="E172" s="442" t="s">
        <v>5419</v>
      </c>
      <c r="F172" s="442" t="s">
        <v>5417</v>
      </c>
      <c r="G172" s="442" t="s">
        <v>5420</v>
      </c>
      <c r="H172" s="442" t="s">
        <v>5421</v>
      </c>
      <c r="I172" s="442" t="s">
        <v>5422</v>
      </c>
      <c r="J172" s="442" t="s">
        <v>5423</v>
      </c>
      <c r="K172" s="442" t="s">
        <v>5424</v>
      </c>
      <c r="L172" s="442" t="s">
        <v>5425</v>
      </c>
      <c r="M172" s="442" t="s">
        <v>5426</v>
      </c>
      <c r="N172" s="442" t="s">
        <v>5427</v>
      </c>
    </row>
    <row r="173" spans="1:14" ht="29.15" hidden="1">
      <c r="A173" s="2" t="s">
        <v>5428</v>
      </c>
      <c r="B173" s="447" t="str">
        <f>INDEX(C173:N173,MATCH(template_selected_display_language,$C$3:$N$3,0))</f>
        <v>Introduction and/or other entity specific information</v>
      </c>
      <c r="C173" s="2" t="s">
        <v>5429</v>
      </c>
      <c r="D173" s="2" t="s">
        <v>5430</v>
      </c>
      <c r="E173" s="2" t="s">
        <v>5431</v>
      </c>
      <c r="F173" s="2" t="s">
        <v>5432</v>
      </c>
      <c r="G173" s="2" t="s">
        <v>5433</v>
      </c>
      <c r="H173" s="2" t="s">
        <v>5434</v>
      </c>
      <c r="I173" s="2" t="s">
        <v>5435</v>
      </c>
      <c r="J173" s="2" t="s">
        <v>5436</v>
      </c>
      <c r="K173" s="2" t="s">
        <v>5437</v>
      </c>
      <c r="L173" s="2" t="s">
        <v>5438</v>
      </c>
      <c r="M173" s="2" t="s">
        <v>5439</v>
      </c>
      <c r="N173" s="2" t="s">
        <v>5440</v>
      </c>
    </row>
    <row r="174" spans="1:14" hidden="1">
      <c r="A174" s="2" t="s">
        <v>5441</v>
      </c>
      <c r="B174" s="447" t="str">
        <f t="shared" si="7"/>
        <v>B3 - Total Energy Consumption (in MWh)</v>
      </c>
      <c r="C174" s="2" t="s">
        <v>5442</v>
      </c>
      <c r="D174" s="442" t="s">
        <v>5443</v>
      </c>
      <c r="E174" s="442" t="s">
        <v>5444</v>
      </c>
      <c r="F174" s="442" t="s">
        <v>5445</v>
      </c>
      <c r="G174" s="449" t="s">
        <v>5446</v>
      </c>
      <c r="H174" s="449" t="s">
        <v>5447</v>
      </c>
      <c r="I174" s="2" t="s">
        <v>5448</v>
      </c>
      <c r="J174" s="448" t="s">
        <v>5449</v>
      </c>
      <c r="K174" s="448" t="s">
        <v>5450</v>
      </c>
      <c r="L174" s="448" t="s">
        <v>5451</v>
      </c>
      <c r="M174" s="448" t="s">
        <v>5452</v>
      </c>
      <c r="N174" s="448" t="s">
        <v>5453</v>
      </c>
    </row>
    <row r="175" spans="1:14" ht="29.6" hidden="1" thickBot="1">
      <c r="A175" s="454" t="s">
        <v>5454</v>
      </c>
      <c r="B175" s="451" t="str">
        <f t="shared" si="7"/>
        <v>Total Energy Consumption</v>
      </c>
      <c r="C175" s="454" t="s">
        <v>5455</v>
      </c>
      <c r="D175" s="450" t="s">
        <v>5456</v>
      </c>
      <c r="E175" s="450" t="s">
        <v>5457</v>
      </c>
      <c r="F175" s="450" t="s">
        <v>5458</v>
      </c>
      <c r="G175" s="453" t="s">
        <v>5459</v>
      </c>
      <c r="H175" s="453" t="s">
        <v>5460</v>
      </c>
      <c r="I175" s="454" t="s">
        <v>5461</v>
      </c>
      <c r="J175" s="452" t="s">
        <v>5462</v>
      </c>
      <c r="K175" s="452" t="s">
        <v>5463</v>
      </c>
      <c r="L175" s="452" t="s">
        <v>5464</v>
      </c>
      <c r="M175" s="452" t="s">
        <v>5465</v>
      </c>
      <c r="N175" s="452" t="s">
        <v>5466</v>
      </c>
    </row>
    <row r="176" spans="1:14" hidden="1">
      <c r="A176" s="2" t="s">
        <v>5467</v>
      </c>
      <c r="B176" s="447" t="str">
        <f t="shared" si="7"/>
        <v>B3 - Breakdown of energy consumption (in MWh)</v>
      </c>
      <c r="C176" s="2" t="s">
        <v>5468</v>
      </c>
      <c r="D176" s="442" t="s">
        <v>5469</v>
      </c>
      <c r="E176" s="442" t="s">
        <v>5470</v>
      </c>
      <c r="F176" s="442" t="s">
        <v>5471</v>
      </c>
      <c r="G176" s="449" t="s">
        <v>5472</v>
      </c>
      <c r="H176" s="449" t="s">
        <v>5473</v>
      </c>
      <c r="I176" s="2" t="s">
        <v>5474</v>
      </c>
      <c r="J176" s="448" t="s">
        <v>5475</v>
      </c>
      <c r="K176" s="448" t="s">
        <v>5476</v>
      </c>
      <c r="L176" s="448" t="s">
        <v>5477</v>
      </c>
      <c r="M176" s="448" t="s">
        <v>5478</v>
      </c>
      <c r="N176" s="448" t="s">
        <v>5479</v>
      </c>
    </row>
    <row r="177" spans="1:14" s="585" customFormat="1" ht="43.75" hidden="1">
      <c r="A177" s="580" t="s">
        <v>5480</v>
      </c>
      <c r="B177" s="581" t="str">
        <f t="shared" si="7"/>
        <v>Voluntary for undertakings with 10 employees or less - Has the undertaking obtained the necessary information to provide an energy consumption breakdown?</v>
      </c>
      <c r="C177" s="580" t="s">
        <v>5481</v>
      </c>
      <c r="D177" s="582" t="s">
        <v>5482</v>
      </c>
      <c r="E177" s="582" t="s">
        <v>5482</v>
      </c>
      <c r="F177" s="582" t="s">
        <v>5483</v>
      </c>
      <c r="G177" s="582" t="s">
        <v>5484</v>
      </c>
      <c r="H177" s="582" t="s">
        <v>5484</v>
      </c>
      <c r="I177" s="582" t="s">
        <v>5484</v>
      </c>
      <c r="J177" s="582" t="s">
        <v>5484</v>
      </c>
      <c r="K177" s="582" t="s">
        <v>5484</v>
      </c>
      <c r="L177" s="582" t="s">
        <v>5484</v>
      </c>
      <c r="M177" s="582" t="s">
        <v>5484</v>
      </c>
      <c r="N177" s="582" t="s">
        <v>5484</v>
      </c>
    </row>
    <row r="178" spans="1:14" hidden="1">
      <c r="A178" s="2" t="s">
        <v>5485</v>
      </c>
      <c r="B178" s="447" t="str">
        <f t="shared" si="7"/>
        <v>Renewable</v>
      </c>
      <c r="C178" s="2" t="s">
        <v>149</v>
      </c>
      <c r="D178" s="442" t="s">
        <v>5486</v>
      </c>
      <c r="E178" s="442" t="s">
        <v>5487</v>
      </c>
      <c r="F178" s="442" t="s">
        <v>5488</v>
      </c>
      <c r="G178" s="449" t="s">
        <v>5489</v>
      </c>
      <c r="H178" s="449" t="s">
        <v>5490</v>
      </c>
      <c r="I178" s="2" t="s">
        <v>5491</v>
      </c>
      <c r="J178" s="448" t="s">
        <v>5492</v>
      </c>
      <c r="K178" s="448" t="s">
        <v>5493</v>
      </c>
      <c r="L178" s="448" t="s">
        <v>5494</v>
      </c>
      <c r="M178" s="448" t="s">
        <v>5495</v>
      </c>
      <c r="N178" s="448" t="s">
        <v>5496</v>
      </c>
    </row>
    <row r="179" spans="1:14" hidden="1">
      <c r="A179" s="2" t="s">
        <v>5497</v>
      </c>
      <c r="B179" s="447" t="str">
        <f t="shared" si="7"/>
        <v>Non-renewable</v>
      </c>
      <c r="C179" s="2" t="s">
        <v>145</v>
      </c>
      <c r="D179" s="442" t="s">
        <v>5498</v>
      </c>
      <c r="E179" s="442" t="s">
        <v>5499</v>
      </c>
      <c r="F179" s="442" t="s">
        <v>5500</v>
      </c>
      <c r="G179" s="449" t="s">
        <v>5501</v>
      </c>
      <c r="H179" s="449" t="s">
        <v>5502</v>
      </c>
      <c r="I179" s="2" t="s">
        <v>5503</v>
      </c>
      <c r="J179" s="448" t="s">
        <v>5504</v>
      </c>
      <c r="K179" s="448" t="s">
        <v>5505</v>
      </c>
      <c r="L179" s="448" t="s">
        <v>5506</v>
      </c>
      <c r="M179" s="448" t="s">
        <v>5507</v>
      </c>
      <c r="N179" s="448" t="s">
        <v>5508</v>
      </c>
    </row>
    <row r="180" spans="1:14" ht="29.15" hidden="1">
      <c r="A180" s="2" t="s">
        <v>5509</v>
      </c>
      <c r="B180" s="447" t="str">
        <f t="shared" si="7"/>
        <v>Total renewable and non-renewable</v>
      </c>
      <c r="C180" s="2" t="s">
        <v>5510</v>
      </c>
      <c r="D180" s="442" t="s">
        <v>5511</v>
      </c>
      <c r="E180" s="442" t="s">
        <v>5512</v>
      </c>
      <c r="F180" s="442" t="s">
        <v>5513</v>
      </c>
      <c r="G180" s="449" t="s">
        <v>5514</v>
      </c>
      <c r="H180" s="449" t="s">
        <v>5515</v>
      </c>
      <c r="I180" s="2" t="s">
        <v>5516</v>
      </c>
      <c r="J180" s="448" t="s">
        <v>5517</v>
      </c>
      <c r="K180" s="448" t="s">
        <v>5518</v>
      </c>
      <c r="L180" s="448" t="s">
        <v>5519</v>
      </c>
      <c r="M180" s="448" t="s">
        <v>5520</v>
      </c>
      <c r="N180" s="448" t="s">
        <v>5521</v>
      </c>
    </row>
    <row r="181" spans="1:14" ht="29.15" hidden="1">
      <c r="A181" s="2" t="s">
        <v>5522</v>
      </c>
      <c r="B181" s="447" t="str">
        <f t="shared" si="7"/>
        <v>Electricity (as reflected in utility billings)</v>
      </c>
      <c r="C181" s="2" t="s">
        <v>5523</v>
      </c>
      <c r="D181" s="442" t="s">
        <v>5524</v>
      </c>
      <c r="E181" s="442" t="s">
        <v>5525</v>
      </c>
      <c r="F181" s="455" t="s">
        <v>5526</v>
      </c>
      <c r="G181" s="449" t="s">
        <v>5527</v>
      </c>
      <c r="H181" s="449" t="s">
        <v>5528</v>
      </c>
      <c r="I181" s="2" t="s">
        <v>5529</v>
      </c>
      <c r="J181" s="448" t="s">
        <v>5530</v>
      </c>
      <c r="K181" s="448" t="s">
        <v>5531</v>
      </c>
      <c r="L181" s="448" t="s">
        <v>5532</v>
      </c>
      <c r="M181" s="448" t="s">
        <v>5533</v>
      </c>
      <c r="N181" s="448" t="s">
        <v>5534</v>
      </c>
    </row>
    <row r="182" spans="1:14" s="557" customFormat="1" hidden="1">
      <c r="A182" s="552" t="s">
        <v>5535</v>
      </c>
      <c r="B182" s="553" t="str">
        <f t="shared" si="7"/>
        <v>Self-generated electricity</v>
      </c>
      <c r="C182" s="552" t="s">
        <v>5536</v>
      </c>
      <c r="D182" s="554" t="s">
        <v>5537</v>
      </c>
      <c r="E182" s="554" t="s">
        <v>5538</v>
      </c>
      <c r="F182" s="554" t="s">
        <v>5539</v>
      </c>
      <c r="G182" s="555" t="s">
        <v>5540</v>
      </c>
      <c r="H182" s="555" t="s">
        <v>5541</v>
      </c>
      <c r="I182" s="552" t="s">
        <v>5542</v>
      </c>
      <c r="J182" s="556" t="s">
        <v>5543</v>
      </c>
      <c r="K182" s="556" t="s">
        <v>5544</v>
      </c>
      <c r="L182" s="556" t="s">
        <v>5545</v>
      </c>
      <c r="M182" s="556" t="s">
        <v>5546</v>
      </c>
      <c r="N182" s="556" t="s">
        <v>5547</v>
      </c>
    </row>
    <row r="183" spans="1:14" s="12" customFormat="1" ht="29.6" hidden="1" thickBot="1">
      <c r="A183" s="454" t="s">
        <v>5548</v>
      </c>
      <c r="B183" s="451" t="str">
        <f t="shared" si="7"/>
        <v>Fuels (see Fuel Converter on Fuels worksheet)</v>
      </c>
      <c r="C183" s="454" t="s">
        <v>5549</v>
      </c>
      <c r="D183" s="450" t="s">
        <v>5550</v>
      </c>
      <c r="E183" s="450" t="s">
        <v>5551</v>
      </c>
      <c r="F183" s="450" t="s">
        <v>5552</v>
      </c>
      <c r="G183" s="453" t="s">
        <v>5553</v>
      </c>
      <c r="H183" s="453" t="s">
        <v>5554</v>
      </c>
      <c r="I183" s="454" t="s">
        <v>5555</v>
      </c>
      <c r="J183" s="452" t="s">
        <v>5556</v>
      </c>
      <c r="K183" s="452" t="s">
        <v>5557</v>
      </c>
      <c r="L183" s="452" t="s">
        <v>5558</v>
      </c>
      <c r="M183" s="452" t="s">
        <v>5559</v>
      </c>
      <c r="N183" s="452" t="s">
        <v>5560</v>
      </c>
    </row>
    <row r="184" spans="1:14" s="511" customFormat="1" ht="58.3" hidden="1">
      <c r="A184" s="558" t="s">
        <v>5561</v>
      </c>
      <c r="B184" s="559" t="str">
        <f t="shared" si="7"/>
        <v>B3 - Estimated Absolute Greenhouse Gas Emissions considering the GHG Protocol Corporate Accounting and Reporting  Standard 2004 (in tCO2eq)</v>
      </c>
      <c r="C184" s="561" t="s">
        <v>5562</v>
      </c>
      <c r="D184" s="547" t="s">
        <v>5563</v>
      </c>
      <c r="E184" s="547" t="s">
        <v>5564</v>
      </c>
      <c r="F184" s="547" t="s">
        <v>5565</v>
      </c>
      <c r="G184" s="560" t="s">
        <v>5566</v>
      </c>
      <c r="H184" s="560" t="s">
        <v>5567</v>
      </c>
      <c r="I184" s="558" t="s">
        <v>5568</v>
      </c>
      <c r="J184" s="550" t="s">
        <v>5569</v>
      </c>
      <c r="K184" s="550" t="s">
        <v>5570</v>
      </c>
      <c r="L184" s="550" t="s">
        <v>5571</v>
      </c>
      <c r="M184" s="550" t="s">
        <v>5572</v>
      </c>
      <c r="N184" s="550" t="s">
        <v>5573</v>
      </c>
    </row>
    <row r="185" spans="1:14" ht="29.15" hidden="1">
      <c r="A185" s="2" t="s">
        <v>5574</v>
      </c>
      <c r="B185" s="447" t="str">
        <f t="shared" si="7"/>
        <v>C3 - GHG reduction targets (in tC02e)</v>
      </c>
      <c r="C185" s="2" t="s">
        <v>5575</v>
      </c>
      <c r="D185" s="442" t="s">
        <v>5576</v>
      </c>
      <c r="E185" s="442" t="s">
        <v>5577</v>
      </c>
      <c r="F185" s="442" t="s">
        <v>5578</v>
      </c>
      <c r="G185" s="449" t="s">
        <v>5579</v>
      </c>
      <c r="H185" s="449" t="s">
        <v>5580</v>
      </c>
      <c r="I185" s="2" t="s">
        <v>5581</v>
      </c>
      <c r="J185" s="448" t="s">
        <v>5582</v>
      </c>
      <c r="K185" s="448" t="s">
        <v>5583</v>
      </c>
      <c r="L185" s="448" t="s">
        <v>5584</v>
      </c>
      <c r="M185" s="448" t="s">
        <v>5585</v>
      </c>
      <c r="N185" s="448" t="s">
        <v>5586</v>
      </c>
    </row>
    <row r="186" spans="1:14" s="585" customFormat="1" ht="43.75" hidden="1">
      <c r="A186" s="580" t="s">
        <v>5587</v>
      </c>
      <c r="B186" s="581" t="str">
        <f t="shared" si="7"/>
        <v>Voluntary for undertakings with 10 employees or less - Has  the undertaking has established GHG emission reduction targets?</v>
      </c>
      <c r="C186" s="580" t="s">
        <v>5588</v>
      </c>
      <c r="D186" s="582" t="s">
        <v>5589</v>
      </c>
      <c r="E186" s="582" t="s">
        <v>5589</v>
      </c>
      <c r="F186" s="582" t="s">
        <v>5590</v>
      </c>
      <c r="G186" s="582" t="s">
        <v>5591</v>
      </c>
      <c r="H186" s="582" t="s">
        <v>5591</v>
      </c>
      <c r="I186" s="582" t="s">
        <v>5591</v>
      </c>
      <c r="J186" s="582" t="s">
        <v>5591</v>
      </c>
      <c r="K186" s="582" t="s">
        <v>5591</v>
      </c>
      <c r="L186" s="582" t="s">
        <v>5591</v>
      </c>
      <c r="M186" s="582" t="s">
        <v>5591</v>
      </c>
      <c r="N186" s="582" t="s">
        <v>5591</v>
      </c>
    </row>
    <row r="187" spans="1:14" hidden="1">
      <c r="A187" s="2" t="s">
        <v>5592</v>
      </c>
      <c r="B187" s="447" t="str">
        <f t="shared" si="7"/>
        <v>Current Reporting Period</v>
      </c>
      <c r="C187" s="2" t="s">
        <v>5593</v>
      </c>
      <c r="D187" s="442" t="s">
        <v>5594</v>
      </c>
      <c r="E187" s="442" t="s">
        <v>5595</v>
      </c>
      <c r="F187" s="442" t="s">
        <v>5596</v>
      </c>
      <c r="G187" s="449" t="s">
        <v>5597</v>
      </c>
      <c r="H187" s="449" t="s">
        <v>5598</v>
      </c>
      <c r="I187" s="2" t="s">
        <v>5599</v>
      </c>
      <c r="J187" s="448" t="s">
        <v>5600</v>
      </c>
      <c r="K187" s="448" t="s">
        <v>5601</v>
      </c>
      <c r="L187" s="448" t="s">
        <v>5602</v>
      </c>
      <c r="M187" s="448" t="s">
        <v>5603</v>
      </c>
      <c r="N187" s="448" t="s">
        <v>5604</v>
      </c>
    </row>
    <row r="188" spans="1:14" hidden="1">
      <c r="A188" s="2" t="s">
        <v>5605</v>
      </c>
      <c r="B188" s="447" t="str">
        <f t="shared" si="7"/>
        <v>Base Year</v>
      </c>
      <c r="C188" s="2" t="s">
        <v>5606</v>
      </c>
      <c r="D188" s="442" t="s">
        <v>5607</v>
      </c>
      <c r="E188" s="442" t="s">
        <v>5608</v>
      </c>
      <c r="F188" s="442" t="s">
        <v>5609</v>
      </c>
      <c r="G188" s="449" t="s">
        <v>5610</v>
      </c>
      <c r="H188" s="449" t="s">
        <v>5611</v>
      </c>
      <c r="I188" s="2" t="s">
        <v>5612</v>
      </c>
      <c r="J188" s="448" t="s">
        <v>5613</v>
      </c>
      <c r="K188" s="448" t="s">
        <v>5614</v>
      </c>
      <c r="L188" s="448" t="s">
        <v>5615</v>
      </c>
      <c r="M188" s="448" t="s">
        <v>5616</v>
      </c>
      <c r="N188" s="448" t="s">
        <v>5617</v>
      </c>
    </row>
    <row r="189" spans="1:14" hidden="1">
      <c r="A189" s="2" t="s">
        <v>5618</v>
      </c>
      <c r="B189" s="447" t="str">
        <f t="shared" si="7"/>
        <v>Target Year</v>
      </c>
      <c r="C189" s="2" t="s">
        <v>5619</v>
      </c>
      <c r="D189" s="442" t="s">
        <v>5620</v>
      </c>
      <c r="E189" s="442" t="s">
        <v>5621</v>
      </c>
      <c r="F189" s="442" t="s">
        <v>5622</v>
      </c>
      <c r="G189" s="449" t="s">
        <v>5623</v>
      </c>
      <c r="H189" s="449" t="s">
        <v>5624</v>
      </c>
      <c r="I189" s="2" t="s">
        <v>5625</v>
      </c>
      <c r="J189" s="448" t="s">
        <v>5626</v>
      </c>
      <c r="K189" s="448" t="s">
        <v>5627</v>
      </c>
      <c r="L189" s="448" t="s">
        <v>5628</v>
      </c>
      <c r="M189" s="448" t="s">
        <v>5629</v>
      </c>
      <c r="N189" s="448" t="s">
        <v>5630</v>
      </c>
    </row>
    <row r="190" spans="1:14" hidden="1">
      <c r="A190" s="2" t="s">
        <v>5631</v>
      </c>
      <c r="B190" s="447" t="str">
        <f t="shared" si="7"/>
        <v>Percentage reduction from base year</v>
      </c>
      <c r="C190" s="2" t="s">
        <v>5632</v>
      </c>
      <c r="D190" s="442" t="s">
        <v>5633</v>
      </c>
      <c r="E190" s="442" t="s">
        <v>5634</v>
      </c>
      <c r="F190" s="442" t="s">
        <v>5635</v>
      </c>
      <c r="G190" s="449" t="s">
        <v>5636</v>
      </c>
      <c r="H190" s="449" t="s">
        <v>5637</v>
      </c>
      <c r="I190" s="2" t="s">
        <v>5638</v>
      </c>
      <c r="J190" s="448" t="s">
        <v>5639</v>
      </c>
      <c r="K190" s="448" t="s">
        <v>5640</v>
      </c>
      <c r="L190" s="448" t="s">
        <v>5641</v>
      </c>
      <c r="M190" s="448" t="s">
        <v>5642</v>
      </c>
      <c r="N190" s="448" t="s">
        <v>5643</v>
      </c>
    </row>
    <row r="191" spans="1:14" hidden="1">
      <c r="A191" s="2" t="s">
        <v>5644</v>
      </c>
      <c r="B191" s="447" t="str">
        <f t="shared" si="7"/>
        <v>Year (date)</v>
      </c>
      <c r="C191" s="2" t="s">
        <v>5645</v>
      </c>
      <c r="D191" s="442" t="s">
        <v>5646</v>
      </c>
      <c r="E191" s="442" t="s">
        <v>5647</v>
      </c>
      <c r="F191" s="442" t="s">
        <v>5648</v>
      </c>
      <c r="G191" s="449" t="s">
        <v>5649</v>
      </c>
      <c r="H191" s="449" t="s">
        <v>5650</v>
      </c>
      <c r="I191" s="2" t="s">
        <v>5651</v>
      </c>
      <c r="J191" s="448" t="s">
        <v>5652</v>
      </c>
      <c r="K191" s="448" t="s">
        <v>5653</v>
      </c>
      <c r="L191" s="448" t="s">
        <v>5654</v>
      </c>
      <c r="M191" s="448" t="s">
        <v>5655</v>
      </c>
      <c r="N191" s="448" t="s">
        <v>5656</v>
      </c>
    </row>
    <row r="192" spans="1:14" ht="29.15" hidden="1">
      <c r="A192" s="2" t="s">
        <v>5657</v>
      </c>
      <c r="B192" s="447" t="str">
        <f t="shared" si="7"/>
        <v>Gross Scope 1 GHG Emissions</v>
      </c>
      <c r="C192" s="2" t="s">
        <v>5658</v>
      </c>
      <c r="D192" s="442" t="s">
        <v>5659</v>
      </c>
      <c r="E192" s="442" t="s">
        <v>5660</v>
      </c>
      <c r="F192" s="442" t="s">
        <v>5661</v>
      </c>
      <c r="G192" s="449" t="s">
        <v>5662</v>
      </c>
      <c r="H192" s="449" t="s">
        <v>5663</v>
      </c>
      <c r="I192" s="2" t="s">
        <v>5664</v>
      </c>
      <c r="J192" s="448" t="s">
        <v>5665</v>
      </c>
      <c r="K192" s="448" t="s">
        <v>5666</v>
      </c>
      <c r="L192" s="448" t="s">
        <v>5667</v>
      </c>
      <c r="M192" s="448" t="s">
        <v>5668</v>
      </c>
      <c r="N192" s="448" t="s">
        <v>5669</v>
      </c>
    </row>
    <row r="193" spans="1:14" ht="29.15" hidden="1">
      <c r="A193" s="2" t="s">
        <v>5670</v>
      </c>
      <c r="B193" s="447" t="str">
        <f t="shared" si="7"/>
        <v>Gross Scope 2 location-based GHG Emissions</v>
      </c>
      <c r="C193" s="2" t="s">
        <v>5671</v>
      </c>
      <c r="D193" s="442" t="s">
        <v>5672</v>
      </c>
      <c r="E193" s="442" t="s">
        <v>5673</v>
      </c>
      <c r="F193" s="442" t="s">
        <v>5674</v>
      </c>
      <c r="G193" s="449" t="s">
        <v>5675</v>
      </c>
      <c r="H193" s="449" t="s">
        <v>5676</v>
      </c>
      <c r="I193" s="2" t="s">
        <v>5677</v>
      </c>
      <c r="J193" s="448" t="s">
        <v>5678</v>
      </c>
      <c r="K193" s="448" t="s">
        <v>5679</v>
      </c>
      <c r="L193" s="448" t="s">
        <v>5680</v>
      </c>
      <c r="M193" s="448" t="s">
        <v>5681</v>
      </c>
      <c r="N193" s="448" t="s">
        <v>5682</v>
      </c>
    </row>
    <row r="194" spans="1:14" ht="29.15" hidden="1">
      <c r="A194" s="2" t="s">
        <v>5683</v>
      </c>
      <c r="B194" s="447" t="str">
        <f t="shared" si="7"/>
        <v>Gross scope 2 market-based GHG Emissions</v>
      </c>
      <c r="C194" s="2" t="s">
        <v>5684</v>
      </c>
      <c r="D194" s="442" t="s">
        <v>5685</v>
      </c>
      <c r="E194" s="442" t="s">
        <v>5686</v>
      </c>
      <c r="F194" s="442" t="s">
        <v>5687</v>
      </c>
      <c r="G194" s="449" t="s">
        <v>5688</v>
      </c>
      <c r="H194" s="449" t="s">
        <v>5689</v>
      </c>
      <c r="I194" s="2" t="s">
        <v>5690</v>
      </c>
      <c r="J194" s="448" t="s">
        <v>5691</v>
      </c>
      <c r="K194" s="448" t="s">
        <v>5692</v>
      </c>
      <c r="L194" s="448" t="s">
        <v>5693</v>
      </c>
      <c r="M194" s="448" t="s">
        <v>5694</v>
      </c>
      <c r="N194" s="448" t="s">
        <v>5695</v>
      </c>
    </row>
    <row r="195" spans="1:14" ht="29.15" hidden="1">
      <c r="A195" s="2" t="s">
        <v>5696</v>
      </c>
      <c r="B195" s="447" t="str">
        <f t="shared" si="7"/>
        <v>Total Scope 1 and Scope 2 GHG Emissions (location-based)</v>
      </c>
      <c r="C195" s="2" t="s">
        <v>5697</v>
      </c>
      <c r="D195" s="442" t="s">
        <v>5698</v>
      </c>
      <c r="E195" s="442" t="s">
        <v>5699</v>
      </c>
      <c r="F195" s="442" t="s">
        <v>5700</v>
      </c>
      <c r="G195" s="449" t="s">
        <v>5701</v>
      </c>
      <c r="H195" s="449" t="s">
        <v>5702</v>
      </c>
      <c r="I195" s="2" t="s">
        <v>5703</v>
      </c>
      <c r="J195" s="448" t="s">
        <v>5704</v>
      </c>
      <c r="K195" s="448" t="s">
        <v>5705</v>
      </c>
      <c r="L195" s="448" t="s">
        <v>5706</v>
      </c>
      <c r="M195" s="448" t="s">
        <v>5707</v>
      </c>
      <c r="N195" s="448" t="s">
        <v>5708</v>
      </c>
    </row>
    <row r="196" spans="1:14" ht="29.15" hidden="1">
      <c r="A196" s="2" t="s">
        <v>5709</v>
      </c>
      <c r="B196" s="447" t="str">
        <f t="shared" si="7"/>
        <v>Total Scope 1 and Scope 2 GHG emissions  (market-based)</v>
      </c>
      <c r="C196" s="2" t="s">
        <v>5710</v>
      </c>
      <c r="D196" s="442" t="s">
        <v>5711</v>
      </c>
      <c r="E196" s="442" t="s">
        <v>5712</v>
      </c>
      <c r="F196" s="442" t="s">
        <v>5713</v>
      </c>
      <c r="G196" s="449" t="s">
        <v>5714</v>
      </c>
      <c r="H196" s="449" t="s">
        <v>5715</v>
      </c>
      <c r="I196" s="2" t="s">
        <v>5716</v>
      </c>
      <c r="J196" s="448" t="s">
        <v>5704</v>
      </c>
      <c r="K196" s="448" t="s">
        <v>5717</v>
      </c>
      <c r="L196" s="448" t="s">
        <v>5718</v>
      </c>
      <c r="M196" s="448" t="s">
        <v>5719</v>
      </c>
      <c r="N196" s="448" t="s">
        <v>5720</v>
      </c>
    </row>
    <row r="197" spans="1:14" s="585" customFormat="1" ht="43.75" hidden="1">
      <c r="A197" s="580" t="s">
        <v>5721</v>
      </c>
      <c r="B197" s="581" t="str">
        <f t="shared" si="7"/>
        <v>Voluntary for undertakings with 10 employees or less - Is the undertaking disclosing entity-specific information on Scope 3 emissions (in tCO2eq)?</v>
      </c>
      <c r="C197" s="580" t="s">
        <v>5722</v>
      </c>
      <c r="D197" s="582" t="s">
        <v>5723</v>
      </c>
      <c r="E197" s="582" t="s">
        <v>5723</v>
      </c>
      <c r="F197" s="582" t="s">
        <v>5724</v>
      </c>
      <c r="G197" s="582" t="s">
        <v>5725</v>
      </c>
      <c r="H197" s="582" t="s">
        <v>5725</v>
      </c>
      <c r="I197" s="582" t="s">
        <v>5725</v>
      </c>
      <c r="J197" s="582" t="s">
        <v>5725</v>
      </c>
      <c r="K197" s="582" t="s">
        <v>5725</v>
      </c>
      <c r="L197" s="582" t="s">
        <v>5725</v>
      </c>
      <c r="M197" s="582" t="s">
        <v>5725</v>
      </c>
      <c r="N197" s="582" t="s">
        <v>5725</v>
      </c>
    </row>
    <row r="198" spans="1:14" ht="29.15" hidden="1">
      <c r="A198" s="2" t="s">
        <v>5726</v>
      </c>
      <c r="B198" s="447" t="str">
        <f t="shared" si="7"/>
        <v>1. Purchased Goods and Services</v>
      </c>
      <c r="C198" s="2" t="s">
        <v>5727</v>
      </c>
      <c r="D198" s="442" t="s">
        <v>5728</v>
      </c>
      <c r="E198" s="442" t="s">
        <v>5729</v>
      </c>
      <c r="F198" s="442" t="s">
        <v>5730</v>
      </c>
      <c r="G198" s="449" t="s">
        <v>5731</v>
      </c>
      <c r="H198" s="449" t="s">
        <v>5732</v>
      </c>
      <c r="I198" s="2" t="s">
        <v>5733</v>
      </c>
      <c r="J198" s="448" t="s">
        <v>5734</v>
      </c>
      <c r="K198" s="448" t="s">
        <v>5735</v>
      </c>
      <c r="L198" s="448" t="s">
        <v>5736</v>
      </c>
      <c r="M198" s="448" t="s">
        <v>5737</v>
      </c>
      <c r="N198" s="448" t="s">
        <v>5738</v>
      </c>
    </row>
    <row r="199" spans="1:14" hidden="1">
      <c r="A199" s="2" t="s">
        <v>5739</v>
      </c>
      <c r="B199" s="447" t="str">
        <f t="shared" si="7"/>
        <v>2. Capital Goods</v>
      </c>
      <c r="C199" s="2" t="s">
        <v>5740</v>
      </c>
      <c r="D199" s="442" t="s">
        <v>5741</v>
      </c>
      <c r="E199" s="442" t="s">
        <v>5742</v>
      </c>
      <c r="F199" s="442" t="s">
        <v>5743</v>
      </c>
      <c r="G199" s="449" t="s">
        <v>5744</v>
      </c>
      <c r="H199" s="449" t="s">
        <v>5745</v>
      </c>
      <c r="I199" s="2" t="s">
        <v>5746</v>
      </c>
      <c r="J199" s="448" t="s">
        <v>5747</v>
      </c>
      <c r="K199" s="448" t="s">
        <v>5748</v>
      </c>
      <c r="L199" s="448" t="s">
        <v>5749</v>
      </c>
      <c r="M199" s="448" t="s">
        <v>5750</v>
      </c>
      <c r="N199" s="448" t="s">
        <v>5751</v>
      </c>
    </row>
    <row r="200" spans="1:14" ht="43.75" hidden="1">
      <c r="A200" s="2" t="s">
        <v>5752</v>
      </c>
      <c r="B200" s="447" t="str">
        <f t="shared" si="7"/>
        <v>3. Fuel- and Energy-Related Activities (Not Included in Scope 1 or Scope 2)</v>
      </c>
      <c r="C200" s="2" t="s">
        <v>5753</v>
      </c>
      <c r="D200" s="442" t="s">
        <v>5754</v>
      </c>
      <c r="E200" s="442" t="s">
        <v>5755</v>
      </c>
      <c r="F200" s="442" t="s">
        <v>5756</v>
      </c>
      <c r="G200" s="449" t="s">
        <v>5757</v>
      </c>
      <c r="H200" s="449" t="s">
        <v>5758</v>
      </c>
      <c r="I200" s="2" t="s">
        <v>5759</v>
      </c>
      <c r="J200" s="448" t="s">
        <v>5760</v>
      </c>
      <c r="K200" s="448" t="s">
        <v>5761</v>
      </c>
      <c r="L200" s="448" t="s">
        <v>5762</v>
      </c>
      <c r="M200" s="448" t="s">
        <v>5763</v>
      </c>
      <c r="N200" s="448" t="s">
        <v>5764</v>
      </c>
    </row>
    <row r="201" spans="1:14" ht="29.15" hidden="1">
      <c r="A201" s="2" t="s">
        <v>5765</v>
      </c>
      <c r="B201" s="447" t="str">
        <f t="shared" si="7"/>
        <v>4. Upstream Transportation and Distribution</v>
      </c>
      <c r="C201" s="2" t="s">
        <v>5766</v>
      </c>
      <c r="D201" s="442" t="s">
        <v>5767</v>
      </c>
      <c r="E201" s="442" t="s">
        <v>5768</v>
      </c>
      <c r="F201" s="442" t="s">
        <v>5769</v>
      </c>
      <c r="G201" s="449" t="s">
        <v>5770</v>
      </c>
      <c r="H201" s="449" t="s">
        <v>5771</v>
      </c>
      <c r="I201" s="2" t="s">
        <v>5772</v>
      </c>
      <c r="J201" s="448" t="s">
        <v>5773</v>
      </c>
      <c r="K201" s="448" t="s">
        <v>5774</v>
      </c>
      <c r="L201" s="448" t="s">
        <v>5775</v>
      </c>
      <c r="M201" s="448" t="s">
        <v>5776</v>
      </c>
      <c r="N201" s="448" t="s">
        <v>5777</v>
      </c>
    </row>
    <row r="202" spans="1:14" hidden="1">
      <c r="A202" s="2" t="s">
        <v>5778</v>
      </c>
      <c r="B202" s="447" t="str">
        <f t="shared" si="7"/>
        <v>5. Waste Generated in Operations</v>
      </c>
      <c r="C202" s="2" t="s">
        <v>5779</v>
      </c>
      <c r="D202" s="442" t="s">
        <v>5780</v>
      </c>
      <c r="E202" s="442" t="s">
        <v>5781</v>
      </c>
      <c r="F202" s="442" t="s">
        <v>5782</v>
      </c>
      <c r="G202" s="449" t="s">
        <v>5783</v>
      </c>
      <c r="H202" s="449" t="s">
        <v>5784</v>
      </c>
      <c r="I202" s="2" t="s">
        <v>5785</v>
      </c>
      <c r="J202" s="448" t="s">
        <v>5786</v>
      </c>
      <c r="K202" s="448" t="s">
        <v>5787</v>
      </c>
      <c r="L202" s="448" t="s">
        <v>5788</v>
      </c>
      <c r="M202" s="448" t="s">
        <v>5789</v>
      </c>
      <c r="N202" s="448" t="s">
        <v>5790</v>
      </c>
    </row>
    <row r="203" spans="1:14" hidden="1">
      <c r="A203" s="2" t="s">
        <v>5791</v>
      </c>
      <c r="B203" s="447" t="str">
        <f t="shared" si="7"/>
        <v>6. Business Travel</v>
      </c>
      <c r="C203" s="2" t="s">
        <v>5792</v>
      </c>
      <c r="D203" s="442" t="s">
        <v>5793</v>
      </c>
      <c r="E203" s="442" t="s">
        <v>5794</v>
      </c>
      <c r="F203" s="442" t="s">
        <v>5795</v>
      </c>
      <c r="G203" s="449" t="s">
        <v>5796</v>
      </c>
      <c r="H203" s="449" t="s">
        <v>5797</v>
      </c>
      <c r="I203" s="2" t="s">
        <v>5798</v>
      </c>
      <c r="J203" s="448" t="s">
        <v>5799</v>
      </c>
      <c r="K203" s="448" t="s">
        <v>5800</v>
      </c>
      <c r="L203" s="448" t="s">
        <v>5801</v>
      </c>
      <c r="M203" s="448" t="s">
        <v>5802</v>
      </c>
      <c r="N203" s="448" t="s">
        <v>5803</v>
      </c>
    </row>
    <row r="204" spans="1:14" hidden="1">
      <c r="A204" s="2" t="s">
        <v>5804</v>
      </c>
      <c r="B204" s="447" t="str">
        <f t="shared" si="7"/>
        <v>7. Employee Commuting</v>
      </c>
      <c r="C204" s="2" t="s">
        <v>5805</v>
      </c>
      <c r="D204" s="442" t="s">
        <v>5806</v>
      </c>
      <c r="E204" s="442" t="s">
        <v>5807</v>
      </c>
      <c r="F204" s="442" t="s">
        <v>5808</v>
      </c>
      <c r="G204" s="449" t="s">
        <v>5809</v>
      </c>
      <c r="H204" s="449" t="s">
        <v>5810</v>
      </c>
      <c r="I204" s="2" t="s">
        <v>5811</v>
      </c>
      <c r="J204" s="448" t="s">
        <v>5812</v>
      </c>
      <c r="K204" s="448" t="s">
        <v>5813</v>
      </c>
      <c r="L204" s="448" t="s">
        <v>5814</v>
      </c>
      <c r="M204" s="448" t="s">
        <v>5815</v>
      </c>
      <c r="N204" s="448" t="s">
        <v>5816</v>
      </c>
    </row>
    <row r="205" spans="1:14" ht="29.15" hidden="1">
      <c r="A205" s="2" t="s">
        <v>5817</v>
      </c>
      <c r="B205" s="447" t="str">
        <f t="shared" si="7"/>
        <v>8. Upstream Leased Assets</v>
      </c>
      <c r="C205" s="2" t="s">
        <v>5818</v>
      </c>
      <c r="D205" s="442" t="s">
        <v>5819</v>
      </c>
      <c r="E205" s="442" t="s">
        <v>5820</v>
      </c>
      <c r="F205" s="442" t="s">
        <v>5821</v>
      </c>
      <c r="G205" s="449" t="s">
        <v>5822</v>
      </c>
      <c r="H205" s="449" t="s">
        <v>5823</v>
      </c>
      <c r="I205" s="2" t="s">
        <v>5824</v>
      </c>
      <c r="J205" s="448" t="s">
        <v>5825</v>
      </c>
      <c r="K205" s="448" t="s">
        <v>5826</v>
      </c>
      <c r="L205" s="448" t="s">
        <v>5827</v>
      </c>
      <c r="M205" s="448" t="s">
        <v>5828</v>
      </c>
      <c r="N205" s="448" t="s">
        <v>5829</v>
      </c>
    </row>
    <row r="206" spans="1:14" ht="29.15" hidden="1">
      <c r="A206" s="2" t="s">
        <v>5830</v>
      </c>
      <c r="B206" s="447" t="str">
        <f t="shared" si="7"/>
        <v>9. Downstream Transportation and Distribution</v>
      </c>
      <c r="C206" s="2" t="s">
        <v>5831</v>
      </c>
      <c r="D206" s="442" t="s">
        <v>5832</v>
      </c>
      <c r="E206" s="442" t="s">
        <v>5833</v>
      </c>
      <c r="F206" s="442" t="s">
        <v>5834</v>
      </c>
      <c r="G206" s="449" t="s">
        <v>5835</v>
      </c>
      <c r="H206" s="449" t="s">
        <v>5836</v>
      </c>
      <c r="I206" s="2" t="s">
        <v>5837</v>
      </c>
      <c r="J206" s="448" t="s">
        <v>5838</v>
      </c>
      <c r="K206" s="448" t="s">
        <v>5839</v>
      </c>
      <c r="L206" s="448" t="s">
        <v>5840</v>
      </c>
      <c r="M206" s="448" t="s">
        <v>5841</v>
      </c>
      <c r="N206" s="448" t="s">
        <v>5842</v>
      </c>
    </row>
    <row r="207" spans="1:14" hidden="1">
      <c r="A207" s="2" t="s">
        <v>5843</v>
      </c>
      <c r="B207" s="447" t="str">
        <f t="shared" si="7"/>
        <v>10. Processing of Sold Products</v>
      </c>
      <c r="C207" s="2" t="s">
        <v>5844</v>
      </c>
      <c r="D207" s="442" t="s">
        <v>5845</v>
      </c>
      <c r="E207" s="442" t="s">
        <v>5846</v>
      </c>
      <c r="F207" s="442" t="s">
        <v>5847</v>
      </c>
      <c r="G207" s="449" t="s">
        <v>5848</v>
      </c>
      <c r="H207" s="449" t="s">
        <v>5849</v>
      </c>
      <c r="I207" s="2" t="s">
        <v>5850</v>
      </c>
      <c r="J207" s="448" t="s">
        <v>5851</v>
      </c>
      <c r="K207" s="448" t="s">
        <v>5852</v>
      </c>
      <c r="L207" s="448" t="s">
        <v>5853</v>
      </c>
      <c r="M207" s="448" t="s">
        <v>5854</v>
      </c>
      <c r="N207" s="448" t="s">
        <v>5855</v>
      </c>
    </row>
    <row r="208" spans="1:14" hidden="1">
      <c r="A208" s="2" t="s">
        <v>5856</v>
      </c>
      <c r="B208" s="447" t="str">
        <f t="shared" si="7"/>
        <v>11. Use of Sold Products</v>
      </c>
      <c r="C208" s="2" t="s">
        <v>5857</v>
      </c>
      <c r="D208" s="442" t="s">
        <v>5858</v>
      </c>
      <c r="E208" s="442" t="s">
        <v>5859</v>
      </c>
      <c r="F208" s="442" t="s">
        <v>5860</v>
      </c>
      <c r="G208" s="449" t="s">
        <v>5861</v>
      </c>
      <c r="H208" s="449" t="s">
        <v>5862</v>
      </c>
      <c r="I208" s="2" t="s">
        <v>5863</v>
      </c>
      <c r="J208" s="448" t="s">
        <v>5864</v>
      </c>
      <c r="K208" s="448" t="s">
        <v>5865</v>
      </c>
      <c r="L208" s="448" t="s">
        <v>5866</v>
      </c>
      <c r="M208" s="448" t="s">
        <v>5867</v>
      </c>
      <c r="N208" s="448" t="s">
        <v>5868</v>
      </c>
    </row>
    <row r="209" spans="1:14" ht="29.15" hidden="1">
      <c r="A209" s="2" t="s">
        <v>5869</v>
      </c>
      <c r="B209" s="447" t="str">
        <f t="shared" si="7"/>
        <v>12. End-of-Life Treatment of Sold Products</v>
      </c>
      <c r="C209" s="2" t="s">
        <v>5870</v>
      </c>
      <c r="D209" s="442" t="s">
        <v>5871</v>
      </c>
      <c r="E209" s="442" t="s">
        <v>5872</v>
      </c>
      <c r="F209" s="442" t="s">
        <v>5873</v>
      </c>
      <c r="G209" s="449" t="s">
        <v>5874</v>
      </c>
      <c r="H209" s="449" t="s">
        <v>5875</v>
      </c>
      <c r="I209" s="2" t="s">
        <v>5876</v>
      </c>
      <c r="J209" s="448" t="s">
        <v>5877</v>
      </c>
      <c r="K209" s="448" t="s">
        <v>5878</v>
      </c>
      <c r="L209" s="448" t="s">
        <v>5879</v>
      </c>
      <c r="M209" s="448" t="s">
        <v>5880</v>
      </c>
      <c r="N209" s="448" t="s">
        <v>5881</v>
      </c>
    </row>
    <row r="210" spans="1:14" ht="29.15" hidden="1">
      <c r="A210" s="2" t="s">
        <v>5882</v>
      </c>
      <c r="B210" s="447" t="str">
        <f t="shared" si="7"/>
        <v>13. Downstream Leased Assets</v>
      </c>
      <c r="C210" s="2" t="s">
        <v>5883</v>
      </c>
      <c r="D210" s="442" t="s">
        <v>5884</v>
      </c>
      <c r="E210" s="442" t="s">
        <v>5885</v>
      </c>
      <c r="F210" s="442" t="s">
        <v>5886</v>
      </c>
      <c r="G210" s="449" t="s">
        <v>5887</v>
      </c>
      <c r="H210" s="449" t="s">
        <v>5888</v>
      </c>
      <c r="I210" s="2" t="s">
        <v>5889</v>
      </c>
      <c r="J210" s="448" t="s">
        <v>5890</v>
      </c>
      <c r="K210" s="448" t="s">
        <v>5891</v>
      </c>
      <c r="L210" s="448" t="s">
        <v>5892</v>
      </c>
      <c r="M210" s="448" t="s">
        <v>5893</v>
      </c>
      <c r="N210" s="448" t="s">
        <v>5894</v>
      </c>
    </row>
    <row r="211" spans="1:14" hidden="1">
      <c r="A211" s="2" t="s">
        <v>5895</v>
      </c>
      <c r="B211" s="447" t="str">
        <f t="shared" si="7"/>
        <v>14. Franchises</v>
      </c>
      <c r="C211" s="2" t="s">
        <v>5896</v>
      </c>
      <c r="D211" s="442" t="s">
        <v>5897</v>
      </c>
      <c r="E211" s="442" t="s">
        <v>5896</v>
      </c>
      <c r="F211" s="442" t="s">
        <v>5896</v>
      </c>
      <c r="G211" s="449" t="s">
        <v>5896</v>
      </c>
      <c r="H211" s="449" t="s">
        <v>5898</v>
      </c>
      <c r="I211" s="2" t="s">
        <v>5899</v>
      </c>
      <c r="J211" s="448" t="s">
        <v>5900</v>
      </c>
      <c r="K211" s="448" t="s">
        <v>5901</v>
      </c>
      <c r="L211" s="448" t="s">
        <v>5902</v>
      </c>
      <c r="M211" s="448" t="s">
        <v>5903</v>
      </c>
      <c r="N211" s="448" t="s">
        <v>5904</v>
      </c>
    </row>
    <row r="212" spans="1:14" hidden="1">
      <c r="A212" s="2" t="s">
        <v>5905</v>
      </c>
      <c r="B212" s="447" t="str">
        <f t="shared" si="7"/>
        <v>15. Investments</v>
      </c>
      <c r="C212" s="2" t="s">
        <v>5906</v>
      </c>
      <c r="D212" s="442" t="s">
        <v>5907</v>
      </c>
      <c r="E212" s="442" t="s">
        <v>5908</v>
      </c>
      <c r="F212" s="442" t="s">
        <v>5909</v>
      </c>
      <c r="G212" s="449" t="s">
        <v>5910</v>
      </c>
      <c r="H212" s="449" t="s">
        <v>5911</v>
      </c>
      <c r="I212" s="2" t="s">
        <v>5912</v>
      </c>
      <c r="J212" s="448" t="s">
        <v>5913</v>
      </c>
      <c r="K212" s="448" t="s">
        <v>5914</v>
      </c>
      <c r="L212" s="448" t="s">
        <v>5915</v>
      </c>
      <c r="M212" s="448" t="s">
        <v>5916</v>
      </c>
      <c r="N212" s="448" t="s">
        <v>5917</v>
      </c>
    </row>
    <row r="213" spans="1:14" hidden="1">
      <c r="A213" s="2" t="s">
        <v>5918</v>
      </c>
      <c r="B213" s="447" t="str">
        <f t="shared" si="7"/>
        <v>Total Scope 3 GHG  emissions</v>
      </c>
      <c r="C213" s="2" t="s">
        <v>5919</v>
      </c>
      <c r="D213" s="442" t="s">
        <v>5920</v>
      </c>
      <c r="E213" s="442" t="s">
        <v>5921</v>
      </c>
      <c r="F213" s="442" t="s">
        <v>5922</v>
      </c>
      <c r="G213" s="449" t="s">
        <v>5923</v>
      </c>
      <c r="H213" s="449" t="s">
        <v>5924</v>
      </c>
      <c r="I213" s="2" t="s">
        <v>5925</v>
      </c>
      <c r="J213" s="448" t="s">
        <v>5926</v>
      </c>
      <c r="K213" s="448" t="s">
        <v>5927</v>
      </c>
      <c r="L213" s="448" t="s">
        <v>5928</v>
      </c>
      <c r="M213" s="448" t="s">
        <v>5929</v>
      </c>
      <c r="N213" s="448" t="s">
        <v>5930</v>
      </c>
    </row>
    <row r="214" spans="1:14" ht="29.15" hidden="1">
      <c r="A214" s="2" t="s">
        <v>5931</v>
      </c>
      <c r="B214" s="447" t="str">
        <f t="shared" si="7"/>
        <v>Total Scope 1 Scope 2 and Scope 3 GHG Emissions (location-based)</v>
      </c>
      <c r="C214" s="2" t="s">
        <v>5932</v>
      </c>
      <c r="D214" s="442" t="s">
        <v>5933</v>
      </c>
      <c r="E214" s="442" t="s">
        <v>5934</v>
      </c>
      <c r="F214" s="442" t="s">
        <v>5935</v>
      </c>
      <c r="G214" s="449" t="s">
        <v>5936</v>
      </c>
      <c r="H214" s="449" t="s">
        <v>5937</v>
      </c>
      <c r="I214" s="2" t="s">
        <v>5938</v>
      </c>
      <c r="J214" s="448" t="s">
        <v>5939</v>
      </c>
      <c r="K214" s="448" t="s">
        <v>5940</v>
      </c>
      <c r="L214" s="448" t="s">
        <v>5941</v>
      </c>
      <c r="M214" s="448" t="s">
        <v>5942</v>
      </c>
      <c r="N214" s="448" t="s">
        <v>5943</v>
      </c>
    </row>
    <row r="215" spans="1:14" ht="29.6" hidden="1" thickBot="1">
      <c r="A215" s="454" t="s">
        <v>5944</v>
      </c>
      <c r="B215" s="451" t="str">
        <f t="shared" si="7"/>
        <v>Total Scope 1 Scope 2 and Scope 3 GHG Emissions (market-based)</v>
      </c>
      <c r="C215" s="454" t="s">
        <v>5945</v>
      </c>
      <c r="D215" s="450" t="s">
        <v>5946</v>
      </c>
      <c r="E215" s="450" t="s">
        <v>5947</v>
      </c>
      <c r="F215" s="450" t="s">
        <v>5948</v>
      </c>
      <c r="G215" s="453" t="s">
        <v>5949</v>
      </c>
      <c r="H215" s="453" t="s">
        <v>5950</v>
      </c>
      <c r="I215" s="454" t="s">
        <v>5951</v>
      </c>
      <c r="J215" s="452" t="s">
        <v>5952</v>
      </c>
      <c r="K215" s="452" t="s">
        <v>5953</v>
      </c>
      <c r="L215" s="452" t="s">
        <v>5954</v>
      </c>
      <c r="M215" s="452" t="s">
        <v>5955</v>
      </c>
      <c r="N215" s="452" t="s">
        <v>5956</v>
      </c>
    </row>
    <row r="216" spans="1:14" ht="43.75" hidden="1">
      <c r="A216" s="2" t="s">
        <v>5957</v>
      </c>
      <c r="B216" s="447" t="str">
        <f t="shared" si="7"/>
        <v>C3 - Disclosure of list of main actions the entity seeks in order to achieve its targets</v>
      </c>
      <c r="C216" s="2" t="s">
        <v>5958</v>
      </c>
      <c r="D216" s="442" t="s">
        <v>5959</v>
      </c>
      <c r="E216" s="442" t="s">
        <v>5960</v>
      </c>
      <c r="F216" s="442" t="s">
        <v>5961</v>
      </c>
      <c r="G216" s="449" t="s">
        <v>5962</v>
      </c>
      <c r="H216" s="449" t="s">
        <v>5963</v>
      </c>
      <c r="I216" s="2" t="s">
        <v>5964</v>
      </c>
      <c r="J216" s="448" t="s">
        <v>5965</v>
      </c>
      <c r="K216" s="448" t="s">
        <v>5966</v>
      </c>
      <c r="L216" s="448" t="s">
        <v>5967</v>
      </c>
      <c r="M216" s="448" t="s">
        <v>5968</v>
      </c>
      <c r="N216" s="448" t="s">
        <v>5969</v>
      </c>
    </row>
    <row r="217" spans="1:14" ht="29.15" hidden="1">
      <c r="A217" s="2" t="s">
        <v>5970</v>
      </c>
      <c r="B217" s="447" t="str">
        <f t="shared" si="7"/>
        <v>C3 - Transition plan for undertakings operating in high climate impact sectors</v>
      </c>
      <c r="C217" s="2" t="s">
        <v>5971</v>
      </c>
      <c r="D217" s="442" t="s">
        <v>5972</v>
      </c>
      <c r="E217" s="442" t="s">
        <v>5973</v>
      </c>
      <c r="F217" s="442" t="s">
        <v>5974</v>
      </c>
      <c r="G217" s="449" t="s">
        <v>5975</v>
      </c>
      <c r="H217" s="449" t="s">
        <v>5976</v>
      </c>
      <c r="I217" s="2" t="s">
        <v>5977</v>
      </c>
      <c r="J217" s="448" t="s">
        <v>5978</v>
      </c>
      <c r="K217" s="448" t="s">
        <v>5979</v>
      </c>
      <c r="L217" s="448" t="s">
        <v>5980</v>
      </c>
      <c r="M217" s="448" t="s">
        <v>5981</v>
      </c>
      <c r="N217" s="448" t="s">
        <v>5982</v>
      </c>
    </row>
    <row r="218" spans="1:14" ht="29.15" hidden="1">
      <c r="A218" s="2" t="s">
        <v>5983</v>
      </c>
      <c r="B218" s="447" t="str">
        <f t="shared" si="7"/>
        <v>Is the undertaking operating in high impact sectors?</v>
      </c>
      <c r="C218" s="2" t="s">
        <v>5984</v>
      </c>
      <c r="D218" s="442" t="s">
        <v>5985</v>
      </c>
      <c r="E218" s="442" t="s">
        <v>5986</v>
      </c>
      <c r="F218" s="442" t="s">
        <v>5987</v>
      </c>
      <c r="G218" s="449" t="s">
        <v>5988</v>
      </c>
      <c r="H218" s="449" t="s">
        <v>5989</v>
      </c>
      <c r="I218" s="2" t="s">
        <v>5990</v>
      </c>
      <c r="J218" s="448" t="s">
        <v>5991</v>
      </c>
      <c r="K218" s="448" t="s">
        <v>5992</v>
      </c>
      <c r="L218" s="448" t="s">
        <v>5993</v>
      </c>
      <c r="M218" s="448" t="s">
        <v>5994</v>
      </c>
      <c r="N218" s="448" t="s">
        <v>5995</v>
      </c>
    </row>
    <row r="219" spans="1:14" ht="29.15" hidden="1">
      <c r="A219" s="2" t="s">
        <v>5996</v>
      </c>
      <c r="B219" s="447" t="str">
        <f t="shared" si="7"/>
        <v>Status of implementation of a transition plan in relation to climate change mitigation</v>
      </c>
      <c r="C219" s="2" t="s">
        <v>5997</v>
      </c>
      <c r="D219" s="442" t="s">
        <v>5998</v>
      </c>
      <c r="E219" s="442" t="s">
        <v>5999</v>
      </c>
      <c r="F219" s="442" t="s">
        <v>6000</v>
      </c>
      <c r="G219" s="449" t="s">
        <v>6001</v>
      </c>
      <c r="H219" s="449" t="s">
        <v>6002</v>
      </c>
      <c r="I219" s="2" t="s">
        <v>6003</v>
      </c>
      <c r="J219" s="448" t="s">
        <v>6004</v>
      </c>
      <c r="K219" s="448" t="s">
        <v>6005</v>
      </c>
      <c r="L219" s="448" t="s">
        <v>6006</v>
      </c>
      <c r="M219" s="448" t="s">
        <v>6007</v>
      </c>
      <c r="N219" s="448" t="s">
        <v>6008</v>
      </c>
    </row>
    <row r="220" spans="1:14" ht="72.900000000000006" hidden="1">
      <c r="A220" s="2" t="s">
        <v>6009</v>
      </c>
      <c r="B220" s="447" t="str">
        <f t="shared" si="7"/>
        <v>Description of a transition plan for climate change mitigation including an explanation of how it is contributing to reduce GHG emissions</v>
      </c>
      <c r="C220" s="2" t="s">
        <v>6010</v>
      </c>
      <c r="D220" s="442" t="s">
        <v>6011</v>
      </c>
      <c r="E220" s="442" t="s">
        <v>6012</v>
      </c>
      <c r="F220" s="442" t="s">
        <v>6013</v>
      </c>
      <c r="G220" s="449" t="s">
        <v>6014</v>
      </c>
      <c r="H220" s="449" t="s">
        <v>6015</v>
      </c>
      <c r="I220" s="2" t="s">
        <v>6016</v>
      </c>
      <c r="J220" s="448" t="s">
        <v>6017</v>
      </c>
      <c r="K220" s="448" t="s">
        <v>6018</v>
      </c>
      <c r="L220" s="448" t="s">
        <v>6019</v>
      </c>
      <c r="M220" s="448" t="s">
        <v>6020</v>
      </c>
      <c r="N220" s="448" t="s">
        <v>6021</v>
      </c>
    </row>
    <row r="221" spans="1:14" ht="43.75" hidden="1">
      <c r="A221" s="2" t="s">
        <v>6022</v>
      </c>
      <c r="B221" s="447" t="str">
        <f t="shared" si="7"/>
        <v>Date of foreseen adoption of transition plan for undertaking not having adopted transition plan yet</v>
      </c>
      <c r="C221" s="2" t="s">
        <v>6023</v>
      </c>
      <c r="D221" s="442" t="s">
        <v>6024</v>
      </c>
      <c r="E221" s="442" t="s">
        <v>6025</v>
      </c>
      <c r="F221" s="442" t="s">
        <v>6026</v>
      </c>
      <c r="G221" s="449" t="s">
        <v>6027</v>
      </c>
      <c r="H221" s="449" t="s">
        <v>6028</v>
      </c>
      <c r="I221" s="2" t="s">
        <v>6029</v>
      </c>
      <c r="J221" s="448" t="s">
        <v>6030</v>
      </c>
      <c r="K221" s="448" t="s">
        <v>6031</v>
      </c>
      <c r="L221" s="448" t="s">
        <v>6032</v>
      </c>
      <c r="M221" s="448" t="s">
        <v>6033</v>
      </c>
      <c r="N221" s="448" t="s">
        <v>6034</v>
      </c>
    </row>
    <row r="222" spans="1:14" ht="29.15" hidden="1">
      <c r="A222" s="2" t="s">
        <v>6035</v>
      </c>
      <c r="B222" s="447" t="str">
        <f t="shared" si="7"/>
        <v>Year</v>
      </c>
      <c r="C222" s="2" t="s">
        <v>306</v>
      </c>
      <c r="D222" s="442" t="s">
        <v>6036</v>
      </c>
      <c r="E222" s="442" t="s">
        <v>6037</v>
      </c>
      <c r="F222" s="442" t="s">
        <v>6038</v>
      </c>
      <c r="G222" s="449" t="s">
        <v>6039</v>
      </c>
      <c r="H222" s="449" t="s">
        <v>6040</v>
      </c>
      <c r="I222" s="2" t="s">
        <v>6041</v>
      </c>
      <c r="J222" s="448" t="s">
        <v>6042</v>
      </c>
      <c r="K222" s="448" t="s">
        <v>6043</v>
      </c>
      <c r="L222" s="448" t="s">
        <v>6044</v>
      </c>
      <c r="M222" s="448" t="s">
        <v>6045</v>
      </c>
      <c r="N222" s="448" t="s">
        <v>6046</v>
      </c>
    </row>
    <row r="223" spans="1:14" hidden="1">
      <c r="A223" s="2" t="s">
        <v>6047</v>
      </c>
      <c r="B223" s="447" t="str">
        <f t="shared" si="7"/>
        <v>Month</v>
      </c>
      <c r="C223" s="2" t="s">
        <v>307</v>
      </c>
      <c r="D223" s="442" t="s">
        <v>6048</v>
      </c>
      <c r="E223" s="442" t="s">
        <v>6049</v>
      </c>
      <c r="F223" s="442" t="s">
        <v>6050</v>
      </c>
      <c r="G223" s="449" t="s">
        <v>6051</v>
      </c>
      <c r="H223" s="449" t="s">
        <v>6052</v>
      </c>
      <c r="I223" s="2" t="s">
        <v>6053</v>
      </c>
      <c r="J223" s="448" t="s">
        <v>6054</v>
      </c>
      <c r="K223" s="448" t="s">
        <v>6055</v>
      </c>
      <c r="L223" s="448" t="s">
        <v>6056</v>
      </c>
      <c r="M223" s="448" t="s">
        <v>6057</v>
      </c>
      <c r="N223" s="448" t="s">
        <v>6058</v>
      </c>
    </row>
    <row r="224" spans="1:14" hidden="1">
      <c r="A224" s="2" t="s">
        <v>6059</v>
      </c>
      <c r="B224" s="447" t="str">
        <f t="shared" si="7"/>
        <v>Day</v>
      </c>
      <c r="C224" s="2" t="s">
        <v>6060</v>
      </c>
      <c r="D224" s="442" t="s">
        <v>6061</v>
      </c>
      <c r="E224" s="442" t="s">
        <v>6061</v>
      </c>
      <c r="F224" s="442" t="s">
        <v>6062</v>
      </c>
      <c r="G224" s="449" t="s">
        <v>6063</v>
      </c>
      <c r="H224" s="449" t="s">
        <v>6064</v>
      </c>
      <c r="I224" s="2" t="s">
        <v>6065</v>
      </c>
      <c r="J224" s="448" t="s">
        <v>6066</v>
      </c>
      <c r="K224" s="448" t="s">
        <v>6067</v>
      </c>
      <c r="L224" s="448" t="s">
        <v>6068</v>
      </c>
      <c r="M224" s="448" t="s">
        <v>6069</v>
      </c>
      <c r="N224" s="448" t="s">
        <v>6070</v>
      </c>
    </row>
    <row r="225" spans="1:14" hidden="1">
      <c r="A225" s="2" t="s">
        <v>6071</v>
      </c>
      <c r="B225" s="447" t="str">
        <f t="shared" si="7"/>
        <v>B4 - Pollution of air water and soil</v>
      </c>
      <c r="C225" s="2" t="s">
        <v>6072</v>
      </c>
      <c r="D225" s="442" t="s">
        <v>4195</v>
      </c>
      <c r="E225" s="442" t="s">
        <v>6073</v>
      </c>
      <c r="F225" s="442" t="s">
        <v>6074</v>
      </c>
      <c r="G225" s="449" t="s">
        <v>6075</v>
      </c>
      <c r="H225" s="449" t="s">
        <v>6076</v>
      </c>
      <c r="I225" s="2" t="s">
        <v>4200</v>
      </c>
      <c r="J225" s="448" t="s">
        <v>6077</v>
      </c>
      <c r="K225" s="448" t="s">
        <v>4202</v>
      </c>
      <c r="L225" s="448" t="s">
        <v>4203</v>
      </c>
      <c r="M225" s="448" t="s">
        <v>6078</v>
      </c>
      <c r="N225" s="448" t="s">
        <v>4205</v>
      </c>
    </row>
    <row r="226" spans="1:14" s="511" customFormat="1" ht="72.900000000000006" hidden="1">
      <c r="A226" s="558" t="s">
        <v>6079</v>
      </c>
      <c r="B226" s="559" t="str">
        <f t="shared" si="7"/>
        <v>Is the undertaking already required to report to competent authorities by EU or national law its emissions to pollutants or does it already voluntarily report on them according to an Environmental Management System?</v>
      </c>
      <c r="C226" s="558" t="s">
        <v>6080</v>
      </c>
      <c r="D226" s="547" t="s">
        <v>6081</v>
      </c>
      <c r="E226" s="547" t="s">
        <v>6082</v>
      </c>
      <c r="F226" s="547" t="s">
        <v>6083</v>
      </c>
      <c r="G226" s="560" t="s">
        <v>6084</v>
      </c>
      <c r="H226" s="560" t="s">
        <v>6085</v>
      </c>
      <c r="I226" s="558" t="s">
        <v>6086</v>
      </c>
      <c r="J226" s="550" t="s">
        <v>6087</v>
      </c>
      <c r="K226" s="550" t="s">
        <v>6088</v>
      </c>
      <c r="L226" s="550" t="s">
        <v>6089</v>
      </c>
      <c r="M226" s="550" t="s">
        <v>6090</v>
      </c>
      <c r="N226" s="550" t="s">
        <v>6091</v>
      </c>
    </row>
    <row r="227" spans="1:14" ht="29.15" hidden="1">
      <c r="A227" s="2" t="s">
        <v>6092</v>
      </c>
      <c r="B227" s="447" t="str">
        <f t="shared" si="7"/>
        <v>Is this disclosure already publicly available?</v>
      </c>
      <c r="C227" s="2" t="s">
        <v>6093</v>
      </c>
      <c r="D227" s="442" t="s">
        <v>6094</v>
      </c>
      <c r="E227" s="442" t="s">
        <v>6095</v>
      </c>
      <c r="F227" s="442" t="s">
        <v>6096</v>
      </c>
      <c r="G227" s="449" t="s">
        <v>6097</v>
      </c>
      <c r="H227" s="449" t="s">
        <v>6098</v>
      </c>
      <c r="I227" s="2" t="s">
        <v>6099</v>
      </c>
      <c r="J227" s="448" t="s">
        <v>6100</v>
      </c>
      <c r="K227" s="448" t="s">
        <v>6101</v>
      </c>
      <c r="L227" s="448" t="s">
        <v>6102</v>
      </c>
      <c r="M227" s="448" t="s">
        <v>6103</v>
      </c>
      <c r="N227" s="448" t="s">
        <v>6104</v>
      </c>
    </row>
    <row r="228" spans="1:14" ht="29.15" hidden="1">
      <c r="A228" s="2" t="s">
        <v>6105</v>
      </c>
      <c r="B228" s="447" t="str">
        <f t="shared" si="7"/>
        <v>Please provide the relevant URL link or hyperlink of where this information is reported</v>
      </c>
      <c r="C228" s="2" t="s">
        <v>6106</v>
      </c>
      <c r="D228" s="442" t="s">
        <v>6107</v>
      </c>
      <c r="E228" s="442" t="s">
        <v>6108</v>
      </c>
      <c r="F228" s="442" t="s">
        <v>6109</v>
      </c>
      <c r="G228" s="449" t="s">
        <v>6110</v>
      </c>
      <c r="H228" s="449" t="s">
        <v>6111</v>
      </c>
      <c r="I228" s="2" t="s">
        <v>6112</v>
      </c>
      <c r="J228" s="448" t="s">
        <v>6113</v>
      </c>
      <c r="K228" s="448" t="s">
        <v>6114</v>
      </c>
      <c r="L228" s="448" t="s">
        <v>6115</v>
      </c>
      <c r="M228" s="448" t="s">
        <v>6116</v>
      </c>
      <c r="N228" s="448" t="s">
        <v>6117</v>
      </c>
    </row>
    <row r="229" spans="1:14" ht="29.15" hidden="1">
      <c r="A229" s="2" t="s">
        <v>6118</v>
      </c>
      <c r="B229" s="447" t="str">
        <f t="shared" ref="B229:B291" si="8">INDEX(C229:N229,MATCH(template_selected_display_language,$C$3:$N$3,0))</f>
        <v>Please select the unit used for reporting the amount (i.e. either kg or tonne)</v>
      </c>
      <c r="C229" s="2" t="s">
        <v>6119</v>
      </c>
      <c r="D229" s="442" t="s">
        <v>6120</v>
      </c>
      <c r="E229" s="442" t="s">
        <v>6121</v>
      </c>
      <c r="F229" s="442" t="s">
        <v>6122</v>
      </c>
      <c r="G229" s="449" t="s">
        <v>6123</v>
      </c>
      <c r="H229" s="449" t="s">
        <v>6124</v>
      </c>
      <c r="I229" s="2" t="s">
        <v>6125</v>
      </c>
      <c r="J229" s="448" t="s">
        <v>6126</v>
      </c>
      <c r="K229" s="448" t="s">
        <v>6127</v>
      </c>
      <c r="L229" s="448" t="s">
        <v>6128</v>
      </c>
      <c r="M229" s="448" t="s">
        <v>6129</v>
      </c>
      <c r="N229" s="448" t="s">
        <v>6130</v>
      </c>
    </row>
    <row r="230" spans="1:14" hidden="1">
      <c r="A230" s="2" t="s">
        <v>6131</v>
      </c>
      <c r="B230" s="447" t="str">
        <f t="shared" si="8"/>
        <v>Row ID</v>
      </c>
      <c r="C230" s="2" t="s">
        <v>6132</v>
      </c>
      <c r="D230" s="442" t="s">
        <v>6133</v>
      </c>
      <c r="E230" s="442" t="s">
        <v>6134</v>
      </c>
      <c r="F230" s="442" t="s">
        <v>6135</v>
      </c>
      <c r="G230" s="449" t="s">
        <v>6136</v>
      </c>
      <c r="H230" s="449" t="s">
        <v>6137</v>
      </c>
      <c r="I230" s="2" t="s">
        <v>6138</v>
      </c>
      <c r="J230" s="448" t="s">
        <v>6139</v>
      </c>
      <c r="K230" s="448" t="s">
        <v>6140</v>
      </c>
      <c r="L230" s="448" t="s">
        <v>6141</v>
      </c>
      <c r="M230" s="448" t="s">
        <v>6142</v>
      </c>
      <c r="N230" s="448" t="s">
        <v>6143</v>
      </c>
    </row>
    <row r="231" spans="1:14" ht="43.75" hidden="1">
      <c r="A231" s="2" t="s">
        <v>6144</v>
      </c>
      <c r="B231" s="447" t="str">
        <f t="shared" si="8"/>
        <v>Pollutant</v>
      </c>
      <c r="C231" s="312" t="s">
        <v>6145</v>
      </c>
      <c r="D231" s="442" t="s">
        <v>6146</v>
      </c>
      <c r="E231" s="442" t="s">
        <v>6147</v>
      </c>
      <c r="F231" s="442" t="s">
        <v>6148</v>
      </c>
      <c r="G231" s="449" t="s">
        <v>6149</v>
      </c>
      <c r="H231" s="449" t="s">
        <v>6150</v>
      </c>
      <c r="I231" s="2" t="s">
        <v>6151</v>
      </c>
      <c r="J231" s="448" t="s">
        <v>6152</v>
      </c>
      <c r="K231" s="448" t="s">
        <v>6153</v>
      </c>
      <c r="L231" s="448" t="s">
        <v>6154</v>
      </c>
      <c r="M231" s="448" t="s">
        <v>6155</v>
      </c>
      <c r="N231" s="448" t="s">
        <v>6156</v>
      </c>
    </row>
    <row r="232" spans="1:14" hidden="1">
      <c r="A232" s="2" t="s">
        <v>6157</v>
      </c>
      <c r="B232" s="447" t="str">
        <f t="shared" si="8"/>
        <v>Emission to air</v>
      </c>
      <c r="C232" s="2" t="s">
        <v>6158</v>
      </c>
      <c r="D232" s="442" t="s">
        <v>6159</v>
      </c>
      <c r="E232" s="442" t="s">
        <v>6160</v>
      </c>
      <c r="F232" s="442" t="s">
        <v>6161</v>
      </c>
      <c r="G232" s="449" t="s">
        <v>6162</v>
      </c>
      <c r="H232" s="449" t="s">
        <v>6163</v>
      </c>
      <c r="I232" s="2" t="s">
        <v>6164</v>
      </c>
      <c r="J232" s="448" t="s">
        <v>6165</v>
      </c>
      <c r="K232" s="448" t="s">
        <v>6166</v>
      </c>
      <c r="L232" s="448" t="s">
        <v>6167</v>
      </c>
      <c r="M232" s="448" t="s">
        <v>6168</v>
      </c>
      <c r="N232" s="448" t="s">
        <v>6169</v>
      </c>
    </row>
    <row r="233" spans="1:14" hidden="1">
      <c r="A233" s="2" t="s">
        <v>6170</v>
      </c>
      <c r="B233" s="447" t="str">
        <f t="shared" si="8"/>
        <v>Emission to water</v>
      </c>
      <c r="C233" s="2" t="s">
        <v>6171</v>
      </c>
      <c r="D233" s="442" t="s">
        <v>6172</v>
      </c>
      <c r="E233" s="442" t="s">
        <v>6173</v>
      </c>
      <c r="F233" s="442" t="s">
        <v>6174</v>
      </c>
      <c r="G233" s="449" t="s">
        <v>6175</v>
      </c>
      <c r="H233" s="449" t="s">
        <v>6176</v>
      </c>
      <c r="I233" s="2" t="s">
        <v>6177</v>
      </c>
      <c r="J233" s="448" t="s">
        <v>6178</v>
      </c>
      <c r="K233" s="448" t="s">
        <v>6179</v>
      </c>
      <c r="L233" s="448" t="s">
        <v>6180</v>
      </c>
      <c r="M233" s="448" t="s">
        <v>6181</v>
      </c>
      <c r="N233" s="448" t="s">
        <v>6182</v>
      </c>
    </row>
    <row r="234" spans="1:14" hidden="1">
      <c r="A234" s="2" t="s">
        <v>6183</v>
      </c>
      <c r="B234" s="447" t="str">
        <f t="shared" si="8"/>
        <v>Emission to soil</v>
      </c>
      <c r="C234" s="2" t="s">
        <v>6184</v>
      </c>
      <c r="D234" s="442" t="s">
        <v>6185</v>
      </c>
      <c r="E234" s="442" t="s">
        <v>6186</v>
      </c>
      <c r="F234" s="442" t="s">
        <v>6187</v>
      </c>
      <c r="G234" s="449" t="s">
        <v>6188</v>
      </c>
      <c r="H234" s="449" t="s">
        <v>6189</v>
      </c>
      <c r="I234" s="2" t="s">
        <v>6190</v>
      </c>
      <c r="J234" s="448" t="s">
        <v>6191</v>
      </c>
      <c r="K234" s="448" t="s">
        <v>6192</v>
      </c>
      <c r="L234" s="448" t="s">
        <v>6193</v>
      </c>
      <c r="M234" s="448" t="s">
        <v>6194</v>
      </c>
      <c r="N234" s="448" t="s">
        <v>6195</v>
      </c>
    </row>
    <row r="235" spans="1:14" s="586" customFormat="1" ht="44.15" hidden="1" thickBot="1">
      <c r="A235" s="565" t="s">
        <v>6196</v>
      </c>
      <c r="B235" s="566" t="str">
        <f t="shared" si="8"/>
        <v>Other pollutants than those listed in theRegulation (EU) 2024/1244 of the European Parliament and of the Council</v>
      </c>
      <c r="C235" s="565" t="s">
        <v>6197</v>
      </c>
      <c r="D235" s="567" t="s">
        <v>6198</v>
      </c>
      <c r="E235" s="567" t="s">
        <v>6199</v>
      </c>
      <c r="F235" s="567" t="s">
        <v>6200</v>
      </c>
      <c r="G235" s="567" t="s">
        <v>6201</v>
      </c>
      <c r="H235" s="567" t="s">
        <v>6202</v>
      </c>
      <c r="I235" s="567" t="s">
        <v>6203</v>
      </c>
      <c r="J235" s="567" t="s">
        <v>6204</v>
      </c>
      <c r="K235" s="567" t="s">
        <v>6205</v>
      </c>
      <c r="L235" s="567" t="s">
        <v>6206</v>
      </c>
      <c r="M235" s="567" t="s">
        <v>6207</v>
      </c>
      <c r="N235" s="567" t="s">
        <v>6208</v>
      </c>
    </row>
    <row r="236" spans="1:14" ht="29.15" hidden="1">
      <c r="A236" s="2" t="s">
        <v>6209</v>
      </c>
      <c r="B236" s="447" t="str">
        <f t="shared" si="8"/>
        <v>B5 - Sites in biodiversity sensitive areas</v>
      </c>
      <c r="C236" s="2" t="s">
        <v>6210</v>
      </c>
      <c r="D236" s="442" t="s">
        <v>6211</v>
      </c>
      <c r="E236" s="442" t="s">
        <v>6212</v>
      </c>
      <c r="F236" s="442" t="s">
        <v>6213</v>
      </c>
      <c r="G236" s="449" t="s">
        <v>6214</v>
      </c>
      <c r="H236" s="449" t="s">
        <v>6215</v>
      </c>
      <c r="I236" s="2" t="s">
        <v>6216</v>
      </c>
      <c r="J236" s="448" t="s">
        <v>6217</v>
      </c>
      <c r="K236" s="448" t="s">
        <v>6218</v>
      </c>
      <c r="L236" s="448" t="s">
        <v>6219</v>
      </c>
      <c r="M236" s="448" t="s">
        <v>6220</v>
      </c>
      <c r="N236" s="448" t="s">
        <v>6221</v>
      </c>
    </row>
    <row r="237" spans="1:14" ht="43.75" hidden="1">
      <c r="A237" s="2" t="s">
        <v>6222</v>
      </c>
      <c r="B237" s="447" t="str">
        <f t="shared" si="8"/>
        <v>Does the undertaking have sites that are located in or near biodiversity sensitive areas?</v>
      </c>
      <c r="C237" s="2" t="s">
        <v>6223</v>
      </c>
      <c r="D237" s="442" t="s">
        <v>6224</v>
      </c>
      <c r="E237" s="442" t="s">
        <v>6225</v>
      </c>
      <c r="F237" s="442" t="s">
        <v>6226</v>
      </c>
      <c r="G237" s="449" t="s">
        <v>6227</v>
      </c>
      <c r="H237" s="449" t="s">
        <v>6228</v>
      </c>
      <c r="I237" s="2" t="s">
        <v>6229</v>
      </c>
      <c r="J237" s="448" t="s">
        <v>6230</v>
      </c>
      <c r="K237" s="448" t="s">
        <v>6231</v>
      </c>
      <c r="L237" s="448" t="s">
        <v>6232</v>
      </c>
      <c r="M237" s="448" t="s">
        <v>6233</v>
      </c>
      <c r="N237" s="448" t="s">
        <v>6234</v>
      </c>
    </row>
    <row r="238" spans="1:14" ht="29.15" hidden="1">
      <c r="A238" s="2" t="s">
        <v>6235</v>
      </c>
      <c r="B238" s="447" t="str">
        <f t="shared" si="8"/>
        <v>Related Site ID (select an ID from a site location reported in B1)</v>
      </c>
      <c r="C238" s="2" t="s">
        <v>6236</v>
      </c>
      <c r="D238" s="442" t="s">
        <v>6237</v>
      </c>
      <c r="E238" s="442" t="s">
        <v>6238</v>
      </c>
      <c r="F238" s="442" t="s">
        <v>6239</v>
      </c>
      <c r="G238" s="449" t="s">
        <v>6240</v>
      </c>
      <c r="H238" s="449" t="s">
        <v>6241</v>
      </c>
      <c r="I238" s="2" t="s">
        <v>6242</v>
      </c>
      <c r="J238" s="448" t="s">
        <v>6243</v>
      </c>
      <c r="K238" s="448" t="s">
        <v>6244</v>
      </c>
      <c r="L238" s="448" t="s">
        <v>6245</v>
      </c>
      <c r="M238" s="448" t="s">
        <v>6246</v>
      </c>
      <c r="N238" s="448" t="s">
        <v>6247</v>
      </c>
    </row>
    <row r="239" spans="1:14" ht="58.3" hidden="1">
      <c r="A239" s="2" t="s">
        <v>6248</v>
      </c>
      <c r="B239" s="447" t="str">
        <f t="shared" si="8"/>
        <v>Site Location in near a biodiversity area - auto filled from B1</v>
      </c>
      <c r="C239" s="2" t="s">
        <v>6249</v>
      </c>
      <c r="D239" s="442" t="s">
        <v>6250</v>
      </c>
      <c r="E239" s="442" t="s">
        <v>6251</v>
      </c>
      <c r="F239" s="442" t="s">
        <v>6252</v>
      </c>
      <c r="G239" s="449" t="s">
        <v>6253</v>
      </c>
      <c r="H239" s="449" t="s">
        <v>6254</v>
      </c>
      <c r="I239" s="2" t="s">
        <v>6255</v>
      </c>
      <c r="J239" s="448" t="s">
        <v>6256</v>
      </c>
      <c r="K239" s="448" t="s">
        <v>6257</v>
      </c>
      <c r="L239" s="448" t="s">
        <v>6258</v>
      </c>
      <c r="M239" s="448" t="s">
        <v>6259</v>
      </c>
      <c r="N239" s="448" t="s">
        <v>6260</v>
      </c>
    </row>
    <row r="240" spans="1:14" s="511" customFormat="1" ht="29.15" hidden="1">
      <c r="A240" s="561" t="s">
        <v>6261</v>
      </c>
      <c r="B240" s="559" t="str">
        <f t="shared" si="8"/>
        <v>Name of biodiversity sensitive area</v>
      </c>
      <c r="C240" s="561" t="s">
        <v>6262</v>
      </c>
      <c r="D240" s="547" t="s">
        <v>6263</v>
      </c>
      <c r="E240" s="547" t="s">
        <v>6264</v>
      </c>
      <c r="F240" s="547" t="s">
        <v>6265</v>
      </c>
      <c r="G240" s="560" t="s">
        <v>6266</v>
      </c>
      <c r="H240" s="560" t="s">
        <v>6267</v>
      </c>
      <c r="I240" s="558" t="s">
        <v>6268</v>
      </c>
      <c r="J240" s="550" t="s">
        <v>6269</v>
      </c>
      <c r="K240" s="550" t="s">
        <v>6270</v>
      </c>
      <c r="L240" s="550" t="s">
        <v>6271</v>
      </c>
      <c r="M240" s="550" t="s">
        <v>6272</v>
      </c>
      <c r="N240" s="550" t="s">
        <v>6273</v>
      </c>
    </row>
    <row r="241" spans="1:14" ht="29.15" hidden="1">
      <c r="A241" s="2" t="s">
        <v>6274</v>
      </c>
      <c r="B241" s="447" t="str">
        <f t="shared" si="8"/>
        <v>Site located in a biodiversity sensitive area</v>
      </c>
      <c r="C241" s="2" t="s">
        <v>6275</v>
      </c>
      <c r="D241" s="442" t="s">
        <v>6276</v>
      </c>
      <c r="E241" s="442" t="s">
        <v>6277</v>
      </c>
      <c r="F241" s="442" t="s">
        <v>6278</v>
      </c>
      <c r="G241" s="449" t="s">
        <v>6279</v>
      </c>
      <c r="H241" s="449" t="s">
        <v>6280</v>
      </c>
      <c r="I241" s="2" t="s">
        <v>6281</v>
      </c>
      <c r="J241" s="448" t="s">
        <v>6282</v>
      </c>
      <c r="K241" s="448" t="s">
        <v>6283</v>
      </c>
      <c r="L241" s="448" t="s">
        <v>6284</v>
      </c>
      <c r="M241" s="448" t="s">
        <v>6285</v>
      </c>
      <c r="N241" s="448" t="s">
        <v>6286</v>
      </c>
    </row>
    <row r="242" spans="1:14" ht="29.6" hidden="1" thickBot="1">
      <c r="A242" s="454" t="s">
        <v>6287</v>
      </c>
      <c r="B242" s="451" t="str">
        <f t="shared" si="8"/>
        <v>Site located near a biodiversity sensitive area</v>
      </c>
      <c r="C242" s="454" t="s">
        <v>6288</v>
      </c>
      <c r="D242" s="450" t="s">
        <v>6289</v>
      </c>
      <c r="E242" s="450" t="s">
        <v>6290</v>
      </c>
      <c r="F242" s="450" t="s">
        <v>6291</v>
      </c>
      <c r="G242" s="453" t="s">
        <v>6292</v>
      </c>
      <c r="H242" s="453" t="s">
        <v>6293</v>
      </c>
      <c r="I242" s="454" t="s">
        <v>6294</v>
      </c>
      <c r="J242" s="452" t="s">
        <v>6295</v>
      </c>
      <c r="K242" s="452" t="s">
        <v>6296</v>
      </c>
      <c r="L242" s="452" t="s">
        <v>6297</v>
      </c>
      <c r="M242" s="452" t="s">
        <v>6298</v>
      </c>
      <c r="N242" s="452" t="s">
        <v>6299</v>
      </c>
    </row>
    <row r="243" spans="1:14" hidden="1">
      <c r="A243" s="2" t="s">
        <v>6300</v>
      </c>
      <c r="B243" s="447" t="str">
        <f t="shared" si="8"/>
        <v>B6 - Water Withdrawal</v>
      </c>
      <c r="C243" s="2" t="s">
        <v>6301</v>
      </c>
      <c r="D243" s="442" t="s">
        <v>6302</v>
      </c>
      <c r="E243" s="442" t="s">
        <v>6303</v>
      </c>
      <c r="F243" s="442" t="s">
        <v>6304</v>
      </c>
      <c r="G243" s="449" t="s">
        <v>6305</v>
      </c>
      <c r="H243" s="449" t="s">
        <v>6306</v>
      </c>
      <c r="I243" s="2" t="s">
        <v>6307</v>
      </c>
      <c r="J243" s="448" t="s">
        <v>6308</v>
      </c>
      <c r="K243" s="448" t="s">
        <v>6309</v>
      </c>
      <c r="L243" s="448" t="s">
        <v>6310</v>
      </c>
      <c r="M243" s="448" t="s">
        <v>6311</v>
      </c>
      <c r="N243" s="448" t="s">
        <v>6312</v>
      </c>
    </row>
    <row r="244" spans="1:14" ht="29.15" hidden="1">
      <c r="A244" s="2" t="s">
        <v>6313</v>
      </c>
      <c r="B244" s="447" t="str">
        <f t="shared" si="8"/>
        <v>Total amount of water withdrawn from all sites (cubic meters m³)</v>
      </c>
      <c r="C244" s="2" t="s">
        <v>6314</v>
      </c>
      <c r="D244" s="442" t="s">
        <v>6315</v>
      </c>
      <c r="E244" s="442" t="s">
        <v>6316</v>
      </c>
      <c r="F244" s="442" t="s">
        <v>6317</v>
      </c>
      <c r="G244" s="449" t="s">
        <v>6318</v>
      </c>
      <c r="H244" s="449" t="s">
        <v>6319</v>
      </c>
      <c r="I244" s="2" t="s">
        <v>6320</v>
      </c>
      <c r="J244" s="448" t="s">
        <v>6321</v>
      </c>
      <c r="K244" s="448" t="s">
        <v>6322</v>
      </c>
      <c r="L244" s="448" t="s">
        <v>6323</v>
      </c>
      <c r="M244" s="448" t="s">
        <v>6324</v>
      </c>
      <c r="N244" s="448" t="s">
        <v>6325</v>
      </c>
    </row>
    <row r="245" spans="1:14" ht="29.15" hidden="1">
      <c r="A245" s="2" t="s">
        <v>6326</v>
      </c>
      <c r="B245" s="447" t="str">
        <f t="shared" si="8"/>
        <v>B6 - Water Consumption</v>
      </c>
      <c r="C245" s="2" t="s">
        <v>6327</v>
      </c>
      <c r="D245" s="442" t="s">
        <v>6328</v>
      </c>
      <c r="E245" s="442" t="s">
        <v>6329</v>
      </c>
      <c r="F245" s="442" t="s">
        <v>6330</v>
      </c>
      <c r="G245" s="449" t="s">
        <v>6331</v>
      </c>
      <c r="H245" s="449" t="s">
        <v>6332</v>
      </c>
      <c r="I245" s="2" t="s">
        <v>6333</v>
      </c>
      <c r="J245" s="448" t="s">
        <v>6334</v>
      </c>
      <c r="K245" s="448" t="s">
        <v>6335</v>
      </c>
      <c r="L245" s="448" t="s">
        <v>6336</v>
      </c>
      <c r="M245" s="448" t="s">
        <v>6337</v>
      </c>
      <c r="N245" s="448" t="s">
        <v>6338</v>
      </c>
    </row>
    <row r="246" spans="1:14" s="585" customFormat="1" ht="72.900000000000006" hidden="1">
      <c r="A246" s="580" t="s">
        <v>6339</v>
      </c>
      <c r="B246" s="581" t="str">
        <f t="shared" si="8"/>
        <v>Voluntary for undertakings with 10 employees or less - Does the undertaking have production processes in place which significantly consume water (e.g. thermal energy processes like drying or power production production of goods agricultural irrigation etc.)?</v>
      </c>
      <c r="C246" s="580" t="s">
        <v>6340</v>
      </c>
      <c r="D246" s="582" t="s">
        <v>6341</v>
      </c>
      <c r="E246" s="582" t="s">
        <v>6342</v>
      </c>
      <c r="F246" s="582" t="s">
        <v>6343</v>
      </c>
      <c r="G246" s="582" t="s">
        <v>6342</v>
      </c>
      <c r="H246" s="582" t="s">
        <v>6342</v>
      </c>
      <c r="I246" s="582" t="s">
        <v>6342</v>
      </c>
      <c r="J246" s="582" t="s">
        <v>6342</v>
      </c>
      <c r="K246" s="582" t="s">
        <v>6342</v>
      </c>
      <c r="L246" s="582" t="s">
        <v>6342</v>
      </c>
      <c r="M246" s="582" t="s">
        <v>6342</v>
      </c>
      <c r="N246" s="582" t="s">
        <v>6342</v>
      </c>
    </row>
    <row r="247" spans="1:14" ht="29.15" hidden="1">
      <c r="A247" s="2" t="s">
        <v>6344</v>
      </c>
      <c r="B247" s="447" t="str">
        <f t="shared" si="8"/>
        <v>Water discharge from undertaking production processes (m³)</v>
      </c>
      <c r="C247" s="2" t="s">
        <v>6345</v>
      </c>
      <c r="D247" s="442" t="s">
        <v>6346</v>
      </c>
      <c r="E247" s="442" t="s">
        <v>6347</v>
      </c>
      <c r="F247" s="442" t="s">
        <v>6348</v>
      </c>
      <c r="G247" s="449" t="s">
        <v>6349</v>
      </c>
      <c r="H247" s="449" t="s">
        <v>6350</v>
      </c>
      <c r="I247" s="2" t="s">
        <v>6351</v>
      </c>
      <c r="J247" s="448" t="s">
        <v>6352</v>
      </c>
      <c r="K247" s="448" t="s">
        <v>6353</v>
      </c>
      <c r="L247" s="448" t="s">
        <v>6354</v>
      </c>
      <c r="M247" s="448" t="s">
        <v>6355</v>
      </c>
      <c r="N247" s="448" t="s">
        <v>6356</v>
      </c>
    </row>
    <row r="248" spans="1:14" s="511" customFormat="1" ht="44.15" hidden="1" thickBot="1">
      <c r="A248" s="565" t="s">
        <v>6357</v>
      </c>
      <c r="B248" s="566" t="str">
        <f>INDEX(C248:N248,MATCH(template_selected_display_language,$C$3:$N$3,0))</f>
        <v>Amount of water consumed at sites located in areas with water-stress (cubic meters m³)</v>
      </c>
      <c r="C248" s="565" t="s">
        <v>6358</v>
      </c>
      <c r="D248" s="567" t="s">
        <v>6359</v>
      </c>
      <c r="E248" s="567" t="s">
        <v>6360</v>
      </c>
      <c r="F248" s="567" t="s">
        <v>6361</v>
      </c>
      <c r="G248" s="568" t="s">
        <v>6362</v>
      </c>
      <c r="H248" s="568" t="s">
        <v>6363</v>
      </c>
      <c r="I248" s="565" t="s">
        <v>6364</v>
      </c>
      <c r="J248" s="569" t="s">
        <v>6365</v>
      </c>
      <c r="K248" s="569" t="s">
        <v>6366</v>
      </c>
      <c r="L248" s="569" t="s">
        <v>6367</v>
      </c>
      <c r="M248" s="569" t="s">
        <v>6368</v>
      </c>
      <c r="N248" s="569" t="s">
        <v>6369</v>
      </c>
    </row>
    <row r="249" spans="1:14" ht="15" hidden="1" thickBot="1">
      <c r="A249" s="454" t="s">
        <v>6370</v>
      </c>
      <c r="B249" s="451" t="str">
        <f t="shared" si="8"/>
        <v>Total water consumption (m³)</v>
      </c>
      <c r="C249" s="454" t="s">
        <v>6371</v>
      </c>
      <c r="D249" s="450" t="s">
        <v>6372</v>
      </c>
      <c r="E249" s="450" t="s">
        <v>6373</v>
      </c>
      <c r="F249" s="450" t="s">
        <v>6374</v>
      </c>
      <c r="G249" s="453" t="s">
        <v>6375</v>
      </c>
      <c r="H249" s="453" t="s">
        <v>6376</v>
      </c>
      <c r="I249" s="454" t="s">
        <v>6377</v>
      </c>
      <c r="J249" s="452" t="s">
        <v>6378</v>
      </c>
      <c r="K249" s="452" t="s">
        <v>6379</v>
      </c>
      <c r="L249" s="452" t="s">
        <v>6380</v>
      </c>
      <c r="M249" s="452" t="s">
        <v>6381</v>
      </c>
      <c r="N249" s="452" t="s">
        <v>6382</v>
      </c>
    </row>
    <row r="250" spans="1:14" ht="29.15" hidden="1">
      <c r="A250" s="2" t="s">
        <v>6383</v>
      </c>
      <c r="B250" s="447" t="str">
        <f t="shared" si="8"/>
        <v>B7 - Description of circular economy principles</v>
      </c>
      <c r="C250" s="2" t="s">
        <v>6384</v>
      </c>
      <c r="D250" s="442" t="s">
        <v>6385</v>
      </c>
      <c r="E250" s="442" t="s">
        <v>6386</v>
      </c>
      <c r="F250" s="442" t="s">
        <v>6387</v>
      </c>
      <c r="G250" s="449" t="s">
        <v>6388</v>
      </c>
      <c r="H250" s="449" t="s">
        <v>6389</v>
      </c>
      <c r="I250" s="2" t="s">
        <v>6390</v>
      </c>
      <c r="J250" s="448" t="s">
        <v>6391</v>
      </c>
      <c r="K250" s="448" t="s">
        <v>6392</v>
      </c>
      <c r="L250" s="448" t="s">
        <v>6393</v>
      </c>
      <c r="M250" s="448" t="s">
        <v>6394</v>
      </c>
      <c r="N250" s="448" t="s">
        <v>6395</v>
      </c>
    </row>
    <row r="251" spans="1:14" ht="29.15" hidden="1">
      <c r="A251" s="2" t="s">
        <v>6396</v>
      </c>
      <c r="B251" s="447" t="str">
        <f t="shared" si="8"/>
        <v>Undertaking applies circular economy principles</v>
      </c>
      <c r="C251" s="2" t="s">
        <v>6397</v>
      </c>
      <c r="D251" s="442" t="s">
        <v>6398</v>
      </c>
      <c r="E251" s="442" t="s">
        <v>6399</v>
      </c>
      <c r="F251" s="442" t="s">
        <v>6400</v>
      </c>
      <c r="G251" s="449" t="s">
        <v>6401</v>
      </c>
      <c r="H251" s="449" t="s">
        <v>6402</v>
      </c>
      <c r="I251" s="2" t="s">
        <v>6403</v>
      </c>
      <c r="J251" s="448" t="s">
        <v>6404</v>
      </c>
      <c r="K251" s="448" t="s">
        <v>6405</v>
      </c>
      <c r="L251" s="448" t="s">
        <v>6406</v>
      </c>
      <c r="M251" s="448" t="s">
        <v>6407</v>
      </c>
      <c r="N251" s="448" t="s">
        <v>6408</v>
      </c>
    </row>
    <row r="252" spans="1:14" ht="44.15" hidden="1" thickBot="1">
      <c r="A252" s="454" t="s">
        <v>6409</v>
      </c>
      <c r="B252" s="451" t="str">
        <f t="shared" si="8"/>
        <v>Description of how it applies these principles</v>
      </c>
      <c r="C252" s="454" t="s">
        <v>6410</v>
      </c>
      <c r="D252" s="450" t="s">
        <v>6411</v>
      </c>
      <c r="E252" s="450" t="s">
        <v>6412</v>
      </c>
      <c r="F252" s="450" t="s">
        <v>6413</v>
      </c>
      <c r="G252" s="453" t="s">
        <v>6414</v>
      </c>
      <c r="H252" s="453" t="s">
        <v>6415</v>
      </c>
      <c r="I252" s="454" t="s">
        <v>6416</v>
      </c>
      <c r="J252" s="452" t="s">
        <v>6417</v>
      </c>
      <c r="K252" s="452" t="s">
        <v>6418</v>
      </c>
      <c r="L252" s="452" t="s">
        <v>6419</v>
      </c>
      <c r="M252" s="452" t="s">
        <v>6420</v>
      </c>
      <c r="N252" s="452" t="s">
        <v>6421</v>
      </c>
    </row>
    <row r="253" spans="1:14" ht="29.15" hidden="1">
      <c r="A253" s="2" t="s">
        <v>6422</v>
      </c>
      <c r="B253" s="447" t="str">
        <f t="shared" si="8"/>
        <v>B7 - Waste generated</v>
      </c>
      <c r="C253" s="2" t="s">
        <v>6423</v>
      </c>
      <c r="D253" s="442" t="s">
        <v>6424</v>
      </c>
      <c r="E253" s="442" t="s">
        <v>6425</v>
      </c>
      <c r="F253" s="442" t="s">
        <v>6426</v>
      </c>
      <c r="G253" s="449" t="s">
        <v>6427</v>
      </c>
      <c r="H253" s="449" t="s">
        <v>6428</v>
      </c>
      <c r="I253" s="2" t="s">
        <v>6429</v>
      </c>
      <c r="J253" s="448" t="s">
        <v>6430</v>
      </c>
      <c r="K253" s="448" t="s">
        <v>6431</v>
      </c>
      <c r="L253" s="448" t="s">
        <v>6432</v>
      </c>
      <c r="M253" s="448" t="s">
        <v>6433</v>
      </c>
      <c r="N253" s="448" t="s">
        <v>6434</v>
      </c>
    </row>
    <row r="254" spans="1:14" hidden="1">
      <c r="A254" s="2" t="s">
        <v>6435</v>
      </c>
      <c r="B254" s="447" t="str">
        <f t="shared" si="8"/>
        <v>Type of waste</v>
      </c>
      <c r="C254" s="2" t="s">
        <v>6436</v>
      </c>
      <c r="D254" s="442" t="s">
        <v>6437</v>
      </c>
      <c r="E254" s="442" t="s">
        <v>6438</v>
      </c>
      <c r="F254" s="442" t="s">
        <v>6439</v>
      </c>
      <c r="G254" s="449" t="s">
        <v>6440</v>
      </c>
      <c r="H254" s="449" t="s">
        <v>6441</v>
      </c>
      <c r="I254" s="2" t="s">
        <v>6442</v>
      </c>
      <c r="J254" s="448" t="s">
        <v>6443</v>
      </c>
      <c r="K254" s="448" t="s">
        <v>6444</v>
      </c>
      <c r="L254" s="448" t="s">
        <v>6445</v>
      </c>
      <c r="M254" s="448" t="s">
        <v>6446</v>
      </c>
      <c r="N254" s="448" t="s">
        <v>6447</v>
      </c>
    </row>
    <row r="255" spans="1:14" hidden="1">
      <c r="A255" s="2" t="s">
        <v>6448</v>
      </c>
      <c r="B255" s="447" t="str">
        <f t="shared" si="8"/>
        <v>Unit of measurement</v>
      </c>
      <c r="C255" s="2" t="s">
        <v>98</v>
      </c>
      <c r="D255" s="442" t="s">
        <v>6449</v>
      </c>
      <c r="E255" s="442" t="s">
        <v>6450</v>
      </c>
      <c r="F255" s="442" t="s">
        <v>6451</v>
      </c>
      <c r="G255" s="449" t="s">
        <v>6452</v>
      </c>
      <c r="H255" s="449" t="s">
        <v>6453</v>
      </c>
      <c r="I255" s="2" t="s">
        <v>6454</v>
      </c>
      <c r="J255" s="448" t="s">
        <v>6455</v>
      </c>
      <c r="K255" s="448" t="s">
        <v>6456</v>
      </c>
      <c r="L255" s="448" t="s">
        <v>6457</v>
      </c>
      <c r="M255" s="448" t="s">
        <v>6458</v>
      </c>
      <c r="N255" s="448" t="s">
        <v>6459</v>
      </c>
    </row>
    <row r="256" spans="1:14" s="511" customFormat="1" ht="29.15" hidden="1">
      <c r="A256" s="558" t="s">
        <v>6460</v>
      </c>
      <c r="B256" s="559" t="str">
        <f t="shared" si="8"/>
        <v xml:space="preserve">Percentage of waste diverted to recycling </v>
      </c>
      <c r="C256" s="561" t="s">
        <v>6461</v>
      </c>
      <c r="D256" s="547" t="s">
        <v>6462</v>
      </c>
      <c r="E256" s="547" t="s">
        <v>6463</v>
      </c>
      <c r="F256" s="547" t="s">
        <v>6464</v>
      </c>
      <c r="G256" s="560" t="s">
        <v>6465</v>
      </c>
      <c r="H256" s="560" t="s">
        <v>6466</v>
      </c>
      <c r="I256" s="558" t="s">
        <v>6467</v>
      </c>
      <c r="J256" s="550" t="s">
        <v>6468</v>
      </c>
      <c r="K256" s="550" t="s">
        <v>6469</v>
      </c>
      <c r="L256" s="550" t="s">
        <v>6470</v>
      </c>
      <c r="M256" s="550" t="s">
        <v>6471</v>
      </c>
      <c r="N256" s="550" t="s">
        <v>6472</v>
      </c>
    </row>
    <row r="257" spans="1:14" s="511" customFormat="1" hidden="1">
      <c r="A257" s="558" t="s">
        <v>6473</v>
      </c>
      <c r="B257" s="559" t="str">
        <f t="shared" si="8"/>
        <v>Percentage of waste diverted to preparation for reuse</v>
      </c>
      <c r="C257" s="558" t="s">
        <v>6474</v>
      </c>
      <c r="D257" s="547" t="s">
        <v>6475</v>
      </c>
      <c r="E257" s="547" t="s">
        <v>6476</v>
      </c>
      <c r="F257" s="547" t="s">
        <v>6477</v>
      </c>
      <c r="G257" s="560" t="s">
        <v>6478</v>
      </c>
      <c r="H257" s="560" t="s">
        <v>6479</v>
      </c>
      <c r="I257" s="558" t="s">
        <v>6480</v>
      </c>
      <c r="J257" s="550" t="s">
        <v>6481</v>
      </c>
      <c r="K257" s="550" t="s">
        <v>6482</v>
      </c>
      <c r="L257" s="550" t="s">
        <v>6483</v>
      </c>
      <c r="M257" s="550" t="s">
        <v>6484</v>
      </c>
      <c r="N257" s="550" t="s">
        <v>6485</v>
      </c>
    </row>
    <row r="258" spans="1:14" s="511" customFormat="1" hidden="1">
      <c r="A258" s="558" t="s">
        <v>6486</v>
      </c>
      <c r="B258" s="559" t="str">
        <f t="shared" si="8"/>
        <v>Total weight or volume of waste generated</v>
      </c>
      <c r="C258" s="558" t="s">
        <v>6487</v>
      </c>
      <c r="D258" s="547" t="s">
        <v>6488</v>
      </c>
      <c r="E258" s="547" t="s">
        <v>6489</v>
      </c>
      <c r="F258" s="547" t="s">
        <v>6490</v>
      </c>
      <c r="G258" s="547" t="s">
        <v>6491</v>
      </c>
      <c r="H258" s="547" t="s">
        <v>6492</v>
      </c>
      <c r="I258" s="547" t="s">
        <v>6493</v>
      </c>
      <c r="J258" s="547" t="s">
        <v>6494</v>
      </c>
      <c r="K258" s="547" t="s">
        <v>6495</v>
      </c>
      <c r="L258" s="547" t="s">
        <v>6496</v>
      </c>
      <c r="M258" s="547" t="s">
        <v>6497</v>
      </c>
      <c r="N258" s="547" t="s">
        <v>6498</v>
      </c>
    </row>
    <row r="259" spans="1:14" ht="29.15" hidden="1">
      <c r="A259" s="2" t="s">
        <v>6499</v>
      </c>
      <c r="B259" s="447" t="str">
        <f t="shared" si="8"/>
        <v>Total Hazardous waste generated (mass)</v>
      </c>
      <c r="C259" s="2" t="s">
        <v>6500</v>
      </c>
      <c r="D259" s="442" t="s">
        <v>6501</v>
      </c>
      <c r="E259" s="442" t="s">
        <v>6502</v>
      </c>
      <c r="F259" s="442" t="s">
        <v>6503</v>
      </c>
      <c r="G259" s="449" t="s">
        <v>6504</v>
      </c>
      <c r="H259" s="449" t="s">
        <v>6505</v>
      </c>
      <c r="I259" s="2" t="s">
        <v>6506</v>
      </c>
      <c r="J259" s="448" t="s">
        <v>6507</v>
      </c>
      <c r="K259" s="448" t="s">
        <v>6508</v>
      </c>
      <c r="L259" s="448" t="s">
        <v>6509</v>
      </c>
      <c r="M259" s="448" t="s">
        <v>6510</v>
      </c>
      <c r="N259" s="448" t="s">
        <v>6511</v>
      </c>
    </row>
    <row r="260" spans="1:14" hidden="1">
      <c r="A260" s="2" t="s">
        <v>6512</v>
      </c>
      <c r="B260" s="447" t="str">
        <f t="shared" si="8"/>
        <v>Total amount of waste generated</v>
      </c>
      <c r="C260" s="2" t="s">
        <v>6513</v>
      </c>
      <c r="D260" s="442" t="s">
        <v>6514</v>
      </c>
      <c r="E260" s="442" t="s">
        <v>6515</v>
      </c>
      <c r="F260" s="442" t="s">
        <v>6516</v>
      </c>
      <c r="G260" s="449" t="s">
        <v>6517</v>
      </c>
      <c r="H260" s="449" t="s">
        <v>6518</v>
      </c>
      <c r="I260" s="2" t="s">
        <v>6519</v>
      </c>
      <c r="J260" s="448" t="s">
        <v>6520</v>
      </c>
      <c r="K260" s="448" t="s">
        <v>6521</v>
      </c>
      <c r="L260" s="448" t="s">
        <v>6522</v>
      </c>
      <c r="M260" s="448" t="s">
        <v>6523</v>
      </c>
      <c r="N260" s="448" t="s">
        <v>6524</v>
      </c>
    </row>
    <row r="261" spans="1:14" ht="29.15" hidden="1">
      <c r="A261" s="2" t="s">
        <v>6525</v>
      </c>
      <c r="B261" s="447" t="str">
        <f t="shared" si="8"/>
        <v>Total Non-Hazardous waste generated (mass)</v>
      </c>
      <c r="C261" s="2" t="s">
        <v>6526</v>
      </c>
      <c r="D261" s="442" t="s">
        <v>6527</v>
      </c>
      <c r="E261" s="442" t="s">
        <v>6528</v>
      </c>
      <c r="F261" s="442" t="s">
        <v>6529</v>
      </c>
      <c r="G261" s="449" t="s">
        <v>6530</v>
      </c>
      <c r="H261" s="449" t="s">
        <v>6531</v>
      </c>
      <c r="I261" s="2" t="s">
        <v>6532</v>
      </c>
      <c r="J261" s="448" t="s">
        <v>6533</v>
      </c>
      <c r="K261" s="448" t="s">
        <v>6534</v>
      </c>
      <c r="L261" s="448" t="s">
        <v>6535</v>
      </c>
      <c r="M261" s="448" t="s">
        <v>6536</v>
      </c>
      <c r="N261" s="448" t="s">
        <v>6537</v>
      </c>
    </row>
    <row r="262" spans="1:14" hidden="1">
      <c r="A262" s="2" t="s">
        <v>6538</v>
      </c>
      <c r="B262" s="447" t="str">
        <f t="shared" si="8"/>
        <v>Total waste generated (mass)</v>
      </c>
      <c r="C262" s="2" t="s">
        <v>6539</v>
      </c>
      <c r="D262" s="442" t="s">
        <v>6540</v>
      </c>
      <c r="E262" s="442" t="s">
        <v>6541</v>
      </c>
      <c r="F262" s="442" t="s">
        <v>6542</v>
      </c>
      <c r="G262" s="449" t="s">
        <v>6543</v>
      </c>
      <c r="H262" s="449" t="s">
        <v>6544</v>
      </c>
      <c r="I262" s="2" t="s">
        <v>6545</v>
      </c>
      <c r="J262" s="448" t="s">
        <v>6546</v>
      </c>
      <c r="K262" s="448" t="s">
        <v>6547</v>
      </c>
      <c r="L262" s="448" t="s">
        <v>6548</v>
      </c>
      <c r="M262" s="448" t="s">
        <v>6549</v>
      </c>
      <c r="N262" s="448" t="s">
        <v>6550</v>
      </c>
    </row>
    <row r="263" spans="1:14" ht="29.15" hidden="1">
      <c r="A263" s="2" t="s">
        <v>6551</v>
      </c>
      <c r="B263" s="447" t="str">
        <f t="shared" si="8"/>
        <v>Total Hazardous waste generated (volume)</v>
      </c>
      <c r="C263" s="2" t="s">
        <v>6552</v>
      </c>
      <c r="D263" s="442" t="s">
        <v>6553</v>
      </c>
      <c r="E263" s="442" t="s">
        <v>6554</v>
      </c>
      <c r="F263" s="442" t="s">
        <v>6555</v>
      </c>
      <c r="G263" s="449" t="s">
        <v>6556</v>
      </c>
      <c r="H263" s="449" t="s">
        <v>6557</v>
      </c>
      <c r="I263" s="2" t="s">
        <v>6558</v>
      </c>
      <c r="J263" s="448" t="s">
        <v>6559</v>
      </c>
      <c r="K263" s="448" t="s">
        <v>6560</v>
      </c>
      <c r="L263" s="448" t="s">
        <v>6561</v>
      </c>
      <c r="M263" s="448" t="s">
        <v>6562</v>
      </c>
      <c r="N263" s="448" t="s">
        <v>6563</v>
      </c>
    </row>
    <row r="264" spans="1:14" hidden="1">
      <c r="A264" s="2" t="s">
        <v>6564</v>
      </c>
      <c r="B264" s="447" t="str">
        <f t="shared" si="8"/>
        <v>cubic meters (m³)</v>
      </c>
      <c r="C264" s="2" t="s">
        <v>6565</v>
      </c>
      <c r="D264" s="442" t="s">
        <v>6566</v>
      </c>
      <c r="E264" s="442" t="s">
        <v>6567</v>
      </c>
      <c r="F264" s="442" t="s">
        <v>6568</v>
      </c>
      <c r="G264" s="449" t="s">
        <v>6569</v>
      </c>
      <c r="H264" s="449" t="s">
        <v>6570</v>
      </c>
      <c r="I264" s="2" t="s">
        <v>6571</v>
      </c>
      <c r="J264" s="448" t="s">
        <v>6572</v>
      </c>
      <c r="K264" s="448" t="s">
        <v>6573</v>
      </c>
      <c r="L264" s="448" t="s">
        <v>6574</v>
      </c>
      <c r="M264" s="448" t="s">
        <v>6575</v>
      </c>
      <c r="N264" s="448" t="s">
        <v>6574</v>
      </c>
    </row>
    <row r="265" spans="1:14" ht="29.15" hidden="1">
      <c r="A265" s="2" t="s">
        <v>6576</v>
      </c>
      <c r="B265" s="447" t="str">
        <f t="shared" si="8"/>
        <v>Total Non-Hazardous waste generated (volume)</v>
      </c>
      <c r="C265" s="2" t="s">
        <v>6577</v>
      </c>
      <c r="D265" s="442" t="s">
        <v>6578</v>
      </c>
      <c r="E265" s="442" t="s">
        <v>6579</v>
      </c>
      <c r="F265" s="442" t="s">
        <v>6580</v>
      </c>
      <c r="G265" s="449" t="s">
        <v>6581</v>
      </c>
      <c r="H265" s="449" t="s">
        <v>6582</v>
      </c>
      <c r="I265" s="2" t="s">
        <v>6583</v>
      </c>
      <c r="J265" s="448" t="s">
        <v>6584</v>
      </c>
      <c r="K265" s="448" t="s">
        <v>6585</v>
      </c>
      <c r="L265" s="448" t="s">
        <v>6586</v>
      </c>
      <c r="M265" s="448" t="s">
        <v>6587</v>
      </c>
      <c r="N265" s="448" t="s">
        <v>6588</v>
      </c>
    </row>
    <row r="266" spans="1:14" hidden="1">
      <c r="A266" s="2" t="s">
        <v>6589</v>
      </c>
      <c r="B266" s="447" t="str">
        <f t="shared" si="8"/>
        <v>Total waste generated (volume)</v>
      </c>
      <c r="C266" s="2" t="s">
        <v>6590</v>
      </c>
      <c r="D266" s="442" t="s">
        <v>6591</v>
      </c>
      <c r="E266" s="442" t="s">
        <v>6592</v>
      </c>
      <c r="F266" s="442" t="s">
        <v>6593</v>
      </c>
      <c r="G266" s="449" t="s">
        <v>6594</v>
      </c>
      <c r="H266" s="449" t="s">
        <v>6595</v>
      </c>
      <c r="I266" s="2" t="s">
        <v>6596</v>
      </c>
      <c r="J266" s="448" t="s">
        <v>6597</v>
      </c>
      <c r="K266" s="448" t="s">
        <v>6598</v>
      </c>
      <c r="L266" s="448" t="s">
        <v>6599</v>
      </c>
      <c r="M266" s="448" t="s">
        <v>6600</v>
      </c>
      <c r="N266" s="448" t="s">
        <v>6601</v>
      </c>
    </row>
    <row r="267" spans="1:14" s="511" customFormat="1" ht="29.15" hidden="1">
      <c r="A267" s="558" t="s">
        <v>6602</v>
      </c>
      <c r="B267" s="559" t="str">
        <f t="shared" si="8"/>
        <v>Overall percentage of waste diverted to recycling (mass)</v>
      </c>
      <c r="C267" s="558" t="s">
        <v>6603</v>
      </c>
      <c r="D267" s="547" t="s">
        <v>6604</v>
      </c>
      <c r="E267" s="547" t="s">
        <v>6604</v>
      </c>
      <c r="F267" s="547" t="s">
        <v>6604</v>
      </c>
      <c r="G267" s="547" t="s">
        <v>6604</v>
      </c>
      <c r="H267" s="547" t="s">
        <v>6604</v>
      </c>
      <c r="I267" s="547" t="s">
        <v>6604</v>
      </c>
      <c r="J267" s="547" t="s">
        <v>6604</v>
      </c>
      <c r="K267" s="547" t="s">
        <v>6604</v>
      </c>
      <c r="L267" s="547" t="s">
        <v>6604</v>
      </c>
      <c r="M267" s="547" t="s">
        <v>6604</v>
      </c>
      <c r="N267" s="547" t="s">
        <v>6604</v>
      </c>
    </row>
    <row r="268" spans="1:14" s="511" customFormat="1" ht="29.15" hidden="1">
      <c r="A268" s="558" t="s">
        <v>6605</v>
      </c>
      <c r="B268" s="559" t="str">
        <f t="shared" si="8"/>
        <v>Overall percentage of waste diverted to preparation for reuse (mass)</v>
      </c>
      <c r="C268" s="558" t="s">
        <v>6606</v>
      </c>
      <c r="D268" s="547" t="s">
        <v>6607</v>
      </c>
      <c r="E268" s="547" t="s">
        <v>6608</v>
      </c>
      <c r="F268" s="547" t="s">
        <v>6608</v>
      </c>
      <c r="G268" s="547" t="s">
        <v>6608</v>
      </c>
      <c r="H268" s="547" t="s">
        <v>6608</v>
      </c>
      <c r="I268" s="547" t="s">
        <v>6608</v>
      </c>
      <c r="J268" s="547" t="s">
        <v>6608</v>
      </c>
      <c r="K268" s="547" t="s">
        <v>6608</v>
      </c>
      <c r="L268" s="547" t="s">
        <v>6608</v>
      </c>
      <c r="M268" s="547" t="s">
        <v>6608</v>
      </c>
      <c r="N268" s="547" t="s">
        <v>6608</v>
      </c>
    </row>
    <row r="269" spans="1:14" s="511" customFormat="1" ht="29.15" hidden="1">
      <c r="A269" s="558" t="s">
        <v>6609</v>
      </c>
      <c r="B269" s="559" t="str">
        <f t="shared" si="8"/>
        <v>Overall percentage of waste diverted to recycling (volume)</v>
      </c>
      <c r="C269" s="558" t="s">
        <v>6610</v>
      </c>
      <c r="D269" s="547" t="s">
        <v>6611</v>
      </c>
      <c r="E269" s="547" t="s">
        <v>6611</v>
      </c>
      <c r="F269" s="547" t="s">
        <v>6611</v>
      </c>
      <c r="G269" s="547" t="s">
        <v>6611</v>
      </c>
      <c r="H269" s="547" t="s">
        <v>6611</v>
      </c>
      <c r="I269" s="547" t="s">
        <v>6611</v>
      </c>
      <c r="J269" s="547" t="s">
        <v>6611</v>
      </c>
      <c r="K269" s="547" t="s">
        <v>6611</v>
      </c>
      <c r="L269" s="547" t="s">
        <v>6611</v>
      </c>
      <c r="M269" s="547" t="s">
        <v>6611</v>
      </c>
      <c r="N269" s="547" t="s">
        <v>6611</v>
      </c>
    </row>
    <row r="270" spans="1:14" s="511" customFormat="1" ht="29.15" hidden="1">
      <c r="A270" s="558" t="s">
        <v>6612</v>
      </c>
      <c r="B270" s="559" t="str">
        <f t="shared" si="8"/>
        <v>Overall percentage of waste diverted to preparation for reuse (volume)</v>
      </c>
      <c r="C270" s="558" t="s">
        <v>6613</v>
      </c>
      <c r="D270" s="547" t="s">
        <v>6614</v>
      </c>
      <c r="E270" s="547" t="s">
        <v>6615</v>
      </c>
      <c r="F270" s="547" t="s">
        <v>6615</v>
      </c>
      <c r="G270" s="547" t="s">
        <v>6615</v>
      </c>
      <c r="H270" s="547" t="s">
        <v>6615</v>
      </c>
      <c r="I270" s="547" t="s">
        <v>6615</v>
      </c>
      <c r="J270" s="547" t="s">
        <v>6615</v>
      </c>
      <c r="K270" s="547" t="s">
        <v>6615</v>
      </c>
      <c r="L270" s="547" t="s">
        <v>6615</v>
      </c>
      <c r="M270" s="547" t="s">
        <v>6615</v>
      </c>
      <c r="N270" s="547" t="s">
        <v>6615</v>
      </c>
    </row>
    <row r="271" spans="1:14" s="511" customFormat="1" hidden="1">
      <c r="A271" s="558" t="s">
        <v>6616</v>
      </c>
      <c r="B271" s="559" t="str">
        <f t="shared" si="8"/>
        <v>Percent (%)</v>
      </c>
      <c r="C271" s="558" t="s">
        <v>6617</v>
      </c>
      <c r="D271" s="547" t="s">
        <v>6618</v>
      </c>
      <c r="E271" s="547" t="s">
        <v>6619</v>
      </c>
      <c r="F271" s="547" t="s">
        <v>6620</v>
      </c>
      <c r="G271" s="547" t="s">
        <v>6621</v>
      </c>
      <c r="H271" s="547" t="s">
        <v>6621</v>
      </c>
      <c r="I271" s="547" t="s">
        <v>6622</v>
      </c>
      <c r="J271" s="547" t="s">
        <v>6622</v>
      </c>
      <c r="K271" s="547" t="s">
        <v>6622</v>
      </c>
      <c r="L271" s="547" t="s">
        <v>6623</v>
      </c>
      <c r="M271" s="547" t="s">
        <v>6624</v>
      </c>
      <c r="N271" s="547" t="s">
        <v>6624</v>
      </c>
    </row>
    <row r="272" spans="1:14" ht="29.15" hidden="1">
      <c r="A272" s="2" t="s">
        <v>6625</v>
      </c>
      <c r="B272" s="447" t="str">
        <f t="shared" si="8"/>
        <v>B7 - Annual mass-flow of relevant materials used</v>
      </c>
      <c r="C272" s="2" t="s">
        <v>6626</v>
      </c>
      <c r="D272" s="442" t="s">
        <v>6627</v>
      </c>
      <c r="E272" s="442" t="s">
        <v>6628</v>
      </c>
      <c r="F272" s="442" t="s">
        <v>6629</v>
      </c>
      <c r="G272" s="449" t="s">
        <v>6630</v>
      </c>
      <c r="H272" s="449" t="s">
        <v>6631</v>
      </c>
      <c r="I272" s="2" t="s">
        <v>6632</v>
      </c>
      <c r="J272" s="448" t="s">
        <v>6633</v>
      </c>
      <c r="K272" s="448" t="s">
        <v>6634</v>
      </c>
      <c r="L272" s="448" t="s">
        <v>6635</v>
      </c>
      <c r="M272" s="448" t="s">
        <v>6636</v>
      </c>
      <c r="N272" s="448" t="s">
        <v>6637</v>
      </c>
    </row>
    <row r="273" spans="1:14" s="585" customFormat="1" ht="14.15" hidden="1" customHeight="1">
      <c r="A273" s="580" t="s">
        <v>6638</v>
      </c>
      <c r="B273" s="581" t="str">
        <f t="shared" si="8"/>
        <v>Voluntary for undertakings with 10 employees or less - Does the undertaking the undertaking operate in a sector using significant material flows (for example manufacturing construction packaging or others)?</v>
      </c>
      <c r="C273" s="580" t="s">
        <v>6639</v>
      </c>
      <c r="D273" s="582" t="s">
        <v>6640</v>
      </c>
      <c r="E273" s="582" t="s">
        <v>6641</v>
      </c>
      <c r="F273" s="582" t="s">
        <v>6642</v>
      </c>
      <c r="G273" s="583" t="s">
        <v>6643</v>
      </c>
      <c r="H273" s="583" t="s">
        <v>6644</v>
      </c>
      <c r="I273" s="580" t="s">
        <v>6645</v>
      </c>
      <c r="J273" s="584" t="s">
        <v>6646</v>
      </c>
      <c r="K273" s="584" t="s">
        <v>6647</v>
      </c>
      <c r="L273" s="584" t="s">
        <v>6648</v>
      </c>
      <c r="M273" s="584" t="s">
        <v>6649</v>
      </c>
      <c r="N273" s="584" t="s">
        <v>6650</v>
      </c>
    </row>
    <row r="274" spans="1:14" hidden="1">
      <c r="A274" s="2" t="s">
        <v>6651</v>
      </c>
      <c r="B274" s="447" t="str">
        <f t="shared" si="8"/>
        <v>Name of the key material</v>
      </c>
      <c r="C274" s="2" t="s">
        <v>6652</v>
      </c>
      <c r="D274" s="442" t="s">
        <v>6653</v>
      </c>
      <c r="E274" s="442" t="s">
        <v>6654</v>
      </c>
      <c r="F274" s="442" t="s">
        <v>6655</v>
      </c>
      <c r="G274" s="449" t="s">
        <v>6656</v>
      </c>
      <c r="H274" s="449" t="s">
        <v>6657</v>
      </c>
      <c r="I274" s="2" t="s">
        <v>6658</v>
      </c>
      <c r="J274" s="448" t="s">
        <v>6659</v>
      </c>
      <c r="K274" s="448" t="s">
        <v>6660</v>
      </c>
      <c r="L274" s="448" t="s">
        <v>6661</v>
      </c>
      <c r="M274" s="448" t="s">
        <v>6662</v>
      </c>
      <c r="N274" s="448" t="s">
        <v>6663</v>
      </c>
    </row>
    <row r="275" spans="1:14" hidden="1">
      <c r="A275" s="2" t="s">
        <v>6664</v>
      </c>
      <c r="B275" s="447" t="str">
        <f t="shared" si="8"/>
        <v>Mass / Volume</v>
      </c>
      <c r="C275" s="2" t="s">
        <v>6665</v>
      </c>
      <c r="D275" s="442" t="s">
        <v>6666</v>
      </c>
      <c r="E275" s="442" t="s">
        <v>6667</v>
      </c>
      <c r="F275" s="442" t="s">
        <v>6668</v>
      </c>
      <c r="G275" s="449" t="s">
        <v>6669</v>
      </c>
      <c r="H275" s="449" t="s">
        <v>6670</v>
      </c>
      <c r="I275" s="2" t="s">
        <v>6671</v>
      </c>
      <c r="J275" s="448" t="s">
        <v>6672</v>
      </c>
      <c r="K275" s="448" t="s">
        <v>6673</v>
      </c>
      <c r="L275" s="448" t="s">
        <v>6671</v>
      </c>
      <c r="M275" s="448" t="s">
        <v>6674</v>
      </c>
      <c r="N275" s="448" t="s">
        <v>6675</v>
      </c>
    </row>
    <row r="276" spans="1:14" ht="29.15" hidden="1">
      <c r="A276" s="2" t="s">
        <v>6676</v>
      </c>
      <c r="B276" s="447" t="str">
        <f t="shared" si="8"/>
        <v>Total annual mass-flow of relevant materials used (mass in kg)</v>
      </c>
      <c r="C276" s="2" t="s">
        <v>6677</v>
      </c>
      <c r="D276" s="442" t="s">
        <v>6678</v>
      </c>
      <c r="E276" s="442" t="s">
        <v>6679</v>
      </c>
      <c r="F276" s="442" t="s">
        <v>6680</v>
      </c>
      <c r="G276" s="449" t="s">
        <v>6681</v>
      </c>
      <c r="H276" s="449" t="s">
        <v>6682</v>
      </c>
      <c r="I276" s="2" t="s">
        <v>6683</v>
      </c>
      <c r="J276" s="448" t="s">
        <v>6684</v>
      </c>
      <c r="K276" s="448" t="s">
        <v>6685</v>
      </c>
      <c r="L276" s="448" t="s">
        <v>6686</v>
      </c>
      <c r="M276" s="448" t="s">
        <v>6687</v>
      </c>
      <c r="N276" s="448" t="s">
        <v>6688</v>
      </c>
    </row>
    <row r="277" spans="1:14" hidden="1">
      <c r="A277" s="2" t="s">
        <v>6689</v>
      </c>
      <c r="B277" s="447" t="str">
        <f t="shared" si="8"/>
        <v>kilograms (kg)</v>
      </c>
      <c r="C277" s="2" t="s">
        <v>46</v>
      </c>
      <c r="D277" s="442" t="s">
        <v>6690</v>
      </c>
      <c r="E277" s="442" t="s">
        <v>6691</v>
      </c>
      <c r="F277" s="442" t="s">
        <v>6692</v>
      </c>
      <c r="G277" s="449" t="s">
        <v>6693</v>
      </c>
      <c r="H277" s="449" t="s">
        <v>6694</v>
      </c>
      <c r="I277" s="2" t="s">
        <v>6695</v>
      </c>
      <c r="J277" s="448" t="s">
        <v>6696</v>
      </c>
      <c r="K277" s="448" t="s">
        <v>6697</v>
      </c>
      <c r="L277" s="448" t="s">
        <v>6698</v>
      </c>
      <c r="M277" s="448" t="s">
        <v>6699</v>
      </c>
      <c r="N277" s="448" t="s">
        <v>6700</v>
      </c>
    </row>
    <row r="278" spans="1:14" ht="29.6" hidden="1" thickBot="1">
      <c r="A278" s="454" t="s">
        <v>6701</v>
      </c>
      <c r="B278" s="451" t="str">
        <f t="shared" si="8"/>
        <v>Total annual mass-flow of relevant materials used (volume in m³)</v>
      </c>
      <c r="C278" s="454" t="s">
        <v>6702</v>
      </c>
      <c r="D278" s="450" t="s">
        <v>6703</v>
      </c>
      <c r="E278" s="450" t="s">
        <v>6704</v>
      </c>
      <c r="F278" s="450" t="s">
        <v>6705</v>
      </c>
      <c r="G278" s="453" t="s">
        <v>6706</v>
      </c>
      <c r="H278" s="453" t="s">
        <v>6707</v>
      </c>
      <c r="I278" s="454" t="s">
        <v>6708</v>
      </c>
      <c r="J278" s="452" t="s">
        <v>6709</v>
      </c>
      <c r="K278" s="452" t="s">
        <v>6710</v>
      </c>
      <c r="L278" s="452" t="s">
        <v>6711</v>
      </c>
      <c r="M278" s="452" t="s">
        <v>6712</v>
      </c>
      <c r="N278" s="452" t="s">
        <v>6713</v>
      </c>
    </row>
    <row r="279" spans="1:14" hidden="1">
      <c r="A279" s="2" t="s">
        <v>6714</v>
      </c>
      <c r="B279" s="447" t="str">
        <f t="shared" si="8"/>
        <v>C4 - Climate risks</v>
      </c>
      <c r="C279" s="2" t="s">
        <v>4368</v>
      </c>
      <c r="D279" s="442" t="s">
        <v>6715</v>
      </c>
      <c r="E279" s="442" t="s">
        <v>6716</v>
      </c>
      <c r="F279" s="442" t="s">
        <v>4371</v>
      </c>
      <c r="G279" s="449" t="s">
        <v>6717</v>
      </c>
      <c r="H279" s="449" t="s">
        <v>6718</v>
      </c>
      <c r="I279" s="2" t="s">
        <v>6719</v>
      </c>
      <c r="J279" s="448" t="s">
        <v>6720</v>
      </c>
      <c r="K279" s="448" t="s">
        <v>6721</v>
      </c>
      <c r="L279" s="448" t="s">
        <v>4377</v>
      </c>
      <c r="M279" s="448" t="s">
        <v>4378</v>
      </c>
      <c r="N279" s="448" t="s">
        <v>6722</v>
      </c>
    </row>
    <row r="280" spans="1:14" s="585" customFormat="1" ht="58.3" hidden="1">
      <c r="A280" s="580" t="s">
        <v>6723</v>
      </c>
      <c r="B280" s="581" t="str">
        <f t="shared" si="8"/>
        <v>Voluntary for undertakings with 10 employees or less - Has the undertaking identified climate-related hazards and climate-related transition events creating gross climate-related risks for the undertaking?</v>
      </c>
      <c r="C280" s="580" t="s">
        <v>6724</v>
      </c>
      <c r="D280" s="582" t="s">
        <v>6725</v>
      </c>
      <c r="E280" s="582" t="s">
        <v>6726</v>
      </c>
      <c r="F280" s="582" t="s">
        <v>6727</v>
      </c>
      <c r="G280" s="582" t="s">
        <v>6728</v>
      </c>
      <c r="H280" s="582" t="s">
        <v>6728</v>
      </c>
      <c r="I280" s="582" t="s">
        <v>6728</v>
      </c>
      <c r="J280" s="582" t="s">
        <v>6728</v>
      </c>
      <c r="K280" s="582" t="s">
        <v>6728</v>
      </c>
      <c r="L280" s="582" t="s">
        <v>6728</v>
      </c>
      <c r="M280" s="582" t="s">
        <v>6728</v>
      </c>
      <c r="N280" s="582" t="s">
        <v>6728</v>
      </c>
    </row>
    <row r="281" spans="1:14" ht="29.15" hidden="1">
      <c r="A281" s="2" t="s">
        <v>6729</v>
      </c>
      <c r="B281" s="447" t="str">
        <f t="shared" si="8"/>
        <v>Description of climate-related hazards and climate-related transition events</v>
      </c>
      <c r="C281" s="2" t="s">
        <v>6730</v>
      </c>
      <c r="D281" s="442" t="s">
        <v>6731</v>
      </c>
      <c r="E281" s="442" t="s">
        <v>6732</v>
      </c>
      <c r="F281" s="442" t="s">
        <v>6733</v>
      </c>
      <c r="G281" s="449" t="s">
        <v>6734</v>
      </c>
      <c r="H281" s="449" t="s">
        <v>6735</v>
      </c>
      <c r="I281" s="2" t="s">
        <v>6736</v>
      </c>
      <c r="J281" s="448" t="s">
        <v>6737</v>
      </c>
      <c r="K281" s="448" t="s">
        <v>6738</v>
      </c>
      <c r="L281" s="448" t="s">
        <v>6739</v>
      </c>
      <c r="M281" s="448" t="s">
        <v>6740</v>
      </c>
      <c r="N281" s="448" t="s">
        <v>6741</v>
      </c>
    </row>
    <row r="282" spans="1:14" ht="58.3" hidden="1">
      <c r="A282" s="2" t="s">
        <v>6742</v>
      </c>
      <c r="B282" s="447" t="str">
        <f t="shared" si="8"/>
        <v>Disclosure of how it has assessed the exposure and sensitivity of its assets activities and value chain to these hazards and transition events</v>
      </c>
      <c r="C282" s="2" t="s">
        <v>6743</v>
      </c>
      <c r="D282" s="442" t="s">
        <v>6744</v>
      </c>
      <c r="E282" s="442" t="s">
        <v>6745</v>
      </c>
      <c r="F282" s="442" t="s">
        <v>6746</v>
      </c>
      <c r="G282" s="449" t="s">
        <v>6747</v>
      </c>
      <c r="H282" s="449" t="s">
        <v>6748</v>
      </c>
      <c r="I282" s="2" t="s">
        <v>6749</v>
      </c>
      <c r="J282" s="448" t="s">
        <v>6750</v>
      </c>
      <c r="K282" s="448" t="s">
        <v>6751</v>
      </c>
      <c r="L282" s="448" t="s">
        <v>6752</v>
      </c>
      <c r="M282" s="448" t="s">
        <v>6753</v>
      </c>
      <c r="N282" s="448" t="s">
        <v>6754</v>
      </c>
    </row>
    <row r="283" spans="1:14" ht="58.3" hidden="1">
      <c r="A283" s="2" t="s">
        <v>6755</v>
      </c>
      <c r="B283" s="447" t="str">
        <f t="shared" si="8"/>
        <v>Time horizons of any climate-related hazards and transition events identified</v>
      </c>
      <c r="C283" s="2" t="s">
        <v>6756</v>
      </c>
      <c r="D283" s="442" t="s">
        <v>6757</v>
      </c>
      <c r="E283" s="442" t="s">
        <v>6758</v>
      </c>
      <c r="F283" s="442" t="s">
        <v>6759</v>
      </c>
      <c r="G283" s="449" t="s">
        <v>6760</v>
      </c>
      <c r="H283" s="449" t="s">
        <v>6761</v>
      </c>
      <c r="I283" s="2" t="s">
        <v>6762</v>
      </c>
      <c r="J283" s="448" t="s">
        <v>6763</v>
      </c>
      <c r="K283" s="448" t="s">
        <v>6764</v>
      </c>
      <c r="L283" s="448" t="s">
        <v>6765</v>
      </c>
      <c r="M283" s="448" t="s">
        <v>6766</v>
      </c>
      <c r="N283" s="448" t="s">
        <v>6767</v>
      </c>
    </row>
    <row r="284" spans="1:14" ht="58.3" hidden="1">
      <c r="A284" s="2" t="s">
        <v>6768</v>
      </c>
      <c r="B284" s="447" t="str">
        <f t="shared" si="8"/>
        <v>Disclosure of whether it has undertaken climate change adaptation actions for any climate-related hazards and transition events</v>
      </c>
      <c r="C284" s="2" t="s">
        <v>6769</v>
      </c>
      <c r="D284" s="442" t="s">
        <v>6770</v>
      </c>
      <c r="E284" s="442" t="s">
        <v>6771</v>
      </c>
      <c r="F284" s="456" t="s">
        <v>6772</v>
      </c>
      <c r="G284" s="449" t="s">
        <v>6773</v>
      </c>
      <c r="H284" s="449" t="s">
        <v>6774</v>
      </c>
      <c r="I284" s="2" t="s">
        <v>6775</v>
      </c>
      <c r="J284" s="448" t="s">
        <v>6776</v>
      </c>
      <c r="K284" s="448" t="s">
        <v>6777</v>
      </c>
      <c r="L284" s="448" t="s">
        <v>6778</v>
      </c>
      <c r="M284" s="448" t="s">
        <v>6779</v>
      </c>
      <c r="N284" s="448" t="s">
        <v>6780</v>
      </c>
    </row>
    <row r="285" spans="1:14" ht="87.45" hidden="1">
      <c r="A285" s="2" t="s">
        <v>6781</v>
      </c>
      <c r="B285" s="447" t="str">
        <f t="shared" si="8"/>
        <v>Potential adverse effects of climate risks that may affect its financial performance or business operations in the short- medium- or long-term indicating whether it assesses the risks to be high medium or low</v>
      </c>
      <c r="C285" s="2" t="s">
        <v>6782</v>
      </c>
      <c r="D285" s="442" t="s">
        <v>6783</v>
      </c>
      <c r="E285" s="442" t="s">
        <v>6784</v>
      </c>
      <c r="F285" s="442" t="s">
        <v>6785</v>
      </c>
      <c r="G285" s="449" t="s">
        <v>6786</v>
      </c>
      <c r="H285" s="449" t="s">
        <v>6787</v>
      </c>
      <c r="I285" s="2" t="s">
        <v>6788</v>
      </c>
      <c r="J285" s="448" t="s">
        <v>6789</v>
      </c>
      <c r="K285" s="448" t="s">
        <v>6790</v>
      </c>
      <c r="L285" s="448" t="s">
        <v>6791</v>
      </c>
      <c r="M285" s="448" t="s">
        <v>6792</v>
      </c>
      <c r="N285" s="448" t="s">
        <v>6793</v>
      </c>
    </row>
    <row r="286" spans="1:14" ht="43.75" hidden="1">
      <c r="A286" s="2" t="s">
        <v>6794</v>
      </c>
      <c r="B286" s="447" t="str">
        <f t="shared" si="8"/>
        <v>Disclosure of any other environmental and/or entity specific environmental disclosures</v>
      </c>
      <c r="C286" s="2" t="s">
        <v>6795</v>
      </c>
      <c r="D286" s="2" t="s">
        <v>6796</v>
      </c>
      <c r="E286" s="2" t="s">
        <v>6797</v>
      </c>
      <c r="F286" s="2" t="s">
        <v>6798</v>
      </c>
      <c r="G286" s="2" t="s">
        <v>6799</v>
      </c>
      <c r="H286" s="2" t="s">
        <v>6800</v>
      </c>
      <c r="I286" s="2" t="s">
        <v>6801</v>
      </c>
      <c r="J286" s="2" t="s">
        <v>6802</v>
      </c>
      <c r="K286" s="2" t="s">
        <v>6803</v>
      </c>
      <c r="L286" s="2" t="s">
        <v>6804</v>
      </c>
      <c r="M286" s="2" t="s">
        <v>6805</v>
      </c>
      <c r="N286" s="2" t="s">
        <v>6806</v>
      </c>
    </row>
    <row r="287" spans="1:14" s="511" customFormat="1" ht="43.75" hidden="1">
      <c r="A287" s="558" t="s">
        <v>6807</v>
      </c>
      <c r="B287" s="559" t="str">
        <f t="shared" si="8"/>
        <v xml:space="preserve">Employee counting methodology (Headcount or Full time Equivalent  linked from B1) for the disclosures below except specified otherwise </v>
      </c>
      <c r="C287" s="558" t="s">
        <v>6808</v>
      </c>
      <c r="D287" s="547" t="s">
        <v>6809</v>
      </c>
      <c r="E287" s="547" t="s">
        <v>6810</v>
      </c>
      <c r="F287" s="547" t="s">
        <v>6811</v>
      </c>
      <c r="G287" s="560" t="s">
        <v>6812</v>
      </c>
      <c r="H287" s="560" t="s">
        <v>6813</v>
      </c>
      <c r="I287" s="558" t="s">
        <v>6814</v>
      </c>
      <c r="J287" s="550" t="s">
        <v>6815</v>
      </c>
      <c r="K287" s="550" t="s">
        <v>6816</v>
      </c>
      <c r="L287" s="550" t="s">
        <v>6817</v>
      </c>
      <c r="M287" s="550" t="s">
        <v>6818</v>
      </c>
      <c r="N287" s="550" t="s">
        <v>6819</v>
      </c>
    </row>
    <row r="288" spans="1:14" s="511" customFormat="1" ht="58.3" hidden="1">
      <c r="A288" s="558" t="s">
        <v>6820</v>
      </c>
      <c r="B288" s="559" t="str">
        <f t="shared" si="8"/>
        <v>Employee counting methodology (At the end of the reporting period or as an average across the reporting period linked from B1) for the disclosures below except specified otherwise</v>
      </c>
      <c r="C288" s="558" t="s">
        <v>6821</v>
      </c>
      <c r="D288" s="547" t="s">
        <v>6822</v>
      </c>
      <c r="E288" s="547" t="s">
        <v>6823</v>
      </c>
      <c r="F288" s="547" t="s">
        <v>6824</v>
      </c>
      <c r="G288" s="560" t="s">
        <v>6825</v>
      </c>
      <c r="H288" s="560" t="s">
        <v>6826</v>
      </c>
      <c r="I288" s="558" t="s">
        <v>6827</v>
      </c>
      <c r="J288" s="550" t="s">
        <v>6828</v>
      </c>
      <c r="K288" s="550" t="s">
        <v>6829</v>
      </c>
      <c r="L288" s="550" t="s">
        <v>6830</v>
      </c>
      <c r="M288" s="550" t="s">
        <v>6831</v>
      </c>
      <c r="N288" s="550" t="s">
        <v>6832</v>
      </c>
    </row>
    <row r="289" spans="1:14" s="586" customFormat="1" ht="29.6" hidden="1" thickBot="1">
      <c r="A289" s="565" t="s">
        <v>6833</v>
      </c>
      <c r="B289" s="567" t="str">
        <f>INDEX(C289:N289,MATCH(template_selected_display_language,$C$3:$N$3,0))</f>
        <v>Disclosure of any other general and/or entity specific information</v>
      </c>
      <c r="C289" s="565" t="s">
        <v>6834</v>
      </c>
      <c r="D289" s="567" t="s">
        <v>6835</v>
      </c>
      <c r="E289" s="567" t="s">
        <v>6836</v>
      </c>
      <c r="F289" s="567" t="s">
        <v>6837</v>
      </c>
      <c r="G289" s="567" t="s">
        <v>6838</v>
      </c>
      <c r="H289" s="567" t="s">
        <v>6839</v>
      </c>
      <c r="I289" s="567" t="s">
        <v>6840</v>
      </c>
      <c r="J289" s="567" t="s">
        <v>6841</v>
      </c>
      <c r="K289" s="567" t="s">
        <v>6842</v>
      </c>
      <c r="L289" s="567" t="s">
        <v>6843</v>
      </c>
      <c r="M289" s="567" t="s">
        <v>6844</v>
      </c>
      <c r="N289" s="567" t="s">
        <v>6845</v>
      </c>
    </row>
    <row r="290" spans="1:14" ht="29.15" hidden="1">
      <c r="A290" s="2" t="s">
        <v>6846</v>
      </c>
      <c r="B290" s="447" t="str">
        <f t="shared" si="8"/>
        <v>B8 - Workforce - General characteristics - Type of contract</v>
      </c>
      <c r="C290" s="2" t="s">
        <v>6847</v>
      </c>
      <c r="D290" s="442" t="s">
        <v>6848</v>
      </c>
      <c r="E290" s="442" t="s">
        <v>6849</v>
      </c>
      <c r="F290" s="442" t="s">
        <v>6850</v>
      </c>
      <c r="G290" s="449" t="s">
        <v>6851</v>
      </c>
      <c r="H290" s="449" t="s">
        <v>6852</v>
      </c>
      <c r="I290" s="2" t="s">
        <v>6853</v>
      </c>
      <c r="J290" s="448" t="s">
        <v>6854</v>
      </c>
      <c r="K290" s="448" t="s">
        <v>6855</v>
      </c>
      <c r="L290" s="448" t="s">
        <v>6856</v>
      </c>
      <c r="M290" s="448" t="s">
        <v>6857</v>
      </c>
      <c r="N290" s="448" t="s">
        <v>6858</v>
      </c>
    </row>
    <row r="291" spans="1:14" hidden="1">
      <c r="A291" s="2" t="s">
        <v>6859</v>
      </c>
      <c r="B291" s="447" t="str">
        <f t="shared" si="8"/>
        <v>Type of contract</v>
      </c>
      <c r="C291" s="2" t="s">
        <v>6860</v>
      </c>
      <c r="D291" s="442" t="s">
        <v>6861</v>
      </c>
      <c r="E291" s="442" t="s">
        <v>6862</v>
      </c>
      <c r="F291" s="442" t="s">
        <v>6863</v>
      </c>
      <c r="G291" s="449" t="s">
        <v>6864</v>
      </c>
      <c r="H291" s="449" t="s">
        <v>6865</v>
      </c>
      <c r="I291" s="2" t="s">
        <v>6866</v>
      </c>
      <c r="J291" s="448" t="s">
        <v>6867</v>
      </c>
      <c r="K291" s="448" t="s">
        <v>6868</v>
      </c>
      <c r="L291" s="448" t="s">
        <v>6869</v>
      </c>
      <c r="M291" s="448" t="s">
        <v>6870</v>
      </c>
      <c r="N291" s="448" t="s">
        <v>6869</v>
      </c>
    </row>
    <row r="292" spans="1:14" hidden="1">
      <c r="A292" s="2" t="s">
        <v>6871</v>
      </c>
      <c r="B292" s="447" t="str">
        <f t="shared" ref="B292:B359" si="9">INDEX(C292:N292,MATCH(template_selected_display_language,$C$3:$N$3,0))</f>
        <v>Permanent contract</v>
      </c>
      <c r="C292" s="2" t="s">
        <v>6872</v>
      </c>
      <c r="D292" s="442" t="s">
        <v>6873</v>
      </c>
      <c r="E292" s="442" t="s">
        <v>6874</v>
      </c>
      <c r="F292" s="442" t="s">
        <v>6875</v>
      </c>
      <c r="G292" s="449" t="s">
        <v>6876</v>
      </c>
      <c r="H292" s="449" t="s">
        <v>6877</v>
      </c>
      <c r="I292" s="2" t="s">
        <v>6878</v>
      </c>
      <c r="J292" s="448" t="s">
        <v>6879</v>
      </c>
      <c r="K292" s="448" t="s">
        <v>6880</v>
      </c>
      <c r="L292" s="448" t="s">
        <v>6881</v>
      </c>
      <c r="M292" s="448" t="s">
        <v>6882</v>
      </c>
      <c r="N292" s="448" t="s">
        <v>6883</v>
      </c>
    </row>
    <row r="293" spans="1:14" hidden="1">
      <c r="A293" s="2" t="s">
        <v>6884</v>
      </c>
      <c r="B293" s="447" t="str">
        <f t="shared" si="9"/>
        <v>Temporary contract</v>
      </c>
      <c r="C293" s="2" t="s">
        <v>6885</v>
      </c>
      <c r="D293" s="442" t="s">
        <v>6886</v>
      </c>
      <c r="E293" s="442" t="s">
        <v>6887</v>
      </c>
      <c r="F293" s="442" t="s">
        <v>6888</v>
      </c>
      <c r="G293" s="449" t="s">
        <v>6889</v>
      </c>
      <c r="H293" s="449" t="s">
        <v>6890</v>
      </c>
      <c r="I293" s="2" t="s">
        <v>6891</v>
      </c>
      <c r="J293" s="448" t="s">
        <v>6892</v>
      </c>
      <c r="K293" s="448" t="s">
        <v>6893</v>
      </c>
      <c r="L293" s="448" t="s">
        <v>6894</v>
      </c>
      <c r="M293" s="448" t="s">
        <v>6895</v>
      </c>
      <c r="N293" s="448" t="s">
        <v>6896</v>
      </c>
    </row>
    <row r="294" spans="1:14" ht="15" hidden="1" thickBot="1">
      <c r="A294" s="454" t="s">
        <v>6897</v>
      </c>
      <c r="B294" s="451" t="str">
        <f t="shared" si="9"/>
        <v>Total employees (linked to B1)</v>
      </c>
      <c r="C294" s="454" t="s">
        <v>6898</v>
      </c>
      <c r="D294" s="450" t="s">
        <v>6899</v>
      </c>
      <c r="E294" s="450" t="s">
        <v>6900</v>
      </c>
      <c r="F294" s="450" t="s">
        <v>6901</v>
      </c>
      <c r="G294" s="453" t="s">
        <v>6902</v>
      </c>
      <c r="H294" s="453" t="s">
        <v>6903</v>
      </c>
      <c r="I294" s="454" t="s">
        <v>6904</v>
      </c>
      <c r="J294" s="452" t="s">
        <v>6905</v>
      </c>
      <c r="K294" s="452" t="s">
        <v>6906</v>
      </c>
      <c r="L294" s="452" t="s">
        <v>6907</v>
      </c>
      <c r="M294" s="452" t="s">
        <v>6908</v>
      </c>
      <c r="N294" s="452" t="s">
        <v>6909</v>
      </c>
    </row>
    <row r="295" spans="1:14" ht="43.75" hidden="1">
      <c r="A295" s="2" t="s">
        <v>6910</v>
      </c>
      <c r="B295" s="447" t="str">
        <f t="shared" si="9"/>
        <v>B8 - Workforce - General characteristics - Gender</v>
      </c>
      <c r="C295" s="2" t="s">
        <v>6911</v>
      </c>
      <c r="D295" s="442" t="s">
        <v>6912</v>
      </c>
      <c r="E295" s="442" t="s">
        <v>6913</v>
      </c>
      <c r="F295" s="442" t="s">
        <v>6914</v>
      </c>
      <c r="G295" s="449" t="s">
        <v>6915</v>
      </c>
      <c r="H295" s="449" t="s">
        <v>6916</v>
      </c>
      <c r="I295" s="2" t="s">
        <v>6917</v>
      </c>
      <c r="J295" s="448" t="s">
        <v>6918</v>
      </c>
      <c r="K295" s="448" t="s">
        <v>6919</v>
      </c>
      <c r="L295" s="448" t="s">
        <v>6920</v>
      </c>
      <c r="M295" s="448" t="s">
        <v>6921</v>
      </c>
      <c r="N295" s="448" t="s">
        <v>6922</v>
      </c>
    </row>
    <row r="296" spans="1:14" hidden="1">
      <c r="A296" s="2" t="s">
        <v>6923</v>
      </c>
      <c r="B296" s="447" t="str">
        <f t="shared" si="9"/>
        <v>Gender</v>
      </c>
      <c r="C296" s="2" t="s">
        <v>6924</v>
      </c>
      <c r="D296" s="442" t="s">
        <v>6925</v>
      </c>
      <c r="E296" s="442" t="s">
        <v>6924</v>
      </c>
      <c r="F296" s="442" t="s">
        <v>6926</v>
      </c>
      <c r="G296" s="449" t="s">
        <v>6927</v>
      </c>
      <c r="H296" s="449" t="s">
        <v>6928</v>
      </c>
      <c r="I296" s="2" t="s">
        <v>6929</v>
      </c>
      <c r="J296" s="448" t="s">
        <v>6930</v>
      </c>
      <c r="K296" s="448" t="s">
        <v>6931</v>
      </c>
      <c r="L296" s="448" t="s">
        <v>6932</v>
      </c>
      <c r="M296" s="448" t="s">
        <v>6933</v>
      </c>
      <c r="N296" s="448" t="s">
        <v>6932</v>
      </c>
    </row>
    <row r="297" spans="1:14" hidden="1">
      <c r="A297" s="2" t="s">
        <v>6934</v>
      </c>
      <c r="B297" s="447" t="str">
        <f t="shared" si="9"/>
        <v>Male</v>
      </c>
      <c r="C297" s="2" t="s">
        <v>6935</v>
      </c>
      <c r="D297" s="442" t="s">
        <v>6936</v>
      </c>
      <c r="E297" s="442" t="s">
        <v>6937</v>
      </c>
      <c r="F297" s="442" t="s">
        <v>6938</v>
      </c>
      <c r="G297" s="449" t="s">
        <v>6939</v>
      </c>
      <c r="H297" s="449" t="s">
        <v>6940</v>
      </c>
      <c r="I297" s="2" t="s">
        <v>6941</v>
      </c>
      <c r="J297" s="448" t="s">
        <v>6942</v>
      </c>
      <c r="K297" s="448" t="s">
        <v>6943</v>
      </c>
      <c r="L297" s="448" t="s">
        <v>6944</v>
      </c>
      <c r="M297" s="448" t="s">
        <v>6945</v>
      </c>
      <c r="N297" s="448" t="s">
        <v>6944</v>
      </c>
    </row>
    <row r="298" spans="1:14" hidden="1">
      <c r="A298" s="2" t="s">
        <v>6946</v>
      </c>
      <c r="B298" s="447" t="str">
        <f t="shared" si="9"/>
        <v>Female</v>
      </c>
      <c r="C298" s="2" t="s">
        <v>6947</v>
      </c>
      <c r="D298" s="442" t="s">
        <v>6948</v>
      </c>
      <c r="E298" s="442" t="s">
        <v>6949</v>
      </c>
      <c r="F298" s="442" t="s">
        <v>6950</v>
      </c>
      <c r="G298" s="449" t="s">
        <v>6951</v>
      </c>
      <c r="H298" s="449" t="s">
        <v>6952</v>
      </c>
      <c r="I298" s="2" t="s">
        <v>6953</v>
      </c>
      <c r="J298" s="448" t="s">
        <v>6954</v>
      </c>
      <c r="K298" s="448" t="s">
        <v>6955</v>
      </c>
      <c r="L298" s="448" t="s">
        <v>6956</v>
      </c>
      <c r="M298" s="448" t="s">
        <v>6957</v>
      </c>
      <c r="N298" s="448" t="s">
        <v>6958</v>
      </c>
    </row>
    <row r="299" spans="1:14" hidden="1">
      <c r="A299" s="2" t="s">
        <v>6959</v>
      </c>
      <c r="B299" s="447" t="str">
        <f t="shared" si="9"/>
        <v>Other</v>
      </c>
      <c r="C299" s="2" t="s">
        <v>461</v>
      </c>
      <c r="D299" s="442" t="s">
        <v>6960</v>
      </c>
      <c r="E299" s="442" t="s">
        <v>6961</v>
      </c>
      <c r="F299" s="442" t="s">
        <v>6962</v>
      </c>
      <c r="G299" s="449" t="s">
        <v>6963</v>
      </c>
      <c r="H299" s="449" t="s">
        <v>6964</v>
      </c>
      <c r="I299" s="2" t="s">
        <v>6965</v>
      </c>
      <c r="J299" s="448" t="s">
        <v>6966</v>
      </c>
      <c r="K299" s="448" t="s">
        <v>6967</v>
      </c>
      <c r="L299" s="448" t="s">
        <v>6968</v>
      </c>
      <c r="M299" s="448" t="s">
        <v>6969</v>
      </c>
      <c r="N299" s="448" t="s">
        <v>6970</v>
      </c>
    </row>
    <row r="300" spans="1:14" ht="15" hidden="1" thickBot="1">
      <c r="A300" s="454" t="s">
        <v>6971</v>
      </c>
      <c r="B300" s="451" t="str">
        <f t="shared" si="9"/>
        <v>Not reported</v>
      </c>
      <c r="C300" s="454" t="s">
        <v>6972</v>
      </c>
      <c r="D300" s="450" t="s">
        <v>6973</v>
      </c>
      <c r="E300" s="450" t="s">
        <v>6974</v>
      </c>
      <c r="F300" s="450" t="s">
        <v>6975</v>
      </c>
      <c r="G300" s="453" t="s">
        <v>6976</v>
      </c>
      <c r="H300" s="453" t="s">
        <v>6977</v>
      </c>
      <c r="I300" s="454" t="s">
        <v>6978</v>
      </c>
      <c r="J300" s="452" t="s">
        <v>6979</v>
      </c>
      <c r="K300" s="452" t="s">
        <v>6980</v>
      </c>
      <c r="L300" s="452" t="s">
        <v>6981</v>
      </c>
      <c r="M300" s="452" t="s">
        <v>6982</v>
      </c>
      <c r="N300" s="452" t="s">
        <v>6983</v>
      </c>
    </row>
    <row r="301" spans="1:14" ht="58.3" hidden="1">
      <c r="A301" s="2" t="s">
        <v>6984</v>
      </c>
      <c r="B301" s="447" t="str">
        <f t="shared" si="9"/>
        <v>B8 - Workforce - General characteristics - Country of employment</v>
      </c>
      <c r="C301" s="2" t="s">
        <v>6985</v>
      </c>
      <c r="D301" s="442" t="s">
        <v>6986</v>
      </c>
      <c r="E301" s="442" t="s">
        <v>6987</v>
      </c>
      <c r="F301" s="442" t="s">
        <v>6988</v>
      </c>
      <c r="G301" s="449" t="s">
        <v>6989</v>
      </c>
      <c r="H301" s="449" t="s">
        <v>6990</v>
      </c>
      <c r="I301" s="2" t="s">
        <v>6991</v>
      </c>
      <c r="J301" s="448" t="s">
        <v>6992</v>
      </c>
      <c r="K301" s="448" t="s">
        <v>6993</v>
      </c>
      <c r="L301" s="448" t="s">
        <v>6994</v>
      </c>
      <c r="M301" s="448" t="s">
        <v>6995</v>
      </c>
      <c r="N301" s="448" t="s">
        <v>6996</v>
      </c>
    </row>
    <row r="302" spans="1:14" ht="43.75" hidden="1">
      <c r="A302" s="2" t="s">
        <v>6997</v>
      </c>
      <c r="B302" s="447" t="str">
        <f t="shared" si="9"/>
        <v>Country of employment contract</v>
      </c>
      <c r="C302" s="2" t="s">
        <v>6998</v>
      </c>
      <c r="D302" s="442" t="s">
        <v>6999</v>
      </c>
      <c r="E302" s="442" t="s">
        <v>7000</v>
      </c>
      <c r="F302" s="442" t="s">
        <v>7001</v>
      </c>
      <c r="G302" s="449" t="s">
        <v>7002</v>
      </c>
      <c r="H302" s="449" t="s">
        <v>7003</v>
      </c>
      <c r="I302" s="2" t="s">
        <v>7004</v>
      </c>
      <c r="J302" s="448" t="s">
        <v>7005</v>
      </c>
      <c r="K302" s="448" t="s">
        <v>7006</v>
      </c>
      <c r="L302" s="448" t="s">
        <v>7007</v>
      </c>
      <c r="M302" s="448" t="s">
        <v>7008</v>
      </c>
      <c r="N302" s="448" t="s">
        <v>7009</v>
      </c>
    </row>
    <row r="303" spans="1:14" ht="29.6" hidden="1" thickBot="1">
      <c r="A303" s="454" t="s">
        <v>7010</v>
      </c>
      <c r="B303" s="451" t="str">
        <f t="shared" si="9"/>
        <v>Does the undertaking operate in more than one country?</v>
      </c>
      <c r="C303" s="454" t="s">
        <v>7011</v>
      </c>
      <c r="D303" s="450" t="s">
        <v>7012</v>
      </c>
      <c r="E303" s="450" t="s">
        <v>7013</v>
      </c>
      <c r="F303" s="450" t="s">
        <v>7014</v>
      </c>
      <c r="G303" s="453" t="s">
        <v>7015</v>
      </c>
      <c r="H303" s="453" t="s">
        <v>7016</v>
      </c>
      <c r="I303" s="454" t="s">
        <v>7017</v>
      </c>
      <c r="J303" s="452" t="s">
        <v>7018</v>
      </c>
      <c r="K303" s="452" t="s">
        <v>7019</v>
      </c>
      <c r="L303" s="452" t="s">
        <v>7020</v>
      </c>
      <c r="M303" s="452" t="s">
        <v>7021</v>
      </c>
      <c r="N303" s="452" t="s">
        <v>7022</v>
      </c>
    </row>
    <row r="304" spans="1:14" ht="43.75" hidden="1">
      <c r="A304" s="2" t="s">
        <v>7023</v>
      </c>
      <c r="B304" s="447" t="str">
        <f t="shared" si="9"/>
        <v>B9 - Workforce - Health and safety</v>
      </c>
      <c r="C304" s="2" t="s">
        <v>4272</v>
      </c>
      <c r="D304" s="442" t="s">
        <v>4273</v>
      </c>
      <c r="E304" s="442" t="s">
        <v>7024</v>
      </c>
      <c r="F304" s="442" t="s">
        <v>4275</v>
      </c>
      <c r="G304" s="449" t="s">
        <v>7025</v>
      </c>
      <c r="H304" s="449" t="s">
        <v>7026</v>
      </c>
      <c r="I304" s="2" t="s">
        <v>4278</v>
      </c>
      <c r="J304" s="448" t="s">
        <v>7027</v>
      </c>
      <c r="K304" s="448" t="s">
        <v>7028</v>
      </c>
      <c r="L304" s="448" t="s">
        <v>4281</v>
      </c>
      <c r="M304" s="448" t="s">
        <v>4282</v>
      </c>
      <c r="N304" s="448" t="s">
        <v>7029</v>
      </c>
    </row>
    <row r="305" spans="1:14" ht="29.15" hidden="1">
      <c r="A305" s="2" t="s">
        <v>7030</v>
      </c>
      <c r="B305" s="447" t="str">
        <f t="shared" si="9"/>
        <v>Number of recordable work-related accidents in the reporting period</v>
      </c>
      <c r="C305" s="2" t="s">
        <v>7031</v>
      </c>
      <c r="D305" s="442" t="s">
        <v>7032</v>
      </c>
      <c r="E305" s="442" t="s">
        <v>7033</v>
      </c>
      <c r="F305" s="442" t="s">
        <v>7034</v>
      </c>
      <c r="G305" s="449" t="s">
        <v>7035</v>
      </c>
      <c r="H305" s="449" t="s">
        <v>7036</v>
      </c>
      <c r="I305" s="2" t="s">
        <v>7037</v>
      </c>
      <c r="J305" s="448" t="s">
        <v>7038</v>
      </c>
      <c r="K305" s="448" t="s">
        <v>7039</v>
      </c>
      <c r="L305" s="448" t="s">
        <v>7040</v>
      </c>
      <c r="M305" s="448" t="s">
        <v>7041</v>
      </c>
      <c r="N305" s="448" t="s">
        <v>7042</v>
      </c>
    </row>
    <row r="306" spans="1:14" ht="29.15" hidden="1">
      <c r="A306" s="2" t="s">
        <v>7043</v>
      </c>
      <c r="B306" s="447" t="str">
        <f t="shared" si="9"/>
        <v>Number of hours worked by  one full-time employee in the reporting period</v>
      </c>
      <c r="C306" s="2" t="s">
        <v>7044</v>
      </c>
      <c r="D306" s="442" t="s">
        <v>7045</v>
      </c>
      <c r="E306" s="442" t="s">
        <v>7046</v>
      </c>
      <c r="F306" s="442" t="s">
        <v>7047</v>
      </c>
      <c r="G306" s="449" t="s">
        <v>7048</v>
      </c>
      <c r="H306" s="449" t="s">
        <v>7049</v>
      </c>
      <c r="I306" s="2" t="s">
        <v>7050</v>
      </c>
      <c r="J306" s="448" t="s">
        <v>7051</v>
      </c>
      <c r="K306" s="448" t="s">
        <v>7052</v>
      </c>
      <c r="L306" s="448" t="s">
        <v>7053</v>
      </c>
      <c r="M306" s="448" t="s">
        <v>7054</v>
      </c>
      <c r="N306" s="448" t="s">
        <v>7055</v>
      </c>
    </row>
    <row r="307" spans="1:14" ht="29.15" hidden="1">
      <c r="A307" s="2" t="s">
        <v>7056</v>
      </c>
      <c r="B307" s="447" t="str">
        <f t="shared" si="9"/>
        <v>Total number of hours worked in a year by all employees in the reporting period</v>
      </c>
      <c r="C307" s="2" t="s">
        <v>7057</v>
      </c>
      <c r="D307" s="442" t="s">
        <v>7058</v>
      </c>
      <c r="E307" s="442" t="s">
        <v>7059</v>
      </c>
      <c r="F307" s="442" t="s">
        <v>7060</v>
      </c>
      <c r="G307" s="449" t="s">
        <v>7061</v>
      </c>
      <c r="H307" s="449" t="s">
        <v>7062</v>
      </c>
      <c r="I307" s="2" t="s">
        <v>7063</v>
      </c>
      <c r="J307" s="448" t="s">
        <v>7064</v>
      </c>
      <c r="K307" s="448" t="s">
        <v>7065</v>
      </c>
      <c r="L307" s="448" t="s">
        <v>7066</v>
      </c>
      <c r="M307" s="448" t="s">
        <v>7067</v>
      </c>
      <c r="N307" s="448" t="s">
        <v>7068</v>
      </c>
    </row>
    <row r="308" spans="1:14" s="511" customFormat="1" ht="29.15" hidden="1">
      <c r="A308" s="558" t="s">
        <v>7069</v>
      </c>
      <c r="B308" s="559" t="str">
        <f t="shared" si="9"/>
        <v xml:space="preserve">Select whether the rate is per 100 or 500  full-time workers over a yearly time frame </v>
      </c>
      <c r="C308" s="558" t="s">
        <v>7070</v>
      </c>
      <c r="D308" s="547" t="s">
        <v>7071</v>
      </c>
      <c r="E308" s="547" t="s">
        <v>7072</v>
      </c>
      <c r="F308" s="547" t="s">
        <v>7073</v>
      </c>
      <c r="G308" s="547" t="s">
        <v>7074</v>
      </c>
      <c r="H308" s="547" t="s">
        <v>7075</v>
      </c>
      <c r="I308" s="547" t="s">
        <v>7076</v>
      </c>
      <c r="J308" s="547" t="s">
        <v>7077</v>
      </c>
      <c r="K308" s="547" t="s">
        <v>7078</v>
      </c>
      <c r="L308" s="547" t="s">
        <v>7079</v>
      </c>
      <c r="M308" s="547" t="s">
        <v>7080</v>
      </c>
      <c r="N308" s="547" t="s">
        <v>7081</v>
      </c>
    </row>
    <row r="309" spans="1:14" s="571" customFormat="1" ht="29.15" hidden="1">
      <c r="A309" s="561" t="s">
        <v>7082</v>
      </c>
      <c r="B309" s="559" t="str">
        <f t="shared" si="9"/>
        <v>Rate per 100 or 500 full-time workers over a yearly timeframe</v>
      </c>
      <c r="C309" s="561" t="s">
        <v>7083</v>
      </c>
      <c r="D309" s="547" t="s">
        <v>7084</v>
      </c>
      <c r="E309" s="547" t="s">
        <v>7085</v>
      </c>
      <c r="F309" s="547" t="s">
        <v>7086</v>
      </c>
      <c r="G309" s="547" t="s">
        <v>7087</v>
      </c>
      <c r="H309" s="547" t="s">
        <v>7088</v>
      </c>
      <c r="I309" s="547" t="s">
        <v>7089</v>
      </c>
      <c r="J309" s="547" t="s">
        <v>7090</v>
      </c>
      <c r="K309" s="547" t="s">
        <v>7091</v>
      </c>
      <c r="L309" s="547" t="s">
        <v>7092</v>
      </c>
      <c r="M309" s="547" t="s">
        <v>7093</v>
      </c>
      <c r="N309" s="547" t="s">
        <v>7094</v>
      </c>
    </row>
    <row r="310" spans="1:14" ht="58.3" hidden="1">
      <c r="A310" s="2" t="s">
        <v>7095</v>
      </c>
      <c r="B310" s="447" t="str">
        <f t="shared" si="9"/>
        <v>Rate of recordable work-related accidents in the reporting period</v>
      </c>
      <c r="C310" s="2" t="s">
        <v>7096</v>
      </c>
      <c r="D310" s="442" t="s">
        <v>7097</v>
      </c>
      <c r="E310" s="442" t="s">
        <v>7098</v>
      </c>
      <c r="F310" s="442" t="s">
        <v>7099</v>
      </c>
      <c r="G310" s="449" t="s">
        <v>7100</v>
      </c>
      <c r="H310" s="449" t="s">
        <v>7101</v>
      </c>
      <c r="I310" s="2" t="s">
        <v>7102</v>
      </c>
      <c r="J310" s="448" t="s">
        <v>7103</v>
      </c>
      <c r="K310" s="448" t="s">
        <v>7104</v>
      </c>
      <c r="L310" s="448" t="s">
        <v>7105</v>
      </c>
      <c r="M310" s="448" t="s">
        <v>7106</v>
      </c>
      <c r="N310" s="448" t="s">
        <v>7107</v>
      </c>
    </row>
    <row r="311" spans="1:14" s="511" customFormat="1" ht="44.15" hidden="1" thickBot="1">
      <c r="A311" s="565" t="s">
        <v>7108</v>
      </c>
      <c r="B311" s="566" t="str">
        <f t="shared" si="9"/>
        <v>Subject to legal restrictions, the sum of the fatalities as a result of recordable work-related accidents  and recordable work-related ill health</v>
      </c>
      <c r="C311" s="565" t="s">
        <v>7109</v>
      </c>
      <c r="D311" s="567" t="s">
        <v>7110</v>
      </c>
      <c r="E311" s="567" t="s">
        <v>7111</v>
      </c>
      <c r="F311" s="567" t="s">
        <v>7112</v>
      </c>
      <c r="G311" s="568" t="s">
        <v>7113</v>
      </c>
      <c r="H311" s="568" t="s">
        <v>7114</v>
      </c>
      <c r="I311" s="565" t="s">
        <v>7115</v>
      </c>
      <c r="J311" s="569" t="s">
        <v>7116</v>
      </c>
      <c r="K311" s="569" t="s">
        <v>7117</v>
      </c>
      <c r="L311" s="569" t="s">
        <v>7118</v>
      </c>
      <c r="M311" s="569" t="s">
        <v>7119</v>
      </c>
      <c r="N311" s="569" t="s">
        <v>7120</v>
      </c>
    </row>
    <row r="312" spans="1:14" s="96" customFormat="1" ht="43.75" hidden="1">
      <c r="A312" s="312" t="s">
        <v>7121</v>
      </c>
      <c r="B312" s="447" t="str">
        <f t="shared" si="9"/>
        <v>B10 - Workforce - Remuneration and collective bargaining</v>
      </c>
      <c r="C312" s="312" t="s">
        <v>7122</v>
      </c>
      <c r="D312" s="442" t="s">
        <v>7123</v>
      </c>
      <c r="E312" s="442" t="s">
        <v>7124</v>
      </c>
      <c r="F312" s="442" t="s">
        <v>7125</v>
      </c>
      <c r="G312" s="572" t="s">
        <v>7126</v>
      </c>
      <c r="H312" s="572" t="s">
        <v>7127</v>
      </c>
      <c r="I312" s="312" t="s">
        <v>7128</v>
      </c>
      <c r="J312" s="442" t="s">
        <v>7129</v>
      </c>
      <c r="K312" s="442" t="s">
        <v>7130</v>
      </c>
      <c r="L312" s="442" t="s">
        <v>7131</v>
      </c>
      <c r="M312" s="442" t="s">
        <v>7132</v>
      </c>
      <c r="N312" s="442" t="s">
        <v>7133</v>
      </c>
    </row>
    <row r="313" spans="1:14" ht="102" hidden="1">
      <c r="A313" s="2" t="s">
        <v>7134</v>
      </c>
      <c r="B313" s="447" t="str">
        <f t="shared" si="9"/>
        <v>Employees receive pay that is equal or above applicable minimum wage determined directly by the national minimum wage law or through a collective bargaining agreement</v>
      </c>
      <c r="C313" s="2" t="s">
        <v>7135</v>
      </c>
      <c r="D313" s="442" t="s">
        <v>7136</v>
      </c>
      <c r="E313" s="442" t="s">
        <v>7137</v>
      </c>
      <c r="F313" s="442" t="s">
        <v>7138</v>
      </c>
      <c r="G313" s="449" t="s">
        <v>7139</v>
      </c>
      <c r="H313" s="449" t="s">
        <v>7140</v>
      </c>
      <c r="I313" s="2" t="s">
        <v>7141</v>
      </c>
      <c r="J313" s="448" t="s">
        <v>7142</v>
      </c>
      <c r="K313" s="448" t="s">
        <v>7143</v>
      </c>
      <c r="L313" s="448" t="s">
        <v>7144</v>
      </c>
      <c r="M313" s="448" t="s">
        <v>7145</v>
      </c>
      <c r="N313" s="448" t="s">
        <v>7146</v>
      </c>
    </row>
    <row r="314" spans="1:14" s="511" customFormat="1" ht="58.3" hidden="1">
      <c r="A314" s="558" t="s">
        <v>7147</v>
      </c>
      <c r="B314" s="559" t="str">
        <f t="shared" si="9"/>
        <v>Is the undertaking is already required by EU law or other national regulations to report the percentage gap in pay between its female and male employees ?</v>
      </c>
      <c r="C314" s="558" t="s">
        <v>7148</v>
      </c>
      <c r="D314" s="547" t="s">
        <v>7149</v>
      </c>
      <c r="E314" s="547" t="s">
        <v>7150</v>
      </c>
      <c r="F314" s="547" t="s">
        <v>7151</v>
      </c>
      <c r="G314" s="547" t="s">
        <v>7152</v>
      </c>
      <c r="H314" s="547" t="s">
        <v>7153</v>
      </c>
      <c r="I314" s="547" t="s">
        <v>7154</v>
      </c>
      <c r="J314" s="547" t="s">
        <v>7155</v>
      </c>
      <c r="K314" s="547" t="s">
        <v>7156</v>
      </c>
      <c r="L314" s="547" t="s">
        <v>7157</v>
      </c>
      <c r="M314" s="547" t="s">
        <v>7158</v>
      </c>
      <c r="N314" s="547" t="s">
        <v>7159</v>
      </c>
    </row>
    <row r="315" spans="1:14" ht="29.15" hidden="1">
      <c r="A315" s="2" t="s">
        <v>7160</v>
      </c>
      <c r="B315" s="447" t="str">
        <f t="shared" si="9"/>
        <v>Average gross hourly pay level of male employees</v>
      </c>
      <c r="C315" s="2" t="s">
        <v>7161</v>
      </c>
      <c r="D315" s="442" t="s">
        <v>7162</v>
      </c>
      <c r="E315" s="442" t="s">
        <v>7163</v>
      </c>
      <c r="F315" s="442" t="s">
        <v>7164</v>
      </c>
      <c r="G315" s="449" t="s">
        <v>7165</v>
      </c>
      <c r="H315" s="449" t="s">
        <v>7166</v>
      </c>
      <c r="I315" s="2" t="s">
        <v>7167</v>
      </c>
      <c r="J315" s="448" t="s">
        <v>7168</v>
      </c>
      <c r="K315" s="448" t="s">
        <v>7169</v>
      </c>
      <c r="L315" s="448" t="s">
        <v>7170</v>
      </c>
      <c r="M315" s="448" t="s">
        <v>7171</v>
      </c>
      <c r="N315" s="448" t="s">
        <v>7172</v>
      </c>
    </row>
    <row r="316" spans="1:14" ht="29.15" hidden="1">
      <c r="A316" s="2" t="s">
        <v>7173</v>
      </c>
      <c r="B316" s="447" t="str">
        <f t="shared" si="9"/>
        <v>Average gross hourly pay level of female employees</v>
      </c>
      <c r="C316" s="2" t="s">
        <v>7174</v>
      </c>
      <c r="D316" s="442" t="s">
        <v>7175</v>
      </c>
      <c r="E316" s="442" t="s">
        <v>7176</v>
      </c>
      <c r="F316" s="442" t="s">
        <v>7177</v>
      </c>
      <c r="G316" s="449" t="s">
        <v>7178</v>
      </c>
      <c r="H316" s="449" t="s">
        <v>7179</v>
      </c>
      <c r="I316" s="2" t="s">
        <v>7180</v>
      </c>
      <c r="J316" s="448" t="s">
        <v>7181</v>
      </c>
      <c r="K316" s="448" t="s">
        <v>7182</v>
      </c>
      <c r="L316" s="448" t="s">
        <v>7183</v>
      </c>
      <c r="M316" s="448" t="s">
        <v>7184</v>
      </c>
      <c r="N316" s="448" t="s">
        <v>7185</v>
      </c>
    </row>
    <row r="317" spans="1:14" ht="72.900000000000006" hidden="1">
      <c r="A317" s="2" t="s">
        <v>7186</v>
      </c>
      <c r="B317" s="447" t="str">
        <f t="shared" si="9"/>
        <v>Percentage gap in pay between the  undertaking's female and male employees [%]</v>
      </c>
      <c r="C317" s="2" t="s">
        <v>7187</v>
      </c>
      <c r="D317" s="442" t="s">
        <v>7188</v>
      </c>
      <c r="E317" s="442" t="s">
        <v>7189</v>
      </c>
      <c r="F317" s="442" t="s">
        <v>7190</v>
      </c>
      <c r="G317" s="449" t="s">
        <v>7191</v>
      </c>
      <c r="H317" s="449" t="s">
        <v>7192</v>
      </c>
      <c r="I317" s="2" t="s">
        <v>7193</v>
      </c>
      <c r="J317" s="448" t="s">
        <v>7194</v>
      </c>
      <c r="K317" s="448" t="s">
        <v>7195</v>
      </c>
      <c r="L317" s="448" t="s">
        <v>7196</v>
      </c>
      <c r="M317" s="448" t="s">
        <v>7197</v>
      </c>
      <c r="N317" s="448" t="s">
        <v>7198</v>
      </c>
    </row>
    <row r="318" spans="1:14" s="511" customFormat="1" ht="29.15" hidden="1">
      <c r="A318" s="558" t="s">
        <v>7199</v>
      </c>
      <c r="B318" s="559" t="str">
        <f t="shared" si="9"/>
        <v>Number of employees covered by collective bargaining agreements (in headcount)</v>
      </c>
      <c r="C318" s="558" t="s">
        <v>7200</v>
      </c>
      <c r="D318" s="547" t="s">
        <v>7201</v>
      </c>
      <c r="E318" s="547" t="s">
        <v>7202</v>
      </c>
      <c r="F318" s="547" t="s">
        <v>7203</v>
      </c>
      <c r="G318" s="560" t="s">
        <v>7204</v>
      </c>
      <c r="H318" s="560" t="s">
        <v>7205</v>
      </c>
      <c r="I318" s="558" t="s">
        <v>7206</v>
      </c>
      <c r="J318" s="550" t="s">
        <v>7207</v>
      </c>
      <c r="K318" s="550" t="s">
        <v>7208</v>
      </c>
      <c r="L318" s="550" t="s">
        <v>7209</v>
      </c>
      <c r="M318" s="550" t="s">
        <v>7210</v>
      </c>
      <c r="N318" s="550" t="s">
        <v>7211</v>
      </c>
    </row>
    <row r="319" spans="1:14" ht="29.6" hidden="1" thickBot="1">
      <c r="A319" s="454" t="s">
        <v>7212</v>
      </c>
      <c r="B319" s="451" t="str">
        <f t="shared" si="9"/>
        <v>Percentage of employees covered by collective bargaining agreements [%]</v>
      </c>
      <c r="C319" s="454" t="s">
        <v>7213</v>
      </c>
      <c r="D319" s="450" t="s">
        <v>7214</v>
      </c>
      <c r="E319" s="450" t="s">
        <v>7215</v>
      </c>
      <c r="F319" s="450" t="s">
        <v>7216</v>
      </c>
      <c r="G319" s="453" t="s">
        <v>7217</v>
      </c>
      <c r="H319" s="453" t="s">
        <v>7218</v>
      </c>
      <c r="I319" s="454" t="s">
        <v>7219</v>
      </c>
      <c r="J319" s="452" t="s">
        <v>7220</v>
      </c>
      <c r="K319" s="452" t="s">
        <v>7221</v>
      </c>
      <c r="L319" s="452" t="s">
        <v>7222</v>
      </c>
      <c r="M319" s="452" t="s">
        <v>7223</v>
      </c>
      <c r="N319" s="452" t="s">
        <v>7224</v>
      </c>
    </row>
    <row r="320" spans="1:14" ht="58.3" hidden="1">
      <c r="A320" s="2" t="s">
        <v>7225</v>
      </c>
      <c r="B320" s="447" t="str">
        <f t="shared" si="9"/>
        <v>B10 - Workforce - Number of annual training hours per employee during the reporting period</v>
      </c>
      <c r="C320" s="2" t="s">
        <v>7226</v>
      </c>
      <c r="D320" s="442" t="s">
        <v>7227</v>
      </c>
      <c r="E320" s="442" t="s">
        <v>7228</v>
      </c>
      <c r="F320" s="442" t="s">
        <v>7229</v>
      </c>
      <c r="G320" s="449" t="s">
        <v>7230</v>
      </c>
      <c r="H320" s="449" t="s">
        <v>7231</v>
      </c>
      <c r="I320" s="2" t="s">
        <v>7232</v>
      </c>
      <c r="J320" s="448" t="s">
        <v>7233</v>
      </c>
      <c r="K320" s="448" t="s">
        <v>7234</v>
      </c>
      <c r="L320" s="448" t="s">
        <v>7235</v>
      </c>
      <c r="M320" s="448" t="s">
        <v>7236</v>
      </c>
      <c r="N320" s="448" t="s">
        <v>7237</v>
      </c>
    </row>
    <row r="321" spans="1:14" s="511" customFormat="1" ht="29.15" hidden="1">
      <c r="A321" s="558" t="s">
        <v>7238</v>
      </c>
      <c r="B321" s="559" t="str">
        <f t="shared" si="9"/>
        <v>Total number of training hours offered to and completed by employees</v>
      </c>
      <c r="C321" s="558" t="s">
        <v>7239</v>
      </c>
      <c r="D321" s="547" t="s">
        <v>7240</v>
      </c>
      <c r="E321" s="547" t="s">
        <v>7241</v>
      </c>
      <c r="F321" s="547" t="s">
        <v>7242</v>
      </c>
      <c r="G321" s="547" t="s">
        <v>7243</v>
      </c>
      <c r="H321" s="547" t="s">
        <v>7244</v>
      </c>
      <c r="I321" s="547" t="s">
        <v>7245</v>
      </c>
      <c r="J321" s="547" t="s">
        <v>7246</v>
      </c>
      <c r="K321" s="547" t="s">
        <v>7247</v>
      </c>
      <c r="L321" s="547" t="s">
        <v>7248</v>
      </c>
      <c r="M321" s="547" t="s">
        <v>7249</v>
      </c>
      <c r="N321" s="547" t="s">
        <v>7250</v>
      </c>
    </row>
    <row r="322" spans="1:14" s="511" customFormat="1" hidden="1">
      <c r="A322" s="558" t="s">
        <v>7251</v>
      </c>
      <c r="B322" s="559" t="str">
        <f t="shared" si="9"/>
        <v>Total number of employees in headcount</v>
      </c>
      <c r="C322" s="558" t="s">
        <v>7252</v>
      </c>
      <c r="D322" s="547" t="s">
        <v>7253</v>
      </c>
      <c r="E322" s="547" t="s">
        <v>7254</v>
      </c>
      <c r="F322" s="547" t="s">
        <v>7255</v>
      </c>
      <c r="G322" s="547" t="s">
        <v>7256</v>
      </c>
      <c r="H322" s="547" t="s">
        <v>7257</v>
      </c>
      <c r="I322" s="547" t="s">
        <v>7258</v>
      </c>
      <c r="J322" s="547" t="s">
        <v>7259</v>
      </c>
      <c r="K322" s="547" t="s">
        <v>7260</v>
      </c>
      <c r="L322" s="547" t="s">
        <v>7261</v>
      </c>
      <c r="M322" s="547" t="s">
        <v>7262</v>
      </c>
      <c r="N322" s="547" t="s">
        <v>7263</v>
      </c>
    </row>
    <row r="323" spans="1:14" ht="29.6" hidden="1" thickBot="1">
      <c r="A323" s="454" t="s">
        <v>7264</v>
      </c>
      <c r="B323" s="451" t="str">
        <f t="shared" si="9"/>
        <v>Average number of annual training hours per employee</v>
      </c>
      <c r="C323" s="454" t="s">
        <v>7265</v>
      </c>
      <c r="D323" s="450" t="s">
        <v>7266</v>
      </c>
      <c r="E323" s="450" t="s">
        <v>7267</v>
      </c>
      <c r="F323" s="450" t="s">
        <v>7268</v>
      </c>
      <c r="G323" s="453" t="s">
        <v>7269</v>
      </c>
      <c r="H323" s="453" t="s">
        <v>7270</v>
      </c>
      <c r="I323" s="454" t="s">
        <v>7271</v>
      </c>
      <c r="J323" s="452" t="s">
        <v>7272</v>
      </c>
      <c r="K323" s="452" t="s">
        <v>7273</v>
      </c>
      <c r="L323" s="452" t="s">
        <v>7274</v>
      </c>
      <c r="M323" s="452" t="s">
        <v>7275</v>
      </c>
      <c r="N323" s="452" t="s">
        <v>7276</v>
      </c>
    </row>
    <row r="324" spans="1:14" ht="29.15" hidden="1">
      <c r="A324" s="2" t="s">
        <v>7277</v>
      </c>
      <c r="B324" s="447" t="str">
        <f t="shared" si="9"/>
        <v>C5 - Additional (general) workforce characteristics</v>
      </c>
      <c r="C324" s="2" t="s">
        <v>4381</v>
      </c>
      <c r="D324" s="442" t="s">
        <v>7278</v>
      </c>
      <c r="E324" s="442" t="s">
        <v>7279</v>
      </c>
      <c r="F324" s="442" t="s">
        <v>4384</v>
      </c>
      <c r="G324" s="449" t="s">
        <v>7280</v>
      </c>
      <c r="H324" s="449" t="s">
        <v>7281</v>
      </c>
      <c r="I324" s="2" t="s">
        <v>4387</v>
      </c>
      <c r="J324" s="448" t="s">
        <v>7282</v>
      </c>
      <c r="K324" s="448" t="s">
        <v>4389</v>
      </c>
      <c r="L324" s="448" t="s">
        <v>7283</v>
      </c>
      <c r="M324" s="448" t="s">
        <v>7284</v>
      </c>
      <c r="N324" s="448" t="s">
        <v>4392</v>
      </c>
    </row>
    <row r="325" spans="1:14" s="511" customFormat="1" ht="58.3" hidden="1">
      <c r="A325" s="558" t="s">
        <v>7285</v>
      </c>
      <c r="B325" s="559" t="str">
        <f>INDEX(C325:N325,MATCH(template_selected_display_language,$C$3:$N$3,0))</f>
        <v>Number of employees who left during the reporting period (in headcount)</v>
      </c>
      <c r="C325" s="558" t="s">
        <v>7286</v>
      </c>
      <c r="D325" s="547" t="s">
        <v>7287</v>
      </c>
      <c r="E325" s="547" t="s">
        <v>7288</v>
      </c>
      <c r="F325" s="547" t="s">
        <v>7289</v>
      </c>
      <c r="G325" s="560" t="s">
        <v>7290</v>
      </c>
      <c r="H325" s="560" t="s">
        <v>7291</v>
      </c>
      <c r="I325" s="558" t="s">
        <v>7292</v>
      </c>
      <c r="J325" s="550" t="s">
        <v>7293</v>
      </c>
      <c r="K325" s="550" t="s">
        <v>7294</v>
      </c>
      <c r="L325" s="550" t="s">
        <v>7295</v>
      </c>
      <c r="M325" s="550" t="s">
        <v>7296</v>
      </c>
      <c r="N325" s="550" t="s">
        <v>7297</v>
      </c>
    </row>
    <row r="326" spans="1:14" s="511" customFormat="1" ht="29.15" hidden="1">
      <c r="A326" s="558" t="s">
        <v>7298</v>
      </c>
      <c r="B326" s="559" t="str">
        <f>INDEX(C326:N326,MATCH(template_selected_display_language,$C$3:$N$3,0))</f>
        <v>Number of employees at the beginning of the reporting period (in headcount)</v>
      </c>
      <c r="C326" s="558" t="s">
        <v>7299</v>
      </c>
      <c r="D326" s="547" t="s">
        <v>7300</v>
      </c>
      <c r="E326" s="547" t="s">
        <v>7301</v>
      </c>
      <c r="F326" s="547" t="s">
        <v>7302</v>
      </c>
      <c r="G326" s="560" t="s">
        <v>7303</v>
      </c>
      <c r="H326" s="560" t="s">
        <v>7304</v>
      </c>
      <c r="I326" s="558" t="s">
        <v>7305</v>
      </c>
      <c r="J326" s="550" t="s">
        <v>7306</v>
      </c>
      <c r="K326" s="550" t="s">
        <v>7307</v>
      </c>
      <c r="L326" s="550" t="s">
        <v>7308</v>
      </c>
      <c r="M326" s="550" t="s">
        <v>7309</v>
      </c>
      <c r="N326" s="550" t="s">
        <v>7310</v>
      </c>
    </row>
    <row r="327" spans="1:14" s="511" customFormat="1" ht="29.15" hidden="1">
      <c r="A327" s="558" t="s">
        <v>7311</v>
      </c>
      <c r="B327" s="559" t="str">
        <f>INDEX(C327:N327,MATCH(template_selected_display_language,$C$3:$N$3,0))</f>
        <v>Number of employees at the end of the reporting period (in headcount)</v>
      </c>
      <c r="C327" s="558" t="s">
        <v>7312</v>
      </c>
      <c r="D327" s="547" t="s">
        <v>7313</v>
      </c>
      <c r="E327" s="547" t="s">
        <v>7314</v>
      </c>
      <c r="F327" s="547" t="s">
        <v>7315</v>
      </c>
      <c r="G327" s="560" t="s">
        <v>7316</v>
      </c>
      <c r="H327" s="560" t="s">
        <v>7317</v>
      </c>
      <c r="I327" s="558" t="s">
        <v>7318</v>
      </c>
      <c r="J327" s="550" t="s">
        <v>7319</v>
      </c>
      <c r="K327" s="550" t="s">
        <v>7320</v>
      </c>
      <c r="L327" s="550" t="s">
        <v>7321</v>
      </c>
      <c r="M327" s="550" t="s">
        <v>7322</v>
      </c>
      <c r="N327" s="550" t="s">
        <v>7323</v>
      </c>
    </row>
    <row r="328" spans="1:14" ht="58.75" hidden="1" thickBot="1">
      <c r="A328" s="454" t="s">
        <v>7324</v>
      </c>
      <c r="B328" s="451" t="str">
        <f>INDEX(C328:N328,MATCH(template_selected_display_language,$C$3:$N$3,0))</f>
        <v>Employee turnover rate [%]  in the reporting period</v>
      </c>
      <c r="C328" s="454" t="s">
        <v>7325</v>
      </c>
      <c r="D328" s="450" t="s">
        <v>7326</v>
      </c>
      <c r="E328" s="450" t="s">
        <v>7327</v>
      </c>
      <c r="F328" s="450" t="s">
        <v>7328</v>
      </c>
      <c r="G328" s="453" t="s">
        <v>7329</v>
      </c>
      <c r="H328" s="453" t="s">
        <v>7330</v>
      </c>
      <c r="I328" s="454" t="s">
        <v>7331</v>
      </c>
      <c r="J328" s="452" t="s">
        <v>7332</v>
      </c>
      <c r="K328" s="452" t="s">
        <v>7333</v>
      </c>
      <c r="L328" s="452" t="s">
        <v>7334</v>
      </c>
      <c r="M328" s="452" t="s">
        <v>7335</v>
      </c>
      <c r="N328" s="452" t="s">
        <v>7336</v>
      </c>
    </row>
    <row r="329" spans="1:14" ht="29.15" hidden="1">
      <c r="A329" s="2" t="s">
        <v>7337</v>
      </c>
      <c r="B329" s="447" t="str">
        <f t="shared" si="9"/>
        <v>Number of male employees at management level</v>
      </c>
      <c r="C329" s="2" t="s">
        <v>7338</v>
      </c>
      <c r="D329" s="442" t="s">
        <v>7339</v>
      </c>
      <c r="E329" s="442" t="s">
        <v>7340</v>
      </c>
      <c r="F329" s="442" t="s">
        <v>7341</v>
      </c>
      <c r="G329" s="449" t="s">
        <v>7342</v>
      </c>
      <c r="H329" s="449" t="s">
        <v>7343</v>
      </c>
      <c r="I329" s="2" t="s">
        <v>7344</v>
      </c>
      <c r="J329" s="448" t="s">
        <v>7345</v>
      </c>
      <c r="K329" s="448" t="s">
        <v>7346</v>
      </c>
      <c r="L329" s="448" t="s">
        <v>7347</v>
      </c>
      <c r="M329" s="448" t="s">
        <v>7348</v>
      </c>
      <c r="N329" s="448" t="s">
        <v>7349</v>
      </c>
    </row>
    <row r="330" spans="1:14" ht="29.15" hidden="1">
      <c r="A330" s="2" t="s">
        <v>7350</v>
      </c>
      <c r="B330" s="447" t="str">
        <f t="shared" si="9"/>
        <v>Number of female employees at management level</v>
      </c>
      <c r="C330" s="2" t="s">
        <v>7351</v>
      </c>
      <c r="D330" s="442" t="s">
        <v>7352</v>
      </c>
      <c r="E330" s="442" t="s">
        <v>7353</v>
      </c>
      <c r="F330" s="442" t="s">
        <v>7354</v>
      </c>
      <c r="G330" s="449" t="s">
        <v>7355</v>
      </c>
      <c r="H330" s="449" t="s">
        <v>7356</v>
      </c>
      <c r="I330" s="2" t="s">
        <v>7357</v>
      </c>
      <c r="J330" s="448" t="s">
        <v>7358</v>
      </c>
      <c r="K330" s="448" t="s">
        <v>7359</v>
      </c>
      <c r="L330" s="448" t="s">
        <v>7360</v>
      </c>
      <c r="M330" s="448" t="s">
        <v>7361</v>
      </c>
      <c r="N330" s="448" t="s">
        <v>7362</v>
      </c>
    </row>
    <row r="331" spans="1:14" ht="29.15" hidden="1">
      <c r="A331" s="2" t="s">
        <v>7363</v>
      </c>
      <c r="B331" s="447" t="str">
        <f t="shared" si="9"/>
        <v>Female-to-male ratio at management level for the reporting period</v>
      </c>
      <c r="C331" s="2" t="s">
        <v>7364</v>
      </c>
      <c r="D331" s="442" t="s">
        <v>7365</v>
      </c>
      <c r="E331" s="442" t="s">
        <v>7366</v>
      </c>
      <c r="F331" s="442" t="s">
        <v>7367</v>
      </c>
      <c r="G331" s="449" t="s">
        <v>7368</v>
      </c>
      <c r="H331" s="449" t="s">
        <v>7369</v>
      </c>
      <c r="I331" s="2" t="s">
        <v>7370</v>
      </c>
      <c r="J331" s="448" t="s">
        <v>7371</v>
      </c>
      <c r="K331" s="448" t="s">
        <v>7372</v>
      </c>
      <c r="L331" s="448" t="s">
        <v>7373</v>
      </c>
      <c r="M331" s="448" t="s">
        <v>7374</v>
      </c>
      <c r="N331" s="448" t="s">
        <v>7375</v>
      </c>
    </row>
    <row r="332" spans="1:14" ht="29.15" hidden="1">
      <c r="A332" s="2" t="s">
        <v>7376</v>
      </c>
      <c r="B332" s="447" t="str">
        <f t="shared" si="9"/>
        <v>Total self-employed workers without personnel that are working exclusively for the undertaking</v>
      </c>
      <c r="C332" s="2" t="s">
        <v>7377</v>
      </c>
      <c r="D332" s="442" t="s">
        <v>7378</v>
      </c>
      <c r="E332" s="442" t="s">
        <v>7379</v>
      </c>
      <c r="F332" s="442" t="s">
        <v>7380</v>
      </c>
      <c r="G332" s="449" t="s">
        <v>7381</v>
      </c>
      <c r="H332" s="449" t="s">
        <v>7382</v>
      </c>
      <c r="I332" s="2" t="s">
        <v>7383</v>
      </c>
      <c r="J332" s="448" t="s">
        <v>7384</v>
      </c>
      <c r="K332" s="448" t="s">
        <v>7385</v>
      </c>
      <c r="L332" s="448" t="s">
        <v>7386</v>
      </c>
      <c r="M332" s="448" t="s">
        <v>7387</v>
      </c>
      <c r="N332" s="448" t="s">
        <v>7388</v>
      </c>
    </row>
    <row r="333" spans="1:14" ht="44.15" hidden="1" thickBot="1">
      <c r="A333" s="454" t="s">
        <v>7389</v>
      </c>
      <c r="B333" s="451" t="str">
        <f t="shared" si="9"/>
        <v>Total temporary workers provided by undertakings primarily engaged in employment activities</v>
      </c>
      <c r="C333" s="454" t="s">
        <v>7390</v>
      </c>
      <c r="D333" s="450" t="s">
        <v>7391</v>
      </c>
      <c r="E333" s="450" t="s">
        <v>7392</v>
      </c>
      <c r="F333" s="450" t="s">
        <v>7393</v>
      </c>
      <c r="G333" s="453" t="s">
        <v>7394</v>
      </c>
      <c r="H333" s="453" t="s">
        <v>7395</v>
      </c>
      <c r="I333" s="454" t="s">
        <v>7396</v>
      </c>
      <c r="J333" s="452" t="s">
        <v>7397</v>
      </c>
      <c r="K333" s="452" t="s">
        <v>7398</v>
      </c>
      <c r="L333" s="452" t="s">
        <v>7399</v>
      </c>
      <c r="M333" s="452" t="s">
        <v>7400</v>
      </c>
      <c r="N333" s="452" t="s">
        <v>7401</v>
      </c>
    </row>
    <row r="334" spans="1:14" ht="43.75" hidden="1">
      <c r="A334" s="2" t="s">
        <v>7402</v>
      </c>
      <c r="B334" s="447" t="str">
        <f t="shared" si="9"/>
        <v>C6 - Additional own workforce information - Human rights policies and processes</v>
      </c>
      <c r="C334" s="2" t="s">
        <v>4394</v>
      </c>
      <c r="D334" s="442" t="s">
        <v>7403</v>
      </c>
      <c r="E334" s="442" t="s">
        <v>7404</v>
      </c>
      <c r="F334" s="442" t="s">
        <v>7405</v>
      </c>
      <c r="G334" s="449" t="s">
        <v>7406</v>
      </c>
      <c r="H334" s="449" t="s">
        <v>7407</v>
      </c>
      <c r="I334" s="2" t="s">
        <v>7408</v>
      </c>
      <c r="J334" s="448" t="s">
        <v>7409</v>
      </c>
      <c r="K334" s="448" t="s">
        <v>4402</v>
      </c>
      <c r="L334" s="448" t="s">
        <v>7410</v>
      </c>
      <c r="M334" s="448" t="s">
        <v>7411</v>
      </c>
      <c r="N334" s="448" t="s">
        <v>4405</v>
      </c>
    </row>
    <row r="335" spans="1:14" ht="43.75" hidden="1">
      <c r="A335" s="2" t="s">
        <v>7412</v>
      </c>
      <c r="B335" s="447" t="str">
        <f t="shared" si="9"/>
        <v>Does the undertaking have a code of conduct or human rights policy for its own workforce?</v>
      </c>
      <c r="C335" s="2" t="s">
        <v>7413</v>
      </c>
      <c r="D335" s="442" t="s">
        <v>7414</v>
      </c>
      <c r="E335" s="442" t="s">
        <v>7415</v>
      </c>
      <c r="F335" s="442" t="s">
        <v>7416</v>
      </c>
      <c r="G335" s="449" t="s">
        <v>7417</v>
      </c>
      <c r="H335" s="449" t="s">
        <v>7418</v>
      </c>
      <c r="I335" s="2" t="s">
        <v>7419</v>
      </c>
      <c r="J335" s="448" t="s">
        <v>7420</v>
      </c>
      <c r="K335" s="448" t="s">
        <v>7421</v>
      </c>
      <c r="L335" s="448" t="s">
        <v>7422</v>
      </c>
      <c r="M335" s="448" t="s">
        <v>7423</v>
      </c>
      <c r="N335" s="448" t="s">
        <v>7424</v>
      </c>
    </row>
    <row r="336" spans="1:14" hidden="1">
      <c r="A336" s="2" t="s">
        <v>7425</v>
      </c>
      <c r="B336" s="447" t="str">
        <f t="shared" si="9"/>
        <v>If yes does this cover:</v>
      </c>
      <c r="C336" s="2" t="s">
        <v>7426</v>
      </c>
      <c r="D336" s="442" t="s">
        <v>7427</v>
      </c>
      <c r="E336" s="442" t="s">
        <v>7428</v>
      </c>
      <c r="F336" s="442" t="s">
        <v>7429</v>
      </c>
      <c r="G336" s="449" t="s">
        <v>7430</v>
      </c>
      <c r="H336" s="449" t="s">
        <v>7431</v>
      </c>
      <c r="I336" s="2" t="s">
        <v>7432</v>
      </c>
      <c r="J336" s="448" t="s">
        <v>7433</v>
      </c>
      <c r="K336" s="448" t="s">
        <v>7434</v>
      </c>
      <c r="L336" s="448" t="s">
        <v>7435</v>
      </c>
      <c r="M336" s="448" t="s">
        <v>7436</v>
      </c>
      <c r="N336" s="448" t="s">
        <v>7437</v>
      </c>
    </row>
    <row r="337" spans="1:14" hidden="1">
      <c r="A337" s="2" t="s">
        <v>7438</v>
      </c>
      <c r="B337" s="447" t="str">
        <f t="shared" si="9"/>
        <v>child labour</v>
      </c>
      <c r="C337" s="2" t="s">
        <v>7439</v>
      </c>
      <c r="D337" s="442" t="s">
        <v>7440</v>
      </c>
      <c r="E337" s="442" t="s">
        <v>7441</v>
      </c>
      <c r="F337" s="442" t="s">
        <v>7442</v>
      </c>
      <c r="G337" s="449" t="s">
        <v>7443</v>
      </c>
      <c r="H337" s="449" t="s">
        <v>7444</v>
      </c>
      <c r="I337" s="2" t="s">
        <v>7445</v>
      </c>
      <c r="J337" s="448" t="s">
        <v>7446</v>
      </c>
      <c r="K337" s="448" t="s">
        <v>7447</v>
      </c>
      <c r="L337" s="448" t="s">
        <v>7448</v>
      </c>
      <c r="M337" s="448" t="s">
        <v>7449</v>
      </c>
      <c r="N337" s="448" t="s">
        <v>7450</v>
      </c>
    </row>
    <row r="338" spans="1:14" hidden="1">
      <c r="A338" s="2" t="s">
        <v>7451</v>
      </c>
      <c r="B338" s="447" t="str">
        <f t="shared" si="9"/>
        <v>forced labour</v>
      </c>
      <c r="C338" s="2" t="s">
        <v>7452</v>
      </c>
      <c r="D338" s="442" t="s">
        <v>7453</v>
      </c>
      <c r="E338" s="442" t="s">
        <v>7454</v>
      </c>
      <c r="F338" s="442" t="s">
        <v>7455</v>
      </c>
      <c r="G338" s="449" t="s">
        <v>7456</v>
      </c>
      <c r="H338" s="449" t="s">
        <v>7457</v>
      </c>
      <c r="I338" s="2" t="s">
        <v>7458</v>
      </c>
      <c r="J338" s="448" t="s">
        <v>7459</v>
      </c>
      <c r="K338" s="448" t="s">
        <v>7460</v>
      </c>
      <c r="L338" s="448" t="s">
        <v>7461</v>
      </c>
      <c r="M338" s="448" t="s">
        <v>7462</v>
      </c>
      <c r="N338" s="448" t="s">
        <v>7463</v>
      </c>
    </row>
    <row r="339" spans="1:14" hidden="1">
      <c r="A339" s="2" t="s">
        <v>7464</v>
      </c>
      <c r="B339" s="447" t="str">
        <f t="shared" si="9"/>
        <v>human trafficking</v>
      </c>
      <c r="C339" s="2" t="s">
        <v>7465</v>
      </c>
      <c r="D339" s="442" t="s">
        <v>7466</v>
      </c>
      <c r="E339" s="442" t="s">
        <v>7467</v>
      </c>
      <c r="F339" s="442" t="s">
        <v>7468</v>
      </c>
      <c r="G339" s="449" t="s">
        <v>7469</v>
      </c>
      <c r="H339" s="449" t="s">
        <v>7470</v>
      </c>
      <c r="I339" s="2" t="s">
        <v>7471</v>
      </c>
      <c r="J339" s="448" t="s">
        <v>7472</v>
      </c>
      <c r="K339" s="448" t="s">
        <v>7473</v>
      </c>
      <c r="L339" s="448" t="s">
        <v>7474</v>
      </c>
      <c r="M339" s="448" t="s">
        <v>7475</v>
      </c>
      <c r="N339" s="448" t="s">
        <v>7476</v>
      </c>
    </row>
    <row r="340" spans="1:14" hidden="1">
      <c r="A340" s="2" t="s">
        <v>7477</v>
      </c>
      <c r="B340" s="447" t="str">
        <f t="shared" si="9"/>
        <v>discrimination</v>
      </c>
      <c r="C340" s="2" t="s">
        <v>7478</v>
      </c>
      <c r="D340" s="442" t="s">
        <v>7479</v>
      </c>
      <c r="E340" s="442" t="s">
        <v>7480</v>
      </c>
      <c r="F340" s="442" t="s">
        <v>7478</v>
      </c>
      <c r="G340" s="449" t="s">
        <v>7481</v>
      </c>
      <c r="H340" s="449" t="s">
        <v>7482</v>
      </c>
      <c r="I340" s="2" t="s">
        <v>7483</v>
      </c>
      <c r="J340" s="448" t="s">
        <v>7484</v>
      </c>
      <c r="K340" s="448" t="s">
        <v>7485</v>
      </c>
      <c r="L340" s="448" t="s">
        <v>7486</v>
      </c>
      <c r="M340" s="448" t="s">
        <v>7484</v>
      </c>
      <c r="N340" s="448" t="s">
        <v>7487</v>
      </c>
    </row>
    <row r="341" spans="1:14" hidden="1">
      <c r="A341" s="2" t="s">
        <v>7488</v>
      </c>
      <c r="B341" s="447" t="str">
        <f t="shared" si="9"/>
        <v>accident prevention</v>
      </c>
      <c r="C341" s="2" t="s">
        <v>7489</v>
      </c>
      <c r="D341" s="442" t="s">
        <v>7490</v>
      </c>
      <c r="E341" s="442" t="s">
        <v>7491</v>
      </c>
      <c r="F341" s="442" t="s">
        <v>7492</v>
      </c>
      <c r="G341" s="449" t="s">
        <v>7493</v>
      </c>
      <c r="H341" s="449" t="s">
        <v>7494</v>
      </c>
      <c r="I341" s="2" t="s">
        <v>7495</v>
      </c>
      <c r="J341" s="448" t="s">
        <v>7496</v>
      </c>
      <c r="K341" s="448" t="s">
        <v>7497</v>
      </c>
      <c r="L341" s="448" t="s">
        <v>7498</v>
      </c>
      <c r="M341" s="448" t="s">
        <v>7499</v>
      </c>
      <c r="N341" s="448" t="s">
        <v>7500</v>
      </c>
    </row>
    <row r="342" spans="1:14" hidden="1">
      <c r="A342" s="2" t="s">
        <v>7501</v>
      </c>
      <c r="B342" s="447" t="str">
        <f t="shared" si="9"/>
        <v>other? ( if yes specify)</v>
      </c>
      <c r="C342" s="2" t="s">
        <v>7502</v>
      </c>
      <c r="D342" s="442" t="s">
        <v>7503</v>
      </c>
      <c r="E342" s="442" t="s">
        <v>7504</v>
      </c>
      <c r="F342" s="442" t="s">
        <v>7505</v>
      </c>
      <c r="G342" s="449" t="s">
        <v>7506</v>
      </c>
      <c r="H342" s="449" t="s">
        <v>7507</v>
      </c>
      <c r="I342" s="2" t="s">
        <v>7508</v>
      </c>
      <c r="J342" s="448" t="s">
        <v>7509</v>
      </c>
      <c r="K342" s="448" t="s">
        <v>7510</v>
      </c>
      <c r="L342" s="448" t="s">
        <v>7511</v>
      </c>
      <c r="M342" s="448" t="s">
        <v>7512</v>
      </c>
      <c r="N342" s="448" t="s">
        <v>7513</v>
      </c>
    </row>
    <row r="343" spans="1:14" ht="43.75" hidden="1">
      <c r="A343" s="2" t="s">
        <v>7514</v>
      </c>
      <c r="B343" s="447" t="str">
        <f t="shared" si="9"/>
        <v>Specify other types of content covered by the code of conduct or human rights policy</v>
      </c>
      <c r="C343" s="2" t="s">
        <v>7515</v>
      </c>
      <c r="D343" s="442" t="s">
        <v>7516</v>
      </c>
      <c r="E343" s="442" t="s">
        <v>7517</v>
      </c>
      <c r="F343" s="442" t="s">
        <v>7518</v>
      </c>
      <c r="G343" s="449" t="s">
        <v>7519</v>
      </c>
      <c r="H343" s="449" t="s">
        <v>7520</v>
      </c>
      <c r="I343" s="2" t="s">
        <v>7521</v>
      </c>
      <c r="J343" s="448" t="s">
        <v>7522</v>
      </c>
      <c r="K343" s="448" t="s">
        <v>7523</v>
      </c>
      <c r="L343" s="448" t="s">
        <v>7524</v>
      </c>
      <c r="M343" s="448" t="s">
        <v>7525</v>
      </c>
      <c r="N343" s="448" t="s">
        <v>7526</v>
      </c>
    </row>
    <row r="344" spans="1:14" ht="44.15" hidden="1" thickBot="1">
      <c r="A344" s="454" t="s">
        <v>7527</v>
      </c>
      <c r="B344" s="451" t="str">
        <f t="shared" si="9"/>
        <v>Does the undertaking have a complaint-handling mechanism for its own workforce?</v>
      </c>
      <c r="C344" s="454" t="s">
        <v>7528</v>
      </c>
      <c r="D344" s="450" t="s">
        <v>7529</v>
      </c>
      <c r="E344" s="450" t="s">
        <v>7530</v>
      </c>
      <c r="F344" s="457" t="s">
        <v>7531</v>
      </c>
      <c r="G344" s="453" t="s">
        <v>7532</v>
      </c>
      <c r="H344" s="453" t="s">
        <v>7533</v>
      </c>
      <c r="I344" s="454" t="s">
        <v>7534</v>
      </c>
      <c r="J344" s="452" t="s">
        <v>7535</v>
      </c>
      <c r="K344" s="452" t="s">
        <v>7536</v>
      </c>
      <c r="L344" s="452" t="s">
        <v>7537</v>
      </c>
      <c r="M344" s="452" t="s">
        <v>7538</v>
      </c>
      <c r="N344" s="452" t="s">
        <v>7539</v>
      </c>
    </row>
    <row r="345" spans="1:14" s="511" customFormat="1" ht="29.15" hidden="1">
      <c r="A345" s="558" t="s">
        <v>7540</v>
      </c>
      <c r="B345" s="559" t="str">
        <f t="shared" si="9"/>
        <v>C7 - Human rights incidents</v>
      </c>
      <c r="C345" s="558" t="s">
        <v>4407</v>
      </c>
      <c r="D345" s="547" t="s">
        <v>4408</v>
      </c>
      <c r="E345" s="547" t="s">
        <v>7541</v>
      </c>
      <c r="F345" s="547" t="s">
        <v>4410</v>
      </c>
      <c r="G345" s="560" t="s">
        <v>7542</v>
      </c>
      <c r="H345" s="560" t="s">
        <v>7543</v>
      </c>
      <c r="I345" s="558" t="s">
        <v>7544</v>
      </c>
      <c r="J345" s="550" t="s">
        <v>7545</v>
      </c>
      <c r="K345" s="550" t="s">
        <v>4415</v>
      </c>
      <c r="L345" s="550" t="s">
        <v>7546</v>
      </c>
      <c r="M345" s="550" t="s">
        <v>7547</v>
      </c>
      <c r="N345" s="550" t="s">
        <v>7548</v>
      </c>
    </row>
    <row r="346" spans="1:14" ht="43.75" hidden="1">
      <c r="A346" s="2" t="s">
        <v>7549</v>
      </c>
      <c r="B346" s="447" t="str">
        <f t="shared" si="9"/>
        <v>Does the undertaking have confirmed incidents in its own workforce?</v>
      </c>
      <c r="C346" s="2" t="s">
        <v>7550</v>
      </c>
      <c r="D346" s="442" t="s">
        <v>7551</v>
      </c>
      <c r="E346" s="442" t="s">
        <v>7552</v>
      </c>
      <c r="F346" s="442" t="s">
        <v>7553</v>
      </c>
      <c r="G346" s="449" t="s">
        <v>7554</v>
      </c>
      <c r="H346" s="449" t="s">
        <v>7555</v>
      </c>
      <c r="I346" s="2" t="s">
        <v>7556</v>
      </c>
      <c r="J346" s="448" t="s">
        <v>7557</v>
      </c>
      <c r="K346" s="448" t="s">
        <v>7558</v>
      </c>
      <c r="L346" s="448" t="s">
        <v>7559</v>
      </c>
      <c r="M346" s="448" t="s">
        <v>7560</v>
      </c>
      <c r="N346" s="448" t="s">
        <v>7561</v>
      </c>
    </row>
    <row r="347" spans="1:14" hidden="1">
      <c r="A347" s="2" t="s">
        <v>7562</v>
      </c>
      <c r="B347" s="447" t="str">
        <f t="shared" si="9"/>
        <v>If yes are incidents related to:</v>
      </c>
      <c r="C347" s="2" t="s">
        <v>7563</v>
      </c>
      <c r="D347" s="442" t="s">
        <v>7564</v>
      </c>
      <c r="E347" s="442" t="s">
        <v>7565</v>
      </c>
      <c r="F347" s="442" t="s">
        <v>7566</v>
      </c>
      <c r="G347" s="449" t="s">
        <v>7567</v>
      </c>
      <c r="H347" s="449" t="s">
        <v>7568</v>
      </c>
      <c r="I347" s="2" t="s">
        <v>7569</v>
      </c>
      <c r="J347" s="448" t="s">
        <v>7570</v>
      </c>
      <c r="K347" s="448" t="s">
        <v>7571</v>
      </c>
      <c r="L347" s="448" t="s">
        <v>7572</v>
      </c>
      <c r="M347" s="448" t="s">
        <v>7573</v>
      </c>
      <c r="N347" s="448" t="s">
        <v>7574</v>
      </c>
    </row>
    <row r="348" spans="1:14" ht="58.3" hidden="1">
      <c r="A348" s="2" t="s">
        <v>7575</v>
      </c>
      <c r="B348" s="447" t="str">
        <f t="shared" si="9"/>
        <v>Specify other human rights related to the confirmed incidents</v>
      </c>
      <c r="C348" s="2" t="s">
        <v>7576</v>
      </c>
      <c r="D348" s="442" t="s">
        <v>7577</v>
      </c>
      <c r="E348" s="442" t="s">
        <v>7578</v>
      </c>
      <c r="F348" s="442" t="s">
        <v>7579</v>
      </c>
      <c r="G348" s="449" t="s">
        <v>7580</v>
      </c>
      <c r="H348" s="449" t="s">
        <v>7581</v>
      </c>
      <c r="I348" s="2" t="s">
        <v>7582</v>
      </c>
      <c r="J348" s="448" t="s">
        <v>7583</v>
      </c>
      <c r="K348" s="448" t="s">
        <v>7584</v>
      </c>
      <c r="L348" s="448" t="s">
        <v>7585</v>
      </c>
      <c r="M348" s="448" t="s">
        <v>7586</v>
      </c>
      <c r="N348" s="448" t="s">
        <v>7587</v>
      </c>
    </row>
    <row r="349" spans="1:14" ht="58.3" hidden="1">
      <c r="A349" s="2" t="s">
        <v>7588</v>
      </c>
      <c r="B349" s="447" t="str">
        <f t="shared" si="9"/>
        <v>Description of actions taken to address the confirmed incidents</v>
      </c>
      <c r="C349" s="2" t="s">
        <v>7589</v>
      </c>
      <c r="D349" s="442" t="s">
        <v>7590</v>
      </c>
      <c r="E349" s="442" t="s">
        <v>7591</v>
      </c>
      <c r="F349" s="442" t="s">
        <v>7592</v>
      </c>
      <c r="G349" s="449" t="s">
        <v>7593</v>
      </c>
      <c r="H349" s="449" t="s">
        <v>7594</v>
      </c>
      <c r="I349" s="2" t="s">
        <v>7595</v>
      </c>
      <c r="J349" s="448" t="s">
        <v>7596</v>
      </c>
      <c r="K349" s="448" t="s">
        <v>7597</v>
      </c>
      <c r="L349" s="448" t="s">
        <v>7598</v>
      </c>
      <c r="M349" s="448" t="s">
        <v>7599</v>
      </c>
      <c r="N349" s="448" t="s">
        <v>7600</v>
      </c>
    </row>
    <row r="350" spans="1:14" s="511" customFormat="1" ht="72.900000000000006" hidden="1">
      <c r="A350" s="558" t="s">
        <v>7601</v>
      </c>
      <c r="B350" s="559" t="str">
        <f t="shared" si="9"/>
        <v>Is the undertaking aware of any confirmed incidents involving workers in the value chain affected communities consumers and end-users identified in the reporting period?</v>
      </c>
      <c r="C350" s="558" t="s">
        <v>7602</v>
      </c>
      <c r="D350" s="547" t="s">
        <v>7603</v>
      </c>
      <c r="E350" s="547" t="s">
        <v>7604</v>
      </c>
      <c r="F350" s="547" t="s">
        <v>7605</v>
      </c>
      <c r="G350" s="560" t="s">
        <v>7606</v>
      </c>
      <c r="H350" s="560" t="s">
        <v>7607</v>
      </c>
      <c r="I350" s="558" t="s">
        <v>7608</v>
      </c>
      <c r="J350" s="550" t="s">
        <v>7609</v>
      </c>
      <c r="K350" s="550" t="s">
        <v>7610</v>
      </c>
      <c r="L350" s="550" t="s">
        <v>7611</v>
      </c>
      <c r="M350" s="550" t="s">
        <v>7612</v>
      </c>
      <c r="N350" s="550" t="s">
        <v>7613</v>
      </c>
    </row>
    <row r="351" spans="1:14" s="511" customFormat="1" ht="73.3" hidden="1" thickBot="1">
      <c r="A351" s="565" t="s">
        <v>7614</v>
      </c>
      <c r="B351" s="566" t="str">
        <f t="shared" si="9"/>
        <v>Specification of any confirmed incident identified in the reporitng period involving workers in the value chain affected communities consumers and end-users</v>
      </c>
      <c r="C351" s="565" t="s">
        <v>7615</v>
      </c>
      <c r="D351" s="567" t="s">
        <v>7616</v>
      </c>
      <c r="E351" s="567" t="s">
        <v>7617</v>
      </c>
      <c r="F351" s="567" t="s">
        <v>7618</v>
      </c>
      <c r="G351" s="568" t="s">
        <v>7619</v>
      </c>
      <c r="H351" s="568" t="s">
        <v>7620</v>
      </c>
      <c r="I351" s="565" t="s">
        <v>7621</v>
      </c>
      <c r="J351" s="569" t="s">
        <v>7622</v>
      </c>
      <c r="K351" s="569" t="s">
        <v>7623</v>
      </c>
      <c r="L351" s="569" t="s">
        <v>7624</v>
      </c>
      <c r="M351" s="569" t="s">
        <v>7625</v>
      </c>
      <c r="N351" s="569" t="s">
        <v>7626</v>
      </c>
    </row>
    <row r="352" spans="1:14" ht="58.3" hidden="1">
      <c r="A352" s="497" t="s">
        <v>7627</v>
      </c>
      <c r="B352" s="498" t="str">
        <f t="shared" si="9"/>
        <v>Disclosure of any other social and/or entity specific social disclosures</v>
      </c>
      <c r="C352" s="2" t="s">
        <v>7628</v>
      </c>
      <c r="D352" s="2" t="s">
        <v>7629</v>
      </c>
      <c r="E352" s="2" t="s">
        <v>7630</v>
      </c>
      <c r="F352" s="2" t="s">
        <v>7631</v>
      </c>
      <c r="G352" s="2" t="s">
        <v>7632</v>
      </c>
      <c r="H352" s="2" t="s">
        <v>7633</v>
      </c>
      <c r="I352" s="2" t="s">
        <v>7634</v>
      </c>
      <c r="J352" s="2" t="s">
        <v>7635</v>
      </c>
      <c r="K352" s="2" t="s">
        <v>7636</v>
      </c>
      <c r="L352" s="2" t="s">
        <v>7637</v>
      </c>
      <c r="M352" s="2" t="s">
        <v>7638</v>
      </c>
      <c r="N352" s="2" t="s">
        <v>7639</v>
      </c>
    </row>
    <row r="353" spans="1:14" ht="43.75" hidden="1">
      <c r="A353" s="2" t="s">
        <v>7640</v>
      </c>
      <c r="B353" s="2" t="str">
        <f t="shared" si="9"/>
        <v>B11 - Convictions and fines for corruption and bribery</v>
      </c>
      <c r="C353" s="2" t="s">
        <v>4311</v>
      </c>
      <c r="D353" s="442" t="s">
        <v>4312</v>
      </c>
      <c r="E353" s="442" t="s">
        <v>7641</v>
      </c>
      <c r="F353" s="442" t="s">
        <v>4314</v>
      </c>
      <c r="G353" s="449" t="s">
        <v>7642</v>
      </c>
      <c r="H353" s="449" t="s">
        <v>7643</v>
      </c>
      <c r="I353" s="2" t="s">
        <v>7644</v>
      </c>
      <c r="J353" s="448" t="s">
        <v>7645</v>
      </c>
      <c r="K353" s="448" t="s">
        <v>4319</v>
      </c>
      <c r="L353" s="448" t="s">
        <v>7646</v>
      </c>
      <c r="M353" s="448" t="s">
        <v>7647</v>
      </c>
      <c r="N353" s="448" t="s">
        <v>7648</v>
      </c>
    </row>
    <row r="354" spans="1:14" ht="29.15" hidden="1">
      <c r="A354" s="2" t="s">
        <v>7649</v>
      </c>
      <c r="B354" s="2" t="str">
        <f t="shared" si="9"/>
        <v>Has the undertaking incurred in convictions and fines in the reporting period?</v>
      </c>
      <c r="C354" s="2" t="s">
        <v>7650</v>
      </c>
      <c r="D354" s="442" t="s">
        <v>7651</v>
      </c>
      <c r="E354" s="442" t="s">
        <v>7652</v>
      </c>
      <c r="F354" s="442" t="s">
        <v>7653</v>
      </c>
      <c r="G354" s="449" t="s">
        <v>7654</v>
      </c>
      <c r="H354" s="449" t="s">
        <v>7655</v>
      </c>
      <c r="I354" s="2" t="s">
        <v>7656</v>
      </c>
      <c r="J354" s="448" t="s">
        <v>7657</v>
      </c>
      <c r="K354" s="448" t="s">
        <v>7658</v>
      </c>
      <c r="L354" s="448" t="s">
        <v>7659</v>
      </c>
      <c r="M354" s="448" t="s">
        <v>7660</v>
      </c>
      <c r="N354" s="448" t="s">
        <v>7661</v>
      </c>
    </row>
    <row r="355" spans="1:14" ht="58.3" hidden="1">
      <c r="A355" s="2" t="s">
        <v>7662</v>
      </c>
      <c r="B355" s="2" t="str">
        <f t="shared" si="9"/>
        <v>Total number of convictions  for the violation of anti-corruption and anti-bribery laws</v>
      </c>
      <c r="C355" s="2" t="s">
        <v>7663</v>
      </c>
      <c r="D355" s="442" t="s">
        <v>7664</v>
      </c>
      <c r="E355" s="442" t="s">
        <v>7665</v>
      </c>
      <c r="F355" s="442" t="s">
        <v>7666</v>
      </c>
      <c r="G355" s="449" t="s">
        <v>7667</v>
      </c>
      <c r="H355" s="449" t="s">
        <v>7668</v>
      </c>
      <c r="I355" s="2" t="s">
        <v>7669</v>
      </c>
      <c r="J355" s="448" t="s">
        <v>7670</v>
      </c>
      <c r="K355" s="448" t="s">
        <v>7671</v>
      </c>
      <c r="L355" s="448" t="s">
        <v>7672</v>
      </c>
      <c r="M355" s="448" t="s">
        <v>7673</v>
      </c>
      <c r="N355" s="448" t="s">
        <v>7674</v>
      </c>
    </row>
    <row r="356" spans="1:14" ht="58.75" hidden="1" thickBot="1">
      <c r="A356" s="454" t="s">
        <v>7675</v>
      </c>
      <c r="B356" s="454" t="str">
        <f t="shared" si="9"/>
        <v>Total amount of fines for the violation of anti-corruption and anti-bribery laws</v>
      </c>
      <c r="C356" s="454" t="s">
        <v>7676</v>
      </c>
      <c r="D356" s="450" t="s">
        <v>7677</v>
      </c>
      <c r="E356" s="450" t="s">
        <v>7678</v>
      </c>
      <c r="F356" s="450" t="s">
        <v>7679</v>
      </c>
      <c r="G356" s="453" t="s">
        <v>7680</v>
      </c>
      <c r="H356" s="453" t="s">
        <v>7681</v>
      </c>
      <c r="I356" s="454" t="s">
        <v>7682</v>
      </c>
      <c r="J356" s="452" t="s">
        <v>7683</v>
      </c>
      <c r="K356" s="452" t="s">
        <v>7684</v>
      </c>
      <c r="L356" s="452" t="s">
        <v>7685</v>
      </c>
      <c r="M356" s="452" t="s">
        <v>7686</v>
      </c>
      <c r="N356" s="452" t="s">
        <v>7687</v>
      </c>
    </row>
    <row r="357" spans="1:14" hidden="1">
      <c r="A357" s="2" t="s">
        <v>7688</v>
      </c>
      <c r="B357" s="2" t="str">
        <f t="shared" si="9"/>
        <v>C8 - Revenues from certain activities</v>
      </c>
      <c r="C357" s="2" t="s">
        <v>4420</v>
      </c>
      <c r="D357" s="442" t="s">
        <v>7689</v>
      </c>
      <c r="E357" s="442" t="s">
        <v>7690</v>
      </c>
      <c r="F357" s="442" t="s">
        <v>7691</v>
      </c>
      <c r="G357" s="449" t="s">
        <v>7692</v>
      </c>
      <c r="H357" s="449" t="s">
        <v>7693</v>
      </c>
      <c r="I357" s="2" t="s">
        <v>7694</v>
      </c>
      <c r="J357" s="448" t="s">
        <v>7695</v>
      </c>
      <c r="K357" s="448" t="s">
        <v>7696</v>
      </c>
      <c r="L357" s="448" t="s">
        <v>7697</v>
      </c>
      <c r="M357" s="448" t="s">
        <v>7698</v>
      </c>
      <c r="N357" s="448" t="s">
        <v>7699</v>
      </c>
    </row>
    <row r="358" spans="1:14" ht="29.15" hidden="1">
      <c r="A358" s="2" t="s">
        <v>7700</v>
      </c>
      <c r="B358" s="2" t="str">
        <f t="shared" si="9"/>
        <v>Is the undertaking deriving revenues from one of the activities listed below?</v>
      </c>
      <c r="C358" s="2" t="s">
        <v>7701</v>
      </c>
      <c r="D358" s="442" t="s">
        <v>7702</v>
      </c>
      <c r="E358" s="442" t="s">
        <v>7703</v>
      </c>
      <c r="F358" s="442" t="s">
        <v>7704</v>
      </c>
      <c r="G358" s="449" t="s">
        <v>7705</v>
      </c>
      <c r="H358" s="449" t="s">
        <v>7706</v>
      </c>
      <c r="I358" s="2" t="s">
        <v>7707</v>
      </c>
      <c r="J358" s="448" t="s">
        <v>7708</v>
      </c>
      <c r="K358" s="448" t="s">
        <v>7709</v>
      </c>
      <c r="L358" s="448" t="s">
        <v>7710</v>
      </c>
      <c r="M358" s="448" t="s">
        <v>7711</v>
      </c>
      <c r="N358" s="448" t="s">
        <v>7712</v>
      </c>
    </row>
    <row r="359" spans="1:14" hidden="1">
      <c r="A359" s="2" t="s">
        <v>7713</v>
      </c>
      <c r="B359" s="2" t="str">
        <f t="shared" si="9"/>
        <v>Monetary amount in</v>
      </c>
      <c r="C359" s="2" t="s">
        <v>7714</v>
      </c>
      <c r="D359" s="442" t="s">
        <v>7715</v>
      </c>
      <c r="E359" s="442" t="s">
        <v>7716</v>
      </c>
      <c r="F359" s="442" t="s">
        <v>7717</v>
      </c>
      <c r="G359" s="449" t="s">
        <v>4519</v>
      </c>
      <c r="H359" s="449" t="s">
        <v>7718</v>
      </c>
      <c r="I359" s="2" t="s">
        <v>7719</v>
      </c>
      <c r="J359" s="448" t="s">
        <v>7720</v>
      </c>
      <c r="K359" s="448" t="s">
        <v>7721</v>
      </c>
      <c r="L359" s="448" t="s">
        <v>7722</v>
      </c>
      <c r="M359" s="448" t="s">
        <v>7723</v>
      </c>
      <c r="N359" s="448" t="s">
        <v>7724</v>
      </c>
    </row>
    <row r="360" spans="1:14" s="511" customFormat="1" ht="43.75" hidden="1">
      <c r="A360" s="558" t="s">
        <v>7725</v>
      </c>
      <c r="B360" s="558" t="str">
        <f t="shared" ref="B360:B418" si="10">INDEX(C360:N360,MATCH(template_selected_display_language,$C$3:$N$3,0))</f>
        <v>Revenue derived from the prohibited weapons industry (anti-personnel mines, cluster munitions, chemical weapons and biological weapons)</v>
      </c>
      <c r="C360" s="558" t="s">
        <v>7726</v>
      </c>
      <c r="D360" s="547" t="s">
        <v>7727</v>
      </c>
      <c r="E360" s="547" t="s">
        <v>7728</v>
      </c>
      <c r="F360" s="547" t="s">
        <v>7729</v>
      </c>
      <c r="G360" s="560" t="s">
        <v>7730</v>
      </c>
      <c r="H360" s="560" t="s">
        <v>7731</v>
      </c>
      <c r="I360" s="558" t="s">
        <v>7732</v>
      </c>
      <c r="J360" s="550" t="s">
        <v>7733</v>
      </c>
      <c r="K360" s="550" t="s">
        <v>7734</v>
      </c>
      <c r="L360" s="550" t="s">
        <v>7735</v>
      </c>
      <c r="M360" s="550" t="s">
        <v>7736</v>
      </c>
      <c r="N360" s="550" t="s">
        <v>7737</v>
      </c>
    </row>
    <row r="361" spans="1:14" ht="43.75" hidden="1">
      <c r="A361" s="2" t="s">
        <v>7738</v>
      </c>
      <c r="B361" s="2" t="str">
        <f t="shared" si="10"/>
        <v>Revenue derived from cultivation and production of tobacco</v>
      </c>
      <c r="C361" s="2" t="s">
        <v>7739</v>
      </c>
      <c r="D361" s="442" t="s">
        <v>7740</v>
      </c>
      <c r="E361" s="442" t="s">
        <v>7741</v>
      </c>
      <c r="F361" s="442" t="s">
        <v>7742</v>
      </c>
      <c r="G361" s="449" t="s">
        <v>7743</v>
      </c>
      <c r="H361" s="449" t="s">
        <v>7744</v>
      </c>
      <c r="I361" s="2" t="s">
        <v>7745</v>
      </c>
      <c r="J361" s="448" t="s">
        <v>7746</v>
      </c>
      <c r="K361" s="448" t="s">
        <v>7747</v>
      </c>
      <c r="L361" s="448" t="s">
        <v>7748</v>
      </c>
      <c r="M361" s="448" t="s">
        <v>7749</v>
      </c>
      <c r="N361" s="448" t="s">
        <v>7750</v>
      </c>
    </row>
    <row r="362" spans="1:14" hidden="1">
      <c r="A362" s="2" t="s">
        <v>7751</v>
      </c>
      <c r="B362" s="2" t="str">
        <f t="shared" si="10"/>
        <v>Revenue derived from coal</v>
      </c>
      <c r="C362" s="2" t="s">
        <v>7752</v>
      </c>
      <c r="D362" s="442" t="s">
        <v>7753</v>
      </c>
      <c r="E362" s="442" t="s">
        <v>7754</v>
      </c>
      <c r="F362" s="442" t="s">
        <v>7755</v>
      </c>
      <c r="G362" s="449" t="s">
        <v>7756</v>
      </c>
      <c r="H362" s="449" t="s">
        <v>7757</v>
      </c>
      <c r="I362" s="2" t="s">
        <v>7758</v>
      </c>
      <c r="J362" s="448" t="s">
        <v>7759</v>
      </c>
      <c r="K362" s="448" t="s">
        <v>7760</v>
      </c>
      <c r="L362" s="448" t="s">
        <v>7761</v>
      </c>
      <c r="M362" s="448" t="s">
        <v>7762</v>
      </c>
      <c r="N362" s="448" t="s">
        <v>7763</v>
      </c>
    </row>
    <row r="363" spans="1:14" hidden="1">
      <c r="A363" s="2" t="s">
        <v>7764</v>
      </c>
      <c r="B363" s="2" t="str">
        <f t="shared" si="10"/>
        <v>Revenue derived from oil</v>
      </c>
      <c r="C363" s="2" t="s">
        <v>7765</v>
      </c>
      <c r="D363" s="442" t="s">
        <v>7766</v>
      </c>
      <c r="E363" s="442" t="s">
        <v>7767</v>
      </c>
      <c r="F363" s="442" t="s">
        <v>7768</v>
      </c>
      <c r="G363" s="449" t="s">
        <v>7769</v>
      </c>
      <c r="H363" s="449" t="s">
        <v>7770</v>
      </c>
      <c r="I363" s="2" t="s">
        <v>7771</v>
      </c>
      <c r="J363" s="448" t="s">
        <v>7772</v>
      </c>
      <c r="K363" s="448" t="s">
        <v>7773</v>
      </c>
      <c r="L363" s="448" t="s">
        <v>7774</v>
      </c>
      <c r="M363" s="448" t="s">
        <v>7775</v>
      </c>
      <c r="N363" s="448" t="s">
        <v>7776</v>
      </c>
    </row>
    <row r="364" spans="1:14" ht="29.15" hidden="1">
      <c r="A364" s="2" t="s">
        <v>7777</v>
      </c>
      <c r="B364" s="2" t="str">
        <f t="shared" si="10"/>
        <v>Revenue derived from gas</v>
      </c>
      <c r="C364" s="2" t="s">
        <v>7778</v>
      </c>
      <c r="D364" s="442" t="s">
        <v>7779</v>
      </c>
      <c r="E364" s="442" t="s">
        <v>7780</v>
      </c>
      <c r="F364" s="442" t="s">
        <v>7781</v>
      </c>
      <c r="G364" s="449" t="s">
        <v>7782</v>
      </c>
      <c r="H364" s="449" t="s">
        <v>7783</v>
      </c>
      <c r="I364" s="2" t="s">
        <v>7784</v>
      </c>
      <c r="J364" s="448" t="s">
        <v>7785</v>
      </c>
      <c r="K364" s="448" t="s">
        <v>7786</v>
      </c>
      <c r="L364" s="448" t="s">
        <v>7787</v>
      </c>
      <c r="M364" s="448" t="s">
        <v>7788</v>
      </c>
      <c r="N364" s="448" t="s">
        <v>7789</v>
      </c>
    </row>
    <row r="365" spans="1:14" s="511" customFormat="1" ht="145.75" hidden="1">
      <c r="A365" s="558" t="s">
        <v>7790</v>
      </c>
      <c r="B365" s="558" t="str">
        <f t="shared" si="10"/>
        <v xml:space="preserve">Total revenues derived from the fossil fuel (coal oil and gas) sector </v>
      </c>
      <c r="C365" s="558" t="s">
        <v>7791</v>
      </c>
      <c r="D365" s="547" t="s">
        <v>7792</v>
      </c>
      <c r="E365" s="547" t="s">
        <v>7793</v>
      </c>
      <c r="F365" s="547" t="s">
        <v>7794</v>
      </c>
      <c r="G365" s="560" t="s">
        <v>7795</v>
      </c>
      <c r="H365" s="560" t="s">
        <v>7796</v>
      </c>
      <c r="I365" s="558" t="s">
        <v>7797</v>
      </c>
      <c r="J365" s="550" t="s">
        <v>7798</v>
      </c>
      <c r="K365" s="550" t="s">
        <v>7799</v>
      </c>
      <c r="L365" s="550" t="s">
        <v>7800</v>
      </c>
      <c r="M365" s="550" t="s">
        <v>7801</v>
      </c>
      <c r="N365" s="550" t="s">
        <v>7802</v>
      </c>
    </row>
    <row r="366" spans="1:14" ht="29.6" hidden="1" thickBot="1">
      <c r="A366" s="454" t="s">
        <v>7803</v>
      </c>
      <c r="B366" s="454" t="str">
        <f t="shared" si="10"/>
        <v>Revenue derived from chemicals production</v>
      </c>
      <c r="C366" s="454" t="s">
        <v>7804</v>
      </c>
      <c r="D366" s="450" t="s">
        <v>7805</v>
      </c>
      <c r="E366" s="450" t="s">
        <v>7806</v>
      </c>
      <c r="F366" s="450" t="s">
        <v>7807</v>
      </c>
      <c r="G366" s="453" t="s">
        <v>7808</v>
      </c>
      <c r="H366" s="453" t="s">
        <v>7809</v>
      </c>
      <c r="I366" s="454" t="s">
        <v>7810</v>
      </c>
      <c r="J366" s="452" t="s">
        <v>7811</v>
      </c>
      <c r="K366" s="452" t="s">
        <v>7812</v>
      </c>
      <c r="L366" s="452" t="s">
        <v>7813</v>
      </c>
      <c r="M366" s="452" t="s">
        <v>7814</v>
      </c>
      <c r="N366" s="452" t="s">
        <v>7815</v>
      </c>
    </row>
    <row r="367" spans="1:14" ht="29.15" hidden="1">
      <c r="A367" s="2" t="s">
        <v>7816</v>
      </c>
      <c r="B367" s="2" t="str">
        <f t="shared" si="10"/>
        <v>None of the above</v>
      </c>
      <c r="C367" s="2" t="s">
        <v>7817</v>
      </c>
      <c r="D367" s="442" t="s">
        <v>7818</v>
      </c>
      <c r="E367" s="442" t="s">
        <v>7819</v>
      </c>
      <c r="F367" s="442" t="s">
        <v>7820</v>
      </c>
      <c r="G367" s="449" t="s">
        <v>7821</v>
      </c>
      <c r="H367" s="449" t="s">
        <v>7822</v>
      </c>
      <c r="I367" s="2" t="s">
        <v>7823</v>
      </c>
      <c r="J367" s="448" t="s">
        <v>7824</v>
      </c>
      <c r="K367" s="448" t="s">
        <v>7825</v>
      </c>
      <c r="L367" s="448" t="s">
        <v>7826</v>
      </c>
      <c r="M367" s="448" t="s">
        <v>7827</v>
      </c>
      <c r="N367" s="448" t="s">
        <v>7828</v>
      </c>
    </row>
    <row r="368" spans="1:14" ht="72.900000000000006" hidden="1">
      <c r="A368" s="2" t="s">
        <v>7829</v>
      </c>
      <c r="B368" s="2" t="str">
        <f t="shared" si="10"/>
        <v>C9 - Gender diversity ratio in the governance body</v>
      </c>
      <c r="C368" s="2" t="s">
        <v>4433</v>
      </c>
      <c r="D368" s="442" t="s">
        <v>4434</v>
      </c>
      <c r="E368" s="442" t="s">
        <v>7830</v>
      </c>
      <c r="F368" s="442" t="s">
        <v>4436</v>
      </c>
      <c r="G368" s="449" t="s">
        <v>7831</v>
      </c>
      <c r="H368" s="449" t="s">
        <v>7832</v>
      </c>
      <c r="I368" s="2" t="s">
        <v>7833</v>
      </c>
      <c r="J368" s="448" t="s">
        <v>7834</v>
      </c>
      <c r="K368" s="448" t="s">
        <v>7835</v>
      </c>
      <c r="L368" s="448" t="s">
        <v>7836</v>
      </c>
      <c r="M368" s="448" t="s">
        <v>7837</v>
      </c>
      <c r="N368" s="448" t="s">
        <v>4444</v>
      </c>
    </row>
    <row r="369" spans="1:14" ht="43.75" hidden="1">
      <c r="A369" s="2" t="s">
        <v>7838</v>
      </c>
      <c r="B369" s="2" t="str">
        <f t="shared" si="10"/>
        <v>Does the undertaking have a governance body in place?</v>
      </c>
      <c r="C369" s="2" t="s">
        <v>7839</v>
      </c>
      <c r="D369" s="442" t="s">
        <v>7840</v>
      </c>
      <c r="E369" s="442" t="s">
        <v>7841</v>
      </c>
      <c r="F369" s="442" t="s">
        <v>7842</v>
      </c>
      <c r="G369" s="449" t="s">
        <v>7843</v>
      </c>
      <c r="H369" s="449" t="s">
        <v>7844</v>
      </c>
      <c r="I369" s="2" t="s">
        <v>7845</v>
      </c>
      <c r="J369" s="448" t="s">
        <v>7846</v>
      </c>
      <c r="K369" s="448" t="s">
        <v>7847</v>
      </c>
      <c r="L369" s="448" t="s">
        <v>7848</v>
      </c>
      <c r="M369" s="448" t="s">
        <v>7849</v>
      </c>
      <c r="N369" s="448" t="s">
        <v>7850</v>
      </c>
    </row>
    <row r="370" spans="1:14" ht="58.3" hidden="1">
      <c r="A370" s="2" t="s">
        <v>7851</v>
      </c>
      <c r="B370" s="2" t="str">
        <f t="shared" si="10"/>
        <v>Number of female board members at the end of the reporting period</v>
      </c>
      <c r="C370" s="2" t="s">
        <v>7852</v>
      </c>
      <c r="D370" s="442" t="s">
        <v>7853</v>
      </c>
      <c r="E370" s="442" t="s">
        <v>7854</v>
      </c>
      <c r="F370" s="442" t="s">
        <v>7855</v>
      </c>
      <c r="G370" s="449" t="s">
        <v>7856</v>
      </c>
      <c r="H370" s="449" t="s">
        <v>7857</v>
      </c>
      <c r="I370" s="2" t="s">
        <v>7858</v>
      </c>
      <c r="J370" s="448" t="s">
        <v>7859</v>
      </c>
      <c r="K370" s="448" t="s">
        <v>7860</v>
      </c>
      <c r="L370" s="448" t="s">
        <v>7861</v>
      </c>
      <c r="M370" s="448" t="s">
        <v>7862</v>
      </c>
      <c r="N370" s="448" t="s">
        <v>7863</v>
      </c>
    </row>
    <row r="371" spans="1:14" ht="29.15" hidden="1">
      <c r="A371" s="2" t="s">
        <v>7864</v>
      </c>
      <c r="B371" s="2" t="str">
        <f t="shared" si="10"/>
        <v>Number of male board members at the end of the reporting period</v>
      </c>
      <c r="C371" s="2" t="s">
        <v>7865</v>
      </c>
      <c r="D371" s="442" t="s">
        <v>7866</v>
      </c>
      <c r="E371" s="442" t="s">
        <v>7867</v>
      </c>
      <c r="F371" s="442" t="s">
        <v>7868</v>
      </c>
      <c r="G371" s="449" t="s">
        <v>7869</v>
      </c>
      <c r="H371" s="449" t="s">
        <v>7870</v>
      </c>
      <c r="I371" s="2" t="s">
        <v>7871</v>
      </c>
      <c r="J371" s="448" t="s">
        <v>7872</v>
      </c>
      <c r="K371" s="448" t="s">
        <v>7873</v>
      </c>
      <c r="L371" s="448" t="s">
        <v>7874</v>
      </c>
      <c r="M371" s="448" t="s">
        <v>7875</v>
      </c>
      <c r="N371" s="448" t="s">
        <v>7876</v>
      </c>
    </row>
    <row r="372" spans="1:14" ht="29.6" hidden="1" thickBot="1">
      <c r="A372" s="454" t="s">
        <v>7877</v>
      </c>
      <c r="B372" s="454" t="str">
        <f t="shared" si="10"/>
        <v>Gender diversity ratio in governance body</v>
      </c>
      <c r="C372" s="454" t="s">
        <v>7878</v>
      </c>
      <c r="D372" s="450" t="s">
        <v>7879</v>
      </c>
      <c r="E372" s="450" t="s">
        <v>7880</v>
      </c>
      <c r="F372" s="450" t="s">
        <v>7881</v>
      </c>
      <c r="G372" s="453" t="s">
        <v>7882</v>
      </c>
      <c r="H372" s="453" t="s">
        <v>7883</v>
      </c>
      <c r="I372" s="454" t="s">
        <v>7833</v>
      </c>
      <c r="J372" s="452" t="s">
        <v>7884</v>
      </c>
      <c r="K372" s="452" t="s">
        <v>7885</v>
      </c>
      <c r="L372" s="452" t="s">
        <v>7886</v>
      </c>
      <c r="M372" s="452" t="s">
        <v>7887</v>
      </c>
      <c r="N372" s="452" t="s">
        <v>7888</v>
      </c>
    </row>
    <row r="373" spans="1:14" ht="43.75" hidden="1">
      <c r="A373" s="497" t="s">
        <v>7889</v>
      </c>
      <c r="B373" s="497" t="str">
        <f t="shared" si="10"/>
        <v>Disclosure of any other governance and/or entity specific governance disclosures</v>
      </c>
      <c r="C373" s="2" t="s">
        <v>7890</v>
      </c>
      <c r="D373" s="2" t="s">
        <v>7891</v>
      </c>
      <c r="E373" s="2" t="s">
        <v>7892</v>
      </c>
      <c r="F373" s="2" t="s">
        <v>7893</v>
      </c>
      <c r="G373" s="2" t="s">
        <v>7894</v>
      </c>
      <c r="H373" s="2" t="s">
        <v>7895</v>
      </c>
      <c r="I373" s="2" t="s">
        <v>7896</v>
      </c>
      <c r="J373" s="2" t="s">
        <v>7897</v>
      </c>
      <c r="K373" s="2" t="s">
        <v>7898</v>
      </c>
      <c r="L373" s="2" t="s">
        <v>7899</v>
      </c>
      <c r="M373" s="2" t="s">
        <v>7900</v>
      </c>
      <c r="N373" s="2" t="s">
        <v>7901</v>
      </c>
    </row>
    <row r="374" spans="1:14" hidden="1">
      <c r="A374" s="2" t="s">
        <v>7902</v>
      </c>
      <c r="B374" s="2" t="str">
        <f t="shared" si="10"/>
        <v>FUEL CONVERTER</v>
      </c>
      <c r="C374" s="2" t="s">
        <v>7903</v>
      </c>
      <c r="D374" s="442" t="s">
        <v>7904</v>
      </c>
      <c r="E374" s="442" t="s">
        <v>7905</v>
      </c>
      <c r="F374" s="442" t="s">
        <v>7906</v>
      </c>
      <c r="G374" s="449" t="s">
        <v>7907</v>
      </c>
      <c r="H374" s="449" t="s">
        <v>7908</v>
      </c>
      <c r="I374" s="2" t="s">
        <v>7909</v>
      </c>
      <c r="J374" s="448" t="s">
        <v>7910</v>
      </c>
      <c r="K374" s="448" t="s">
        <v>7911</v>
      </c>
      <c r="L374" s="448" t="s">
        <v>7912</v>
      </c>
      <c r="M374" s="448" t="s">
        <v>7913</v>
      </c>
      <c r="N374" s="448" t="s">
        <v>7914</v>
      </c>
    </row>
    <row r="375" spans="1:14" ht="43.75" hidden="1">
      <c r="A375" s="2" t="s">
        <v>7915</v>
      </c>
      <c r="B375" s="2" t="str">
        <f t="shared" si="10"/>
        <v>DISCLAIMER:</v>
      </c>
      <c r="C375" s="2" t="s">
        <v>7916</v>
      </c>
      <c r="D375" s="442" t="s">
        <v>7917</v>
      </c>
      <c r="E375" s="442" t="s">
        <v>7918</v>
      </c>
      <c r="F375" s="442" t="s">
        <v>7919</v>
      </c>
      <c r="G375" s="449" t="s">
        <v>7920</v>
      </c>
      <c r="H375" s="449" t="s">
        <v>7921</v>
      </c>
      <c r="I375" s="2" t="s">
        <v>7922</v>
      </c>
      <c r="J375" s="448" t="s">
        <v>7923</v>
      </c>
      <c r="K375" s="448" t="s">
        <v>7924</v>
      </c>
      <c r="L375" s="448" t="s">
        <v>7925</v>
      </c>
      <c r="M375" s="448" t="s">
        <v>7926</v>
      </c>
      <c r="N375" s="448" t="s">
        <v>7927</v>
      </c>
    </row>
    <row r="376" spans="1:14" ht="116.6" hidden="1">
      <c r="A376" s="2" t="s">
        <v>7928</v>
      </c>
      <c r="B376" s="2"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376" s="2" t="s">
        <v>7929</v>
      </c>
      <c r="D376" s="442" t="s">
        <v>7930</v>
      </c>
      <c r="E376" s="442" t="s">
        <v>7931</v>
      </c>
      <c r="F376" s="442" t="s">
        <v>7932</v>
      </c>
      <c r="G376" s="449" t="s">
        <v>7933</v>
      </c>
      <c r="H376" s="449" t="s">
        <v>7934</v>
      </c>
      <c r="I376" s="2" t="s">
        <v>7935</v>
      </c>
      <c r="J376" s="448" t="s">
        <v>7936</v>
      </c>
      <c r="K376" s="448" t="s">
        <v>7937</v>
      </c>
      <c r="L376" s="448" t="s">
        <v>7938</v>
      </c>
      <c r="M376" s="448" t="s">
        <v>7939</v>
      </c>
      <c r="N376" s="448" t="s">
        <v>7940</v>
      </c>
    </row>
    <row r="377" spans="1:14" ht="145.75" hidden="1">
      <c r="A377" s="2" t="s">
        <v>7941</v>
      </c>
      <c r="B377" s="2"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377" s="2" t="s">
        <v>7942</v>
      </c>
      <c r="D377" s="442" t="s">
        <v>7943</v>
      </c>
      <c r="E377" s="442" t="s">
        <v>7944</v>
      </c>
      <c r="F377" s="442" t="s">
        <v>7945</v>
      </c>
      <c r="G377" s="449" t="s">
        <v>7946</v>
      </c>
      <c r="H377" s="449" t="s">
        <v>7947</v>
      </c>
      <c r="I377" s="2" t="s">
        <v>7948</v>
      </c>
      <c r="J377" s="448" t="s">
        <v>7949</v>
      </c>
      <c r="K377" s="448" t="s">
        <v>7950</v>
      </c>
      <c r="L377" s="448" t="s">
        <v>7951</v>
      </c>
      <c r="M377" s="448" t="s">
        <v>7952</v>
      </c>
      <c r="N377" s="448" t="s">
        <v>7953</v>
      </c>
    </row>
    <row r="378" spans="1:14" ht="131.15" hidden="1">
      <c r="A378" s="2" t="s">
        <v>7954</v>
      </c>
      <c r="B378" s="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378" s="2" t="s">
        <v>7955</v>
      </c>
      <c r="D378" s="442" t="s">
        <v>7956</v>
      </c>
      <c r="E378" s="442" t="s">
        <v>7957</v>
      </c>
      <c r="F378" s="442" t="s">
        <v>7958</v>
      </c>
      <c r="G378" s="449" t="s">
        <v>7959</v>
      </c>
      <c r="H378" s="449" t="s">
        <v>7960</v>
      </c>
      <c r="I378" s="2" t="s">
        <v>7961</v>
      </c>
      <c r="J378" s="448" t="s">
        <v>7962</v>
      </c>
      <c r="K378" s="448" t="s">
        <v>7963</v>
      </c>
      <c r="L378" s="448" t="s">
        <v>7964</v>
      </c>
      <c r="M378" s="448" t="s">
        <v>7965</v>
      </c>
      <c r="N378" s="448" t="s">
        <v>7966</v>
      </c>
    </row>
    <row r="379" spans="1:14" ht="58.3" hidden="1">
      <c r="A379" s="2" t="s">
        <v>7967</v>
      </c>
      <c r="B379" s="2" t="str">
        <f t="shared" si="10"/>
        <v>Indicates that the cell should be filled either by selecting a value from the dropdown (e.g. Type of fuel or Unit of Measurement) or by entering an amount.</v>
      </c>
      <c r="C379" s="2" t="s">
        <v>7968</v>
      </c>
      <c r="D379" s="442" t="s">
        <v>7969</v>
      </c>
      <c r="E379" s="442" t="s">
        <v>7970</v>
      </c>
      <c r="F379" s="442" t="s">
        <v>7971</v>
      </c>
      <c r="G379" s="449" t="s">
        <v>7972</v>
      </c>
      <c r="H379" s="449" t="s">
        <v>7973</v>
      </c>
      <c r="I379" s="2" t="s">
        <v>7974</v>
      </c>
      <c r="J379" s="448" t="s">
        <v>7975</v>
      </c>
      <c r="K379" s="448" t="s">
        <v>7976</v>
      </c>
      <c r="L379" s="448" t="s">
        <v>7977</v>
      </c>
      <c r="M379" s="448" t="s">
        <v>7978</v>
      </c>
      <c r="N379" s="448" t="s">
        <v>7979</v>
      </c>
    </row>
    <row r="380" spans="1:14" hidden="1">
      <c r="A380" s="2" t="s">
        <v>7980</v>
      </c>
      <c r="B380" s="2" t="str">
        <f t="shared" si="10"/>
        <v>Fuel type</v>
      </c>
      <c r="C380" s="2" t="s">
        <v>7981</v>
      </c>
      <c r="D380" s="442" t="s">
        <v>7982</v>
      </c>
      <c r="E380" s="442" t="s">
        <v>7983</v>
      </c>
      <c r="F380" s="442" t="s">
        <v>7984</v>
      </c>
      <c r="G380" s="449" t="s">
        <v>7985</v>
      </c>
      <c r="H380" s="449" t="s">
        <v>7986</v>
      </c>
      <c r="I380" s="2" t="s">
        <v>7987</v>
      </c>
      <c r="J380" s="448" t="s">
        <v>7988</v>
      </c>
      <c r="K380" s="448" t="s">
        <v>7989</v>
      </c>
      <c r="L380" s="448" t="s">
        <v>7990</v>
      </c>
      <c r="M380" s="448" t="s">
        <v>7991</v>
      </c>
      <c r="N380" s="448" t="s">
        <v>7992</v>
      </c>
    </row>
    <row r="381" spans="1:14" hidden="1">
      <c r="A381" s="2" t="s">
        <v>7993</v>
      </c>
      <c r="B381" s="2" t="str">
        <f t="shared" si="10"/>
        <v>Amount</v>
      </c>
      <c r="C381" s="2" t="s">
        <v>99</v>
      </c>
      <c r="D381" s="442" t="s">
        <v>7994</v>
      </c>
      <c r="E381" s="442" t="s">
        <v>7995</v>
      </c>
      <c r="F381" s="442" t="s">
        <v>7996</v>
      </c>
      <c r="G381" s="449" t="s">
        <v>7997</v>
      </c>
      <c r="H381" s="449" t="s">
        <v>7998</v>
      </c>
      <c r="I381" s="2" t="s">
        <v>7999</v>
      </c>
      <c r="J381" s="448" t="s">
        <v>8000</v>
      </c>
      <c r="K381" s="448" t="s">
        <v>8001</v>
      </c>
      <c r="L381" s="448" t="s">
        <v>8002</v>
      </c>
      <c r="M381" s="448" t="s">
        <v>8003</v>
      </c>
      <c r="N381" s="448" t="s">
        <v>8004</v>
      </c>
    </row>
    <row r="382" spans="1:14" hidden="1">
      <c r="A382" s="2" t="s">
        <v>8005</v>
      </c>
      <c r="B382" s="2" t="str">
        <f t="shared" si="10"/>
        <v>State of matter</v>
      </c>
      <c r="C382" s="2" t="s">
        <v>96</v>
      </c>
      <c r="D382" s="442" t="s">
        <v>8006</v>
      </c>
      <c r="E382" s="442" t="s">
        <v>8007</v>
      </c>
      <c r="F382" s="442" t="s">
        <v>8008</v>
      </c>
      <c r="G382" s="449" t="s">
        <v>8009</v>
      </c>
      <c r="H382" s="449" t="s">
        <v>8010</v>
      </c>
      <c r="I382" s="2" t="s">
        <v>8011</v>
      </c>
      <c r="J382" s="448" t="s">
        <v>8012</v>
      </c>
      <c r="K382" s="448" t="s">
        <v>8013</v>
      </c>
      <c r="L382" s="448" t="s">
        <v>8014</v>
      </c>
      <c r="M382" s="448" t="s">
        <v>8015</v>
      </c>
      <c r="N382" s="448" t="s">
        <v>8016</v>
      </c>
    </row>
    <row r="383" spans="1:14" hidden="1">
      <c r="A383" s="2" t="s">
        <v>8017</v>
      </c>
      <c r="B383" s="2" t="str">
        <f t="shared" si="10"/>
        <v>Typical renewable state</v>
      </c>
      <c r="C383" s="2" t="s">
        <v>8018</v>
      </c>
      <c r="D383" s="442" t="s">
        <v>8019</v>
      </c>
      <c r="E383" s="442" t="s">
        <v>8020</v>
      </c>
      <c r="F383" s="442" t="s">
        <v>8021</v>
      </c>
      <c r="G383" s="449" t="s">
        <v>8022</v>
      </c>
      <c r="H383" s="449" t="s">
        <v>8023</v>
      </c>
      <c r="I383" s="2" t="s">
        <v>8024</v>
      </c>
      <c r="J383" s="448" t="s">
        <v>8025</v>
      </c>
      <c r="K383" s="448" t="s">
        <v>8026</v>
      </c>
      <c r="L383" s="448" t="s">
        <v>8027</v>
      </c>
      <c r="M383" s="448" t="s">
        <v>8028</v>
      </c>
      <c r="N383" s="448" t="s">
        <v>8029</v>
      </c>
    </row>
    <row r="384" spans="1:14" hidden="1">
      <c r="A384" s="2" t="s">
        <v>8030</v>
      </c>
      <c r="B384" s="2" t="str">
        <f t="shared" si="10"/>
        <v>Calculated Energy in MWh</v>
      </c>
      <c r="C384" s="2" t="s">
        <v>8031</v>
      </c>
      <c r="D384" s="442" t="s">
        <v>8032</v>
      </c>
      <c r="E384" s="442" t="s">
        <v>8033</v>
      </c>
      <c r="F384" s="442" t="s">
        <v>8034</v>
      </c>
      <c r="G384" s="449" t="s">
        <v>8035</v>
      </c>
      <c r="H384" s="449" t="s">
        <v>8036</v>
      </c>
      <c r="I384" s="2" t="s">
        <v>8037</v>
      </c>
      <c r="J384" s="448" t="s">
        <v>8038</v>
      </c>
      <c r="K384" s="448" t="s">
        <v>8039</v>
      </c>
      <c r="L384" s="448" t="s">
        <v>8040</v>
      </c>
      <c r="M384" s="448" t="s">
        <v>8041</v>
      </c>
      <c r="N384" s="448" t="s">
        <v>8042</v>
      </c>
    </row>
    <row r="385" spans="1:14" hidden="1">
      <c r="A385" s="2" t="s">
        <v>8043</v>
      </c>
      <c r="B385" s="2" t="str">
        <f t="shared" si="10"/>
        <v>Usage of Fuel Converter:</v>
      </c>
      <c r="C385" s="2" t="s">
        <v>8044</v>
      </c>
      <c r="D385" s="442" t="s">
        <v>8045</v>
      </c>
      <c r="E385" s="442" t="s">
        <v>8046</v>
      </c>
      <c r="F385" s="442" t="s">
        <v>8047</v>
      </c>
      <c r="G385" s="449" t="s">
        <v>8048</v>
      </c>
      <c r="H385" s="449" t="s">
        <v>8049</v>
      </c>
      <c r="I385" s="2" t="s">
        <v>8050</v>
      </c>
      <c r="J385" s="448" t="s">
        <v>8051</v>
      </c>
      <c r="K385" s="448" t="s">
        <v>8052</v>
      </c>
      <c r="L385" s="448" t="s">
        <v>8053</v>
      </c>
      <c r="M385" s="448" t="s">
        <v>8054</v>
      </c>
      <c r="N385" s="448" t="s">
        <v>8055</v>
      </c>
    </row>
    <row r="386" spans="1:14" ht="72.900000000000006" hidden="1">
      <c r="A386" s="2" t="s">
        <v>8056</v>
      </c>
      <c r="B386" s="2" t="str">
        <f t="shared" si="10"/>
        <v>1. In cell A10 select the Fuel used, searching for it or scrolling down the list displayed clicking the cell</v>
      </c>
      <c r="C386" s="2" t="s">
        <v>8057</v>
      </c>
      <c r="D386" s="442" t="s">
        <v>8058</v>
      </c>
      <c r="E386" s="442" t="s">
        <v>8059</v>
      </c>
      <c r="F386" s="442" t="s">
        <v>8060</v>
      </c>
      <c r="G386" s="449" t="s">
        <v>8061</v>
      </c>
      <c r="H386" s="449" t="s">
        <v>8062</v>
      </c>
      <c r="I386" s="2" t="s">
        <v>8063</v>
      </c>
      <c r="J386" s="448" t="s">
        <v>8064</v>
      </c>
      <c r="K386" s="448" t="s">
        <v>8065</v>
      </c>
      <c r="L386" s="448" t="s">
        <v>8066</v>
      </c>
      <c r="M386" s="448" t="s">
        <v>8067</v>
      </c>
      <c r="N386" s="448" t="s">
        <v>8068</v>
      </c>
    </row>
    <row r="387" spans="1:14" hidden="1">
      <c r="A387" s="2" t="s">
        <v>8069</v>
      </c>
      <c r="B387" s="2" t="str">
        <f t="shared" si="10"/>
        <v>2. In cell B10 select the Unit of measurement used</v>
      </c>
      <c r="C387" s="2" t="s">
        <v>8070</v>
      </c>
      <c r="D387" s="442" t="s">
        <v>8071</v>
      </c>
      <c r="E387" s="442" t="s">
        <v>8072</v>
      </c>
      <c r="F387" s="442" t="s">
        <v>8073</v>
      </c>
      <c r="G387" s="449" t="s">
        <v>8074</v>
      </c>
      <c r="H387" s="449" t="s">
        <v>8075</v>
      </c>
      <c r="I387" s="2" t="s">
        <v>8076</v>
      </c>
      <c r="J387" s="448" t="s">
        <v>8077</v>
      </c>
      <c r="K387" s="448" t="s">
        <v>8078</v>
      </c>
      <c r="L387" s="448" t="s">
        <v>8079</v>
      </c>
      <c r="M387" s="448" t="s">
        <v>8080</v>
      </c>
      <c r="N387" s="448" t="s">
        <v>8081</v>
      </c>
    </row>
    <row r="388" spans="1:14" ht="29.15" hidden="1">
      <c r="A388" s="2" t="s">
        <v>8082</v>
      </c>
      <c r="B388" s="2" t="str">
        <f t="shared" si="10"/>
        <v>3. In cell C10 select the Amount of fuel used</v>
      </c>
      <c r="C388" s="2" t="s">
        <v>8083</v>
      </c>
      <c r="D388" s="442" t="s">
        <v>8084</v>
      </c>
      <c r="E388" s="442" t="s">
        <v>8085</v>
      </c>
      <c r="F388" s="442" t="s">
        <v>8086</v>
      </c>
      <c r="G388" s="449" t="s">
        <v>8087</v>
      </c>
      <c r="H388" s="449" t="s">
        <v>8088</v>
      </c>
      <c r="I388" s="2" t="s">
        <v>8089</v>
      </c>
      <c r="J388" s="448" t="s">
        <v>8090</v>
      </c>
      <c r="K388" s="448" t="s">
        <v>8091</v>
      </c>
      <c r="L388" s="448" t="s">
        <v>8092</v>
      </c>
      <c r="M388" s="448" t="s">
        <v>8093</v>
      </c>
      <c r="N388" s="448" t="s">
        <v>8094</v>
      </c>
    </row>
    <row r="389" spans="1:14" ht="58.3" hidden="1">
      <c r="A389" s="2" t="s">
        <v>8095</v>
      </c>
      <c r="B389" s="2" t="str">
        <f t="shared" si="10"/>
        <v>4. In cell D10 it is displayed the State of matter for the Fuel selected</v>
      </c>
      <c r="C389" s="2" t="s">
        <v>8096</v>
      </c>
      <c r="D389" s="442" t="s">
        <v>8097</v>
      </c>
      <c r="E389" s="442" t="s">
        <v>8098</v>
      </c>
      <c r="F389" s="442" t="s">
        <v>8099</v>
      </c>
      <c r="G389" s="449" t="s">
        <v>8100</v>
      </c>
      <c r="H389" s="449" t="s">
        <v>8101</v>
      </c>
      <c r="I389" s="2" t="s">
        <v>8102</v>
      </c>
      <c r="J389" s="448" t="s">
        <v>8103</v>
      </c>
      <c r="K389" s="448" t="s">
        <v>8104</v>
      </c>
      <c r="L389" s="448" t="s">
        <v>8105</v>
      </c>
      <c r="M389" s="448" t="s">
        <v>8106</v>
      </c>
      <c r="N389" s="448" t="s">
        <v>8107</v>
      </c>
    </row>
    <row r="390" spans="1:14" ht="58.3" hidden="1">
      <c r="A390" s="2" t="s">
        <v>8108</v>
      </c>
      <c r="B390" s="2" t="str">
        <f t="shared" si="10"/>
        <v>5. In cell E10 it is displayed the Typical renewability state for the Fuel selected</v>
      </c>
      <c r="C390" s="2" t="s">
        <v>8109</v>
      </c>
      <c r="D390" s="442" t="s">
        <v>8110</v>
      </c>
      <c r="E390" s="442" t="s">
        <v>8111</v>
      </c>
      <c r="F390" s="442" t="s">
        <v>8112</v>
      </c>
      <c r="G390" s="449" t="s">
        <v>8113</v>
      </c>
      <c r="H390" s="449" t="s">
        <v>8114</v>
      </c>
      <c r="I390" s="2" t="s">
        <v>8115</v>
      </c>
      <c r="J390" s="448" t="s">
        <v>8116</v>
      </c>
      <c r="K390" s="448" t="s">
        <v>8117</v>
      </c>
      <c r="L390" s="448" t="s">
        <v>8118</v>
      </c>
      <c r="M390" s="448" t="s">
        <v>8119</v>
      </c>
      <c r="N390" s="448" t="s">
        <v>8120</v>
      </c>
    </row>
    <row r="391" spans="1:14" ht="58.3" hidden="1">
      <c r="A391" s="2" t="s">
        <v>8121</v>
      </c>
      <c r="B391" s="2" t="str">
        <f t="shared" si="10"/>
        <v>6. In cell F10 is displayed the Energy produced in Mega Watt hours by the Amount of Fuel specified</v>
      </c>
      <c r="C391" s="2" t="s">
        <v>8122</v>
      </c>
      <c r="D391" s="442" t="s">
        <v>8123</v>
      </c>
      <c r="E391" s="442" t="s">
        <v>8124</v>
      </c>
      <c r="F391" s="442" t="s">
        <v>8125</v>
      </c>
      <c r="G391" s="449" t="s">
        <v>8126</v>
      </c>
      <c r="H391" s="449" t="s">
        <v>8127</v>
      </c>
      <c r="I391" s="2" t="s">
        <v>8128</v>
      </c>
      <c r="J391" s="448" t="s">
        <v>8129</v>
      </c>
      <c r="K391" s="448" t="s">
        <v>8130</v>
      </c>
      <c r="L391" s="448" t="s">
        <v>8131</v>
      </c>
      <c r="M391" s="448" t="s">
        <v>8132</v>
      </c>
      <c r="N391" s="448" t="s">
        <v>8133</v>
      </c>
    </row>
    <row r="392" spans="1:14" ht="29.15" hidden="1">
      <c r="A392" s="2" t="s">
        <v>8134</v>
      </c>
      <c r="B392" s="2" t="str">
        <f t="shared" si="10"/>
        <v>7. In cell A29 is displayed the Total Energy in Mega Watt hours</v>
      </c>
      <c r="C392" s="2" t="s">
        <v>8135</v>
      </c>
      <c r="D392" s="442" t="s">
        <v>8136</v>
      </c>
      <c r="E392" s="442" t="s">
        <v>8137</v>
      </c>
      <c r="F392" s="442" t="s">
        <v>8138</v>
      </c>
      <c r="G392" s="449" t="s">
        <v>8139</v>
      </c>
      <c r="H392" s="449" t="s">
        <v>8140</v>
      </c>
      <c r="I392" s="2" t="s">
        <v>8141</v>
      </c>
      <c r="J392" s="448" t="s">
        <v>8142</v>
      </c>
      <c r="K392" s="448" t="s">
        <v>8143</v>
      </c>
      <c r="L392" s="448" t="s">
        <v>8144</v>
      </c>
      <c r="M392" s="448" t="s">
        <v>8145</v>
      </c>
      <c r="N392" s="448" t="s">
        <v>8146</v>
      </c>
    </row>
    <row r="393" spans="1:14" ht="58.3" hidden="1">
      <c r="A393" s="2" t="s">
        <v>8147</v>
      </c>
      <c r="B393" s="2" t="str">
        <f t="shared" si="10"/>
        <v>8. In cell A32 is displayed the Total Renewable Energy in Mega Watt hours</v>
      </c>
      <c r="C393" s="2" t="s">
        <v>8148</v>
      </c>
      <c r="D393" s="442" t="s">
        <v>8149</v>
      </c>
      <c r="E393" s="442" t="s">
        <v>8150</v>
      </c>
      <c r="F393" s="442" t="s">
        <v>8151</v>
      </c>
      <c r="G393" s="449" t="s">
        <v>8152</v>
      </c>
      <c r="H393" s="449" t="s">
        <v>8153</v>
      </c>
      <c r="I393" s="2" t="s">
        <v>8154</v>
      </c>
      <c r="J393" s="448" t="s">
        <v>8155</v>
      </c>
      <c r="K393" s="448" t="s">
        <v>8156</v>
      </c>
      <c r="L393" s="448" t="s">
        <v>8157</v>
      </c>
      <c r="M393" s="448" t="s">
        <v>8158</v>
      </c>
      <c r="N393" s="448" t="s">
        <v>8159</v>
      </c>
    </row>
    <row r="394" spans="1:14" ht="29.15" hidden="1">
      <c r="A394" s="2" t="s">
        <v>8160</v>
      </c>
      <c r="B394" s="2" t="str">
        <f t="shared" si="10"/>
        <v>9. In cell B32 is displayed the Total Non-renewable Energy in Mega Watt hours</v>
      </c>
      <c r="C394" s="2" t="s">
        <v>8161</v>
      </c>
      <c r="D394" s="442" t="s">
        <v>8162</v>
      </c>
      <c r="E394" s="442" t="s">
        <v>8163</v>
      </c>
      <c r="F394" s="442" t="s">
        <v>8164</v>
      </c>
      <c r="G394" s="449" t="s">
        <v>8165</v>
      </c>
      <c r="H394" s="449" t="s">
        <v>8166</v>
      </c>
      <c r="I394" s="2" t="s">
        <v>8167</v>
      </c>
      <c r="J394" s="448" t="s">
        <v>8168</v>
      </c>
      <c r="K394" s="448" t="s">
        <v>8169</v>
      </c>
      <c r="L394" s="448" t="s">
        <v>8170</v>
      </c>
      <c r="M394" s="448" t="s">
        <v>8171</v>
      </c>
      <c r="N394" s="448" t="s">
        <v>8172</v>
      </c>
    </row>
    <row r="395" spans="1:14" ht="174.9" hidden="1">
      <c r="A395" s="2" t="s">
        <v>8173</v>
      </c>
      <c r="B395" s="2" t="str">
        <f t="shared" si="10"/>
        <v>10. Further notes can be found below</v>
      </c>
      <c r="C395" s="2" t="s">
        <v>8174</v>
      </c>
      <c r="D395" s="442" t="s">
        <v>8175</v>
      </c>
      <c r="E395" s="442" t="s">
        <v>8176</v>
      </c>
      <c r="F395" s="442" t="s">
        <v>8177</v>
      </c>
      <c r="G395" s="449" t="s">
        <v>8178</v>
      </c>
      <c r="H395" s="449" t="s">
        <v>8179</v>
      </c>
      <c r="I395" s="2" t="s">
        <v>8180</v>
      </c>
      <c r="J395" s="448" t="s">
        <v>8181</v>
      </c>
      <c r="K395" s="448" t="s">
        <v>8182</v>
      </c>
      <c r="L395" s="448" t="s">
        <v>8183</v>
      </c>
      <c r="M395" s="448" t="s">
        <v>8184</v>
      </c>
      <c r="N395" s="448" t="s">
        <v>8185</v>
      </c>
    </row>
    <row r="396" spans="1:14" ht="29.15" hidden="1">
      <c r="A396" s="2" t="s">
        <v>8186</v>
      </c>
      <c r="B396" s="2" t="str">
        <f t="shared" si="10"/>
        <v>Transfer the total calculated results to the B3 "Fuel Energy Consumption" reporting cell</v>
      </c>
      <c r="C396" s="2" t="s">
        <v>8187</v>
      </c>
      <c r="D396" s="442" t="s">
        <v>8188</v>
      </c>
      <c r="E396" s="442" t="s">
        <v>8189</v>
      </c>
      <c r="F396" s="442" t="s">
        <v>8190</v>
      </c>
      <c r="G396" s="449" t="s">
        <v>8191</v>
      </c>
      <c r="H396" s="449" t="s">
        <v>8192</v>
      </c>
      <c r="I396" s="2" t="s">
        <v>8193</v>
      </c>
      <c r="J396" s="448" t="s">
        <v>8194</v>
      </c>
      <c r="K396" s="448" t="s">
        <v>8195</v>
      </c>
      <c r="L396" s="448" t="s">
        <v>8196</v>
      </c>
      <c r="M396" s="448" t="s">
        <v>8197</v>
      </c>
      <c r="N396" s="448" t="s">
        <v>8198</v>
      </c>
    </row>
    <row r="397" spans="1:14" hidden="1">
      <c r="A397" s="2" t="s">
        <v>8199</v>
      </c>
      <c r="B397" s="2" t="str">
        <f t="shared" si="10"/>
        <v>Total Energy [MWh]</v>
      </c>
      <c r="C397" s="2" t="s">
        <v>8200</v>
      </c>
      <c r="D397" s="442" t="s">
        <v>8201</v>
      </c>
      <c r="E397" s="442" t="s">
        <v>8202</v>
      </c>
      <c r="F397" s="442" t="s">
        <v>8203</v>
      </c>
      <c r="G397" s="449" t="s">
        <v>8204</v>
      </c>
      <c r="H397" s="449" t="s">
        <v>8205</v>
      </c>
      <c r="I397" s="2" t="s">
        <v>8206</v>
      </c>
      <c r="J397" s="448" t="s">
        <v>8207</v>
      </c>
      <c r="K397" s="448" t="s">
        <v>8208</v>
      </c>
      <c r="L397" s="448" t="s">
        <v>8209</v>
      </c>
      <c r="M397" s="448" t="s">
        <v>8210</v>
      </c>
      <c r="N397" s="448" t="s">
        <v>8211</v>
      </c>
    </row>
    <row r="398" spans="1:14" ht="58.3" hidden="1">
      <c r="A398" s="2" t="s">
        <v>8212</v>
      </c>
      <c r="B398" s="2" t="str">
        <f t="shared" si="10"/>
        <v>Total Renewable Energy [MWh]</v>
      </c>
      <c r="C398" s="2" t="s">
        <v>8213</v>
      </c>
      <c r="D398" s="442" t="s">
        <v>8214</v>
      </c>
      <c r="E398" s="442" t="s">
        <v>8215</v>
      </c>
      <c r="F398" s="442" t="s">
        <v>8216</v>
      </c>
      <c r="G398" s="449" t="s">
        <v>8217</v>
      </c>
      <c r="H398" s="449" t="s">
        <v>8218</v>
      </c>
      <c r="I398" s="2" t="s">
        <v>8219</v>
      </c>
      <c r="J398" s="448" t="s">
        <v>8220</v>
      </c>
      <c r="K398" s="448" t="s">
        <v>8221</v>
      </c>
      <c r="L398" s="448" t="s">
        <v>8222</v>
      </c>
      <c r="M398" s="448" t="s">
        <v>8223</v>
      </c>
      <c r="N398" s="448" t="s">
        <v>8224</v>
      </c>
    </row>
    <row r="399" spans="1:14" hidden="1">
      <c r="A399" s="2" t="s">
        <v>8225</v>
      </c>
      <c r="B399" s="2" t="str">
        <f t="shared" si="10"/>
        <v>Total Non-renewable Energy [MWh]</v>
      </c>
      <c r="C399" s="2" t="s">
        <v>8226</v>
      </c>
      <c r="D399" s="442" t="s">
        <v>8227</v>
      </c>
      <c r="E399" s="442" t="s">
        <v>8228</v>
      </c>
      <c r="F399" s="442" t="s">
        <v>8229</v>
      </c>
      <c r="G399" s="449" t="s">
        <v>8230</v>
      </c>
      <c r="H399" s="449" t="s">
        <v>8231</v>
      </c>
      <c r="I399" s="2" t="s">
        <v>8232</v>
      </c>
      <c r="J399" s="448" t="s">
        <v>8233</v>
      </c>
      <c r="K399" s="448" t="s">
        <v>8234</v>
      </c>
      <c r="L399" s="448" t="s">
        <v>8235</v>
      </c>
      <c r="M399" s="448" t="s">
        <v>8236</v>
      </c>
      <c r="N399" s="448" t="s">
        <v>8237</v>
      </c>
    </row>
    <row r="400" spans="1:14" hidden="1">
      <c r="A400" s="2" t="s">
        <v>8238</v>
      </c>
      <c r="B400" s="2" t="str">
        <f t="shared" si="10"/>
        <v>Further notes:</v>
      </c>
      <c r="C400" s="2" t="s">
        <v>8239</v>
      </c>
      <c r="D400" s="442" t="s">
        <v>8240</v>
      </c>
      <c r="E400" s="442" t="s">
        <v>8241</v>
      </c>
      <c r="F400" s="442" t="s">
        <v>8242</v>
      </c>
      <c r="G400" s="449" t="s">
        <v>8243</v>
      </c>
      <c r="H400" s="449" t="s">
        <v>8244</v>
      </c>
      <c r="I400" s="2" t="s">
        <v>8245</v>
      </c>
      <c r="J400" s="448" t="s">
        <v>8246</v>
      </c>
      <c r="K400" s="448" t="s">
        <v>8247</v>
      </c>
      <c r="L400" s="448" t="s">
        <v>8248</v>
      </c>
      <c r="M400" s="448" t="s">
        <v>8249</v>
      </c>
      <c r="N400" s="448" t="s">
        <v>8250</v>
      </c>
    </row>
    <row r="401" spans="1:14" ht="15" hidden="1" customHeight="1" thickBot="1">
      <c r="A401" s="454" t="s">
        <v>8251</v>
      </c>
      <c r="B401" s="454"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01" s="454" t="s">
        <v>8252</v>
      </c>
      <c r="D401" s="450" t="s">
        <v>8253</v>
      </c>
      <c r="E401" s="450" t="s">
        <v>8254</v>
      </c>
      <c r="F401" s="450" t="s">
        <v>8255</v>
      </c>
      <c r="G401" s="453" t="s">
        <v>8256</v>
      </c>
      <c r="H401" s="453" t="s">
        <v>8257</v>
      </c>
      <c r="I401" s="454" t="s">
        <v>8258</v>
      </c>
      <c r="J401" s="452" t="s">
        <v>8259</v>
      </c>
      <c r="K401" s="452" t="s">
        <v>8260</v>
      </c>
      <c r="L401" s="452" t="s">
        <v>8261</v>
      </c>
      <c r="M401" s="452" t="s">
        <v>8262</v>
      </c>
      <c r="N401" s="452" t="s">
        <v>8263</v>
      </c>
    </row>
    <row r="402" spans="1:14" ht="29.15" hidden="1">
      <c r="A402" s="2" t="s">
        <v>8264</v>
      </c>
      <c r="B402" s="2" t="str">
        <f t="shared" si="10"/>
        <v>Energy Consumption per Hour in MWh for Solid Fuels:</v>
      </c>
      <c r="C402" s="2" t="s">
        <v>8265</v>
      </c>
      <c r="D402" s="442" t="s">
        <v>8266</v>
      </c>
      <c r="E402" s="442" t="s">
        <v>8267</v>
      </c>
      <c r="F402" s="442" t="s">
        <v>8268</v>
      </c>
      <c r="G402" s="449" t="s">
        <v>8269</v>
      </c>
      <c r="H402" s="449" t="s">
        <v>8270</v>
      </c>
      <c r="I402" s="2" t="s">
        <v>8271</v>
      </c>
      <c r="J402" s="448" t="s">
        <v>8272</v>
      </c>
      <c r="K402" s="448" t="s">
        <v>8273</v>
      </c>
      <c r="L402" s="448" t="s">
        <v>8274</v>
      </c>
      <c r="M402" s="448" t="s">
        <v>8275</v>
      </c>
      <c r="N402" s="448" t="s">
        <v>8276</v>
      </c>
    </row>
    <row r="403" spans="1:14" ht="43.75" hidden="1">
      <c r="A403" s="2" t="s">
        <v>8277</v>
      </c>
      <c r="B403" s="2" t="str">
        <f t="shared" si="10"/>
        <v>Energy [MWh] = Mass [t] * NCV [MWh/t]</v>
      </c>
      <c r="C403" s="2" t="s">
        <v>8278</v>
      </c>
      <c r="D403" s="442" t="s">
        <v>8279</v>
      </c>
      <c r="E403" s="442" t="s">
        <v>8280</v>
      </c>
      <c r="F403" s="442" t="s">
        <v>8281</v>
      </c>
      <c r="G403" s="449" t="s">
        <v>8282</v>
      </c>
      <c r="H403" s="449" t="s">
        <v>8283</v>
      </c>
      <c r="I403" s="2" t="s">
        <v>8284</v>
      </c>
      <c r="J403" s="448" t="s">
        <v>8285</v>
      </c>
      <c r="K403" s="448" t="s">
        <v>8286</v>
      </c>
      <c r="L403" s="448" t="s">
        <v>8287</v>
      </c>
      <c r="M403" s="448" t="s">
        <v>8288</v>
      </c>
      <c r="N403" s="448" t="s">
        <v>8289</v>
      </c>
    </row>
    <row r="404" spans="1:14" ht="29.15" hidden="1">
      <c r="A404" s="2" t="s">
        <v>8290</v>
      </c>
      <c r="B404" s="2" t="str">
        <f t="shared" si="10"/>
        <v>Energy Consumption per Hour in MWh for Liquid Fuels:</v>
      </c>
      <c r="C404" s="2" t="s">
        <v>8291</v>
      </c>
      <c r="D404" s="442" t="s">
        <v>8292</v>
      </c>
      <c r="E404" s="442" t="s">
        <v>8293</v>
      </c>
      <c r="F404" s="442" t="s">
        <v>8294</v>
      </c>
      <c r="G404" s="449" t="s">
        <v>8295</v>
      </c>
      <c r="H404" s="449" t="s">
        <v>8296</v>
      </c>
      <c r="I404" s="2" t="s">
        <v>8297</v>
      </c>
      <c r="J404" s="448" t="s">
        <v>8298</v>
      </c>
      <c r="K404" s="448" t="s">
        <v>8299</v>
      </c>
      <c r="L404" s="448" t="s">
        <v>8300</v>
      </c>
      <c r="M404" s="448" t="s">
        <v>8301</v>
      </c>
      <c r="N404" s="448" t="s">
        <v>8302</v>
      </c>
    </row>
    <row r="405" spans="1:14" hidden="1">
      <c r="A405" s="2" t="s">
        <v>8303</v>
      </c>
      <c r="B405" s="2" t="str">
        <f t="shared" si="10"/>
        <v>Mass [t] = Volume [L] * Density [t/L]</v>
      </c>
      <c r="C405" s="2" t="s">
        <v>8304</v>
      </c>
      <c r="D405" s="442" t="s">
        <v>8305</v>
      </c>
      <c r="E405" s="442" t="s">
        <v>8306</v>
      </c>
      <c r="F405" s="442" t="s">
        <v>8307</v>
      </c>
      <c r="G405" s="449" t="s">
        <v>8308</v>
      </c>
      <c r="H405" s="449" t="s">
        <v>8309</v>
      </c>
      <c r="I405" s="2" t="s">
        <v>8310</v>
      </c>
      <c r="J405" s="448" t="s">
        <v>8311</v>
      </c>
      <c r="K405" s="448" t="s">
        <v>8312</v>
      </c>
      <c r="L405" s="448" t="s">
        <v>8313</v>
      </c>
      <c r="M405" s="448" t="s">
        <v>8314</v>
      </c>
      <c r="N405" s="448" t="s">
        <v>8315</v>
      </c>
    </row>
    <row r="406" spans="1:14" hidden="1">
      <c r="A406" s="2" t="s">
        <v>8316</v>
      </c>
      <c r="B406" s="2" t="str">
        <f t="shared" si="10"/>
        <v>Energy [MWh] = Mass [t] * [MWh/t]</v>
      </c>
      <c r="C406" s="2" t="s">
        <v>8317</v>
      </c>
      <c r="D406" s="442" t="s">
        <v>8318</v>
      </c>
      <c r="E406" s="442" t="s">
        <v>8319</v>
      </c>
      <c r="F406" s="442" t="s">
        <v>8320</v>
      </c>
      <c r="G406" s="449" t="s">
        <v>8321</v>
      </c>
      <c r="H406" s="449" t="s">
        <v>8322</v>
      </c>
      <c r="I406" s="2" t="s">
        <v>8323</v>
      </c>
      <c r="J406" s="448" t="s">
        <v>8324</v>
      </c>
      <c r="K406" s="448" t="s">
        <v>8325</v>
      </c>
      <c r="L406" s="448" t="s">
        <v>8323</v>
      </c>
      <c r="M406" s="448" t="s">
        <v>8326</v>
      </c>
      <c r="N406" s="448" t="s">
        <v>8327</v>
      </c>
    </row>
    <row r="407" spans="1:14" ht="29.15" hidden="1">
      <c r="A407" s="2" t="s">
        <v>8328</v>
      </c>
      <c r="B407" s="2" t="str">
        <f t="shared" si="10"/>
        <v>Energy Consumption per Hour in MWh for Gaseous Fuels:</v>
      </c>
      <c r="C407" s="2" t="s">
        <v>8329</v>
      </c>
      <c r="D407" s="442" t="s">
        <v>8330</v>
      </c>
      <c r="E407" s="442" t="s">
        <v>8331</v>
      </c>
      <c r="F407" s="442" t="s">
        <v>8332</v>
      </c>
      <c r="G407" s="449" t="s">
        <v>8333</v>
      </c>
      <c r="H407" s="449" t="s">
        <v>8334</v>
      </c>
      <c r="I407" s="2" t="s">
        <v>8335</v>
      </c>
      <c r="J407" s="448" t="s">
        <v>8336</v>
      </c>
      <c r="K407" s="448" t="s">
        <v>8337</v>
      </c>
      <c r="L407" s="448" t="s">
        <v>8338</v>
      </c>
      <c r="M407" s="448" t="s">
        <v>8339</v>
      </c>
      <c r="N407" s="448" t="s">
        <v>8340</v>
      </c>
    </row>
    <row r="408" spans="1:14" hidden="1">
      <c r="A408" s="2" t="s">
        <v>8341</v>
      </c>
      <c r="B408" s="2" t="str">
        <f t="shared" si="10"/>
        <v>Mass [t] = Volume [m³] * Density [t/m³]</v>
      </c>
      <c r="C408" s="2" t="s">
        <v>8342</v>
      </c>
      <c r="D408" s="442" t="s">
        <v>8343</v>
      </c>
      <c r="E408" s="442" t="s">
        <v>8344</v>
      </c>
      <c r="F408" s="442" t="s">
        <v>8345</v>
      </c>
      <c r="G408" s="449" t="s">
        <v>8346</v>
      </c>
      <c r="H408" s="449" t="s">
        <v>8347</v>
      </c>
      <c r="I408" s="2" t="s">
        <v>8348</v>
      </c>
      <c r="J408" s="448" t="s">
        <v>8349</v>
      </c>
      <c r="K408" s="448" t="s">
        <v>8350</v>
      </c>
      <c r="L408" s="448" t="s">
        <v>8351</v>
      </c>
      <c r="M408" s="448" t="s">
        <v>8352</v>
      </c>
      <c r="N408" s="448" t="s">
        <v>8353</v>
      </c>
    </row>
    <row r="409" spans="1:14" ht="15" hidden="1" thickBot="1">
      <c r="A409" s="454" t="s">
        <v>8354</v>
      </c>
      <c r="B409" s="454" t="str">
        <f t="shared" si="10"/>
        <v>Energy [MWh] = Mass [t] * NCV [MWh/t]</v>
      </c>
      <c r="C409" s="454" t="s">
        <v>8278</v>
      </c>
      <c r="D409" s="450" t="s">
        <v>8279</v>
      </c>
      <c r="E409" s="450" t="s">
        <v>8280</v>
      </c>
      <c r="F409" s="450" t="s">
        <v>8355</v>
      </c>
      <c r="G409" s="453" t="s">
        <v>8282</v>
      </c>
      <c r="H409" s="453" t="s">
        <v>8283</v>
      </c>
      <c r="I409" s="454" t="s">
        <v>8284</v>
      </c>
      <c r="J409" s="452" t="s">
        <v>8285</v>
      </c>
      <c r="K409" s="452" t="s">
        <v>8286</v>
      </c>
      <c r="L409" s="452" t="s">
        <v>8287</v>
      </c>
      <c r="M409" s="452" t="s">
        <v>8288</v>
      </c>
      <c r="N409" s="452" t="s">
        <v>8356</v>
      </c>
    </row>
    <row r="410" spans="1:14" hidden="1">
      <c r="A410" s="2" t="s">
        <v>8357</v>
      </c>
      <c r="B410" s="2" t="str">
        <f t="shared" si="10"/>
        <v>UNIT OF MEASUREMENT CONVERTER</v>
      </c>
      <c r="C410" s="2" t="s">
        <v>8358</v>
      </c>
      <c r="D410" s="442" t="s">
        <v>8359</v>
      </c>
      <c r="E410" s="442" t="s">
        <v>8360</v>
      </c>
      <c r="F410" s="442" t="s">
        <v>8361</v>
      </c>
      <c r="G410" s="449" t="s">
        <v>8362</v>
      </c>
      <c r="H410" s="449" t="s">
        <v>8363</v>
      </c>
      <c r="I410" s="2" t="s">
        <v>8364</v>
      </c>
      <c r="J410" s="448" t="s">
        <v>8365</v>
      </c>
      <c r="K410" s="448" t="s">
        <v>8366</v>
      </c>
      <c r="L410" s="448" t="s">
        <v>8367</v>
      </c>
      <c r="M410" s="448" t="s">
        <v>8368</v>
      </c>
      <c r="N410" s="448" t="s">
        <v>8369</v>
      </c>
    </row>
    <row r="411" spans="1:14" ht="87.45" hidden="1">
      <c r="A411" s="2" t="s">
        <v>8370</v>
      </c>
      <c r="B411" s="2" t="str">
        <f t="shared" si="10"/>
        <v xml:space="preserve">From </v>
      </c>
      <c r="C411" s="2" t="s">
        <v>8371</v>
      </c>
      <c r="D411" s="442" t="s">
        <v>8372</v>
      </c>
      <c r="E411" s="442" t="s">
        <v>8373</v>
      </c>
      <c r="F411" s="442" t="s">
        <v>8374</v>
      </c>
      <c r="G411" s="449" t="s">
        <v>8375</v>
      </c>
      <c r="H411" s="449" t="s">
        <v>8376</v>
      </c>
      <c r="I411" s="2" t="s">
        <v>8377</v>
      </c>
      <c r="J411" s="448" t="s">
        <v>8378</v>
      </c>
      <c r="K411" s="448" t="s">
        <v>8379</v>
      </c>
      <c r="L411" s="448" t="s">
        <v>8374</v>
      </c>
      <c r="M411" s="448" t="s">
        <v>8380</v>
      </c>
      <c r="N411" s="448" t="s">
        <v>8381</v>
      </c>
    </row>
    <row r="412" spans="1:14" hidden="1">
      <c r="A412" s="2" t="s">
        <v>8382</v>
      </c>
      <c r="B412" s="2" t="str">
        <f t="shared" si="10"/>
        <v>Unit of measurement of Mass Converter</v>
      </c>
      <c r="C412" s="2" t="s">
        <v>8383</v>
      </c>
      <c r="D412" s="442" t="s">
        <v>8384</v>
      </c>
      <c r="E412" s="442" t="s">
        <v>8385</v>
      </c>
      <c r="F412" s="442" t="s">
        <v>8386</v>
      </c>
      <c r="G412" s="449" t="s">
        <v>8387</v>
      </c>
      <c r="H412" s="449" t="s">
        <v>8388</v>
      </c>
      <c r="I412" s="2" t="s">
        <v>8389</v>
      </c>
      <c r="J412" s="448" t="s">
        <v>8390</v>
      </c>
      <c r="K412" s="448" t="s">
        <v>8391</v>
      </c>
      <c r="L412" s="448" t="s">
        <v>8392</v>
      </c>
      <c r="M412" s="448" t="s">
        <v>8393</v>
      </c>
      <c r="N412" s="448" t="s">
        <v>8394</v>
      </c>
    </row>
    <row r="413" spans="1:14" hidden="1">
      <c r="A413" s="2" t="s">
        <v>8395</v>
      </c>
      <c r="B413" s="2" t="str">
        <f t="shared" si="10"/>
        <v>Unit of measurement of Volume Converter</v>
      </c>
      <c r="C413" s="2" t="s">
        <v>8396</v>
      </c>
      <c r="D413" s="442" t="s">
        <v>8397</v>
      </c>
      <c r="E413" s="442" t="s">
        <v>8398</v>
      </c>
      <c r="F413" s="442" t="s">
        <v>8399</v>
      </c>
      <c r="G413" s="449" t="s">
        <v>8400</v>
      </c>
      <c r="H413" s="449" t="s">
        <v>8401</v>
      </c>
      <c r="I413" s="2" t="s">
        <v>8402</v>
      </c>
      <c r="J413" s="448" t="s">
        <v>8403</v>
      </c>
      <c r="K413" s="448" t="s">
        <v>8404</v>
      </c>
      <c r="L413" s="448" t="s">
        <v>8405</v>
      </c>
      <c r="M413" s="448" t="s">
        <v>8406</v>
      </c>
      <c r="N413" s="448" t="s">
        <v>8407</v>
      </c>
    </row>
    <row r="414" spans="1:14" hidden="1">
      <c r="A414" s="2" t="s">
        <v>8408</v>
      </c>
      <c r="B414" s="2" t="str">
        <f t="shared" si="10"/>
        <v>Unit of measurement of Energy Consumption per Hour</v>
      </c>
      <c r="C414" s="2" t="s">
        <v>8409</v>
      </c>
      <c r="D414" s="442" t="s">
        <v>8410</v>
      </c>
      <c r="E414" s="442" t="s">
        <v>8411</v>
      </c>
      <c r="F414" s="442" t="s">
        <v>8412</v>
      </c>
      <c r="G414" s="449" t="s">
        <v>8413</v>
      </c>
      <c r="H414" s="449" t="s">
        <v>8414</v>
      </c>
      <c r="I414" s="2" t="s">
        <v>8415</v>
      </c>
      <c r="J414" s="448" t="s">
        <v>8416</v>
      </c>
      <c r="K414" s="448" t="s">
        <v>8417</v>
      </c>
      <c r="L414" s="448" t="s">
        <v>8418</v>
      </c>
      <c r="M414" s="448" t="s">
        <v>8419</v>
      </c>
      <c r="N414" s="448" t="s">
        <v>8420</v>
      </c>
    </row>
    <row r="415" spans="1:14" ht="29.15" hidden="1">
      <c r="A415" s="2" t="s">
        <v>8421</v>
      </c>
      <c r="B415" s="2" t="str">
        <f t="shared" si="10"/>
        <v>Unit of measurement of NCV Converter</v>
      </c>
      <c r="C415" s="2" t="s">
        <v>8422</v>
      </c>
      <c r="D415" s="442" t="s">
        <v>8423</v>
      </c>
      <c r="E415" s="442" t="s">
        <v>8424</v>
      </c>
      <c r="F415" s="442" t="s">
        <v>8425</v>
      </c>
      <c r="G415" s="449" t="s">
        <v>8426</v>
      </c>
      <c r="H415" s="449" t="s">
        <v>8427</v>
      </c>
      <c r="I415" s="2" t="s">
        <v>8428</v>
      </c>
      <c r="J415" s="448" t="s">
        <v>8429</v>
      </c>
      <c r="K415" s="448" t="s">
        <v>8430</v>
      </c>
      <c r="L415" s="448" t="s">
        <v>8431</v>
      </c>
      <c r="M415" s="448" t="s">
        <v>8432</v>
      </c>
      <c r="N415" s="448" t="s">
        <v>8433</v>
      </c>
    </row>
    <row r="416" spans="1:14" hidden="1">
      <c r="A416" s="2" t="s">
        <v>8434</v>
      </c>
      <c r="B416" s="2" t="str">
        <f t="shared" si="10"/>
        <v>Mass to Volume Converter (or viceversa)</v>
      </c>
      <c r="C416" s="2" t="s">
        <v>8435</v>
      </c>
      <c r="D416" s="442" t="s">
        <v>8436</v>
      </c>
      <c r="E416" s="442" t="s">
        <v>8437</v>
      </c>
      <c r="F416" s="442" t="s">
        <v>8438</v>
      </c>
      <c r="G416" s="442" t="s">
        <v>8439</v>
      </c>
      <c r="H416" s="442" t="s">
        <v>8440</v>
      </c>
      <c r="I416" s="442" t="s">
        <v>8441</v>
      </c>
      <c r="J416" s="442" t="s">
        <v>8442</v>
      </c>
      <c r="K416" s="442" t="s">
        <v>8443</v>
      </c>
      <c r="L416" s="442" t="s">
        <v>8444</v>
      </c>
      <c r="M416" s="442" t="s">
        <v>8445</v>
      </c>
      <c r="N416" s="442" t="s">
        <v>8446</v>
      </c>
    </row>
    <row r="417" spans="1:14" hidden="1">
      <c r="A417" s="2" t="s">
        <v>8447</v>
      </c>
      <c r="B417" s="2" t="str">
        <f t="shared" si="10"/>
        <v>Density (Kg/L)</v>
      </c>
      <c r="C417" s="2" t="s">
        <v>8448</v>
      </c>
      <c r="D417" s="442" t="s">
        <v>8449</v>
      </c>
      <c r="E417" s="442" t="s">
        <v>8450</v>
      </c>
      <c r="F417" s="442" t="s">
        <v>8451</v>
      </c>
      <c r="G417" s="442" t="s">
        <v>8452</v>
      </c>
      <c r="H417" s="442" t="s">
        <v>8453</v>
      </c>
      <c r="I417" s="442" t="s">
        <v>8454</v>
      </c>
      <c r="J417" s="442" t="s">
        <v>8455</v>
      </c>
      <c r="K417" s="442" t="s">
        <v>8456</v>
      </c>
      <c r="L417" s="442" t="s">
        <v>8457</v>
      </c>
      <c r="M417" s="442" t="s">
        <v>8458</v>
      </c>
      <c r="N417" s="442" t="s">
        <v>8459</v>
      </c>
    </row>
    <row r="418" spans="1:14" ht="43.75" hidden="1">
      <c r="A418" s="2" t="s">
        <v>8460</v>
      </c>
      <c r="B418" s="2" t="str">
        <f t="shared" si="10"/>
        <v>Unit of measurement of Density Converter</v>
      </c>
      <c r="C418" s="2" t="s">
        <v>8461</v>
      </c>
      <c r="D418" s="442" t="s">
        <v>8462</v>
      </c>
      <c r="E418" s="442" t="s">
        <v>8463</v>
      </c>
      <c r="F418" s="442" t="s">
        <v>8464</v>
      </c>
      <c r="G418" s="449" t="s">
        <v>8465</v>
      </c>
      <c r="H418" s="449" t="s">
        <v>8466</v>
      </c>
      <c r="I418" s="2" t="s">
        <v>8467</v>
      </c>
      <c r="J418" s="448" t="s">
        <v>8468</v>
      </c>
      <c r="K418" s="448" t="s">
        <v>8469</v>
      </c>
      <c r="L418" s="448" t="s">
        <v>8470</v>
      </c>
      <c r="M418" s="448" t="s">
        <v>8471</v>
      </c>
      <c r="N418" s="448" t="s">
        <v>8472</v>
      </c>
    </row>
    <row r="419" spans="1:14" hidden="1">
      <c r="A419" s="2" t="s">
        <v>8473</v>
      </c>
      <c r="B419" s="2" t="str">
        <f t="shared" ref="B419:B464" si="11">INDEX(C419:N419,MATCH(template_selected_display_language,$C$3:$N$3,0))</f>
        <v>Usage of Unit of Measurement Converter</v>
      </c>
      <c r="C419" s="2" t="s">
        <v>8474</v>
      </c>
      <c r="D419" s="442" t="s">
        <v>8475</v>
      </c>
      <c r="E419" s="442" t="s">
        <v>8476</v>
      </c>
      <c r="F419" s="442" t="s">
        <v>8477</v>
      </c>
      <c r="G419" s="449" t="s">
        <v>8478</v>
      </c>
      <c r="H419" s="449" t="s">
        <v>8479</v>
      </c>
      <c r="I419" s="2" t="s">
        <v>8480</v>
      </c>
      <c r="J419" s="448" t="s">
        <v>8481</v>
      </c>
      <c r="K419" s="448" t="s">
        <v>8482</v>
      </c>
      <c r="L419" s="448" t="s">
        <v>8483</v>
      </c>
      <c r="M419" s="448" t="s">
        <v>8484</v>
      </c>
      <c r="N419" s="448" t="s">
        <v>8485</v>
      </c>
    </row>
    <row r="420" spans="1:14" ht="43.75" hidden="1">
      <c r="A420" s="2" t="s">
        <v>8486</v>
      </c>
      <c r="B420" s="2" t="str">
        <f t="shared" si="11"/>
        <v>Steps to follow for the Mass table:</v>
      </c>
      <c r="C420" s="2" t="s">
        <v>8487</v>
      </c>
      <c r="D420" s="442" t="s">
        <v>8488</v>
      </c>
      <c r="E420" s="442" t="s">
        <v>8489</v>
      </c>
      <c r="F420" s="442" t="s">
        <v>8490</v>
      </c>
      <c r="G420" s="449" t="s">
        <v>8491</v>
      </c>
      <c r="H420" s="449" t="s">
        <v>8492</v>
      </c>
      <c r="I420" s="2" t="s">
        <v>8493</v>
      </c>
      <c r="J420" s="448" t="s">
        <v>8494</v>
      </c>
      <c r="K420" s="448" t="s">
        <v>8495</v>
      </c>
      <c r="L420" s="448" t="s">
        <v>8496</v>
      </c>
      <c r="M420" s="448" t="s">
        <v>8497</v>
      </c>
      <c r="N420" s="448" t="s">
        <v>8498</v>
      </c>
    </row>
    <row r="421" spans="1:14" ht="58.3" hidden="1">
      <c r="A421" s="2" t="s">
        <v>8499</v>
      </c>
      <c r="B421" s="2" t="str">
        <f t="shared" si="11"/>
        <v>1. In the cell B5 of the table related to the Unit of measurement of Mass Converter should be inserted the Unit of measurement to convert.</v>
      </c>
      <c r="C421" s="2" t="s">
        <v>8500</v>
      </c>
      <c r="D421" s="442" t="s">
        <v>8501</v>
      </c>
      <c r="E421" s="442" t="s">
        <v>8502</v>
      </c>
      <c r="F421" s="442" t="s">
        <v>8503</v>
      </c>
      <c r="G421" s="449" t="s">
        <v>8504</v>
      </c>
      <c r="H421" s="449" t="s">
        <v>8505</v>
      </c>
      <c r="I421" s="2" t="s">
        <v>8506</v>
      </c>
      <c r="J421" s="448" t="s">
        <v>8507</v>
      </c>
      <c r="K421" s="448" t="s">
        <v>8508</v>
      </c>
      <c r="L421" s="448" t="s">
        <v>8509</v>
      </c>
      <c r="M421" s="448" t="s">
        <v>8510</v>
      </c>
      <c r="N421" s="448" t="s">
        <v>8511</v>
      </c>
    </row>
    <row r="422" spans="1:14" ht="29.15" hidden="1">
      <c r="A422" s="2" t="s">
        <v>8512</v>
      </c>
      <c r="B422" s="2" t="str">
        <f t="shared" si="11"/>
        <v>2. Then in the cell B6 the amount of mass can be inserted.</v>
      </c>
      <c r="C422" s="2" t="s">
        <v>8513</v>
      </c>
      <c r="D422" s="442" t="s">
        <v>8514</v>
      </c>
      <c r="E422" s="442" t="s">
        <v>8515</v>
      </c>
      <c r="F422" s="442" t="s">
        <v>8516</v>
      </c>
      <c r="G422" s="449" t="s">
        <v>8517</v>
      </c>
      <c r="H422" s="449" t="s">
        <v>8518</v>
      </c>
      <c r="I422" s="2" t="s">
        <v>8519</v>
      </c>
      <c r="J422" s="448" t="s">
        <v>8520</v>
      </c>
      <c r="K422" s="448" t="s">
        <v>8521</v>
      </c>
      <c r="L422" s="448" t="s">
        <v>8522</v>
      </c>
      <c r="M422" s="448" t="s">
        <v>8523</v>
      </c>
      <c r="N422" s="448" t="s">
        <v>8524</v>
      </c>
    </row>
    <row r="423" spans="1:14" ht="58.3" hidden="1">
      <c r="A423" s="2" t="s">
        <v>8525</v>
      </c>
      <c r="B423" s="2" t="str">
        <f t="shared" si="11"/>
        <v>3. Finally in the cell D5 there should be the unit of measurement of interest.</v>
      </c>
      <c r="C423" s="2" t="s">
        <v>8526</v>
      </c>
      <c r="D423" s="442" t="s">
        <v>8527</v>
      </c>
      <c r="E423" s="442" t="s">
        <v>8528</v>
      </c>
      <c r="F423" s="442" t="s">
        <v>8529</v>
      </c>
      <c r="G423" s="449" t="s">
        <v>8530</v>
      </c>
      <c r="H423" s="449" t="s">
        <v>8531</v>
      </c>
      <c r="I423" s="2" t="s">
        <v>8532</v>
      </c>
      <c r="J423" s="448" t="s">
        <v>8533</v>
      </c>
      <c r="K423" s="448" t="s">
        <v>8534</v>
      </c>
      <c r="L423" s="448" t="s">
        <v>8535</v>
      </c>
      <c r="M423" s="448" t="s">
        <v>8536</v>
      </c>
      <c r="N423" s="448" t="s">
        <v>8537</v>
      </c>
    </row>
    <row r="424" spans="1:14" ht="29.15" hidden="1">
      <c r="A424" s="2" t="s">
        <v>8538</v>
      </c>
      <c r="B424" s="2" t="str">
        <f t="shared" si="11"/>
        <v>4. The outcome of the conversion will be displayed in the cell D6.</v>
      </c>
      <c r="C424" s="2" t="s">
        <v>8539</v>
      </c>
      <c r="D424" s="442" t="s">
        <v>8540</v>
      </c>
      <c r="E424" s="442" t="s">
        <v>8541</v>
      </c>
      <c r="F424" s="442" t="s">
        <v>8542</v>
      </c>
      <c r="G424" s="449" t="s">
        <v>8543</v>
      </c>
      <c r="H424" s="449" t="s">
        <v>8544</v>
      </c>
      <c r="I424" s="2" t="s">
        <v>8545</v>
      </c>
      <c r="J424" s="448" t="s">
        <v>8546</v>
      </c>
      <c r="K424" s="448" t="s">
        <v>8547</v>
      </c>
      <c r="L424" s="448" t="s">
        <v>8548</v>
      </c>
      <c r="M424" s="448" t="s">
        <v>8549</v>
      </c>
      <c r="N424" s="448" t="s">
        <v>8550</v>
      </c>
    </row>
    <row r="425" spans="1:14" ht="72.900000000000006" hidden="1">
      <c r="A425" s="2" t="s">
        <v>8551</v>
      </c>
      <c r="B425" s="2" t="str">
        <f t="shared" si="11"/>
        <v>The steps to follow for the other tables (Volume, Energy Consumption, Density and NCV) are the same of the Mass table.</v>
      </c>
      <c r="C425" s="2" t="s">
        <v>8552</v>
      </c>
      <c r="D425" s="442" t="s">
        <v>8553</v>
      </c>
      <c r="E425" s="442" t="s">
        <v>8554</v>
      </c>
      <c r="F425" s="442" t="s">
        <v>8555</v>
      </c>
      <c r="G425" s="449" t="s">
        <v>8556</v>
      </c>
      <c r="H425" s="449" t="s">
        <v>8557</v>
      </c>
      <c r="I425" s="2" t="s">
        <v>8558</v>
      </c>
      <c r="J425" s="448" t="s">
        <v>8559</v>
      </c>
      <c r="K425" s="448" t="s">
        <v>8560</v>
      </c>
      <c r="L425" s="448" t="s">
        <v>8561</v>
      </c>
      <c r="M425" s="448" t="s">
        <v>8562</v>
      </c>
      <c r="N425" s="448" t="s">
        <v>8563</v>
      </c>
    </row>
    <row r="426" spans="1:14" ht="29.15" hidden="1">
      <c r="A426" s="2" t="s">
        <v>8564</v>
      </c>
      <c r="B426" s="2" t="str">
        <f t="shared" si="11"/>
        <v>Below are specified all the Units of measurement conversions of each table.</v>
      </c>
      <c r="C426" s="2" t="s">
        <v>8565</v>
      </c>
      <c r="D426" s="442" t="s">
        <v>8566</v>
      </c>
      <c r="E426" s="442" t="s">
        <v>8567</v>
      </c>
      <c r="F426" s="442" t="s">
        <v>8568</v>
      </c>
      <c r="G426" s="449" t="s">
        <v>8569</v>
      </c>
      <c r="H426" s="449" t="s">
        <v>8570</v>
      </c>
      <c r="I426" s="2" t="s">
        <v>8571</v>
      </c>
      <c r="J426" s="448" t="s">
        <v>8572</v>
      </c>
      <c r="K426" s="448" t="s">
        <v>8573</v>
      </c>
      <c r="L426" s="448" t="s">
        <v>8574</v>
      </c>
      <c r="M426" s="448" t="s">
        <v>8575</v>
      </c>
      <c r="N426" s="448" t="s">
        <v>8576</v>
      </c>
    </row>
    <row r="427" spans="1:14" hidden="1">
      <c r="A427" s="2" t="s">
        <v>8577</v>
      </c>
      <c r="B427" s="2" t="str">
        <f t="shared" si="11"/>
        <v>▪ Unit of measurement of Mass Converter:</v>
      </c>
      <c r="C427" s="2" t="s">
        <v>8578</v>
      </c>
      <c r="D427" s="442" t="s">
        <v>8579</v>
      </c>
      <c r="E427" s="442" t="s">
        <v>8580</v>
      </c>
      <c r="F427" s="442" t="s">
        <v>8581</v>
      </c>
      <c r="G427" s="449" t="s">
        <v>8582</v>
      </c>
      <c r="H427" s="449" t="s">
        <v>8583</v>
      </c>
      <c r="I427" s="2" t="s">
        <v>8584</v>
      </c>
      <c r="J427" s="448" t="s">
        <v>8390</v>
      </c>
      <c r="K427" s="448" t="s">
        <v>8585</v>
      </c>
      <c r="L427" s="448" t="s">
        <v>8586</v>
      </c>
      <c r="M427" s="448" t="s">
        <v>8587</v>
      </c>
      <c r="N427" s="448" t="s">
        <v>8588</v>
      </c>
    </row>
    <row r="428" spans="1:14" hidden="1">
      <c r="A428" s="2" t="s">
        <v>8589</v>
      </c>
      <c r="B428" s="2" t="str">
        <f t="shared" si="11"/>
        <v>▪ Unit of measurement of Volume Converter:</v>
      </c>
      <c r="C428" s="2" t="s">
        <v>8590</v>
      </c>
      <c r="D428" s="442" t="s">
        <v>8591</v>
      </c>
      <c r="E428" s="442" t="s">
        <v>8592</v>
      </c>
      <c r="F428" s="442" t="s">
        <v>8593</v>
      </c>
      <c r="G428" s="449" t="s">
        <v>8594</v>
      </c>
      <c r="H428" s="449" t="s">
        <v>8595</v>
      </c>
      <c r="I428" s="2" t="s">
        <v>8596</v>
      </c>
      <c r="J428" s="448" t="s">
        <v>8403</v>
      </c>
      <c r="K428" s="448" t="s">
        <v>8597</v>
      </c>
      <c r="L428" s="448" t="s">
        <v>8598</v>
      </c>
      <c r="M428" s="448" t="s">
        <v>8599</v>
      </c>
      <c r="N428" s="448" t="s">
        <v>8600</v>
      </c>
    </row>
    <row r="429" spans="1:14" hidden="1">
      <c r="A429" s="2" t="s">
        <v>8601</v>
      </c>
      <c r="B429" s="2" t="str">
        <f t="shared" si="11"/>
        <v>▪ Unit of measurement of Energy Converter:</v>
      </c>
      <c r="C429" s="2" t="s">
        <v>8602</v>
      </c>
      <c r="D429" s="442" t="s">
        <v>8603</v>
      </c>
      <c r="E429" s="442" t="s">
        <v>8604</v>
      </c>
      <c r="F429" s="442" t="s">
        <v>8605</v>
      </c>
      <c r="G429" s="449" t="s">
        <v>8606</v>
      </c>
      <c r="H429" s="449" t="s">
        <v>8607</v>
      </c>
      <c r="I429" s="2" t="s">
        <v>8608</v>
      </c>
      <c r="J429" s="448" t="s">
        <v>8609</v>
      </c>
      <c r="K429" s="448" t="s">
        <v>8610</v>
      </c>
      <c r="L429" s="448" t="s">
        <v>8611</v>
      </c>
      <c r="M429" s="448" t="s">
        <v>8612</v>
      </c>
      <c r="N429" s="448" t="s">
        <v>8613</v>
      </c>
    </row>
    <row r="430" spans="1:14" hidden="1">
      <c r="A430" s="2" t="s">
        <v>8614</v>
      </c>
      <c r="B430" s="2" t="str">
        <f t="shared" si="11"/>
        <v>▪ Unit of measurement of Density Converter:</v>
      </c>
      <c r="C430" s="2" t="s">
        <v>8615</v>
      </c>
      <c r="D430" s="442" t="s">
        <v>8616</v>
      </c>
      <c r="E430" s="442" t="s">
        <v>8617</v>
      </c>
      <c r="F430" s="442" t="s">
        <v>8618</v>
      </c>
      <c r="G430" s="449" t="s">
        <v>8619</v>
      </c>
      <c r="H430" s="449" t="s">
        <v>8620</v>
      </c>
      <c r="I430" s="2" t="s">
        <v>8621</v>
      </c>
      <c r="J430" s="448" t="s">
        <v>8468</v>
      </c>
      <c r="K430" s="448" t="s">
        <v>8622</v>
      </c>
      <c r="L430" s="448" t="s">
        <v>8623</v>
      </c>
      <c r="M430" s="448" t="s">
        <v>8624</v>
      </c>
      <c r="N430" s="448" t="s">
        <v>8625</v>
      </c>
    </row>
    <row r="431" spans="1:14" hidden="1">
      <c r="A431" s="2" t="s">
        <v>8626</v>
      </c>
      <c r="B431" s="2" t="str">
        <f t="shared" si="11"/>
        <v>▪ Unit of measurement of NCV Converter:</v>
      </c>
      <c r="C431" s="2" t="s">
        <v>8627</v>
      </c>
      <c r="D431" s="442" t="s">
        <v>8628</v>
      </c>
      <c r="E431" s="442" t="s">
        <v>8629</v>
      </c>
      <c r="F431" s="442" t="s">
        <v>8630</v>
      </c>
      <c r="G431" s="449" t="s">
        <v>8631</v>
      </c>
      <c r="H431" s="449" t="s">
        <v>8632</v>
      </c>
      <c r="I431" s="2" t="s">
        <v>8633</v>
      </c>
      <c r="J431" s="448" t="s">
        <v>8429</v>
      </c>
      <c r="K431" s="448" t="s">
        <v>8634</v>
      </c>
      <c r="L431" s="448" t="s">
        <v>8635</v>
      </c>
      <c r="M431" s="448" t="s">
        <v>8636</v>
      </c>
      <c r="N431" s="448" t="s">
        <v>8637</v>
      </c>
    </row>
    <row r="432" spans="1:14" ht="44.15" hidden="1" thickBot="1">
      <c r="A432" s="454" t="s">
        <v>8638</v>
      </c>
      <c r="B432" s="454" t="str">
        <f t="shared" si="11"/>
        <v>Similar steps, with also the specification of the denisty, can be applied to the last table for the conversion from Mass to Volumer (or viceversa).</v>
      </c>
      <c r="C432" s="454" t="s">
        <v>8639</v>
      </c>
      <c r="D432" s="450" t="s">
        <v>8640</v>
      </c>
      <c r="E432" s="450" t="s">
        <v>8641</v>
      </c>
      <c r="F432" s="450" t="s">
        <v>8642</v>
      </c>
      <c r="G432" s="450" t="s">
        <v>8643</v>
      </c>
      <c r="H432" s="450" t="s">
        <v>8644</v>
      </c>
      <c r="I432" s="450" t="s">
        <v>8645</v>
      </c>
      <c r="J432" s="450" t="s">
        <v>8646</v>
      </c>
      <c r="K432" s="450" t="s">
        <v>8647</v>
      </c>
      <c r="L432" s="450" t="s">
        <v>8648</v>
      </c>
      <c r="M432" s="450" t="s">
        <v>8649</v>
      </c>
      <c r="N432" s="450" t="s">
        <v>8650</v>
      </c>
    </row>
    <row r="433" spans="1:14" hidden="1">
      <c r="A433" s="2" t="s">
        <v>8651</v>
      </c>
      <c r="B433" s="2" t="str">
        <f t="shared" si="11"/>
        <v>INCOMPLETE</v>
      </c>
      <c r="C433" s="2" t="s">
        <v>8652</v>
      </c>
      <c r="D433" s="442" t="s">
        <v>8653</v>
      </c>
      <c r="E433" s="442" t="s">
        <v>8654</v>
      </c>
      <c r="F433" s="442" t="s">
        <v>8655</v>
      </c>
      <c r="G433" s="449" t="s">
        <v>8656</v>
      </c>
      <c r="H433" s="449" t="s">
        <v>8657</v>
      </c>
      <c r="I433" s="2" t="s">
        <v>8658</v>
      </c>
      <c r="J433" s="448" t="s">
        <v>8659</v>
      </c>
      <c r="K433" s="448" t="s">
        <v>8660</v>
      </c>
      <c r="L433" s="448" t="s">
        <v>8658</v>
      </c>
      <c r="M433" s="448" t="s">
        <v>8661</v>
      </c>
      <c r="N433" s="448" t="s">
        <v>8658</v>
      </c>
    </row>
    <row r="434" spans="1:14" ht="29.15" hidden="1">
      <c r="A434" s="2" t="s">
        <v>8662</v>
      </c>
      <c r="B434" s="2" t="str">
        <f t="shared" si="11"/>
        <v>COMPLETE</v>
      </c>
      <c r="C434" s="2" t="s">
        <v>8663</v>
      </c>
      <c r="D434" s="442" t="s">
        <v>8664</v>
      </c>
      <c r="E434" s="442" t="s">
        <v>8665</v>
      </c>
      <c r="F434" s="442" t="s">
        <v>8666</v>
      </c>
      <c r="G434" s="449" t="s">
        <v>8667</v>
      </c>
      <c r="H434" s="449" t="s">
        <v>8668</v>
      </c>
      <c r="I434" s="2" t="s">
        <v>8669</v>
      </c>
      <c r="J434" s="448" t="s">
        <v>8670</v>
      </c>
      <c r="K434" s="448" t="s">
        <v>8671</v>
      </c>
      <c r="L434" s="448" t="s">
        <v>8669</v>
      </c>
      <c r="M434" s="448" t="s">
        <v>8672</v>
      </c>
      <c r="N434" s="448" t="s">
        <v>8669</v>
      </c>
    </row>
    <row r="435" spans="1:14" ht="43.75" hidden="1">
      <c r="A435" s="2" t="s">
        <v>8673</v>
      </c>
      <c r="B435" s="2" t="str">
        <f t="shared" si="11"/>
        <v>MISSING VALUE</v>
      </c>
      <c r="C435" s="2" t="s">
        <v>8674</v>
      </c>
      <c r="D435" s="442" t="s">
        <v>8675</v>
      </c>
      <c r="E435" s="442" t="s">
        <v>8676</v>
      </c>
      <c r="F435" s="442" t="s">
        <v>8677</v>
      </c>
      <c r="G435" s="449" t="s">
        <v>8678</v>
      </c>
      <c r="H435" s="449" t="s">
        <v>8679</v>
      </c>
      <c r="I435" s="2" t="s">
        <v>8680</v>
      </c>
      <c r="J435" s="448" t="s">
        <v>8681</v>
      </c>
      <c r="K435" s="448" t="s">
        <v>8682</v>
      </c>
      <c r="L435" s="448" t="s">
        <v>8683</v>
      </c>
      <c r="M435" s="448" t="s">
        <v>8684</v>
      </c>
      <c r="N435" s="448" t="s">
        <v>8685</v>
      </c>
    </row>
    <row r="436" spans="1:14" hidden="1">
      <c r="A436" s="2" t="s">
        <v>8686</v>
      </c>
      <c r="B436" s="2" t="str">
        <f t="shared" si="11"/>
        <v>ERROR</v>
      </c>
      <c r="C436" s="2" t="s">
        <v>8687</v>
      </c>
      <c r="D436" s="442" t="s">
        <v>8688</v>
      </c>
      <c r="E436" s="442" t="s">
        <v>8689</v>
      </c>
      <c r="F436" s="442" t="s">
        <v>8690</v>
      </c>
      <c r="G436" s="449" t="s">
        <v>8691</v>
      </c>
      <c r="H436" s="449" t="s">
        <v>8692</v>
      </c>
      <c r="I436" s="2" t="s">
        <v>8693</v>
      </c>
      <c r="J436" s="448" t="s">
        <v>8694</v>
      </c>
      <c r="K436" s="448" t="s">
        <v>8695</v>
      </c>
      <c r="L436" s="448" t="s">
        <v>8696</v>
      </c>
      <c r="M436" s="448" t="s">
        <v>8697</v>
      </c>
      <c r="N436" s="448" t="s">
        <v>8687</v>
      </c>
    </row>
    <row r="437" spans="1:14" ht="43.75" hidden="1">
      <c r="A437" s="2" t="s">
        <v>8698</v>
      </c>
      <c r="B437" s="2" t="str">
        <f t="shared" si="11"/>
        <v>VALUE INCONSISTENCY</v>
      </c>
      <c r="C437" s="2" t="s">
        <v>8699</v>
      </c>
      <c r="D437" s="442" t="s">
        <v>8700</v>
      </c>
      <c r="E437" s="442" t="s">
        <v>8701</v>
      </c>
      <c r="F437" s="442" t="s">
        <v>8702</v>
      </c>
      <c r="G437" s="449" t="s">
        <v>8703</v>
      </c>
      <c r="H437" s="449" t="s">
        <v>8704</v>
      </c>
      <c r="I437" s="2" t="s">
        <v>8705</v>
      </c>
      <c r="J437" s="448" t="s">
        <v>8706</v>
      </c>
      <c r="K437" s="448" t="s">
        <v>8707</v>
      </c>
      <c r="L437" s="448" t="s">
        <v>8708</v>
      </c>
      <c r="M437" s="448" t="s">
        <v>8709</v>
      </c>
      <c r="N437" s="448" t="s">
        <v>8710</v>
      </c>
    </row>
    <row r="438" spans="1:14" hidden="1">
      <c r="A438" s="2" t="s">
        <v>8711</v>
      </c>
      <c r="B438" s="2" t="str">
        <f t="shared" si="11"/>
        <v>ERROR + VALUE INCONSISTENCY</v>
      </c>
      <c r="C438" s="2" t="s">
        <v>8712</v>
      </c>
      <c r="D438" s="442" t="s">
        <v>8713</v>
      </c>
      <c r="E438" s="442" t="s">
        <v>8714</v>
      </c>
      <c r="F438" s="442" t="s">
        <v>8715</v>
      </c>
      <c r="G438" s="449" t="s">
        <v>8716</v>
      </c>
      <c r="H438" s="449" t="s">
        <v>8717</v>
      </c>
      <c r="I438" s="2" t="s">
        <v>8718</v>
      </c>
      <c r="J438" s="448" t="s">
        <v>8719</v>
      </c>
      <c r="K438" s="448" t="s">
        <v>8720</v>
      </c>
      <c r="L438" s="448" t="s">
        <v>8721</v>
      </c>
      <c r="M438" s="448" t="s">
        <v>8722</v>
      </c>
      <c r="N438" s="448" t="s">
        <v>8723</v>
      </c>
    </row>
    <row r="439" spans="1:14" ht="29.15" hidden="1">
      <c r="A439" s="2" t="s">
        <v>8724</v>
      </c>
      <c r="B439" s="2" t="str">
        <f t="shared" si="11"/>
        <v>ERROR + MISSING VALUE + VALUE INCONSISTENCY</v>
      </c>
      <c r="C439" s="2" t="s">
        <v>8725</v>
      </c>
      <c r="D439" s="442" t="s">
        <v>8726</v>
      </c>
      <c r="E439" s="442" t="s">
        <v>8727</v>
      </c>
      <c r="F439" s="442" t="s">
        <v>8728</v>
      </c>
      <c r="G439" s="449" t="s">
        <v>8729</v>
      </c>
      <c r="H439" s="449" t="s">
        <v>8730</v>
      </c>
      <c r="I439" s="2" t="s">
        <v>8731</v>
      </c>
      <c r="J439" s="448" t="s">
        <v>8732</v>
      </c>
      <c r="K439" s="448" t="s">
        <v>8733</v>
      </c>
      <c r="L439" s="448" t="s">
        <v>8734</v>
      </c>
      <c r="M439" s="448" t="s">
        <v>8735</v>
      </c>
      <c r="N439" s="448" t="s">
        <v>8736</v>
      </c>
    </row>
    <row r="440" spans="1:14" hidden="1">
      <c r="A440" s="2" t="s">
        <v>8737</v>
      </c>
      <c r="B440" s="2" t="str">
        <f t="shared" si="11"/>
        <v>ERROR + MISSING VALUE</v>
      </c>
      <c r="C440" s="2" t="s">
        <v>8738</v>
      </c>
      <c r="D440" s="442" t="s">
        <v>8739</v>
      </c>
      <c r="E440" s="442" t="s">
        <v>8740</v>
      </c>
      <c r="F440" s="442" t="s">
        <v>8741</v>
      </c>
      <c r="G440" s="449" t="s">
        <v>8742</v>
      </c>
      <c r="H440" s="449" t="s">
        <v>8743</v>
      </c>
      <c r="I440" s="2" t="s">
        <v>8744</v>
      </c>
      <c r="J440" s="448" t="s">
        <v>8745</v>
      </c>
      <c r="K440" s="448" t="s">
        <v>8746</v>
      </c>
      <c r="L440" s="448" t="s">
        <v>8747</v>
      </c>
      <c r="M440" s="448" t="s">
        <v>8748</v>
      </c>
      <c r="N440" s="448" t="s">
        <v>8749</v>
      </c>
    </row>
    <row r="441" spans="1:14" hidden="1">
      <c r="A441" s="2" t="s">
        <v>8750</v>
      </c>
      <c r="B441" s="2" t="str">
        <f t="shared" si="11"/>
        <v>MISSING VALUE + VALUE INCONSISTENCY</v>
      </c>
      <c r="C441" s="2" t="s">
        <v>8751</v>
      </c>
      <c r="D441" s="442" t="s">
        <v>8752</v>
      </c>
      <c r="E441" s="442" t="s">
        <v>8753</v>
      </c>
      <c r="F441" s="442" t="s">
        <v>8754</v>
      </c>
      <c r="G441" s="449" t="s">
        <v>8755</v>
      </c>
      <c r="H441" s="449" t="s">
        <v>8756</v>
      </c>
      <c r="I441" s="2" t="s">
        <v>8757</v>
      </c>
      <c r="J441" s="448" t="s">
        <v>8758</v>
      </c>
      <c r="K441" s="448" t="s">
        <v>8759</v>
      </c>
      <c r="L441" s="448" t="s">
        <v>8760</v>
      </c>
      <c r="M441" s="448" t="s">
        <v>8761</v>
      </c>
      <c r="N441" s="448" t="s">
        <v>8762</v>
      </c>
    </row>
    <row r="442" spans="1:14" hidden="1">
      <c r="A442" s="2" t="s">
        <v>8763</v>
      </c>
      <c r="B442" s="2" t="str">
        <f t="shared" si="11"/>
        <v>INVALID URL</v>
      </c>
      <c r="C442" s="2" t="s">
        <v>8764</v>
      </c>
      <c r="D442" s="442" t="s">
        <v>8765</v>
      </c>
      <c r="E442" s="442" t="s">
        <v>8766</v>
      </c>
      <c r="F442" s="442" t="s">
        <v>8767</v>
      </c>
      <c r="G442" s="449" t="s">
        <v>8768</v>
      </c>
      <c r="H442" s="449" t="s">
        <v>8769</v>
      </c>
      <c r="I442" s="2" t="s">
        <v>8770</v>
      </c>
      <c r="J442" s="448" t="s">
        <v>8771</v>
      </c>
      <c r="K442" s="448" t="s">
        <v>8772</v>
      </c>
      <c r="L442" s="448" t="s">
        <v>8773</v>
      </c>
      <c r="M442" s="448" t="s">
        <v>8774</v>
      </c>
      <c r="N442" s="448" t="s">
        <v>8775</v>
      </c>
    </row>
    <row r="443" spans="1:14" hidden="1">
      <c r="A443" s="2" t="s">
        <v>8776</v>
      </c>
      <c r="B443" s="2" t="str">
        <f t="shared" si="11"/>
        <v>OK</v>
      </c>
      <c r="C443" s="2" t="s">
        <v>8777</v>
      </c>
      <c r="D443" s="442" t="s">
        <v>8777</v>
      </c>
      <c r="E443" s="442" t="s">
        <v>8777</v>
      </c>
      <c r="F443" s="442" t="s">
        <v>8777</v>
      </c>
      <c r="G443" s="449" t="s">
        <v>8777</v>
      </c>
      <c r="H443" s="449" t="s">
        <v>8778</v>
      </c>
      <c r="I443" s="2" t="s">
        <v>8777</v>
      </c>
      <c r="J443" s="448" t="s">
        <v>8779</v>
      </c>
      <c r="K443" s="448" t="s">
        <v>8777</v>
      </c>
      <c r="L443" s="448" t="s">
        <v>8777</v>
      </c>
      <c r="M443" s="448" t="s">
        <v>8780</v>
      </c>
      <c r="N443" s="448" t="s">
        <v>8781</v>
      </c>
    </row>
    <row r="444" spans="1:14" hidden="1">
      <c r="A444" s="2" t="s">
        <v>8782</v>
      </c>
      <c r="B444" s="2" t="str">
        <f t="shared" si="11"/>
        <v>CLASSIFIED OR SENSITIVE INFORMATION</v>
      </c>
      <c r="C444" s="2" t="s">
        <v>8783</v>
      </c>
      <c r="D444" s="442" t="s">
        <v>8784</v>
      </c>
      <c r="E444" s="442" t="s">
        <v>8785</v>
      </c>
      <c r="F444" s="442" t="s">
        <v>8786</v>
      </c>
      <c r="G444" s="442" t="s">
        <v>8787</v>
      </c>
      <c r="H444" s="442" t="s">
        <v>8788</v>
      </c>
      <c r="I444" s="442" t="s">
        <v>8789</v>
      </c>
      <c r="J444" s="442" t="s">
        <v>8790</v>
      </c>
      <c r="K444" s="442" t="s">
        <v>8791</v>
      </c>
      <c r="L444" s="442" t="s">
        <v>8792</v>
      </c>
      <c r="M444" s="442" t="s">
        <v>8793</v>
      </c>
      <c r="N444" s="442" t="s">
        <v>8794</v>
      </c>
    </row>
    <row r="445" spans="1:14" ht="29.15" hidden="1">
      <c r="A445" s="2" t="s">
        <v>8795</v>
      </c>
      <c r="B445" s="2" t="str">
        <f t="shared" si="11"/>
        <v>ℹ️ Liquid fuel: please select one unit of measurement among m³ and L</v>
      </c>
      <c r="C445" s="2" t="s">
        <v>8796</v>
      </c>
      <c r="D445" s="442" t="s">
        <v>8797</v>
      </c>
      <c r="E445" s="442" t="s">
        <v>8798</v>
      </c>
      <c r="F445" s="442" t="s">
        <v>8799</v>
      </c>
      <c r="G445" s="449" t="s">
        <v>8800</v>
      </c>
      <c r="H445" s="449" t="s">
        <v>8801</v>
      </c>
      <c r="I445" s="2" t="s">
        <v>8802</v>
      </c>
      <c r="J445" s="448" t="s">
        <v>8803</v>
      </c>
      <c r="K445" s="448" t="s">
        <v>8804</v>
      </c>
      <c r="L445" s="448" t="s">
        <v>8805</v>
      </c>
      <c r="M445" s="448" t="s">
        <v>8806</v>
      </c>
      <c r="N445" s="448" t="s">
        <v>8807</v>
      </c>
    </row>
    <row r="446" spans="1:14" ht="29.15" hidden="1">
      <c r="A446" s="2" t="s">
        <v>8808</v>
      </c>
      <c r="B446" s="2" t="str">
        <f t="shared" si="11"/>
        <v>ℹ️ Solid fuel: please select one unit of measurement among Gg, t, Kg and g</v>
      </c>
      <c r="C446" s="2" t="s">
        <v>8809</v>
      </c>
      <c r="D446" s="442" t="s">
        <v>8810</v>
      </c>
      <c r="E446" s="442" t="s">
        <v>8811</v>
      </c>
      <c r="F446" s="442" t="s">
        <v>8812</v>
      </c>
      <c r="G446" s="449" t="s">
        <v>8813</v>
      </c>
      <c r="H446" s="449" t="s">
        <v>8814</v>
      </c>
      <c r="I446" s="2" t="s">
        <v>8815</v>
      </c>
      <c r="J446" s="448" t="s">
        <v>8816</v>
      </c>
      <c r="K446" s="448" t="s">
        <v>8817</v>
      </c>
      <c r="L446" s="448" t="s">
        <v>8818</v>
      </c>
      <c r="M446" s="448" t="s">
        <v>8819</v>
      </c>
      <c r="N446" s="448" t="s">
        <v>8820</v>
      </c>
    </row>
    <row r="447" spans="1:14" ht="29.15" hidden="1">
      <c r="A447" s="2" t="s">
        <v>8821</v>
      </c>
      <c r="B447" s="2" t="str">
        <f t="shared" si="11"/>
        <v>ℹ️ Gaseous fuel: please select one unit of measurement among m³ and L</v>
      </c>
      <c r="C447" s="2" t="s">
        <v>8822</v>
      </c>
      <c r="D447" s="442" t="s">
        <v>8823</v>
      </c>
      <c r="E447" s="442" t="s">
        <v>8824</v>
      </c>
      <c r="F447" s="442" t="s">
        <v>8825</v>
      </c>
      <c r="G447" s="449" t="s">
        <v>8826</v>
      </c>
      <c r="H447" s="449" t="s">
        <v>8827</v>
      </c>
      <c r="I447" s="2" t="s">
        <v>8828</v>
      </c>
      <c r="J447" s="448" t="s">
        <v>8829</v>
      </c>
      <c r="K447" s="448" t="s">
        <v>8830</v>
      </c>
      <c r="L447" s="448" t="s">
        <v>8831</v>
      </c>
      <c r="M447" s="448" t="s">
        <v>8832</v>
      </c>
      <c r="N447" s="448" t="s">
        <v>8833</v>
      </c>
    </row>
    <row r="448" spans="1:14" s="511" customFormat="1" ht="102" hidden="1">
      <c r="A448" s="558" t="s">
        <v>8834</v>
      </c>
      <c r="B448" s="558" t="str">
        <f t="shared" si="11"/>
        <v xml:space="preserve">ℹ️  The entity identifier is a unique ID, that will enable identifying the company that has reported the information. The Voluntary Standard does not require any specific identifier. An entity identifier is required for the digital reporting. </v>
      </c>
      <c r="C448" s="558" t="s">
        <v>8835</v>
      </c>
      <c r="D448" s="547" t="s">
        <v>8836</v>
      </c>
      <c r="E448" s="547" t="s">
        <v>8837</v>
      </c>
      <c r="F448" s="547" t="s">
        <v>8838</v>
      </c>
      <c r="G448" s="560" t="s">
        <v>8839</v>
      </c>
      <c r="H448" s="560" t="s">
        <v>8840</v>
      </c>
      <c r="I448" s="558" t="s">
        <v>8841</v>
      </c>
      <c r="J448" s="550" t="s">
        <v>8842</v>
      </c>
      <c r="K448" s="550" t="s">
        <v>8843</v>
      </c>
      <c r="L448" s="550" t="s">
        <v>8844</v>
      </c>
      <c r="M448" s="550" t="s">
        <v>8845</v>
      </c>
      <c r="N448" s="550" t="s">
        <v>8846</v>
      </c>
    </row>
    <row r="449" spans="1:14" ht="72.900000000000006" hidden="1">
      <c r="A449" s="2" t="s">
        <v>8847</v>
      </c>
      <c r="B449" s="2" t="str">
        <f t="shared" si="11"/>
        <v>ℹ️ If VALUE INCONSISTENCY message appears on the right, please ensure that the reporting period end date is greater than the reporting period start date.</v>
      </c>
      <c r="C449" s="2" t="s">
        <v>8848</v>
      </c>
      <c r="D449" s="442" t="s">
        <v>8849</v>
      </c>
      <c r="E449" s="442" t="s">
        <v>8850</v>
      </c>
      <c r="F449" s="442" t="s">
        <v>8851</v>
      </c>
      <c r="G449" s="449" t="s">
        <v>8852</v>
      </c>
      <c r="H449" s="449" t="s">
        <v>8853</v>
      </c>
      <c r="I449" s="2" t="s">
        <v>8854</v>
      </c>
      <c r="J449" s="448" t="s">
        <v>8855</v>
      </c>
      <c r="K449" s="448" t="s">
        <v>8856</v>
      </c>
      <c r="L449" s="448" t="s">
        <v>8857</v>
      </c>
      <c r="M449" s="448" t="s">
        <v>8858</v>
      </c>
      <c r="N449" s="448" t="s">
        <v>8859</v>
      </c>
    </row>
    <row r="450" spans="1:14" ht="72.900000000000006" hidden="1">
      <c r="A450" s="2" t="s">
        <v>8860</v>
      </c>
      <c r="B450" s="2" t="str">
        <f t="shared" si="11"/>
        <v>ℹ️  Lists can be expanded using the little [+] button on the left.  If the number of rows is not sufficient, those can be added by right clicking the second row and selecting "Insert row".</v>
      </c>
      <c r="C450" s="2" t="s">
        <v>8861</v>
      </c>
      <c r="D450" s="442" t="s">
        <v>8862</v>
      </c>
      <c r="E450" s="442" t="s">
        <v>8863</v>
      </c>
      <c r="F450" s="442" t="s">
        <v>8864</v>
      </c>
      <c r="G450" s="449" t="s">
        <v>8865</v>
      </c>
      <c r="H450" s="449" t="s">
        <v>8866</v>
      </c>
      <c r="I450" s="2" t="s">
        <v>8867</v>
      </c>
      <c r="J450" s="448" t="s">
        <v>8868</v>
      </c>
      <c r="K450" s="448" t="s">
        <v>8869</v>
      </c>
      <c r="L450" s="448" t="s">
        <v>8870</v>
      </c>
      <c r="M450" s="448" t="s">
        <v>8871</v>
      </c>
      <c r="N450" s="448" t="s">
        <v>8872</v>
      </c>
    </row>
    <row r="451" spans="1:14" ht="58.3" hidden="1">
      <c r="A451" s="2" t="s">
        <v>8873</v>
      </c>
      <c r="B451" s="2" t="str">
        <f t="shared" si="11"/>
        <v>ℹ️ When "other" is chosen as undertaking legal form, please fill the row below</v>
      </c>
      <c r="C451" s="2" t="s">
        <v>8874</v>
      </c>
      <c r="D451" s="442" t="s">
        <v>8875</v>
      </c>
      <c r="E451" s="442" t="s">
        <v>8876</v>
      </c>
      <c r="F451" s="442" t="s">
        <v>8877</v>
      </c>
      <c r="G451" s="449" t="s">
        <v>8878</v>
      </c>
      <c r="H451" s="449" t="s">
        <v>8879</v>
      </c>
      <c r="I451" s="2" t="s">
        <v>8880</v>
      </c>
      <c r="J451" s="448" t="s">
        <v>8881</v>
      </c>
      <c r="K451" s="448" t="s">
        <v>8882</v>
      </c>
      <c r="L451" s="448" t="s">
        <v>8883</v>
      </c>
      <c r="M451" s="448" t="s">
        <v>8884</v>
      </c>
      <c r="N451" s="448" t="s">
        <v>8885</v>
      </c>
    </row>
    <row r="452" spans="1:14" ht="58.3" hidden="1">
      <c r="A452" s="2" t="s">
        <v>8886</v>
      </c>
      <c r="B452" s="2" t="str">
        <f t="shared" si="11"/>
        <v>ℹ️  Please select a NACE code rather than a category else an ERROR message will appear.</v>
      </c>
      <c r="C452" s="2" t="s">
        <v>8887</v>
      </c>
      <c r="D452" s="442" t="s">
        <v>8888</v>
      </c>
      <c r="E452" s="442" t="s">
        <v>8889</v>
      </c>
      <c r="F452" s="442" t="s">
        <v>8890</v>
      </c>
      <c r="G452" s="449" t="s">
        <v>8891</v>
      </c>
      <c r="H452" s="449" t="s">
        <v>8892</v>
      </c>
      <c r="I452" s="2" t="s">
        <v>8893</v>
      </c>
      <c r="J452" s="448" t="s">
        <v>8894</v>
      </c>
      <c r="K452" s="448" t="s">
        <v>8895</v>
      </c>
      <c r="L452" s="448" t="s">
        <v>8896</v>
      </c>
      <c r="M452" s="448" t="s">
        <v>8897</v>
      </c>
      <c r="N452" s="448" t="s">
        <v>8898</v>
      </c>
    </row>
    <row r="453" spans="1:14" ht="43.75" hidden="1">
      <c r="A453" s="2" t="s">
        <v>8899</v>
      </c>
      <c r="B453" s="2" t="str">
        <f t="shared" si="11"/>
        <v>ℹ️  Please be careful to separate each street number and house number using the slash symbol "/" and not the comma ","</v>
      </c>
      <c r="C453" s="2" t="s">
        <v>8900</v>
      </c>
      <c r="D453" s="442" t="s">
        <v>8901</v>
      </c>
      <c r="E453" s="442" t="s">
        <v>8902</v>
      </c>
      <c r="F453" s="442" t="s">
        <v>8903</v>
      </c>
      <c r="G453" s="449" t="s">
        <v>8904</v>
      </c>
      <c r="H453" s="449" t="s">
        <v>8905</v>
      </c>
      <c r="I453" s="2" t="s">
        <v>8906</v>
      </c>
      <c r="J453" s="448" t="s">
        <v>8907</v>
      </c>
      <c r="K453" s="448" t="s">
        <v>8908</v>
      </c>
      <c r="L453" s="448" t="s">
        <v>8909</v>
      </c>
      <c r="M453" s="448" t="s">
        <v>8910</v>
      </c>
      <c r="N453" s="448" t="s">
        <v>8911</v>
      </c>
    </row>
    <row r="454" spans="1:14" ht="43.75" hidden="1">
      <c r="A454" s="2" t="s">
        <v>8912</v>
      </c>
      <c r="B454" s="2" t="str">
        <f t="shared" si="11"/>
        <v xml:space="preserve">ℹ️  Please note that the formula present in this cell may be overwritten in case the undertaking wants to directly provide the value. </v>
      </c>
      <c r="C454" s="2" t="s">
        <v>8913</v>
      </c>
      <c r="D454" s="442" t="s">
        <v>8914</v>
      </c>
      <c r="E454" s="442" t="s">
        <v>8915</v>
      </c>
      <c r="F454" s="442" t="s">
        <v>8916</v>
      </c>
      <c r="G454" s="449" t="s">
        <v>8917</v>
      </c>
      <c r="H454" s="449" t="s">
        <v>8918</v>
      </c>
      <c r="I454" s="2" t="s">
        <v>8919</v>
      </c>
      <c r="J454" s="448" t="s">
        <v>8920</v>
      </c>
      <c r="K454" s="448" t="s">
        <v>8921</v>
      </c>
      <c r="L454" s="448" t="s">
        <v>8922</v>
      </c>
      <c r="M454" s="448" t="s">
        <v>8923</v>
      </c>
      <c r="N454" s="448" t="s">
        <v>8924</v>
      </c>
    </row>
    <row r="455" spans="1:14" ht="102" hidden="1">
      <c r="A455" s="2" t="s">
        <v>8925</v>
      </c>
      <c r="B455" s="2" t="str">
        <f t="shared" si="11"/>
        <v>ℹ️  Scope 3 categories according to the GHG protocol might help to calculate the total Scope 3 GHG emissions. In case the undertaking wants to, it can directly provide the Total Scope 3 GHG emissions in the respective cell.</v>
      </c>
      <c r="C455" s="2" t="s">
        <v>8926</v>
      </c>
      <c r="D455" s="442" t="s">
        <v>8927</v>
      </c>
      <c r="E455" s="442" t="s">
        <v>8928</v>
      </c>
      <c r="F455" s="442" t="s">
        <v>8929</v>
      </c>
      <c r="G455" s="449" t="s">
        <v>8930</v>
      </c>
      <c r="H455" s="449" t="s">
        <v>8931</v>
      </c>
      <c r="I455" s="2" t="s">
        <v>8932</v>
      </c>
      <c r="J455" s="448" t="s">
        <v>8933</v>
      </c>
      <c r="K455" s="448" t="s">
        <v>8934</v>
      </c>
      <c r="L455" s="448" t="s">
        <v>8935</v>
      </c>
      <c r="M455" s="448" t="s">
        <v>8936</v>
      </c>
      <c r="N455" s="448" t="s">
        <v>8937</v>
      </c>
    </row>
    <row r="456" spans="1:14" ht="58.3" hidden="1">
      <c r="A456" s="2" t="s">
        <v>8938</v>
      </c>
      <c r="B456" s="2" t="str">
        <f t="shared" si="11"/>
        <v>ℹ️  If a validation related to value inconsistency is displayed, please select a site ID that is different from one of those previously selected.</v>
      </c>
      <c r="C456" s="2" t="s">
        <v>8939</v>
      </c>
      <c r="D456" s="442" t="s">
        <v>8940</v>
      </c>
      <c r="E456" s="442" t="s">
        <v>8941</v>
      </c>
      <c r="F456" s="442" t="s">
        <v>8942</v>
      </c>
      <c r="G456" s="449" t="s">
        <v>8943</v>
      </c>
      <c r="H456" s="449" t="s">
        <v>8944</v>
      </c>
      <c r="I456" s="2" t="s">
        <v>8945</v>
      </c>
      <c r="J456" s="448" t="s">
        <v>8946</v>
      </c>
      <c r="K456" s="448" t="s">
        <v>8947</v>
      </c>
      <c r="L456" s="448" t="s">
        <v>8948</v>
      </c>
      <c r="M456" s="448" t="s">
        <v>8949</v>
      </c>
      <c r="N456" s="448" t="s">
        <v>8950</v>
      </c>
    </row>
    <row r="457" spans="1:14" ht="58.3" hidden="1">
      <c r="A457" s="2" t="s">
        <v>8951</v>
      </c>
      <c r="B457" s="2" t="str">
        <f t="shared" si="11"/>
        <v>ℹ️  Please select a Type of waste (Hazardous or Non-Hazardous) rather than a category else an ERROR message will appear.</v>
      </c>
      <c r="C457" s="2" t="s">
        <v>8952</v>
      </c>
      <c r="D457" s="442" t="s">
        <v>8953</v>
      </c>
      <c r="E457" s="442" t="s">
        <v>8954</v>
      </c>
      <c r="F457" s="442" t="s">
        <v>8955</v>
      </c>
      <c r="G457" s="449" t="s">
        <v>8956</v>
      </c>
      <c r="H457" s="449" t="s">
        <v>8957</v>
      </c>
      <c r="I457" s="2" t="s">
        <v>8958</v>
      </c>
      <c r="J457" s="448" t="s">
        <v>8959</v>
      </c>
      <c r="K457" s="448" t="s">
        <v>8960</v>
      </c>
      <c r="L457" s="448" t="s">
        <v>8961</v>
      </c>
      <c r="M457" s="448" t="s">
        <v>8962</v>
      </c>
      <c r="N457" s="448" t="s">
        <v>8963</v>
      </c>
    </row>
    <row r="458" spans="1:14" ht="72.900000000000006" hidden="1">
      <c r="A458" s="2" t="s">
        <v>8964</v>
      </c>
      <c r="B458" s="2" t="str">
        <f t="shared" si="11"/>
        <v xml:space="preserve">ℹ️  Please make sure that the total number of employees is the same as the one provided in the "General Information" sheet cell E55
</v>
      </c>
      <c r="C458" s="2" t="s">
        <v>8965</v>
      </c>
      <c r="D458" s="442" t="s">
        <v>8966</v>
      </c>
      <c r="E458" s="442" t="s">
        <v>8967</v>
      </c>
      <c r="F458" s="442" t="s">
        <v>8968</v>
      </c>
      <c r="G458" s="449" t="s">
        <v>8969</v>
      </c>
      <c r="H458" s="449" t="s">
        <v>8970</v>
      </c>
      <c r="I458" s="2" t="s">
        <v>8971</v>
      </c>
      <c r="J458" s="448" t="s">
        <v>8972</v>
      </c>
      <c r="K458" s="448" t="s">
        <v>8973</v>
      </c>
      <c r="L458" s="448" t="s">
        <v>8974</v>
      </c>
      <c r="M458" s="448" t="s">
        <v>8975</v>
      </c>
      <c r="N458" s="448" t="s">
        <v>8976</v>
      </c>
    </row>
    <row r="459" spans="1:14" s="511" customFormat="1" ht="291.45" hidden="1">
      <c r="A459" s="558" t="s">
        <v>8977</v>
      </c>
      <c r="B459" s="558" t="str">
        <f t="shared" si="11"/>
        <v xml:space="preserve">ℹ️  The undertaking can modify the value in this cell.
 Based on the assumption that one full-time worker works 2,000 hours per year:
 (a) 200, 000 = the rate indicates the number of work-related accidents per 100 full-time 
workers over a yearly time frame;
(b) 1, 000, 000 = the rate indicates the number of work-related accidents per 500 full
time workers over a yearly time frame.  
The undertaking can explain whether the rates have been calculated based on 200,000 or 
1,000,000 hours worked. 
If the undertaking cannot calculate directly the number of hours worked, it may estimate 
this on the basis of normal or standard hours of work. </v>
      </c>
      <c r="C459" s="558" t="s">
        <v>8978</v>
      </c>
      <c r="D459" s="547" t="s">
        <v>8979</v>
      </c>
      <c r="E459" s="547" t="s">
        <v>8980</v>
      </c>
      <c r="F459" s="547" t="s">
        <v>8981</v>
      </c>
      <c r="G459" s="560" t="s">
        <v>8982</v>
      </c>
      <c r="H459" s="560" t="s">
        <v>8983</v>
      </c>
      <c r="I459" s="558" t="s">
        <v>8984</v>
      </c>
      <c r="J459" s="550" t="s">
        <v>8985</v>
      </c>
      <c r="K459" s="550" t="s">
        <v>8986</v>
      </c>
      <c r="L459" s="550" t="s">
        <v>8987</v>
      </c>
      <c r="M459" s="550" t="s">
        <v>8988</v>
      </c>
      <c r="N459" s="550" t="s">
        <v>8989</v>
      </c>
    </row>
    <row r="460" spans="1:14" ht="43.75" hidden="1">
      <c r="A460" s="2" t="s">
        <v>8990</v>
      </c>
      <c r="B460" s="2" t="str">
        <f t="shared" si="11"/>
        <v>ℹ️  Whenever a disclosure is fully omitted because sensitive or classfied, it will be highligted in bold</v>
      </c>
      <c r="C460" s="2" t="s">
        <v>8991</v>
      </c>
      <c r="D460" s="442" t="s">
        <v>8992</v>
      </c>
      <c r="E460" s="442" t="s">
        <v>8993</v>
      </c>
      <c r="F460" s="442" t="s">
        <v>8994</v>
      </c>
      <c r="G460" s="442" t="s">
        <v>8995</v>
      </c>
      <c r="H460" s="442" t="s">
        <v>8996</v>
      </c>
      <c r="I460" s="442" t="s">
        <v>8997</v>
      </c>
      <c r="J460" s="442" t="s">
        <v>8998</v>
      </c>
      <c r="K460" s="442" t="s">
        <v>8999</v>
      </c>
      <c r="L460" s="442" t="s">
        <v>9000</v>
      </c>
      <c r="M460" s="442" t="s">
        <v>9001</v>
      </c>
      <c r="N460" s="442" t="s">
        <v>9002</v>
      </c>
    </row>
    <row r="461" spans="1:14" ht="44.15" hidden="1" thickBot="1">
      <c r="A461" s="454" t="s">
        <v>9003</v>
      </c>
      <c r="B461" s="454" t="str">
        <f t="shared" si="11"/>
        <v>ℹ️ Check EFRAG website for a non-exhaustive list of GHG calculators.</v>
      </c>
      <c r="C461" s="454" t="s">
        <v>9004</v>
      </c>
      <c r="D461" s="450" t="s">
        <v>9005</v>
      </c>
      <c r="E461" s="450" t="s">
        <v>9006</v>
      </c>
      <c r="F461" s="454" t="s">
        <v>9007</v>
      </c>
      <c r="G461" s="454" t="s">
        <v>9008</v>
      </c>
      <c r="H461" s="454" t="s">
        <v>9009</v>
      </c>
      <c r="I461" s="454" t="s">
        <v>9010</v>
      </c>
      <c r="J461" s="454" t="s">
        <v>9011</v>
      </c>
      <c r="K461" s="454" t="s">
        <v>9012</v>
      </c>
      <c r="L461" s="454" t="s">
        <v>9013</v>
      </c>
      <c r="M461" s="454" t="s">
        <v>9014</v>
      </c>
      <c r="N461" s="454" t="s">
        <v>9015</v>
      </c>
    </row>
    <row r="462" spans="1:14" ht="43.75" hidden="1">
      <c r="A462" s="2" t="s">
        <v>9016</v>
      </c>
      <c r="B462" s="312" t="str">
        <f t="shared" si="11"/>
        <v>ℹ️ VSME Supporting Guidance on Disclosure C2 - Comprehensive Module (Practices, Policies, and Future Initiatives)</v>
      </c>
      <c r="C462" s="2" t="s">
        <v>9017</v>
      </c>
      <c r="D462" s="442" t="s">
        <v>9018</v>
      </c>
      <c r="E462" s="442" t="s">
        <v>9019</v>
      </c>
      <c r="F462" s="442" t="s">
        <v>9020</v>
      </c>
      <c r="G462" s="442" t="s">
        <v>9021</v>
      </c>
      <c r="H462" s="442" t="s">
        <v>9022</v>
      </c>
      <c r="I462" s="442" t="s">
        <v>9023</v>
      </c>
      <c r="J462" s="442" t="s">
        <v>9024</v>
      </c>
      <c r="K462" s="442" t="s">
        <v>9025</v>
      </c>
      <c r="L462" s="442" t="s">
        <v>9026</v>
      </c>
      <c r="M462" s="442" t="s">
        <v>9027</v>
      </c>
      <c r="N462" s="442" t="s">
        <v>9028</v>
      </c>
    </row>
    <row r="463" spans="1:14" ht="43.75" hidden="1">
      <c r="A463" s="2" t="s">
        <v>9029</v>
      </c>
      <c r="B463" s="312" t="str">
        <f t="shared" si="11"/>
        <v>ℹ️ VSME Supporting guide on Disclosure C3 - Comprehensive Module (GHG reduction targets and climate transition)</v>
      </c>
      <c r="C463" s="2" t="s">
        <v>9030</v>
      </c>
      <c r="D463" s="442" t="s">
        <v>9031</v>
      </c>
      <c r="E463" s="442" t="s">
        <v>9032</v>
      </c>
      <c r="F463" s="442" t="s">
        <v>9033</v>
      </c>
      <c r="G463" s="442" t="s">
        <v>9034</v>
      </c>
      <c r="H463" s="442" t="s">
        <v>9035</v>
      </c>
      <c r="I463" s="442" t="s">
        <v>9036</v>
      </c>
      <c r="J463" s="442" t="s">
        <v>9037</v>
      </c>
      <c r="K463" s="442" t="s">
        <v>9038</v>
      </c>
      <c r="L463" s="442" t="s">
        <v>9039</v>
      </c>
      <c r="M463" s="442" t="s">
        <v>9040</v>
      </c>
      <c r="N463" s="442" t="s">
        <v>9041</v>
      </c>
    </row>
    <row r="464" spans="1:14" ht="43.75" hidden="1">
      <c r="A464" s="2" t="s">
        <v>9042</v>
      </c>
      <c r="B464" s="312" t="str">
        <f t="shared" si="11"/>
        <v>ℹ️ VSME Supporting Guide to Disclosure C7 - Comprehensive Module (Severe negative human rights incidents (paragraph 62(c))</v>
      </c>
      <c r="C464" s="2" t="s">
        <v>9043</v>
      </c>
      <c r="D464" s="442" t="s">
        <v>9044</v>
      </c>
      <c r="E464" s="442" t="s">
        <v>9045</v>
      </c>
      <c r="F464" s="442" t="s">
        <v>9046</v>
      </c>
      <c r="G464" s="442" t="s">
        <v>9047</v>
      </c>
      <c r="H464" s="442" t="s">
        <v>9048</v>
      </c>
      <c r="I464" s="442" t="s">
        <v>9049</v>
      </c>
      <c r="J464" s="442" t="s">
        <v>9050</v>
      </c>
      <c r="K464" s="442" t="s">
        <v>9051</v>
      </c>
      <c r="L464" s="442" t="s">
        <v>9052</v>
      </c>
      <c r="M464" s="442" t="s">
        <v>9053</v>
      </c>
      <c r="N464" s="442" t="s">
        <v>9054</v>
      </c>
    </row>
    <row r="465" spans="1:14" s="511" customFormat="1" ht="72.900000000000006" hidden="1">
      <c r="A465" s="558" t="s">
        <v>9055</v>
      </c>
      <c r="B465" s="561" t="str">
        <f t="shared" ref="B465:B482" si="12">INDEX(C465:N465,MATCH(template_selected_display_language,$C$3:$N$3,0))</f>
        <v>ℹ️ WARNING: Information inserted in VSME Digital Template but marked as classified or sensitive information. Please make sure to remove such information from the VS Digital Template, else it will converted in the Inline XBRL report.</v>
      </c>
      <c r="C465" s="558" t="s">
        <v>9056</v>
      </c>
      <c r="D465" s="547" t="s">
        <v>9057</v>
      </c>
      <c r="E465" s="547" t="s">
        <v>9058</v>
      </c>
      <c r="F465" s="547" t="s">
        <v>9059</v>
      </c>
      <c r="G465" s="547" t="s">
        <v>9060</v>
      </c>
      <c r="H465" s="547" t="s">
        <v>9061</v>
      </c>
      <c r="I465" s="547" t="s">
        <v>9062</v>
      </c>
      <c r="J465" s="547" t="s">
        <v>9063</v>
      </c>
      <c r="K465" s="547" t="s">
        <v>9064</v>
      </c>
      <c r="L465" s="547" t="s">
        <v>9065</v>
      </c>
      <c r="M465" s="547" t="s">
        <v>9066</v>
      </c>
      <c r="N465" s="547" t="s">
        <v>9067</v>
      </c>
    </row>
    <row r="466" spans="1:14" ht="72.900000000000006" hidden="1">
      <c r="A466" s="2" t="s">
        <v>9068</v>
      </c>
      <c r="B466" s="312" t="str">
        <f t="shared" si="12"/>
        <v>ℹ️ WARNING: The Digital Template was developed and tested using Microsoft Excel 365. Functionality may be limited or incorrect when using other spreadsheet applications or older versions of Excel.</v>
      </c>
      <c r="C466" s="2" t="s">
        <v>9069</v>
      </c>
      <c r="D466" s="442" t="s">
        <v>9070</v>
      </c>
      <c r="E466" s="442" t="s">
        <v>9071</v>
      </c>
      <c r="F466" s="442" t="s">
        <v>9072</v>
      </c>
      <c r="G466" s="442" t="s">
        <v>9073</v>
      </c>
      <c r="H466" s="442" t="s">
        <v>9074</v>
      </c>
      <c r="I466" s="442" t="s">
        <v>9075</v>
      </c>
      <c r="J466" s="442" t="s">
        <v>9076</v>
      </c>
      <c r="K466" s="442" t="s">
        <v>9077</v>
      </c>
      <c r="L466" s="442" t="s">
        <v>9078</v>
      </c>
      <c r="M466" s="442" t="s">
        <v>9079</v>
      </c>
      <c r="N466" s="442" t="s">
        <v>9080</v>
      </c>
    </row>
    <row r="467" spans="1:14" ht="58.3" hidden="1">
      <c r="A467" s="2" t="s">
        <v>9081</v>
      </c>
      <c r="B467" s="312" t="str">
        <f>INDEX(C467:N467,MATCH(template_selected_display_language,$C$3:$N$3,0))</f>
        <v>ℹ️ If needed, the expansion buttons of the left can be used to increase the number of rows and associate the same footnote to several disclosures</v>
      </c>
      <c r="C467" s="2" t="s">
        <v>9082</v>
      </c>
      <c r="D467" s="442" t="s">
        <v>9083</v>
      </c>
      <c r="E467" s="442" t="s">
        <v>9084</v>
      </c>
      <c r="F467" s="442" t="s">
        <v>9085</v>
      </c>
      <c r="G467" s="442" t="s">
        <v>9086</v>
      </c>
      <c r="H467" s="442" t="s">
        <v>9087</v>
      </c>
      <c r="I467" s="442" t="s">
        <v>9088</v>
      </c>
      <c r="J467" s="442" t="s">
        <v>9089</v>
      </c>
      <c r="K467" s="442" t="s">
        <v>9090</v>
      </c>
      <c r="L467" s="442" t="s">
        <v>9091</v>
      </c>
      <c r="M467" s="442" t="s">
        <v>9092</v>
      </c>
      <c r="N467" s="442" t="s">
        <v>9093</v>
      </c>
    </row>
    <row r="468" spans="1:14" s="511" customFormat="1" ht="29.15" hidden="1">
      <c r="A468" s="558" t="s">
        <v>9094</v>
      </c>
      <c r="B468" s="561" t="str">
        <f>INDEX(C468:N468,MATCH(template_selected_display_language,$C$3:$N$3,0))</f>
        <v>ℹ️ WARNING: Please note that only values greater than zero (0) should be inserted</v>
      </c>
      <c r="C468" s="558" t="s">
        <v>9095</v>
      </c>
      <c r="D468" s="547" t="s">
        <v>9096</v>
      </c>
      <c r="E468" s="547" t="s">
        <v>9097</v>
      </c>
      <c r="F468" s="547" t="s">
        <v>9098</v>
      </c>
      <c r="G468" s="547" t="s">
        <v>9099</v>
      </c>
      <c r="H468" s="547" t="s">
        <v>9100</v>
      </c>
      <c r="I468" s="547" t="s">
        <v>9101</v>
      </c>
      <c r="J468" s="547" t="s">
        <v>9102</v>
      </c>
      <c r="K468" s="547" t="s">
        <v>9103</v>
      </c>
      <c r="L468" s="547" t="s">
        <v>9104</v>
      </c>
      <c r="M468" s="547" t="s">
        <v>9105</v>
      </c>
      <c r="N468" s="547" t="s">
        <v>9106</v>
      </c>
    </row>
    <row r="469" spans="1:14" s="511" customFormat="1" ht="87.45" hidden="1">
      <c r="A469" s="558" t="s">
        <v>9107</v>
      </c>
      <c r="B469" s="561" t="str">
        <f>INDEX(C469:N469,MATCH(template_selected_display_language,$C$3:$N$3,0))</f>
        <v>ℹ️ The cells of column D to K (from row 174 to 184) associated to "Other pollutants than those listed in the Regulation (EU) 2024/1244 of the European Parliament and of the Council" enable the possibility of inserting amounts and names of the other pollutants, not included in the list above</v>
      </c>
      <c r="C469" s="558" t="s">
        <v>9108</v>
      </c>
      <c r="D469" s="547" t="s">
        <v>9109</v>
      </c>
      <c r="E469" s="547" t="s">
        <v>9110</v>
      </c>
      <c r="F469" s="547" t="s">
        <v>9111</v>
      </c>
      <c r="G469" s="547" t="s">
        <v>9112</v>
      </c>
      <c r="H469" s="547" t="s">
        <v>9113</v>
      </c>
      <c r="I469" s="547" t="s">
        <v>9114</v>
      </c>
      <c r="J469" s="547" t="s">
        <v>9115</v>
      </c>
      <c r="K469" s="547" t="s">
        <v>9116</v>
      </c>
      <c r="L469" s="547" t="s">
        <v>9117</v>
      </c>
      <c r="M469" s="547" t="s">
        <v>9118</v>
      </c>
      <c r="N469" s="547" t="s">
        <v>9119</v>
      </c>
    </row>
    <row r="470" spans="1:14" s="12" customFormat="1" ht="29.6" hidden="1" thickBot="1">
      <c r="A470" s="454" t="s">
        <v>9120</v>
      </c>
      <c r="B470" s="451" t="str">
        <f>INDEX(C470:N470,MATCH(template_selected_display_language,$C$3:$N$3,0))</f>
        <v>ℹ️ The sum of the values in the table must be = or &lt; to the amount in cell G5</v>
      </c>
      <c r="C470" s="454" t="s">
        <v>9121</v>
      </c>
      <c r="D470" s="450" t="s">
        <v>9122</v>
      </c>
      <c r="E470" s="450" t="s">
        <v>9123</v>
      </c>
      <c r="F470" s="450" t="s">
        <v>9124</v>
      </c>
      <c r="G470" s="450" t="s">
        <v>9125</v>
      </c>
      <c r="H470" s="450" t="s">
        <v>9126</v>
      </c>
      <c r="I470" s="450" t="s">
        <v>9127</v>
      </c>
      <c r="J470" s="450" t="s">
        <v>9128</v>
      </c>
      <c r="K470" s="450" t="s">
        <v>9129</v>
      </c>
      <c r="L470" s="450" t="s">
        <v>9130</v>
      </c>
      <c r="M470" s="450" t="s">
        <v>9131</v>
      </c>
      <c r="N470" s="450" t="s">
        <v>9132</v>
      </c>
    </row>
    <row r="471" spans="1:14" s="511" customFormat="1" hidden="1">
      <c r="A471" s="558" t="s">
        <v>9133</v>
      </c>
      <c r="B471" s="561" t="str">
        <f t="shared" si="12"/>
        <v>VS Digital Template Sample</v>
      </c>
      <c r="C471" s="558" t="s">
        <v>9134</v>
      </c>
      <c r="D471" s="547" t="s">
        <v>9135</v>
      </c>
      <c r="E471" s="547" t="s">
        <v>9136</v>
      </c>
      <c r="F471" s="547" t="s">
        <v>9137</v>
      </c>
      <c r="G471" s="547" t="s">
        <v>9138</v>
      </c>
      <c r="H471" s="547" t="s">
        <v>9139</v>
      </c>
      <c r="I471" s="547" t="s">
        <v>9140</v>
      </c>
      <c r="J471" s="547" t="s">
        <v>9141</v>
      </c>
      <c r="K471" s="547" t="s">
        <v>9142</v>
      </c>
      <c r="L471" s="547" t="s">
        <v>9143</v>
      </c>
      <c r="M471" s="547" t="s">
        <v>9144</v>
      </c>
      <c r="N471" s="547" t="s">
        <v>9145</v>
      </c>
    </row>
    <row r="472" spans="1:14" ht="102.45" hidden="1" thickBot="1">
      <c r="A472" s="454" t="s">
        <v>9146</v>
      </c>
      <c r="B472" s="495" t="str">
        <f t="shared" si="12"/>
        <v>Disclaimer: This Excel template is intended for demonstration purposes only. All entities, names, data, and related information contained herein are entirely fictitious. Any resemblance to actual companies or individuals is purely coincidental. This sample should not be interpreted as reflecting real-world data or business. practices.</v>
      </c>
      <c r="C472" s="454" t="s">
        <v>9147</v>
      </c>
      <c r="D472" s="450" t="s">
        <v>9148</v>
      </c>
      <c r="E472" s="450" t="s">
        <v>9149</v>
      </c>
      <c r="F472" s="450" t="s">
        <v>9150</v>
      </c>
      <c r="G472" s="450" t="s">
        <v>9151</v>
      </c>
      <c r="H472" s="450" t="s">
        <v>9152</v>
      </c>
      <c r="I472" s="450" t="s">
        <v>9153</v>
      </c>
      <c r="J472" s="450" t="s">
        <v>9154</v>
      </c>
      <c r="K472" s="450" t="s">
        <v>9155</v>
      </c>
      <c r="L472" s="450" t="s">
        <v>9156</v>
      </c>
      <c r="M472" s="450" t="s">
        <v>9157</v>
      </c>
      <c r="N472" s="450" t="s">
        <v>9158</v>
      </c>
    </row>
    <row r="473" spans="1:14" hidden="1">
      <c r="A473" s="2" t="s">
        <v>9159</v>
      </c>
      <c r="B473" s="312" t="str">
        <f t="shared" si="12"/>
        <v>Mass</v>
      </c>
      <c r="C473" s="2" t="s">
        <v>105</v>
      </c>
      <c r="D473" s="442" t="s">
        <v>9160</v>
      </c>
      <c r="E473" s="442" t="s">
        <v>9161</v>
      </c>
      <c r="F473" s="2" t="s">
        <v>9160</v>
      </c>
      <c r="G473" s="2" t="s">
        <v>9160</v>
      </c>
      <c r="H473" s="2" t="s">
        <v>9162</v>
      </c>
      <c r="I473" s="2" t="s">
        <v>9161</v>
      </c>
      <c r="J473" s="2" t="s">
        <v>9163</v>
      </c>
      <c r="K473" s="2" t="s">
        <v>9164</v>
      </c>
      <c r="L473" s="2" t="s">
        <v>9161</v>
      </c>
      <c r="M473" s="2" t="s">
        <v>9165</v>
      </c>
      <c r="N473" s="2" t="s">
        <v>9165</v>
      </c>
    </row>
    <row r="474" spans="1:14" ht="15" hidden="1" thickBot="1">
      <c r="A474" s="454" t="s">
        <v>9166</v>
      </c>
      <c r="B474" s="495" t="str">
        <f t="shared" si="12"/>
        <v>Volume</v>
      </c>
      <c r="C474" s="454" t="s">
        <v>106</v>
      </c>
      <c r="D474" s="450" t="s">
        <v>9167</v>
      </c>
      <c r="E474" s="450" t="s">
        <v>106</v>
      </c>
      <c r="F474" s="454" t="s">
        <v>106</v>
      </c>
      <c r="G474" s="454" t="s">
        <v>9168</v>
      </c>
      <c r="H474" s="454" t="s">
        <v>9169</v>
      </c>
      <c r="I474" s="454" t="s">
        <v>106</v>
      </c>
      <c r="J474" s="454" t="s">
        <v>9170</v>
      </c>
      <c r="K474" s="454" t="s">
        <v>9171</v>
      </c>
      <c r="L474" s="454" t="s">
        <v>106</v>
      </c>
      <c r="M474" s="454" t="s">
        <v>9172</v>
      </c>
      <c r="N474" s="454" t="s">
        <v>9168</v>
      </c>
    </row>
    <row r="475" spans="1:14" ht="15" hidden="1" thickBot="1">
      <c r="A475" s="496" t="s">
        <v>9173</v>
      </c>
      <c r="B475" s="495" t="str">
        <f t="shared" si="12"/>
        <v>None</v>
      </c>
      <c r="C475" s="496" t="s">
        <v>324</v>
      </c>
      <c r="D475" s="496" t="s">
        <v>9174</v>
      </c>
      <c r="E475" s="496" t="s">
        <v>9175</v>
      </c>
      <c r="F475" s="496" t="s">
        <v>9176</v>
      </c>
      <c r="G475" s="496" t="s">
        <v>9177</v>
      </c>
      <c r="H475" s="496" t="s">
        <v>9178</v>
      </c>
      <c r="I475" s="496" t="s">
        <v>9179</v>
      </c>
      <c r="J475" s="496" t="s">
        <v>9180</v>
      </c>
      <c r="K475" s="496" t="s">
        <v>9181</v>
      </c>
      <c r="L475" s="496" t="s">
        <v>9182</v>
      </c>
      <c r="M475" s="496" t="s">
        <v>9183</v>
      </c>
      <c r="N475" s="496" t="s">
        <v>9184</v>
      </c>
    </row>
    <row r="476" spans="1:14" s="511" customFormat="1" ht="58.3" hidden="1">
      <c r="A476" s="558" t="s">
        <v>9185</v>
      </c>
      <c r="B476" s="561" t="str">
        <f>INDEX(C476:N476,MATCH(template_selected_display_language,$C$3:$N$3,0))</f>
        <v>If you need to add footnotes for the converted VS Digital Template, please select the disclosures in column D and write the related footnote in column B.</v>
      </c>
      <c r="C476" s="558" t="s">
        <v>11048</v>
      </c>
      <c r="D476" s="558" t="s">
        <v>9186</v>
      </c>
      <c r="E476" s="558" t="s">
        <v>9187</v>
      </c>
      <c r="F476" s="558" t="s">
        <v>9188</v>
      </c>
      <c r="G476" s="558" t="s">
        <v>9189</v>
      </c>
      <c r="H476" s="558" t="s">
        <v>9190</v>
      </c>
      <c r="I476" s="558" t="s">
        <v>9191</v>
      </c>
      <c r="J476" s="558" t="s">
        <v>9192</v>
      </c>
      <c r="K476" s="558" t="s">
        <v>9193</v>
      </c>
      <c r="L476" s="558" t="s">
        <v>9194</v>
      </c>
      <c r="M476" s="558" t="s">
        <v>9195</v>
      </c>
      <c r="N476" s="558" t="s">
        <v>9196</v>
      </c>
    </row>
    <row r="477" spans="1:14" hidden="1">
      <c r="A477" s="2" t="s">
        <v>9197</v>
      </c>
      <c r="B477" s="312" t="str">
        <f t="shared" si="12"/>
        <v>Footnote ID</v>
      </c>
      <c r="C477" s="2" t="s">
        <v>9198</v>
      </c>
      <c r="D477" s="442" t="s">
        <v>9199</v>
      </c>
      <c r="E477" s="442" t="s">
        <v>9200</v>
      </c>
      <c r="F477" s="442" t="s">
        <v>9201</v>
      </c>
      <c r="G477" s="442" t="s">
        <v>9202</v>
      </c>
      <c r="H477" s="442" t="s">
        <v>9203</v>
      </c>
      <c r="I477" s="442" t="s">
        <v>9204</v>
      </c>
      <c r="J477" s="442" t="s">
        <v>9205</v>
      </c>
      <c r="K477" s="442" t="s">
        <v>9206</v>
      </c>
      <c r="L477" s="442" t="s">
        <v>9207</v>
      </c>
      <c r="M477" s="442" t="s">
        <v>9208</v>
      </c>
      <c r="N477" s="442" t="s">
        <v>9209</v>
      </c>
    </row>
    <row r="478" spans="1:14" hidden="1">
      <c r="A478" s="2" t="s">
        <v>9210</v>
      </c>
      <c r="B478" s="312" t="str">
        <f>INDEX(C478:N478,MATCH(template_selected_display_language,$C$3:$N$3,0))</f>
        <v>Cell to which footnote is associated</v>
      </c>
      <c r="C478" s="2" t="s">
        <v>9211</v>
      </c>
      <c r="D478" s="442" t="s">
        <v>9212</v>
      </c>
      <c r="E478" s="442" t="s">
        <v>9213</v>
      </c>
      <c r="F478" s="442" t="s">
        <v>9214</v>
      </c>
      <c r="G478" s="442" t="s">
        <v>9215</v>
      </c>
      <c r="H478" s="442" t="s">
        <v>9216</v>
      </c>
      <c r="I478" s="442" t="s">
        <v>9217</v>
      </c>
      <c r="J478" s="442" t="s">
        <v>9218</v>
      </c>
      <c r="K478" s="442" t="s">
        <v>9219</v>
      </c>
      <c r="L478" s="442" t="s">
        <v>9220</v>
      </c>
      <c r="M478" s="442" t="s">
        <v>9221</v>
      </c>
      <c r="N478" s="442" t="s">
        <v>9222</v>
      </c>
    </row>
    <row r="479" spans="1:14" hidden="1">
      <c r="A479" s="2" t="s">
        <v>9223</v>
      </c>
      <c r="B479" s="312" t="str">
        <f t="shared" si="12"/>
        <v>Footnote text</v>
      </c>
      <c r="C479" s="2" t="s">
        <v>9224</v>
      </c>
      <c r="D479" s="442" t="s">
        <v>9225</v>
      </c>
      <c r="E479" s="442" t="s">
        <v>9226</v>
      </c>
      <c r="F479" s="442" t="s">
        <v>9227</v>
      </c>
      <c r="G479" s="442" t="s">
        <v>9228</v>
      </c>
      <c r="H479" s="442" t="s">
        <v>9229</v>
      </c>
      <c r="I479" s="442" t="s">
        <v>9230</v>
      </c>
      <c r="J479" s="442" t="s">
        <v>9231</v>
      </c>
      <c r="K479" s="442" t="s">
        <v>9232</v>
      </c>
      <c r="L479" s="442" t="s">
        <v>9233</v>
      </c>
      <c r="M479" s="442" t="s">
        <v>9234</v>
      </c>
      <c r="N479" s="442" t="s">
        <v>9235</v>
      </c>
    </row>
    <row r="480" spans="1:14" hidden="1">
      <c r="A480" s="2" t="s">
        <v>9236</v>
      </c>
      <c r="B480" s="312" t="str">
        <f t="shared" si="12"/>
        <v>Dimension (technical name)</v>
      </c>
      <c r="C480" s="2" t="s">
        <v>9237</v>
      </c>
      <c r="D480" s="442" t="s">
        <v>9238</v>
      </c>
      <c r="E480" s="442" t="s">
        <v>9239</v>
      </c>
      <c r="F480" s="442" t="s">
        <v>9240</v>
      </c>
      <c r="G480" s="442" t="s">
        <v>9241</v>
      </c>
      <c r="H480" s="442" t="s">
        <v>9242</v>
      </c>
      <c r="I480" s="442" t="s">
        <v>9243</v>
      </c>
      <c r="J480" s="442" t="s">
        <v>9244</v>
      </c>
      <c r="K480" s="442" t="s">
        <v>9245</v>
      </c>
      <c r="L480" s="442" t="s">
        <v>9246</v>
      </c>
      <c r="M480" s="442" t="s">
        <v>9247</v>
      </c>
      <c r="N480" s="442" t="s">
        <v>9248</v>
      </c>
    </row>
    <row r="481" spans="1:14" ht="29.15" hidden="1">
      <c r="A481" s="2" t="s">
        <v>9249</v>
      </c>
      <c r="B481" s="312" t="str">
        <f t="shared" si="12"/>
        <v>Click on the expansion button on the left if you need to include more footnotes</v>
      </c>
      <c r="C481" s="2" t="s">
        <v>9250</v>
      </c>
      <c r="D481" s="442" t="s">
        <v>9251</v>
      </c>
      <c r="E481" s="442" t="s">
        <v>9252</v>
      </c>
      <c r="F481" s="442" t="s">
        <v>9253</v>
      </c>
      <c r="G481" s="442" t="s">
        <v>9254</v>
      </c>
      <c r="H481" s="442" t="s">
        <v>9255</v>
      </c>
      <c r="I481" s="442" t="s">
        <v>9256</v>
      </c>
      <c r="J481" s="442" t="s">
        <v>9257</v>
      </c>
      <c r="K481" s="442" t="s">
        <v>9258</v>
      </c>
      <c r="L481" s="442" t="s">
        <v>9259</v>
      </c>
      <c r="M481" s="442" t="s">
        <v>9260</v>
      </c>
      <c r="N481" s="442" t="s">
        <v>9261</v>
      </c>
    </row>
    <row r="482" spans="1:14" s="511" customFormat="1" ht="29.15" hidden="1">
      <c r="A482" s="558" t="s">
        <v>9262</v>
      </c>
      <c r="B482" s="561" t="str">
        <f t="shared" si="12"/>
        <v>[Disclosure stemming from EFRAG non-mandatory guidance]</v>
      </c>
      <c r="C482" s="558" t="s">
        <v>9263</v>
      </c>
      <c r="D482" s="547" t="s">
        <v>9264</v>
      </c>
      <c r="E482" s="547" t="s">
        <v>9265</v>
      </c>
      <c r="F482" s="547" t="s">
        <v>9266</v>
      </c>
      <c r="G482" s="547" t="s">
        <v>9267</v>
      </c>
      <c r="H482" s="547" t="s">
        <v>9268</v>
      </c>
      <c r="I482" s="547" t="s">
        <v>9269</v>
      </c>
      <c r="J482" s="547" t="s">
        <v>9270</v>
      </c>
      <c r="K482" s="547" t="s">
        <v>9271</v>
      </c>
      <c r="L482" s="547" t="s">
        <v>9272</v>
      </c>
      <c r="M482" s="547" t="s">
        <v>9273</v>
      </c>
      <c r="N482" s="547" t="s">
        <v>9274</v>
      </c>
    </row>
    <row r="483" spans="1:14">
      <c r="D483" s="442"/>
      <c r="E483" s="442"/>
    </row>
    <row r="484" spans="1:14">
      <c r="D484" s="442"/>
      <c r="E484" s="442"/>
    </row>
    <row r="485" spans="1:14">
      <c r="D485" s="442"/>
      <c r="E485" s="442"/>
    </row>
    <row r="486" spans="1:14">
      <c r="D486" s="442"/>
      <c r="E486" s="442"/>
    </row>
    <row r="487" spans="1:14">
      <c r="D487" s="442"/>
      <c r="E487" s="442"/>
    </row>
    <row r="488" spans="1:14">
      <c r="D488" s="442"/>
      <c r="E488" s="442"/>
    </row>
    <row r="489" spans="1:14">
      <c r="D489" s="442"/>
      <c r="E489" s="442"/>
    </row>
    <row r="490" spans="1:14">
      <c r="D490" s="442"/>
      <c r="E490" s="442"/>
    </row>
    <row r="491" spans="1:14">
      <c r="D491" s="442"/>
      <c r="E491" s="442"/>
    </row>
    <row r="492" spans="1:14">
      <c r="D492" s="442"/>
      <c r="E492" s="442"/>
    </row>
    <row r="493" spans="1:14">
      <c r="D493" s="442"/>
      <c r="E493" s="442"/>
    </row>
    <row r="494" spans="1:14">
      <c r="D494" s="442"/>
      <c r="E494" s="442"/>
    </row>
    <row r="495" spans="1:14">
      <c r="D495" s="442"/>
      <c r="E495" s="442"/>
    </row>
    <row r="496" spans="1:14">
      <c r="D496" s="442"/>
      <c r="E496" s="442"/>
    </row>
    <row r="497" spans="4:5">
      <c r="D497" s="442"/>
      <c r="E497" s="442"/>
    </row>
    <row r="498" spans="4:5">
      <c r="D498" s="442"/>
      <c r="E498" s="442"/>
    </row>
    <row r="499" spans="4:5">
      <c r="D499" s="442"/>
      <c r="E499" s="442"/>
    </row>
    <row r="500" spans="4:5">
      <c r="D500" s="442"/>
      <c r="E500" s="442"/>
    </row>
    <row r="501" spans="4:5">
      <c r="D501" s="442"/>
      <c r="E501" s="442"/>
    </row>
    <row r="502" spans="4:5">
      <c r="D502" s="442"/>
      <c r="E502" s="442"/>
    </row>
    <row r="503" spans="4:5">
      <c r="D503" s="442"/>
      <c r="E503" s="442"/>
    </row>
    <row r="504" spans="4:5">
      <c r="D504" s="442"/>
      <c r="E504" s="442"/>
    </row>
    <row r="505" spans="4:5">
      <c r="D505" s="442"/>
      <c r="E505" s="442"/>
    </row>
    <row r="506" spans="4:5">
      <c r="D506" s="442"/>
      <c r="E506" s="442"/>
    </row>
    <row r="507" spans="4:5">
      <c r="D507" s="442"/>
      <c r="E507" s="442"/>
    </row>
    <row r="508" spans="4:5">
      <c r="D508" s="442"/>
      <c r="E508" s="442"/>
    </row>
    <row r="509" spans="4:5">
      <c r="D509" s="442"/>
      <c r="E509" s="442"/>
    </row>
    <row r="510" spans="4:5">
      <c r="D510" s="442"/>
      <c r="E510" s="442"/>
    </row>
    <row r="511" spans="4:5">
      <c r="D511" s="442"/>
      <c r="E511" s="442"/>
    </row>
    <row r="512" spans="4:5">
      <c r="D512" s="442"/>
      <c r="E512" s="442"/>
    </row>
    <row r="513" spans="4:5">
      <c r="D513" s="442"/>
      <c r="E513" s="442"/>
    </row>
    <row r="514" spans="4:5">
      <c r="D514" s="442"/>
      <c r="E514" s="442"/>
    </row>
    <row r="515" spans="4:5">
      <c r="D515" s="442"/>
      <c r="E515" s="442"/>
    </row>
    <row r="516" spans="4:5">
      <c r="D516" s="442"/>
      <c r="E516" s="442"/>
    </row>
    <row r="517" spans="4:5">
      <c r="D517" s="442"/>
      <c r="E517" s="442"/>
    </row>
    <row r="518" spans="4:5">
      <c r="D518" s="442"/>
      <c r="E518" s="442"/>
    </row>
    <row r="519" spans="4:5">
      <c r="D519" s="442"/>
      <c r="E519" s="442"/>
    </row>
    <row r="520" spans="4:5">
      <c r="D520" s="442"/>
      <c r="E520" s="442"/>
    </row>
    <row r="521" spans="4:5">
      <c r="D521" s="442"/>
      <c r="E521" s="442"/>
    </row>
    <row r="522" spans="4:5">
      <c r="D522" s="442"/>
      <c r="E522" s="442"/>
    </row>
    <row r="523" spans="4:5">
      <c r="D523" s="442"/>
      <c r="E523" s="442"/>
    </row>
    <row r="524" spans="4:5">
      <c r="D524" s="442"/>
      <c r="E524" s="442"/>
    </row>
    <row r="525" spans="4:5">
      <c r="D525" s="442"/>
      <c r="E525" s="442"/>
    </row>
    <row r="526" spans="4:5">
      <c r="D526" s="442"/>
      <c r="E526" s="442"/>
    </row>
    <row r="527" spans="4:5">
      <c r="D527" s="442"/>
      <c r="E527" s="442"/>
    </row>
    <row r="528" spans="4:5">
      <c r="D528" s="442"/>
      <c r="E528" s="442"/>
    </row>
    <row r="529" spans="4:5">
      <c r="D529" s="442"/>
      <c r="E529" s="442"/>
    </row>
    <row r="530" spans="4:5">
      <c r="D530" s="442"/>
      <c r="E530" s="442"/>
    </row>
    <row r="531" spans="4:5">
      <c r="D531" s="442"/>
      <c r="E531" s="442"/>
    </row>
    <row r="532" spans="4:5">
      <c r="D532" s="442"/>
      <c r="E532" s="442"/>
    </row>
    <row r="533" spans="4:5">
      <c r="D533" s="442"/>
      <c r="E533" s="442"/>
    </row>
    <row r="534" spans="4:5">
      <c r="D534" s="442"/>
      <c r="E534" s="442"/>
    </row>
    <row r="535" spans="4:5">
      <c r="D535" s="442"/>
      <c r="E535" s="442"/>
    </row>
    <row r="536" spans="4:5">
      <c r="D536" s="442"/>
      <c r="E536" s="442"/>
    </row>
    <row r="537" spans="4:5">
      <c r="D537" s="442"/>
      <c r="E537" s="442"/>
    </row>
    <row r="538" spans="4:5">
      <c r="D538" s="442"/>
      <c r="E538" s="442"/>
    </row>
    <row r="539" spans="4:5">
      <c r="D539" s="442"/>
      <c r="E539" s="442"/>
    </row>
    <row r="540" spans="4:5">
      <c r="D540" s="442"/>
      <c r="E540" s="442"/>
    </row>
    <row r="541" spans="4:5">
      <c r="D541" s="442"/>
      <c r="E541" s="442"/>
    </row>
    <row r="542" spans="4:5">
      <c r="D542" s="442"/>
      <c r="E542" s="442"/>
    </row>
    <row r="543" spans="4:5">
      <c r="D543" s="442"/>
      <c r="E543" s="442"/>
    </row>
    <row r="544" spans="4:5">
      <c r="D544" s="442"/>
      <c r="E544" s="442"/>
    </row>
    <row r="545" spans="4:5">
      <c r="D545" s="442"/>
      <c r="E545" s="442"/>
    </row>
    <row r="546" spans="4:5">
      <c r="D546" s="442"/>
      <c r="E546" s="442"/>
    </row>
    <row r="547" spans="4:5">
      <c r="D547" s="442"/>
      <c r="E547" s="442"/>
    </row>
    <row r="548" spans="4:5">
      <c r="D548" s="442"/>
      <c r="E548" s="442"/>
    </row>
    <row r="549" spans="4:5">
      <c r="D549" s="442"/>
      <c r="E549" s="442"/>
    </row>
    <row r="550" spans="4:5">
      <c r="D550" s="442"/>
      <c r="E550" s="442"/>
    </row>
    <row r="551" spans="4:5">
      <c r="D551" s="442"/>
      <c r="E551" s="442"/>
    </row>
    <row r="552" spans="4:5">
      <c r="D552" s="442"/>
      <c r="E552" s="442"/>
    </row>
    <row r="553" spans="4:5">
      <c r="D553" s="442"/>
      <c r="E553" s="442"/>
    </row>
    <row r="554" spans="4:5">
      <c r="D554" s="442"/>
      <c r="E554" s="442"/>
    </row>
    <row r="555" spans="4:5">
      <c r="D555" s="442"/>
      <c r="E555" s="442"/>
    </row>
    <row r="556" spans="4:5">
      <c r="D556" s="442"/>
      <c r="E556" s="442"/>
    </row>
    <row r="557" spans="4:5">
      <c r="D557" s="442"/>
      <c r="E557" s="442"/>
    </row>
    <row r="558" spans="4:5">
      <c r="D558" s="442"/>
      <c r="E558" s="442"/>
    </row>
    <row r="559" spans="4:5">
      <c r="D559" s="442"/>
      <c r="E559" s="442"/>
    </row>
    <row r="560" spans="4:5">
      <c r="D560" s="442"/>
      <c r="E560" s="442"/>
    </row>
    <row r="561" spans="4:5">
      <c r="D561" s="442"/>
      <c r="E561" s="442"/>
    </row>
    <row r="562" spans="4:5">
      <c r="D562" s="442"/>
      <c r="E562" s="442"/>
    </row>
    <row r="563" spans="4:5">
      <c r="D563" s="442"/>
      <c r="E563" s="442"/>
    </row>
    <row r="564" spans="4:5">
      <c r="D564" s="442"/>
      <c r="E564" s="442"/>
    </row>
    <row r="565" spans="4:5">
      <c r="D565" s="442"/>
      <c r="E565" s="442"/>
    </row>
    <row r="566" spans="4:5">
      <c r="D566" s="442"/>
      <c r="E566" s="442"/>
    </row>
    <row r="567" spans="4:5">
      <c r="D567" s="442"/>
      <c r="E567" s="442"/>
    </row>
    <row r="568" spans="4:5">
      <c r="D568" s="442"/>
      <c r="E568" s="442"/>
    </row>
    <row r="569" spans="4:5">
      <c r="D569" s="442"/>
      <c r="E569" s="442"/>
    </row>
    <row r="570" spans="4:5">
      <c r="D570" s="442"/>
      <c r="E570" s="442"/>
    </row>
    <row r="571" spans="4:5">
      <c r="D571" s="442"/>
      <c r="E571" s="442"/>
    </row>
    <row r="572" spans="4:5">
      <c r="D572" s="442"/>
      <c r="E572" s="442"/>
    </row>
    <row r="573" spans="4:5">
      <c r="D573" s="442"/>
      <c r="E573" s="442"/>
    </row>
    <row r="574" spans="4:5">
      <c r="D574" s="442"/>
      <c r="E574" s="442"/>
    </row>
    <row r="575" spans="4:5">
      <c r="D575" s="442"/>
      <c r="E575" s="442"/>
    </row>
    <row r="576" spans="4:5">
      <c r="D576" s="442"/>
      <c r="E576" s="442"/>
    </row>
    <row r="577" spans="4:5">
      <c r="D577" s="442"/>
      <c r="E577" s="442"/>
    </row>
    <row r="578" spans="4:5">
      <c r="D578" s="442"/>
      <c r="E578" s="442"/>
    </row>
    <row r="579" spans="4:5">
      <c r="D579" s="442"/>
      <c r="E579" s="442"/>
    </row>
    <row r="580" spans="4:5">
      <c r="D580" s="442"/>
      <c r="E580" s="442"/>
    </row>
    <row r="581" spans="4:5">
      <c r="D581" s="442"/>
      <c r="E581" s="442"/>
    </row>
    <row r="582" spans="4:5">
      <c r="D582" s="442"/>
      <c r="E582" s="442"/>
    </row>
    <row r="583" spans="4:5">
      <c r="D583" s="442"/>
      <c r="E583" s="442"/>
    </row>
    <row r="584" spans="4:5">
      <c r="D584" s="442"/>
      <c r="E584" s="442"/>
    </row>
    <row r="585" spans="4:5">
      <c r="D585" s="442"/>
      <c r="E585" s="442"/>
    </row>
    <row r="586" spans="4:5">
      <c r="D586" s="442"/>
      <c r="E586" s="442"/>
    </row>
    <row r="587" spans="4:5">
      <c r="D587" s="442"/>
      <c r="E587" s="442"/>
    </row>
    <row r="588" spans="4:5">
      <c r="D588" s="442"/>
      <c r="E588" s="442"/>
    </row>
    <row r="589" spans="4:5">
      <c r="D589" s="442"/>
      <c r="E589" s="442"/>
    </row>
    <row r="590" spans="4:5">
      <c r="D590" s="442"/>
      <c r="E590" s="442"/>
    </row>
    <row r="591" spans="4:5">
      <c r="D591" s="442"/>
      <c r="E591" s="442"/>
    </row>
    <row r="592" spans="4:5">
      <c r="D592" s="442"/>
      <c r="E592" s="442"/>
    </row>
    <row r="593" spans="4:5">
      <c r="D593" s="442"/>
      <c r="E593" s="442"/>
    </row>
    <row r="594" spans="4:5">
      <c r="D594" s="442"/>
      <c r="E594" s="442"/>
    </row>
    <row r="595" spans="4:5">
      <c r="D595" s="442"/>
      <c r="E595" s="442"/>
    </row>
    <row r="596" spans="4:5">
      <c r="D596" s="442"/>
      <c r="E596" s="442"/>
    </row>
    <row r="597" spans="4:5">
      <c r="D597" s="442"/>
      <c r="E597" s="442"/>
    </row>
    <row r="598" spans="4:5">
      <c r="D598" s="442"/>
      <c r="E598" s="442"/>
    </row>
    <row r="599" spans="4:5">
      <c r="D599" s="442"/>
      <c r="E599" s="442"/>
    </row>
    <row r="600" spans="4:5">
      <c r="D600" s="442"/>
      <c r="E600" s="442"/>
    </row>
    <row r="601" spans="4:5">
      <c r="D601" s="442"/>
      <c r="E601" s="442"/>
    </row>
    <row r="602" spans="4:5">
      <c r="D602" s="442"/>
      <c r="E602" s="442"/>
    </row>
    <row r="603" spans="4:5">
      <c r="D603" s="442"/>
      <c r="E603" s="442"/>
    </row>
    <row r="604" spans="4:5">
      <c r="D604" s="442"/>
      <c r="E604" s="442"/>
    </row>
    <row r="605" spans="4:5">
      <c r="D605" s="442"/>
      <c r="E605" s="442"/>
    </row>
    <row r="606" spans="4:5">
      <c r="D606" s="442"/>
      <c r="E606" s="442"/>
    </row>
    <row r="607" spans="4:5">
      <c r="D607" s="442"/>
      <c r="E607" s="442"/>
    </row>
    <row r="608" spans="4:5">
      <c r="D608" s="442"/>
      <c r="E608" s="442"/>
    </row>
    <row r="609" spans="4:5">
      <c r="D609" s="442"/>
      <c r="E609" s="442"/>
    </row>
    <row r="610" spans="4:5">
      <c r="D610" s="442"/>
      <c r="E610" s="442"/>
    </row>
    <row r="611" spans="4:5">
      <c r="D611" s="442"/>
      <c r="E611" s="442"/>
    </row>
    <row r="612" spans="4:5">
      <c r="D612" s="442"/>
      <c r="E612" s="442"/>
    </row>
    <row r="613" spans="4:5">
      <c r="D613" s="442"/>
      <c r="E613" s="442"/>
    </row>
    <row r="614" spans="4:5">
      <c r="D614" s="442"/>
      <c r="E614" s="442"/>
    </row>
    <row r="615" spans="4:5">
      <c r="D615" s="442"/>
      <c r="E615" s="442"/>
    </row>
    <row r="616" spans="4:5">
      <c r="D616" s="442"/>
      <c r="E616" s="442"/>
    </row>
    <row r="617" spans="4:5">
      <c r="D617" s="442"/>
      <c r="E617" s="442"/>
    </row>
    <row r="618" spans="4:5">
      <c r="D618" s="442"/>
      <c r="E618" s="442"/>
    </row>
    <row r="619" spans="4:5">
      <c r="D619" s="442"/>
      <c r="E619" s="442"/>
    </row>
    <row r="620" spans="4:5">
      <c r="D620" s="442"/>
      <c r="E620" s="442"/>
    </row>
    <row r="621" spans="4:5">
      <c r="D621" s="442"/>
      <c r="E621" s="442"/>
    </row>
    <row r="622" spans="4:5">
      <c r="D622" s="442"/>
      <c r="E622" s="442"/>
    </row>
    <row r="623" spans="4:5">
      <c r="D623" s="442"/>
      <c r="E623" s="442"/>
    </row>
    <row r="624" spans="4:5">
      <c r="D624" s="442"/>
      <c r="E624" s="442"/>
    </row>
    <row r="625" spans="4:5">
      <c r="D625" s="442"/>
      <c r="E625" s="442"/>
    </row>
    <row r="626" spans="4:5">
      <c r="D626" s="442"/>
      <c r="E626" s="442"/>
    </row>
    <row r="627" spans="4:5">
      <c r="D627" s="442"/>
      <c r="E627" s="442"/>
    </row>
    <row r="628" spans="4:5">
      <c r="D628" s="442"/>
      <c r="E628" s="442"/>
    </row>
    <row r="629" spans="4:5">
      <c r="D629" s="442"/>
      <c r="E629" s="442"/>
    </row>
    <row r="630" spans="4:5">
      <c r="D630" s="442"/>
      <c r="E630" s="442"/>
    </row>
    <row r="631" spans="4:5">
      <c r="D631" s="442"/>
      <c r="E631" s="442"/>
    </row>
    <row r="632" spans="4:5">
      <c r="D632" s="442"/>
      <c r="E632" s="442"/>
    </row>
    <row r="633" spans="4:5">
      <c r="D633" s="442"/>
      <c r="E633" s="442"/>
    </row>
    <row r="634" spans="4:5">
      <c r="D634" s="442"/>
      <c r="E634" s="442"/>
    </row>
    <row r="635" spans="4:5">
      <c r="D635" s="442"/>
      <c r="E635" s="442"/>
    </row>
    <row r="636" spans="4:5">
      <c r="D636" s="442"/>
      <c r="E636" s="442"/>
    </row>
    <row r="637" spans="4:5">
      <c r="D637" s="442"/>
      <c r="E637" s="442"/>
    </row>
    <row r="638" spans="4:5">
      <c r="D638" s="442"/>
      <c r="E638" s="442"/>
    </row>
    <row r="639" spans="4:5">
      <c r="D639" s="442"/>
      <c r="E639" s="442"/>
    </row>
    <row r="640" spans="4:5">
      <c r="D640" s="442"/>
      <c r="E640" s="442"/>
    </row>
    <row r="641" spans="4:5">
      <c r="D641" s="442"/>
      <c r="E641" s="442"/>
    </row>
    <row r="642" spans="4:5">
      <c r="D642" s="442"/>
      <c r="E642" s="442"/>
    </row>
    <row r="643" spans="4:5">
      <c r="D643" s="442"/>
      <c r="E643" s="442"/>
    </row>
    <row r="644" spans="4:5">
      <c r="D644" s="442"/>
      <c r="E644" s="442"/>
    </row>
    <row r="645" spans="4:5">
      <c r="D645" s="442"/>
      <c r="E645" s="442"/>
    </row>
    <row r="646" spans="4:5">
      <c r="D646" s="442"/>
      <c r="E646" s="442"/>
    </row>
    <row r="647" spans="4:5">
      <c r="D647" s="442"/>
      <c r="E647" s="442"/>
    </row>
    <row r="648" spans="4:5">
      <c r="D648" s="442"/>
      <c r="E648" s="442"/>
    </row>
    <row r="649" spans="4:5">
      <c r="D649" s="442"/>
      <c r="E649" s="442"/>
    </row>
    <row r="650" spans="4:5">
      <c r="D650" s="442"/>
      <c r="E650" s="442"/>
    </row>
    <row r="651" spans="4:5">
      <c r="D651" s="442"/>
      <c r="E651" s="442"/>
    </row>
    <row r="652" spans="4:5">
      <c r="D652" s="442"/>
      <c r="E652" s="442"/>
    </row>
    <row r="653" spans="4:5">
      <c r="D653" s="442"/>
      <c r="E653" s="442"/>
    </row>
    <row r="654" spans="4:5">
      <c r="D654" s="442"/>
      <c r="E654" s="442"/>
    </row>
    <row r="655" spans="4:5">
      <c r="D655" s="442"/>
      <c r="E655" s="442"/>
    </row>
    <row r="656" spans="4:5">
      <c r="D656" s="442"/>
      <c r="E656" s="442"/>
    </row>
    <row r="657" spans="4:5">
      <c r="D657" s="442"/>
      <c r="E657" s="442"/>
    </row>
    <row r="658" spans="4:5">
      <c r="D658" s="442"/>
      <c r="E658" s="442"/>
    </row>
    <row r="659" spans="4:5">
      <c r="D659" s="442"/>
      <c r="E659" s="442"/>
    </row>
    <row r="660" spans="4:5">
      <c r="D660" s="442"/>
      <c r="E660" s="442"/>
    </row>
    <row r="661" spans="4:5">
      <c r="D661" s="442"/>
      <c r="E661" s="442"/>
    </row>
    <row r="662" spans="4:5">
      <c r="D662" s="442"/>
      <c r="E662" s="442"/>
    </row>
    <row r="663" spans="4:5">
      <c r="D663" s="442"/>
      <c r="E663" s="442"/>
    </row>
    <row r="664" spans="4:5">
      <c r="D664" s="442"/>
      <c r="E664" s="442"/>
    </row>
    <row r="665" spans="4:5">
      <c r="D665" s="442"/>
      <c r="E665" s="442"/>
    </row>
    <row r="666" spans="4:5">
      <c r="D666" s="442"/>
      <c r="E666" s="442"/>
    </row>
    <row r="667" spans="4:5">
      <c r="D667" s="442"/>
      <c r="E667" s="442"/>
    </row>
    <row r="668" spans="4:5">
      <c r="D668" s="442"/>
      <c r="E668" s="442"/>
    </row>
    <row r="669" spans="4:5">
      <c r="D669" s="442"/>
      <c r="E669" s="442"/>
    </row>
    <row r="670" spans="4:5">
      <c r="D670" s="442"/>
      <c r="E670" s="442"/>
    </row>
    <row r="671" spans="4:5">
      <c r="D671" s="442"/>
      <c r="E671" s="442"/>
    </row>
    <row r="672" spans="4:5">
      <c r="D672" s="442"/>
      <c r="E672" s="442"/>
    </row>
    <row r="673" spans="4:5">
      <c r="D673" s="442"/>
      <c r="E673" s="442"/>
    </row>
    <row r="674" spans="4:5">
      <c r="D674" s="442"/>
      <c r="E674" s="442"/>
    </row>
    <row r="675" spans="4:5">
      <c r="D675" s="442"/>
      <c r="E675" s="442"/>
    </row>
    <row r="676" spans="4:5">
      <c r="D676" s="442"/>
      <c r="E676" s="442"/>
    </row>
    <row r="677" spans="4:5">
      <c r="D677" s="442"/>
      <c r="E677" s="442"/>
    </row>
    <row r="678" spans="4:5">
      <c r="D678" s="442"/>
      <c r="E678" s="442"/>
    </row>
    <row r="679" spans="4:5">
      <c r="D679" s="442"/>
      <c r="E679" s="442"/>
    </row>
    <row r="680" spans="4:5">
      <c r="D680" s="442"/>
      <c r="E680" s="442"/>
    </row>
    <row r="681" spans="4:5">
      <c r="D681" s="442"/>
      <c r="E681" s="442"/>
    </row>
    <row r="682" spans="4:5">
      <c r="D682" s="442"/>
      <c r="E682" s="442"/>
    </row>
    <row r="683" spans="4:5">
      <c r="D683" s="442"/>
      <c r="E683" s="442"/>
    </row>
    <row r="684" spans="4:5">
      <c r="D684" s="442"/>
      <c r="E684" s="442"/>
    </row>
    <row r="685" spans="4:5">
      <c r="D685" s="442"/>
      <c r="E685" s="442"/>
    </row>
    <row r="686" spans="4:5">
      <c r="D686" s="442"/>
      <c r="E686" s="442"/>
    </row>
    <row r="687" spans="4:5">
      <c r="D687" s="442"/>
      <c r="E687" s="442"/>
    </row>
    <row r="688" spans="4:5">
      <c r="D688" s="442"/>
      <c r="E688" s="442"/>
    </row>
    <row r="689" spans="4:5">
      <c r="D689" s="442"/>
      <c r="E689" s="442"/>
    </row>
    <row r="690" spans="4:5">
      <c r="D690" s="442"/>
      <c r="E690" s="442"/>
    </row>
    <row r="691" spans="4:5">
      <c r="D691" s="442"/>
      <c r="E691" s="442"/>
    </row>
    <row r="692" spans="4:5">
      <c r="D692" s="442"/>
      <c r="E692" s="442"/>
    </row>
    <row r="693" spans="4:5">
      <c r="D693" s="442"/>
      <c r="E693" s="442"/>
    </row>
    <row r="694" spans="4:5">
      <c r="D694" s="442"/>
      <c r="E694" s="442"/>
    </row>
    <row r="695" spans="4:5">
      <c r="D695" s="442"/>
      <c r="E695" s="442"/>
    </row>
    <row r="696" spans="4:5">
      <c r="D696" s="442"/>
      <c r="E696" s="442"/>
    </row>
    <row r="697" spans="4:5">
      <c r="D697" s="442"/>
      <c r="E697" s="442"/>
    </row>
    <row r="698" spans="4:5">
      <c r="D698" s="442"/>
      <c r="E698" s="442"/>
    </row>
    <row r="699" spans="4:5">
      <c r="D699" s="442"/>
      <c r="E699" s="442"/>
    </row>
    <row r="700" spans="4:5">
      <c r="D700" s="442"/>
      <c r="E700" s="442"/>
    </row>
    <row r="701" spans="4:5">
      <c r="D701" s="442"/>
      <c r="E701" s="442"/>
    </row>
    <row r="702" spans="4:5">
      <c r="D702" s="442"/>
      <c r="E702" s="442"/>
    </row>
    <row r="703" spans="4:5">
      <c r="D703" s="442"/>
      <c r="E703" s="442"/>
    </row>
    <row r="704" spans="4:5">
      <c r="D704" s="442"/>
      <c r="E704" s="442"/>
    </row>
    <row r="705" spans="4:5">
      <c r="D705" s="442"/>
      <c r="E705" s="442"/>
    </row>
    <row r="706" spans="4:5">
      <c r="D706" s="442"/>
      <c r="E706" s="442"/>
    </row>
    <row r="707" spans="4:5">
      <c r="D707" s="442"/>
      <c r="E707" s="442"/>
    </row>
    <row r="708" spans="4:5">
      <c r="D708" s="442"/>
      <c r="E708" s="442"/>
    </row>
    <row r="709" spans="4:5">
      <c r="D709" s="442"/>
      <c r="E709" s="442"/>
    </row>
    <row r="710" spans="4:5">
      <c r="D710" s="442"/>
      <c r="E710" s="442"/>
    </row>
    <row r="711" spans="4:5">
      <c r="D711" s="442"/>
      <c r="E711" s="442"/>
    </row>
    <row r="712" spans="4:5">
      <c r="D712" s="442"/>
      <c r="E712" s="442"/>
    </row>
    <row r="713" spans="4:5">
      <c r="D713" s="442"/>
      <c r="E713" s="442"/>
    </row>
    <row r="714" spans="4:5">
      <c r="D714" s="442"/>
      <c r="E714" s="442"/>
    </row>
    <row r="715" spans="4:5">
      <c r="D715" s="442"/>
      <c r="E715" s="442"/>
    </row>
    <row r="716" spans="4:5">
      <c r="D716" s="442"/>
      <c r="E716" s="442"/>
    </row>
    <row r="717" spans="4:5">
      <c r="D717" s="442"/>
      <c r="E717" s="442"/>
    </row>
    <row r="718" spans="4:5">
      <c r="D718" s="442"/>
      <c r="E718" s="442"/>
    </row>
    <row r="719" spans="4:5">
      <c r="D719" s="442"/>
      <c r="E719" s="442"/>
    </row>
    <row r="720" spans="4:5">
      <c r="D720" s="442"/>
      <c r="E720" s="442"/>
    </row>
    <row r="721" spans="4:5">
      <c r="D721" s="442"/>
      <c r="E721" s="442"/>
    </row>
    <row r="722" spans="4:5">
      <c r="D722" s="442"/>
      <c r="E722" s="442"/>
    </row>
    <row r="723" spans="4:5">
      <c r="D723" s="442"/>
      <c r="E723" s="442"/>
    </row>
    <row r="724" spans="4:5">
      <c r="D724" s="442"/>
      <c r="E724" s="442"/>
    </row>
    <row r="725" spans="4:5">
      <c r="D725" s="442"/>
      <c r="E725" s="442"/>
    </row>
    <row r="726" spans="4:5">
      <c r="D726" s="442"/>
      <c r="E726" s="442"/>
    </row>
    <row r="727" spans="4:5">
      <c r="D727" s="442"/>
      <c r="E727" s="442"/>
    </row>
    <row r="728" spans="4:5">
      <c r="D728" s="442"/>
      <c r="E728" s="442"/>
    </row>
    <row r="729" spans="4:5">
      <c r="D729" s="442"/>
      <c r="E729" s="442"/>
    </row>
    <row r="730" spans="4:5">
      <c r="D730" s="442"/>
      <c r="E730" s="442"/>
    </row>
    <row r="731" spans="4:5">
      <c r="D731" s="442"/>
      <c r="E731" s="442"/>
    </row>
    <row r="732" spans="4:5">
      <c r="D732" s="442"/>
      <c r="E732" s="442"/>
    </row>
    <row r="733" spans="4:5">
      <c r="D733" s="442"/>
      <c r="E733" s="442"/>
    </row>
    <row r="734" spans="4:5">
      <c r="D734" s="442"/>
      <c r="E734" s="442"/>
    </row>
    <row r="735" spans="4:5">
      <c r="D735" s="442"/>
      <c r="E735" s="442"/>
    </row>
    <row r="736" spans="4:5">
      <c r="D736" s="442"/>
      <c r="E736" s="442"/>
    </row>
    <row r="737" spans="4:5">
      <c r="D737" s="442"/>
      <c r="E737" s="442"/>
    </row>
    <row r="738" spans="4:5">
      <c r="D738" s="442"/>
      <c r="E738" s="442"/>
    </row>
    <row r="739" spans="4:5">
      <c r="D739" s="442"/>
      <c r="E739" s="442"/>
    </row>
    <row r="740" spans="4:5">
      <c r="D740" s="442"/>
      <c r="E740" s="442"/>
    </row>
    <row r="741" spans="4:5">
      <c r="D741" s="442"/>
      <c r="E741" s="442"/>
    </row>
    <row r="742" spans="4:5">
      <c r="D742" s="442"/>
      <c r="E742" s="442"/>
    </row>
    <row r="743" spans="4:5">
      <c r="D743" s="442"/>
      <c r="E743" s="442"/>
    </row>
    <row r="744" spans="4:5">
      <c r="D744" s="442"/>
      <c r="E744" s="442"/>
    </row>
    <row r="745" spans="4:5">
      <c r="D745" s="442"/>
      <c r="E745" s="442"/>
    </row>
    <row r="746" spans="4:5">
      <c r="D746" s="442"/>
      <c r="E746" s="442"/>
    </row>
    <row r="747" spans="4:5">
      <c r="D747" s="442"/>
      <c r="E747" s="442"/>
    </row>
    <row r="748" spans="4:5">
      <c r="D748" s="442"/>
      <c r="E748" s="442"/>
    </row>
    <row r="749" spans="4:5">
      <c r="D749" s="442"/>
      <c r="E749" s="442"/>
    </row>
    <row r="750" spans="4:5">
      <c r="D750" s="442"/>
      <c r="E750" s="442"/>
    </row>
    <row r="751" spans="4:5">
      <c r="D751" s="442"/>
      <c r="E751" s="442"/>
    </row>
    <row r="752" spans="4:5">
      <c r="D752" s="442"/>
      <c r="E752" s="442"/>
    </row>
    <row r="753" spans="4:5">
      <c r="D753" s="442"/>
      <c r="E753" s="442"/>
    </row>
    <row r="754" spans="4:5">
      <c r="D754" s="442"/>
      <c r="E754" s="442"/>
    </row>
    <row r="755" spans="4:5">
      <c r="D755" s="442"/>
      <c r="E755" s="442"/>
    </row>
    <row r="756" spans="4:5">
      <c r="D756" s="442"/>
      <c r="E756" s="442"/>
    </row>
    <row r="757" spans="4:5">
      <c r="D757" s="442"/>
      <c r="E757" s="442"/>
    </row>
    <row r="758" spans="4:5">
      <c r="D758" s="442"/>
      <c r="E758" s="442"/>
    </row>
    <row r="759" spans="4:5">
      <c r="D759" s="442"/>
      <c r="E759" s="442"/>
    </row>
    <row r="760" spans="4:5">
      <c r="D760" s="442"/>
      <c r="E760" s="442"/>
    </row>
    <row r="761" spans="4:5">
      <c r="D761" s="442"/>
      <c r="E761" s="442"/>
    </row>
    <row r="762" spans="4:5">
      <c r="D762" s="442"/>
      <c r="E762" s="442"/>
    </row>
    <row r="763" spans="4:5">
      <c r="D763" s="442"/>
      <c r="E763" s="442"/>
    </row>
    <row r="764" spans="4:5">
      <c r="D764" s="442"/>
      <c r="E764" s="442"/>
    </row>
    <row r="765" spans="4:5">
      <c r="D765" s="442"/>
      <c r="E765" s="442"/>
    </row>
    <row r="766" spans="4:5">
      <c r="D766" s="442"/>
      <c r="E766" s="442"/>
    </row>
    <row r="767" spans="4:5">
      <c r="D767" s="442"/>
      <c r="E767" s="442"/>
    </row>
    <row r="768" spans="4:5">
      <c r="D768" s="442"/>
      <c r="E768" s="442"/>
    </row>
    <row r="769" spans="4:5">
      <c r="D769" s="442"/>
      <c r="E769" s="442"/>
    </row>
    <row r="770" spans="4:5">
      <c r="D770" s="442"/>
      <c r="E770" s="442"/>
    </row>
    <row r="771" spans="4:5">
      <c r="D771" s="442"/>
      <c r="E771" s="442"/>
    </row>
    <row r="772" spans="4:5">
      <c r="D772" s="442"/>
      <c r="E772" s="442"/>
    </row>
    <row r="773" spans="4:5">
      <c r="D773" s="442"/>
      <c r="E773" s="442"/>
    </row>
    <row r="774" spans="4:5">
      <c r="D774" s="442"/>
      <c r="E774" s="442"/>
    </row>
    <row r="775" spans="4:5">
      <c r="D775" s="442"/>
      <c r="E775" s="442"/>
    </row>
    <row r="776" spans="4:5">
      <c r="D776" s="442"/>
      <c r="E776" s="442"/>
    </row>
    <row r="777" spans="4:5">
      <c r="D777" s="442"/>
      <c r="E777" s="442"/>
    </row>
    <row r="778" spans="4:5">
      <c r="D778" s="442"/>
      <c r="E778" s="442"/>
    </row>
    <row r="779" spans="4:5">
      <c r="D779" s="442"/>
      <c r="E779" s="442"/>
    </row>
    <row r="780" spans="4:5">
      <c r="D780" s="442"/>
      <c r="E780" s="442"/>
    </row>
    <row r="781" spans="4:5">
      <c r="D781" s="442"/>
      <c r="E781" s="442"/>
    </row>
    <row r="782" spans="4:5">
      <c r="D782" s="442"/>
      <c r="E782" s="442"/>
    </row>
    <row r="783" spans="4:5">
      <c r="D783" s="442"/>
      <c r="E783" s="442"/>
    </row>
    <row r="784" spans="4:5">
      <c r="D784" s="442"/>
      <c r="E784" s="442"/>
    </row>
    <row r="785" spans="4:5">
      <c r="D785" s="442"/>
      <c r="E785" s="442"/>
    </row>
    <row r="786" spans="4:5">
      <c r="D786" s="442"/>
      <c r="E786" s="442"/>
    </row>
    <row r="787" spans="4:5">
      <c r="D787" s="442"/>
      <c r="E787" s="442"/>
    </row>
    <row r="788" spans="4:5">
      <c r="D788" s="442"/>
      <c r="E788" s="442"/>
    </row>
    <row r="789" spans="4:5">
      <c r="D789" s="442"/>
      <c r="E789" s="442"/>
    </row>
    <row r="790" spans="4:5">
      <c r="D790" s="442"/>
      <c r="E790" s="442"/>
    </row>
    <row r="791" spans="4:5">
      <c r="D791" s="442"/>
      <c r="E791" s="442"/>
    </row>
    <row r="792" spans="4:5">
      <c r="D792" s="442"/>
      <c r="E792" s="442"/>
    </row>
    <row r="793" spans="4:5">
      <c r="D793" s="442"/>
      <c r="E793" s="442"/>
    </row>
    <row r="794" spans="4:5">
      <c r="D794" s="442"/>
      <c r="E794" s="442"/>
    </row>
    <row r="795" spans="4:5">
      <c r="D795" s="442"/>
      <c r="E795" s="442"/>
    </row>
    <row r="796" spans="4:5">
      <c r="D796" s="442"/>
      <c r="E796" s="442"/>
    </row>
    <row r="797" spans="4:5">
      <c r="D797" s="442"/>
      <c r="E797" s="442"/>
    </row>
    <row r="798" spans="4:5">
      <c r="D798" s="442"/>
      <c r="E798" s="442"/>
    </row>
  </sheetData>
  <autoFilter ref="A1:N482" xr:uid="{DA085A03-4878-4426-A2CC-5DD7C0041933}">
    <filterColumn colId="0">
      <filters>
        <filter val="template_narrative_content_provided_as_external_docx_file"/>
      </filters>
    </filterColumn>
  </autoFilter>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511BF-1AF4-4CB7-A650-382B5F6B4245}">
  <dimension ref="A1:F124"/>
  <sheetViews>
    <sheetView zoomScale="60" workbookViewId="0">
      <pane ySplit="1" topLeftCell="A2" activePane="bottomLeft" state="frozen"/>
      <selection pane="bottomLeft" activeCell="A20" sqref="A20"/>
    </sheetView>
  </sheetViews>
  <sheetFormatPr defaultColWidth="8.84375" defaultRowHeight="15" customHeight="1"/>
  <cols>
    <col min="1" max="1" width="44.4609375" style="2" customWidth="1"/>
    <col min="2" max="2" width="75.84375" style="2" customWidth="1"/>
    <col min="3" max="3" width="105.07421875" style="2" customWidth="1"/>
    <col min="4" max="4" width="24.4609375" style="2" customWidth="1"/>
    <col min="5" max="5" width="28.84375" style="2" customWidth="1"/>
    <col min="6" max="6" width="12.07421875" style="2" customWidth="1"/>
    <col min="7" max="16384" width="8.84375" style="2"/>
  </cols>
  <sheetData>
    <row r="1" spans="1:6" ht="45.9" customHeight="1">
      <c r="A1" s="549" t="s">
        <v>9275</v>
      </c>
      <c r="B1" s="548" t="s">
        <v>9276</v>
      </c>
      <c r="C1" s="549" t="s">
        <v>9277</v>
      </c>
      <c r="D1" s="549" t="s">
        <v>9278</v>
      </c>
      <c r="E1" s="549" t="s">
        <v>9279</v>
      </c>
      <c r="F1" s="186" t="s">
        <v>9280</v>
      </c>
    </row>
    <row r="2" spans="1:6" ht="29.15">
      <c r="A2" s="312" t="s">
        <v>3570</v>
      </c>
      <c r="B2" s="2" t="s">
        <v>9281</v>
      </c>
      <c r="C2" s="2" t="s">
        <v>9282</v>
      </c>
      <c r="D2" s="551" t="b">
        <v>1</v>
      </c>
      <c r="F2" s="312"/>
    </row>
    <row r="3" spans="1:6" ht="43.75">
      <c r="A3" s="2" t="s">
        <v>3622</v>
      </c>
      <c r="B3" s="2" t="s">
        <v>9283</v>
      </c>
      <c r="C3" s="2" t="s">
        <v>9284</v>
      </c>
      <c r="D3" s="551" t="b">
        <v>1</v>
      </c>
      <c r="F3" s="312"/>
    </row>
    <row r="4" spans="1:6" ht="14.6">
      <c r="A4" s="2" t="s">
        <v>9285</v>
      </c>
      <c r="B4" s="2" t="s">
        <v>9286</v>
      </c>
      <c r="C4" s="2" t="s">
        <v>9287</v>
      </c>
      <c r="D4" s="551" t="b">
        <v>1</v>
      </c>
      <c r="F4" s="312"/>
    </row>
    <row r="5" spans="1:6" ht="408">
      <c r="A5" s="312" t="s">
        <v>9288</v>
      </c>
      <c r="B5" s="2" t="s">
        <v>9289</v>
      </c>
      <c r="C5" s="2" t="s">
        <v>9290</v>
      </c>
      <c r="D5" s="551" t="b">
        <v>1</v>
      </c>
      <c r="F5" s="312"/>
    </row>
    <row r="6" spans="1:6" ht="43.75">
      <c r="A6" s="2" t="s">
        <v>9291</v>
      </c>
      <c r="B6" s="2" t="s">
        <v>9292</v>
      </c>
      <c r="C6" s="2" t="s">
        <v>9293</v>
      </c>
      <c r="D6" s="551" t="b">
        <v>1</v>
      </c>
      <c r="F6" s="312"/>
    </row>
    <row r="7" spans="1:6" ht="43.75">
      <c r="A7" s="2" t="s">
        <v>9294</v>
      </c>
      <c r="B7" s="2" t="s">
        <v>9295</v>
      </c>
      <c r="C7" s="2" t="s">
        <v>9296</v>
      </c>
      <c r="D7" s="551" t="b">
        <v>1</v>
      </c>
      <c r="F7" s="312"/>
    </row>
    <row r="8" spans="1:6" ht="29.15">
      <c r="A8" s="2" t="s">
        <v>9297</v>
      </c>
      <c r="B8" s="2" t="s">
        <v>9298</v>
      </c>
      <c r="C8" s="2" t="s">
        <v>9299</v>
      </c>
      <c r="D8" s="551" t="b">
        <v>1</v>
      </c>
      <c r="F8" s="312"/>
    </row>
    <row r="9" spans="1:6" ht="29.15">
      <c r="A9" s="2" t="s">
        <v>9300</v>
      </c>
      <c r="B9" s="2" t="s">
        <v>9301</v>
      </c>
      <c r="C9" s="2" t="s">
        <v>9302</v>
      </c>
      <c r="D9" s="551" t="b">
        <v>1</v>
      </c>
      <c r="F9" s="312"/>
    </row>
    <row r="10" spans="1:6" ht="29.15">
      <c r="A10" s="2" t="s">
        <v>9303</v>
      </c>
      <c r="B10" s="2" t="s">
        <v>9304</v>
      </c>
      <c r="C10" s="2" t="s">
        <v>9305</v>
      </c>
      <c r="D10" s="551" t="b">
        <v>1</v>
      </c>
      <c r="F10" s="312"/>
    </row>
    <row r="11" spans="1:6" ht="72.900000000000006">
      <c r="A11" s="312" t="s">
        <v>9306</v>
      </c>
      <c r="B11" s="2" t="s">
        <v>9307</v>
      </c>
      <c r="C11" s="2" t="s">
        <v>9308</v>
      </c>
      <c r="D11" s="551" t="b">
        <v>1</v>
      </c>
      <c r="F11" s="312"/>
    </row>
    <row r="12" spans="1:6" ht="43.75">
      <c r="A12" s="2" t="s">
        <v>9309</v>
      </c>
      <c r="B12" s="312" t="s">
        <v>9310</v>
      </c>
      <c r="C12" s="312" t="s">
        <v>9311</v>
      </c>
      <c r="D12" s="551" t="b">
        <v>1</v>
      </c>
      <c r="E12" s="551" t="b">
        <v>1</v>
      </c>
      <c r="F12" s="312" t="s">
        <v>9312</v>
      </c>
    </row>
    <row r="13" spans="1:6" ht="58.3">
      <c r="A13" s="2" t="s">
        <v>9313</v>
      </c>
      <c r="C13" s="2" t="s">
        <v>9314</v>
      </c>
      <c r="E13" s="551" t="b">
        <v>1</v>
      </c>
      <c r="F13" s="312" t="s">
        <v>9312</v>
      </c>
    </row>
    <row r="14" spans="1:6" ht="14.6">
      <c r="A14" s="2" t="s">
        <v>9315</v>
      </c>
      <c r="C14" s="2" t="s">
        <v>9314</v>
      </c>
      <c r="F14" s="312"/>
    </row>
    <row r="15" spans="1:6" ht="29.15">
      <c r="A15" s="2" t="s">
        <v>9316</v>
      </c>
      <c r="B15" s="2" t="s">
        <v>309</v>
      </c>
      <c r="C15" s="2" t="s">
        <v>9317</v>
      </c>
      <c r="D15" s="551" t="b">
        <v>1</v>
      </c>
      <c r="E15" s="551" t="b">
        <v>1</v>
      </c>
      <c r="F15" s="312" t="s">
        <v>9312</v>
      </c>
    </row>
    <row r="16" spans="1:6" ht="14.6">
      <c r="A16" s="2" t="s">
        <v>4755</v>
      </c>
      <c r="B16" s="2" t="s">
        <v>9318</v>
      </c>
      <c r="C16" s="2" t="s">
        <v>4756</v>
      </c>
      <c r="D16" s="551" t="b">
        <v>1</v>
      </c>
      <c r="E16" s="551" t="b">
        <v>1</v>
      </c>
      <c r="F16" s="312"/>
    </row>
    <row r="17" spans="1:6" ht="14.6">
      <c r="A17" s="2" t="s">
        <v>9319</v>
      </c>
      <c r="B17" s="2" t="s">
        <v>395</v>
      </c>
      <c r="C17" s="2" t="s">
        <v>9320</v>
      </c>
      <c r="D17" s="551" t="b">
        <v>1</v>
      </c>
      <c r="E17" s="551" t="b">
        <v>1</v>
      </c>
      <c r="F17" s="312" t="s">
        <v>9312</v>
      </c>
    </row>
    <row r="18" spans="1:6" ht="14.6">
      <c r="A18" s="2" t="s">
        <v>9319</v>
      </c>
      <c r="B18" s="2" t="s">
        <v>9321</v>
      </c>
      <c r="C18" s="2" t="s">
        <v>9322</v>
      </c>
      <c r="D18" s="551" t="b">
        <v>1</v>
      </c>
      <c r="E18" s="551" t="b">
        <v>1</v>
      </c>
      <c r="F18" s="312" t="s">
        <v>9312</v>
      </c>
    </row>
    <row r="19" spans="1:6" ht="29.15">
      <c r="A19" s="2" t="s">
        <v>9323</v>
      </c>
      <c r="B19" s="2" t="s">
        <v>9324</v>
      </c>
      <c r="C19" s="2" t="s">
        <v>9325</v>
      </c>
      <c r="D19" s="551" t="b">
        <v>1</v>
      </c>
      <c r="F19" s="312"/>
    </row>
    <row r="20" spans="1:6" ht="29.15">
      <c r="A20" s="2" t="s">
        <v>9323</v>
      </c>
      <c r="B20" s="2" t="s">
        <v>9321</v>
      </c>
      <c r="C20" s="2" t="s">
        <v>9326</v>
      </c>
      <c r="D20" s="551" t="b">
        <v>1</v>
      </c>
      <c r="E20" s="551" t="b">
        <v>1</v>
      </c>
      <c r="F20" s="312" t="s">
        <v>9312</v>
      </c>
    </row>
    <row r="21" spans="1:6" ht="43.75">
      <c r="A21" s="2" t="s">
        <v>9327</v>
      </c>
      <c r="B21" s="2" t="s">
        <v>9328</v>
      </c>
      <c r="C21" s="2" t="s">
        <v>9329</v>
      </c>
      <c r="D21" s="551" t="b">
        <v>1</v>
      </c>
      <c r="F21" s="312"/>
    </row>
    <row r="22" spans="1:6" ht="43.75">
      <c r="A22" s="2" t="s">
        <v>9327</v>
      </c>
      <c r="B22" s="2" t="s">
        <v>9321</v>
      </c>
      <c r="C22" s="2" t="s">
        <v>9330</v>
      </c>
      <c r="E22" s="551" t="b">
        <v>1</v>
      </c>
      <c r="F22" s="587" t="s">
        <v>9331</v>
      </c>
    </row>
    <row r="23" spans="1:6" ht="14.6">
      <c r="A23" s="2" t="s">
        <v>9332</v>
      </c>
      <c r="B23" s="2" t="s">
        <v>9321</v>
      </c>
      <c r="C23" s="2" t="s">
        <v>6261</v>
      </c>
      <c r="E23" s="551" t="b">
        <v>1</v>
      </c>
      <c r="F23" s="312" t="s">
        <v>9312</v>
      </c>
    </row>
    <row r="24" spans="1:6" ht="14.6">
      <c r="A24" s="2" t="s">
        <v>9332</v>
      </c>
      <c r="B24" s="2" t="s">
        <v>9333</v>
      </c>
      <c r="C24" s="2" t="s">
        <v>9334</v>
      </c>
      <c r="D24" s="551" t="b">
        <v>1</v>
      </c>
      <c r="E24" s="551" t="b">
        <v>1</v>
      </c>
      <c r="F24" s="312" t="s">
        <v>9312</v>
      </c>
    </row>
    <row r="25" spans="1:6" ht="43.75">
      <c r="A25" s="2" t="s">
        <v>9309</v>
      </c>
      <c r="B25" s="312" t="s">
        <v>9321</v>
      </c>
      <c r="C25" s="2" t="s">
        <v>4419</v>
      </c>
      <c r="F25" s="312"/>
    </row>
    <row r="26" spans="1:6" ht="29.15">
      <c r="A26" s="2" t="s">
        <v>9335</v>
      </c>
      <c r="C26" s="2" t="s">
        <v>9336</v>
      </c>
      <c r="F26" s="312"/>
    </row>
    <row r="27" spans="1:6" ht="14.6">
      <c r="A27" s="2" t="s">
        <v>9285</v>
      </c>
      <c r="B27" s="312" t="s">
        <v>9321</v>
      </c>
      <c r="C27" s="2" t="s">
        <v>9337</v>
      </c>
      <c r="F27" s="312"/>
    </row>
    <row r="28" spans="1:6" ht="43.75">
      <c r="A28" s="2" t="s">
        <v>9288</v>
      </c>
      <c r="B28" s="312" t="s">
        <v>9321</v>
      </c>
      <c r="C28" s="2" t="s">
        <v>9338</v>
      </c>
      <c r="F28" s="312"/>
    </row>
    <row r="29" spans="1:6" ht="29.15">
      <c r="A29" s="2" t="s">
        <v>9339</v>
      </c>
      <c r="B29" s="2" t="s">
        <v>9340</v>
      </c>
      <c r="C29" s="2" t="s">
        <v>9314</v>
      </c>
      <c r="F29" s="312"/>
    </row>
    <row r="30" spans="1:6" ht="72.900000000000006">
      <c r="A30" s="2" t="s">
        <v>9341</v>
      </c>
      <c r="C30" s="2" t="s">
        <v>9314</v>
      </c>
      <c r="E30" s="551" t="b">
        <v>1</v>
      </c>
      <c r="F30" s="312" t="s">
        <v>9312</v>
      </c>
    </row>
    <row r="31" spans="1:6" ht="43.75">
      <c r="A31" s="2" t="s">
        <v>9291</v>
      </c>
      <c r="B31" s="2" t="s">
        <v>9321</v>
      </c>
      <c r="C31" s="2" t="s">
        <v>9342</v>
      </c>
      <c r="F31" s="312"/>
    </row>
    <row r="32" spans="1:6" ht="29.15">
      <c r="A32" s="2" t="s">
        <v>9294</v>
      </c>
      <c r="B32" s="2" t="s">
        <v>9321</v>
      </c>
      <c r="C32" s="2" t="s">
        <v>9343</v>
      </c>
      <c r="F32" s="312"/>
    </row>
    <row r="33" spans="1:6" ht="29.15">
      <c r="A33" s="2" t="s">
        <v>9297</v>
      </c>
      <c r="B33" s="2" t="s">
        <v>9321</v>
      </c>
      <c r="C33" s="2" t="s">
        <v>9344</v>
      </c>
      <c r="F33" s="312"/>
    </row>
    <row r="34" spans="1:6" ht="29.15">
      <c r="A34" s="2" t="s">
        <v>9300</v>
      </c>
      <c r="B34" s="2" t="s">
        <v>9321</v>
      </c>
      <c r="C34" s="2" t="s">
        <v>9345</v>
      </c>
      <c r="F34" s="312"/>
    </row>
    <row r="35" spans="1:6" ht="29.15">
      <c r="A35" s="2" t="s">
        <v>9303</v>
      </c>
      <c r="B35" s="2" t="s">
        <v>9321</v>
      </c>
      <c r="C35" s="2" t="s">
        <v>9346</v>
      </c>
      <c r="F35" s="312"/>
    </row>
    <row r="36" spans="1:6" ht="43.75">
      <c r="A36" s="2" t="s">
        <v>9306</v>
      </c>
      <c r="B36" s="2" t="s">
        <v>9321</v>
      </c>
      <c r="C36" s="2" t="s">
        <v>9347</v>
      </c>
      <c r="F36" s="312"/>
    </row>
    <row r="37" spans="1:6" ht="29.15">
      <c r="A37" s="2" t="s">
        <v>9348</v>
      </c>
      <c r="B37" s="2" t="s">
        <v>9321</v>
      </c>
      <c r="C37" s="2" t="s">
        <v>9349</v>
      </c>
      <c r="E37" s="551" t="b">
        <v>1</v>
      </c>
      <c r="F37" s="312" t="s">
        <v>9312</v>
      </c>
    </row>
    <row r="38" spans="1:6" ht="29.15">
      <c r="A38" s="2" t="s">
        <v>9348</v>
      </c>
      <c r="B38" s="2" t="s">
        <v>9350</v>
      </c>
      <c r="C38" s="2" t="s">
        <v>9351</v>
      </c>
      <c r="D38" s="551" t="b">
        <v>1</v>
      </c>
      <c r="F38" s="312"/>
    </row>
    <row r="39" spans="1:6" ht="29.15">
      <c r="A39" s="2" t="s">
        <v>9352</v>
      </c>
      <c r="B39" s="2" t="s">
        <v>9321</v>
      </c>
      <c r="C39" s="2" t="s">
        <v>4007</v>
      </c>
      <c r="F39" s="312"/>
    </row>
    <row r="40" spans="1:6" ht="29.15">
      <c r="A40" s="2" t="s">
        <v>4007</v>
      </c>
      <c r="B40" s="2" t="s">
        <v>9353</v>
      </c>
      <c r="C40" s="2" t="s">
        <v>9354</v>
      </c>
      <c r="D40" s="551" t="b">
        <v>1</v>
      </c>
      <c r="F40" s="312"/>
    </row>
    <row r="41" spans="1:6" ht="29.15">
      <c r="A41" s="2" t="s">
        <v>9355</v>
      </c>
      <c r="B41" s="2" t="s">
        <v>9356</v>
      </c>
      <c r="C41" s="2" t="s">
        <v>9357</v>
      </c>
      <c r="D41" s="551" t="b">
        <v>1</v>
      </c>
      <c r="F41" s="312"/>
    </row>
    <row r="42" spans="1:6" ht="29.15">
      <c r="A42" s="2" t="s">
        <v>9355</v>
      </c>
      <c r="B42" s="2" t="s">
        <v>9321</v>
      </c>
      <c r="C42" s="2" t="s">
        <v>9358</v>
      </c>
      <c r="E42" s="551" t="b">
        <v>1</v>
      </c>
      <c r="F42" s="312" t="s">
        <v>9312</v>
      </c>
    </row>
    <row r="43" spans="1:6" ht="29.15">
      <c r="A43" s="2" t="s">
        <v>9358</v>
      </c>
      <c r="B43" s="2" t="s">
        <v>9356</v>
      </c>
      <c r="C43" s="2" t="s">
        <v>9359</v>
      </c>
      <c r="D43" s="551" t="b">
        <v>1</v>
      </c>
      <c r="E43" s="551" t="b">
        <v>1</v>
      </c>
      <c r="F43" s="312" t="s">
        <v>9312</v>
      </c>
    </row>
    <row r="44" spans="1:6" ht="29.15">
      <c r="A44" s="2" t="s">
        <v>9360</v>
      </c>
      <c r="B44" s="2" t="s">
        <v>9321</v>
      </c>
      <c r="C44" s="2" t="s">
        <v>9361</v>
      </c>
      <c r="E44" s="551" t="b">
        <v>1</v>
      </c>
      <c r="F44" s="312" t="s">
        <v>9312</v>
      </c>
    </row>
    <row r="45" spans="1:6" s="558" customFormat="1" ht="102">
      <c r="A45" s="558" t="s">
        <v>9362</v>
      </c>
      <c r="B45" s="561" t="s">
        <v>9363</v>
      </c>
      <c r="F45" s="561"/>
    </row>
    <row r="46" spans="1:6" ht="14.6">
      <c r="A46" s="2" t="s">
        <v>9364</v>
      </c>
      <c r="B46" s="2" t="s">
        <v>9365</v>
      </c>
      <c r="C46" s="570" t="s">
        <v>9366</v>
      </c>
      <c r="D46" s="551" t="b">
        <v>1</v>
      </c>
      <c r="E46" s="551" t="b">
        <v>1</v>
      </c>
      <c r="F46" s="312" t="s">
        <v>9312</v>
      </c>
    </row>
    <row r="47" spans="1:6" ht="14.6">
      <c r="A47" s="2" t="s">
        <v>9364</v>
      </c>
      <c r="B47" s="2" t="s">
        <v>9321</v>
      </c>
      <c r="C47" s="2" t="s">
        <v>6460</v>
      </c>
      <c r="F47" s="312"/>
    </row>
    <row r="48" spans="1:6" ht="14.6">
      <c r="A48" s="2" t="s">
        <v>9367</v>
      </c>
      <c r="B48" s="2" t="s">
        <v>9368</v>
      </c>
      <c r="C48" s="2" t="s">
        <v>9369</v>
      </c>
      <c r="D48" s="551" t="b">
        <v>1</v>
      </c>
      <c r="F48" s="312"/>
    </row>
    <row r="49" spans="1:6" ht="14.6">
      <c r="A49" s="2" t="s">
        <v>9367</v>
      </c>
      <c r="B49" s="2" t="s">
        <v>9321</v>
      </c>
      <c r="C49" s="2" t="s">
        <v>6473</v>
      </c>
      <c r="F49" s="312"/>
    </row>
    <row r="50" spans="1:6" ht="29.15">
      <c r="A50" s="2" t="s">
        <v>6486</v>
      </c>
      <c r="B50" s="2" t="s">
        <v>9318</v>
      </c>
      <c r="C50" s="2" t="s">
        <v>6487</v>
      </c>
      <c r="D50" s="551" t="b">
        <v>1</v>
      </c>
      <c r="E50" s="551" t="b">
        <v>1</v>
      </c>
      <c r="F50" s="312" t="s">
        <v>9312</v>
      </c>
    </row>
    <row r="51" spans="1:6" ht="29.15">
      <c r="A51" s="2" t="s">
        <v>9370</v>
      </c>
      <c r="B51" s="2" t="s">
        <v>9371</v>
      </c>
      <c r="C51" s="2" t="s">
        <v>9314</v>
      </c>
      <c r="E51" s="551" t="b">
        <v>1</v>
      </c>
      <c r="F51" s="312" t="s">
        <v>9312</v>
      </c>
    </row>
    <row r="52" spans="1:6" ht="14.6">
      <c r="A52" s="2" t="s">
        <v>9372</v>
      </c>
      <c r="B52" s="2" t="s">
        <v>9371</v>
      </c>
      <c r="C52" s="2" t="s">
        <v>9314</v>
      </c>
      <c r="E52" s="551" t="b">
        <v>1</v>
      </c>
      <c r="F52" s="312" t="s">
        <v>9312</v>
      </c>
    </row>
    <row r="53" spans="1:6" ht="14.6">
      <c r="A53" s="2" t="s">
        <v>9373</v>
      </c>
      <c r="B53" s="2" t="s">
        <v>9371</v>
      </c>
      <c r="C53" s="2" t="s">
        <v>9314</v>
      </c>
      <c r="E53" s="551" t="b">
        <v>1</v>
      </c>
      <c r="F53" s="312" t="s">
        <v>9312</v>
      </c>
    </row>
    <row r="54" spans="1:6" ht="14.6">
      <c r="A54" s="2" t="s">
        <v>9374</v>
      </c>
      <c r="B54" s="2" t="s">
        <v>9371</v>
      </c>
      <c r="C54" s="2" t="s">
        <v>9314</v>
      </c>
      <c r="E54" s="551" t="b">
        <v>1</v>
      </c>
      <c r="F54" s="312" t="s">
        <v>9312</v>
      </c>
    </row>
    <row r="55" spans="1:6" ht="14.6">
      <c r="A55" s="2" t="s">
        <v>9375</v>
      </c>
      <c r="B55" s="2" t="s">
        <v>9371</v>
      </c>
      <c r="C55" s="2" t="s">
        <v>9314</v>
      </c>
      <c r="E55" s="551" t="b">
        <v>1</v>
      </c>
      <c r="F55" s="312" t="s">
        <v>9312</v>
      </c>
    </row>
    <row r="56" spans="1:6" ht="14.6">
      <c r="A56" s="2" t="s">
        <v>9376</v>
      </c>
      <c r="B56" s="2" t="s">
        <v>9377</v>
      </c>
      <c r="C56" s="2" t="s">
        <v>9378</v>
      </c>
      <c r="E56" s="551" t="b">
        <v>1</v>
      </c>
      <c r="F56" s="312" t="s">
        <v>9312</v>
      </c>
    </row>
    <row r="57" spans="1:6" ht="14.6">
      <c r="A57" s="2" t="s">
        <v>9379</v>
      </c>
      <c r="B57" s="2" t="s">
        <v>9377</v>
      </c>
      <c r="C57" s="2" t="s">
        <v>9378</v>
      </c>
      <c r="E57" s="551" t="b">
        <v>1</v>
      </c>
      <c r="F57" s="312" t="s">
        <v>9312</v>
      </c>
    </row>
    <row r="58" spans="1:6" ht="14.6">
      <c r="A58" s="2" t="s">
        <v>9380</v>
      </c>
      <c r="B58" s="2" t="s">
        <v>9377</v>
      </c>
      <c r="C58" s="2" t="s">
        <v>9378</v>
      </c>
      <c r="E58" s="551" t="b">
        <v>1</v>
      </c>
      <c r="F58" s="312" t="s">
        <v>9312</v>
      </c>
    </row>
    <row r="59" spans="1:6" ht="14.6">
      <c r="A59" s="2" t="s">
        <v>9381</v>
      </c>
      <c r="B59" s="2" t="s">
        <v>9377</v>
      </c>
      <c r="C59" s="2" t="s">
        <v>9378</v>
      </c>
      <c r="E59" s="551" t="b">
        <v>1</v>
      </c>
      <c r="F59" s="312" t="s">
        <v>9312</v>
      </c>
    </row>
    <row r="60" spans="1:6" ht="14.6">
      <c r="A60" s="2" t="s">
        <v>9382</v>
      </c>
      <c r="B60" s="2" t="s">
        <v>9377</v>
      </c>
      <c r="C60" s="2" t="s">
        <v>9378</v>
      </c>
      <c r="E60" s="551" t="b">
        <v>1</v>
      </c>
      <c r="F60" s="312" t="s">
        <v>9312</v>
      </c>
    </row>
    <row r="61" spans="1:6" ht="14.6">
      <c r="A61" s="2" t="s">
        <v>9383</v>
      </c>
      <c r="B61" s="2" t="s">
        <v>9377</v>
      </c>
      <c r="C61" s="2" t="s">
        <v>9378</v>
      </c>
      <c r="E61" s="551" t="b">
        <v>1</v>
      </c>
      <c r="F61" s="312" t="s">
        <v>9312</v>
      </c>
    </row>
    <row r="62" spans="1:6" ht="29.15">
      <c r="A62" s="2" t="s">
        <v>9384</v>
      </c>
      <c r="B62" s="312" t="s">
        <v>9371</v>
      </c>
      <c r="C62" s="2" t="s">
        <v>9314</v>
      </c>
      <c r="E62" s="551" t="b">
        <v>1</v>
      </c>
      <c r="F62" s="312" t="s">
        <v>9312</v>
      </c>
    </row>
    <row r="63" spans="1:6" ht="29.15">
      <c r="A63" s="2" t="s">
        <v>9385</v>
      </c>
      <c r="B63" s="2" t="s">
        <v>9371</v>
      </c>
      <c r="C63" s="2" t="s">
        <v>9314</v>
      </c>
      <c r="E63" s="551" t="b">
        <v>1</v>
      </c>
      <c r="F63" s="312" t="s">
        <v>9312</v>
      </c>
    </row>
    <row r="64" spans="1:6" ht="29.15">
      <c r="A64" s="2" t="s">
        <v>9386</v>
      </c>
      <c r="B64" s="2" t="s">
        <v>9387</v>
      </c>
      <c r="C64" s="2" t="s">
        <v>9388</v>
      </c>
      <c r="E64" s="551" t="b">
        <v>1</v>
      </c>
      <c r="F64" s="312" t="s">
        <v>9312</v>
      </c>
    </row>
    <row r="65" spans="1:6" ht="29.15">
      <c r="A65" s="2" t="s">
        <v>7298</v>
      </c>
      <c r="B65" s="2" t="s">
        <v>9389</v>
      </c>
      <c r="C65" s="2" t="s">
        <v>9390</v>
      </c>
      <c r="D65" s="551" t="b">
        <v>1</v>
      </c>
      <c r="F65" s="312"/>
    </row>
    <row r="66" spans="1:6" ht="29.15">
      <c r="A66" s="2" t="s">
        <v>7311</v>
      </c>
      <c r="B66" s="2" t="s">
        <v>9391</v>
      </c>
      <c r="C66" s="2" t="s">
        <v>9392</v>
      </c>
      <c r="D66" s="551" t="b">
        <v>1</v>
      </c>
      <c r="F66" s="312"/>
    </row>
    <row r="67" spans="1:6" ht="218.6">
      <c r="A67" s="2" t="s">
        <v>8977</v>
      </c>
      <c r="B67" s="2" t="s">
        <v>9393</v>
      </c>
      <c r="C67" s="2" t="s">
        <v>9394</v>
      </c>
      <c r="D67" s="551" t="b">
        <v>1</v>
      </c>
      <c r="F67" s="312"/>
    </row>
    <row r="68" spans="1:6" ht="29.15">
      <c r="A68" s="2" t="s">
        <v>7082</v>
      </c>
      <c r="B68" s="312" t="s">
        <v>9395</v>
      </c>
      <c r="C68" s="312" t="s">
        <v>7083</v>
      </c>
      <c r="D68" s="551" t="b">
        <v>1</v>
      </c>
      <c r="F68" s="312"/>
    </row>
    <row r="69" spans="1:6" ht="29.15">
      <c r="A69" s="2" t="s">
        <v>7069</v>
      </c>
      <c r="B69" s="312" t="s">
        <v>9395</v>
      </c>
      <c r="C69" s="2" t="s">
        <v>7070</v>
      </c>
      <c r="D69" s="551" t="b">
        <v>1</v>
      </c>
      <c r="F69" s="312"/>
    </row>
    <row r="70" spans="1:6" ht="29.15">
      <c r="A70" s="2" t="s">
        <v>7108</v>
      </c>
      <c r="B70" s="2" t="s">
        <v>9396</v>
      </c>
      <c r="C70" s="570" t="s">
        <v>9397</v>
      </c>
      <c r="D70" s="551" t="b">
        <v>1</v>
      </c>
      <c r="F70" s="312"/>
    </row>
    <row r="71" spans="1:6" ht="29.15">
      <c r="A71" s="2" t="s">
        <v>7108</v>
      </c>
      <c r="B71" s="2" t="s">
        <v>9398</v>
      </c>
      <c r="C71" s="2" t="s">
        <v>9399</v>
      </c>
      <c r="F71" s="312"/>
    </row>
    <row r="72" spans="1:6" ht="29.15">
      <c r="A72" s="2" t="s">
        <v>9400</v>
      </c>
      <c r="B72" s="2" t="s">
        <v>9398</v>
      </c>
      <c r="C72" s="2" t="s">
        <v>9401</v>
      </c>
      <c r="E72" s="551" t="b">
        <v>1</v>
      </c>
      <c r="F72" s="312" t="s">
        <v>9312</v>
      </c>
    </row>
    <row r="73" spans="1:6" ht="29.15">
      <c r="A73" s="2" t="s">
        <v>7147</v>
      </c>
      <c r="B73" s="2" t="s">
        <v>9318</v>
      </c>
      <c r="C73" s="2" t="s">
        <v>9378</v>
      </c>
      <c r="D73" s="551" t="b">
        <v>1</v>
      </c>
      <c r="F73" s="312"/>
    </row>
    <row r="74" spans="1:6" ht="29.15">
      <c r="A74" s="2" t="s">
        <v>7199</v>
      </c>
      <c r="B74" s="2" t="s">
        <v>9402</v>
      </c>
      <c r="C74" s="2" t="s">
        <v>9403</v>
      </c>
      <c r="D74" s="551" t="b">
        <v>1</v>
      </c>
      <c r="F74" s="312"/>
    </row>
    <row r="75" spans="1:6" ht="29.15">
      <c r="A75" s="2" t="s">
        <v>9404</v>
      </c>
      <c r="B75" s="2" t="s">
        <v>9387</v>
      </c>
      <c r="C75" s="2" t="s">
        <v>9314</v>
      </c>
      <c r="E75" s="551" t="b">
        <v>1</v>
      </c>
      <c r="F75" s="312" t="s">
        <v>9312</v>
      </c>
    </row>
    <row r="76" spans="1:6" ht="29.15">
      <c r="A76" s="2" t="s">
        <v>9405</v>
      </c>
      <c r="B76" s="2" t="s">
        <v>9387</v>
      </c>
      <c r="C76" s="2" t="s">
        <v>9314</v>
      </c>
      <c r="E76" s="551" t="b">
        <v>1</v>
      </c>
      <c r="F76" s="312" t="s">
        <v>9312</v>
      </c>
    </row>
    <row r="77" spans="1:6" ht="29.15">
      <c r="A77" s="2" t="s">
        <v>9406</v>
      </c>
      <c r="B77" s="2" t="s">
        <v>9387</v>
      </c>
      <c r="C77" s="2" t="s">
        <v>9314</v>
      </c>
      <c r="E77" s="551" t="b">
        <v>1</v>
      </c>
      <c r="F77" s="312" t="s">
        <v>9312</v>
      </c>
    </row>
    <row r="78" spans="1:6" ht="29.15">
      <c r="A78" s="2" t="s">
        <v>9407</v>
      </c>
      <c r="B78" s="2" t="s">
        <v>9387</v>
      </c>
      <c r="C78" s="2" t="s">
        <v>9314</v>
      </c>
      <c r="E78" s="551" t="b">
        <v>1</v>
      </c>
      <c r="F78" s="312" t="s">
        <v>9312</v>
      </c>
    </row>
    <row r="79" spans="1:6" ht="29.15">
      <c r="A79" s="2" t="s">
        <v>7238</v>
      </c>
      <c r="B79" s="2" t="s">
        <v>9377</v>
      </c>
      <c r="C79" s="2" t="s">
        <v>9378</v>
      </c>
      <c r="D79" s="551" t="b">
        <v>1</v>
      </c>
      <c r="F79" s="312"/>
    </row>
    <row r="80" spans="1:6" ht="29.15">
      <c r="A80" s="2" t="s">
        <v>7251</v>
      </c>
      <c r="B80" s="2" t="s">
        <v>9377</v>
      </c>
      <c r="C80" s="2" t="s">
        <v>9408</v>
      </c>
      <c r="D80" s="551" t="b">
        <v>1</v>
      </c>
      <c r="F80" s="312"/>
    </row>
    <row r="81" spans="1:6" ht="14.6">
      <c r="A81" s="2" t="s">
        <v>9409</v>
      </c>
      <c r="B81" s="2" t="s">
        <v>9377</v>
      </c>
      <c r="C81" s="2" t="s">
        <v>9378</v>
      </c>
      <c r="E81" s="551" t="b">
        <v>1</v>
      </c>
      <c r="F81" s="312" t="s">
        <v>9312</v>
      </c>
    </row>
    <row r="82" spans="1:6" ht="29.15">
      <c r="A82" s="2" t="s">
        <v>7285</v>
      </c>
      <c r="B82" s="2" t="s">
        <v>9410</v>
      </c>
      <c r="C82" s="2" t="s">
        <v>9411</v>
      </c>
      <c r="D82" s="551" t="b">
        <v>1</v>
      </c>
      <c r="F82" s="312"/>
    </row>
    <row r="83" spans="1:6" ht="43.75">
      <c r="A83" s="2" t="s">
        <v>6807</v>
      </c>
      <c r="B83" s="2" t="s">
        <v>9412</v>
      </c>
      <c r="C83" s="2" t="s">
        <v>9413</v>
      </c>
      <c r="D83" s="551" t="b">
        <v>1</v>
      </c>
      <c r="F83" s="312"/>
    </row>
    <row r="84" spans="1:6" ht="29.15">
      <c r="A84" s="2" t="s">
        <v>6820</v>
      </c>
      <c r="B84" s="2" t="s">
        <v>9414</v>
      </c>
      <c r="C84" s="2" t="s">
        <v>9415</v>
      </c>
      <c r="D84" s="551" t="b">
        <v>1</v>
      </c>
      <c r="F84" s="312"/>
    </row>
    <row r="85" spans="1:6" ht="29.15">
      <c r="A85" s="2" t="s">
        <v>9416</v>
      </c>
      <c r="B85" s="2" t="s">
        <v>9350</v>
      </c>
      <c r="C85" s="2" t="s">
        <v>9417</v>
      </c>
      <c r="D85" s="551" t="b">
        <v>1</v>
      </c>
      <c r="F85" s="312"/>
    </row>
    <row r="86" spans="1:6" ht="29.15">
      <c r="A86" s="2" t="s">
        <v>9416</v>
      </c>
      <c r="B86" s="2" t="s">
        <v>9321</v>
      </c>
      <c r="C86" s="2" t="s">
        <v>7540</v>
      </c>
      <c r="F86" s="312"/>
    </row>
    <row r="87" spans="1:6" ht="29.15">
      <c r="A87" s="2" t="s">
        <v>7601</v>
      </c>
      <c r="B87" s="2" t="s">
        <v>9418</v>
      </c>
      <c r="C87" s="2" t="s">
        <v>9419</v>
      </c>
      <c r="D87" s="551" t="b">
        <v>1</v>
      </c>
      <c r="F87" s="312"/>
    </row>
    <row r="88" spans="1:6" ht="29.15">
      <c r="A88" s="2" t="s">
        <v>7614</v>
      </c>
      <c r="B88" s="2" t="s">
        <v>9420</v>
      </c>
      <c r="C88" s="2" t="s">
        <v>9421</v>
      </c>
      <c r="D88" s="551" t="b">
        <v>1</v>
      </c>
      <c r="F88" s="312"/>
    </row>
    <row r="89" spans="1:6" ht="29.15">
      <c r="A89" s="2" t="s">
        <v>9422</v>
      </c>
      <c r="B89" s="2" t="s">
        <v>9423</v>
      </c>
      <c r="C89" s="2" t="s">
        <v>9424</v>
      </c>
      <c r="D89" s="551" t="b">
        <v>1</v>
      </c>
      <c r="F89" s="312"/>
    </row>
    <row r="90" spans="1:6" ht="29.15">
      <c r="A90" s="2" t="s">
        <v>9422</v>
      </c>
      <c r="B90" s="2" t="s">
        <v>9321</v>
      </c>
      <c r="C90" s="2" t="s">
        <v>7725</v>
      </c>
      <c r="F90" s="312"/>
    </row>
    <row r="91" spans="1:6" ht="58.3">
      <c r="A91" s="2" t="s">
        <v>7790</v>
      </c>
      <c r="B91" s="2" t="s">
        <v>9425</v>
      </c>
      <c r="C91" s="2" t="s">
        <v>9426</v>
      </c>
      <c r="D91" s="551" t="b">
        <v>1</v>
      </c>
      <c r="F91" s="312"/>
    </row>
    <row r="92" spans="1:6" ht="29.15">
      <c r="A92" s="2" t="s">
        <v>9427</v>
      </c>
      <c r="B92" s="2" t="s">
        <v>9387</v>
      </c>
      <c r="C92" s="2" t="s">
        <v>9314</v>
      </c>
      <c r="E92" s="551" t="b">
        <v>1</v>
      </c>
      <c r="F92" s="312" t="s">
        <v>9312</v>
      </c>
    </row>
    <row r="93" spans="1:6" ht="29.15">
      <c r="A93" s="2" t="s">
        <v>9428</v>
      </c>
      <c r="B93" s="2" t="s">
        <v>9387</v>
      </c>
      <c r="C93" s="2" t="s">
        <v>9314</v>
      </c>
      <c r="F93" s="312"/>
    </row>
    <row r="94" spans="1:6" ht="29.15">
      <c r="A94" s="2" t="s">
        <v>9429</v>
      </c>
      <c r="B94" s="2" t="s">
        <v>9387</v>
      </c>
      <c r="C94" s="2" t="s">
        <v>9314</v>
      </c>
      <c r="F94" s="312"/>
    </row>
    <row r="95" spans="1:6" ht="43.75">
      <c r="A95" s="2" t="s">
        <v>9430</v>
      </c>
      <c r="B95" s="2" t="s">
        <v>9387</v>
      </c>
      <c r="C95" s="2" t="s">
        <v>9314</v>
      </c>
      <c r="F95" s="312"/>
    </row>
    <row r="96" spans="1:6" ht="43.75">
      <c r="A96" s="2" t="s">
        <v>9431</v>
      </c>
      <c r="B96" s="2" t="s">
        <v>9387</v>
      </c>
      <c r="C96" s="2" t="s">
        <v>9314</v>
      </c>
      <c r="F96" s="312"/>
    </row>
    <row r="97" spans="1:6" ht="43.75">
      <c r="A97" s="2" t="s">
        <v>9432</v>
      </c>
      <c r="B97" s="2" t="s">
        <v>9387</v>
      </c>
      <c r="C97" s="2" t="s">
        <v>9314</v>
      </c>
      <c r="F97" s="312"/>
    </row>
    <row r="98" spans="1:6" ht="29.15">
      <c r="A98" s="2" t="s">
        <v>9433</v>
      </c>
      <c r="B98" s="2" t="s">
        <v>9387</v>
      </c>
      <c r="C98" s="2" t="s">
        <v>9314</v>
      </c>
      <c r="F98" s="312"/>
    </row>
    <row r="99" spans="1:6" ht="14.6">
      <c r="A99" s="2" t="s">
        <v>7816</v>
      </c>
      <c r="B99" s="2" t="s">
        <v>9387</v>
      </c>
      <c r="C99" s="2" t="s">
        <v>9314</v>
      </c>
      <c r="F99" s="312"/>
    </row>
    <row r="100" spans="1:6" ht="43.75">
      <c r="A100" s="2" t="s">
        <v>9434</v>
      </c>
      <c r="B100" s="2" t="s">
        <v>9387</v>
      </c>
      <c r="C100" s="2" t="s">
        <v>9314</v>
      </c>
      <c r="F100" s="312"/>
    </row>
    <row r="101" spans="1:6" ht="43.75">
      <c r="A101" s="2" t="s">
        <v>9435</v>
      </c>
      <c r="B101" s="2" t="s">
        <v>9436</v>
      </c>
      <c r="C101" s="2" t="s">
        <v>9437</v>
      </c>
      <c r="E101" s="551" t="b">
        <v>1</v>
      </c>
      <c r="F101" s="312" t="s">
        <v>9312</v>
      </c>
    </row>
    <row r="102" spans="1:6" ht="43.75">
      <c r="A102" s="2" t="s">
        <v>8834</v>
      </c>
      <c r="B102" s="2" t="s">
        <v>9438</v>
      </c>
      <c r="C102" s="2" t="s">
        <v>9439</v>
      </c>
      <c r="D102" s="551" t="b">
        <v>1</v>
      </c>
      <c r="F102" s="312"/>
    </row>
    <row r="103" spans="1:6" ht="43.75">
      <c r="A103" s="2" t="s">
        <v>9055</v>
      </c>
      <c r="B103" s="2" t="s">
        <v>9440</v>
      </c>
      <c r="C103" s="2" t="s">
        <v>9441</v>
      </c>
      <c r="D103" s="551" t="b">
        <v>1</v>
      </c>
      <c r="F103" s="312"/>
    </row>
    <row r="104" spans="1:6" ht="14.6">
      <c r="A104" s="2" t="s">
        <v>9133</v>
      </c>
      <c r="B104" s="2" t="s">
        <v>9442</v>
      </c>
      <c r="C104" s="2" t="s">
        <v>9443</v>
      </c>
      <c r="D104" s="551" t="b">
        <v>1</v>
      </c>
      <c r="F104" s="312"/>
    </row>
    <row r="105" spans="1:6" ht="14.6">
      <c r="A105" s="2" t="s">
        <v>9133</v>
      </c>
      <c r="B105" s="2" t="s">
        <v>9398</v>
      </c>
      <c r="C105" s="2" t="s">
        <v>9444</v>
      </c>
      <c r="F105" s="312"/>
    </row>
    <row r="106" spans="1:6" ht="29.15">
      <c r="A106" s="2" t="s">
        <v>9185</v>
      </c>
      <c r="B106" s="2" t="s">
        <v>9445</v>
      </c>
      <c r="C106" s="2" t="s">
        <v>9446</v>
      </c>
      <c r="F106" s="312"/>
    </row>
    <row r="107" spans="1:6" ht="29.15">
      <c r="A107" s="2" t="s">
        <v>9447</v>
      </c>
      <c r="B107" s="2" t="s">
        <v>9448</v>
      </c>
      <c r="C107" s="2" t="s">
        <v>9314</v>
      </c>
      <c r="E107" s="551" t="b">
        <v>1</v>
      </c>
      <c r="F107" s="312" t="s">
        <v>9312</v>
      </c>
    </row>
    <row r="108" spans="1:6" ht="29.15">
      <c r="A108" s="2" t="s">
        <v>9449</v>
      </c>
      <c r="B108" s="2" t="s">
        <v>9448</v>
      </c>
      <c r="C108" s="2" t="s">
        <v>9314</v>
      </c>
      <c r="E108" s="551" t="b">
        <v>1</v>
      </c>
      <c r="F108" s="312" t="s">
        <v>9312</v>
      </c>
    </row>
    <row r="109" spans="1:6" ht="14.6">
      <c r="A109" s="2" t="s">
        <v>9450</v>
      </c>
      <c r="B109" s="2" t="s">
        <v>9448</v>
      </c>
      <c r="C109" s="2" t="s">
        <v>9314</v>
      </c>
      <c r="E109" s="551" t="b">
        <v>1</v>
      </c>
      <c r="F109" s="312" t="s">
        <v>9312</v>
      </c>
    </row>
    <row r="110" spans="1:6" ht="14.6">
      <c r="A110" s="2" t="s">
        <v>9451</v>
      </c>
      <c r="B110" s="2" t="s">
        <v>9448</v>
      </c>
      <c r="C110" s="2" t="s">
        <v>9314</v>
      </c>
      <c r="E110" s="551" t="b">
        <v>1</v>
      </c>
      <c r="F110" s="312" t="s">
        <v>9312</v>
      </c>
    </row>
    <row r="111" spans="1:6" ht="14.6">
      <c r="A111" s="2" t="s">
        <v>9452</v>
      </c>
      <c r="B111" s="2" t="s">
        <v>9448</v>
      </c>
      <c r="C111" s="2" t="s">
        <v>9314</v>
      </c>
      <c r="E111" s="551" t="b">
        <v>1</v>
      </c>
      <c r="F111" s="312" t="s">
        <v>9312</v>
      </c>
    </row>
    <row r="112" spans="1:6" ht="14.6">
      <c r="A112" s="2" t="s">
        <v>9453</v>
      </c>
      <c r="B112" s="2" t="s">
        <v>9448</v>
      </c>
      <c r="C112" s="2" t="s">
        <v>9314</v>
      </c>
      <c r="E112" s="551" t="b">
        <v>1</v>
      </c>
      <c r="F112" s="312" t="s">
        <v>9312</v>
      </c>
    </row>
    <row r="113" spans="1:6" ht="29.15">
      <c r="A113" s="2" t="s">
        <v>9454</v>
      </c>
      <c r="B113" s="2" t="s">
        <v>9455</v>
      </c>
      <c r="C113" s="2" t="s">
        <v>9456</v>
      </c>
      <c r="E113" s="551" t="b">
        <v>1</v>
      </c>
      <c r="F113" s="312" t="s">
        <v>9312</v>
      </c>
    </row>
    <row r="114" spans="1:6" ht="14.6">
      <c r="A114" s="2" t="s">
        <v>9457</v>
      </c>
      <c r="B114" s="2" t="s">
        <v>9377</v>
      </c>
      <c r="C114" s="2" t="s">
        <v>9378</v>
      </c>
      <c r="E114" s="551" t="b">
        <v>1</v>
      </c>
      <c r="F114" s="312" t="s">
        <v>9312</v>
      </c>
    </row>
    <row r="115" spans="1:6" ht="378.9">
      <c r="A115" s="558" t="s">
        <v>9458</v>
      </c>
      <c r="C115" s="312" t="s">
        <v>9459</v>
      </c>
      <c r="F115" s="561"/>
    </row>
    <row r="116" spans="1:6" ht="29.15">
      <c r="A116" s="558" t="s">
        <v>9460</v>
      </c>
      <c r="C116" s="312" t="s">
        <v>9461</v>
      </c>
      <c r="F116" s="561"/>
    </row>
    <row r="117" spans="1:6" ht="34.5" customHeight="1">
      <c r="A117" s="2" t="s">
        <v>9462</v>
      </c>
      <c r="F117" s="312"/>
    </row>
    <row r="118" spans="1:6" ht="34.5" customHeight="1">
      <c r="A118" s="558" t="s">
        <v>9463</v>
      </c>
      <c r="C118" s="2" t="s">
        <v>9464</v>
      </c>
      <c r="F118" s="561"/>
    </row>
    <row r="119" spans="1:6" ht="29.15">
      <c r="A119" s="558" t="s">
        <v>9465</v>
      </c>
      <c r="C119" s="2" t="s">
        <v>9466</v>
      </c>
      <c r="F119" s="561"/>
    </row>
    <row r="120" spans="1:6" ht="43.75">
      <c r="A120" s="558" t="s">
        <v>9467</v>
      </c>
      <c r="F120" s="312"/>
    </row>
    <row r="121" spans="1:6" ht="43.75">
      <c r="A121" s="2" t="s">
        <v>5334</v>
      </c>
      <c r="B121" s="2" t="s">
        <v>9468</v>
      </c>
      <c r="C121" s="2" t="s">
        <v>9469</v>
      </c>
      <c r="D121" s="551" t="b">
        <v>1</v>
      </c>
      <c r="F121" s="312"/>
    </row>
    <row r="122" spans="1:6" ht="29.15">
      <c r="A122" s="2" t="s">
        <v>9470</v>
      </c>
      <c r="B122" s="2" t="s">
        <v>9455</v>
      </c>
      <c r="C122" s="2" t="s">
        <v>9471</v>
      </c>
      <c r="E122" s="551" t="b">
        <v>1</v>
      </c>
      <c r="F122" s="312" t="s">
        <v>9312</v>
      </c>
    </row>
    <row r="123" spans="1:6" ht="14.6">
      <c r="A123" s="2" t="s">
        <v>9262</v>
      </c>
      <c r="B123" s="2" t="s">
        <v>9377</v>
      </c>
      <c r="C123" s="2" t="s">
        <v>9472</v>
      </c>
      <c r="D123" s="551" t="b">
        <v>1</v>
      </c>
    </row>
    <row r="124" spans="1:6" ht="15" customHeight="1">
      <c r="A124" s="2" t="s">
        <v>9473</v>
      </c>
      <c r="B124" s="2" t="s">
        <v>9321</v>
      </c>
      <c r="C124" s="2" t="s">
        <v>9474</v>
      </c>
      <c r="E124" s="551" t="b">
        <v>1</v>
      </c>
    </row>
  </sheetData>
  <autoFilter ref="A1:F124" xr:uid="{D49511BF-1AF4-4CB7-A650-382B5F6B4245}"/>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329"/>
  <sheetViews>
    <sheetView topLeftCell="C1" zoomScale="77" zoomScaleNormal="62" workbookViewId="0">
      <selection activeCell="D3" sqref="D3"/>
    </sheetView>
  </sheetViews>
  <sheetFormatPr defaultColWidth="8.84375" defaultRowHeight="14.6"/>
  <cols>
    <col min="1" max="1" width="8.4609375" customWidth="1"/>
    <col min="2" max="2" width="103.4609375" customWidth="1"/>
    <col min="3" max="3" width="46.53515625" bestFit="1" customWidth="1"/>
    <col min="4" max="4" width="89" customWidth="1"/>
    <col min="5" max="5" width="35.84375" customWidth="1"/>
    <col min="6" max="6" width="41.4609375" customWidth="1"/>
    <col min="7" max="7" width="44.4609375" bestFit="1" customWidth="1"/>
    <col min="13" max="13" width="9.84375" bestFit="1" customWidth="1"/>
  </cols>
  <sheetData>
    <row r="1" spans="1:7">
      <c r="A1" t="s">
        <v>9475</v>
      </c>
      <c r="B1" t="str">
        <f>template_reporting_period_startdate &amp; " - " &amp; template_reporting_period_enddate</f>
        <v>- - -</v>
      </c>
      <c r="C1" t="s">
        <v>9476</v>
      </c>
      <c r="D1" t="s">
        <v>9477</v>
      </c>
      <c r="E1" t="s">
        <v>9478</v>
      </c>
      <c r="F1" t="s">
        <v>9479</v>
      </c>
      <c r="G1" t="s">
        <v>9480</v>
      </c>
    </row>
    <row r="2" spans="1:7" ht="14.15" customHeight="1">
      <c r="A2" t="s">
        <v>9481</v>
      </c>
      <c r="B2" t="str">
        <f>template_reporting_period_startdate</f>
        <v>-</v>
      </c>
      <c r="C2" t="s">
        <v>9482</v>
      </c>
      <c r="D2" s="235" t="str">
        <f>IF(AND('General Information'!$H$401=TRUE, 'General Information'!D402&lt;&gt;"", 'General Information'!E402&lt;&gt;"", 'General Information'!F402&lt;&gt;"", 'General Information'!G402&lt;&gt;""), _xlfn.WEBSERVICE("https://photon.komoot.io/api/?limit=1&amp;lang=en&amp;q="&amp;'General Information'!K402), "")</f>
        <v/>
      </c>
      <c r="E2" s="605" t="str">
        <f>IFERROR(TRIM(_xlfn.TEXTBEFORE(_xlfn.TEXTAFTER(_xlfn.TEXTAFTER(D2,"""coordinates"":"),","),"]")),"")</f>
        <v/>
      </c>
      <c r="F2" s="236" t="str">
        <f>IFERROR(TRIM(_xlfn.TEXTBEFORE(_xlfn.TEXTAFTER(_xlfn.TEXTAFTER(D2,"""coordinates"":"),"["),",")),"")</f>
        <v/>
      </c>
      <c r="G2" t="str">
        <f xml:space="preserve"> IF(AND('General Information'!$H$401=TRUE, 'General Information'!D402&lt;&gt;"", 'General Information'!E402&lt;&gt;"", 'General Information'!F402&lt;&gt;"", 'General Information'!G402&lt;&gt;""), E2 &amp; "," &amp; F2, "-")</f>
        <v>-</v>
      </c>
    </row>
    <row r="3" spans="1:7" ht="15.65" customHeight="1">
      <c r="A3" t="s">
        <v>9483</v>
      </c>
      <c r="B3" t="str">
        <f>template_reporting_period_enddate</f>
        <v>-</v>
      </c>
      <c r="C3" t="s">
        <v>9484</v>
      </c>
      <c r="D3" s="235" t="str">
        <f>IF(AND('General Information'!$H$401=TRUE, 'General Information'!D403&lt;&gt;"", 'General Information'!E403&lt;&gt;"", 'General Information'!F403&lt;&gt;"", 'General Information'!G403&lt;&gt;""), _xlfn.WEBSERVICE("https://photon.komoot.io/api/?limit=1&amp;lang=en&amp;q="&amp;'General Information'!K403), "")</f>
        <v/>
      </c>
      <c r="E3" s="605" t="str">
        <f t="shared" ref="E3:E66" si="0">IFERROR(TRIM(_xlfn.TEXTBEFORE(_xlfn.TEXTAFTER(_xlfn.TEXTAFTER(D3,"""coordinates"":"),","),"]")),"")</f>
        <v/>
      </c>
      <c r="F3" s="236" t="str">
        <f t="shared" ref="F3:F66" si="1">IFERROR(TRIM(_xlfn.TEXTBEFORE(_xlfn.TEXTAFTER(_xlfn.TEXTAFTER(D3,"""coordinates"":"),"["),",")),"")</f>
        <v/>
      </c>
      <c r="G3" t="str">
        <f xml:space="preserve"> IF(AND('General Information'!$H$401=TRUE, 'General Information'!D403&lt;&gt;"", 'General Information'!E403&lt;&gt;"", 'General Information'!F403&lt;&gt;"", 'General Information'!G403&lt;&gt;""), E3 &amp; "," &amp; F3, "-")</f>
        <v>-</v>
      </c>
    </row>
    <row r="4" spans="1:7">
      <c r="D4" s="235" t="str">
        <f>IF(AND('General Information'!$H$401=TRUE, 'General Information'!D404&lt;&gt;"", 'General Information'!E404&lt;&gt;"", 'General Information'!F404&lt;&gt;"", 'General Information'!G404&lt;&gt;""), _xlfn.WEBSERVICE("https://photon.komoot.io/api/?limit=1&amp;lang=en&amp;q="&amp;'General Information'!K404), "")</f>
        <v/>
      </c>
      <c r="E4" s="605" t="str">
        <f t="shared" si="0"/>
        <v/>
      </c>
      <c r="F4" s="236" t="str">
        <f t="shared" si="1"/>
        <v/>
      </c>
      <c r="G4" t="str">
        <f xml:space="preserve"> IF(AND('General Information'!$H$401=TRUE, 'General Information'!D404&lt;&gt;"", 'General Information'!E404&lt;&gt;"", 'General Information'!F404&lt;&gt;"", 'General Information'!G404&lt;&gt;""), E4 &amp; "," &amp; F4, "-")</f>
        <v>-</v>
      </c>
    </row>
    <row r="5" spans="1:7">
      <c r="D5" s="235" t="str">
        <f>IF(AND('General Information'!$H$401=TRUE, 'General Information'!D405&lt;&gt;"", 'General Information'!E405&lt;&gt;"", 'General Information'!F405&lt;&gt;"", 'General Information'!G405&lt;&gt;""), _xlfn.WEBSERVICE("https://photon.komoot.io/api/?limit=1&amp;lang=en&amp;q="&amp;'General Information'!K405), "")</f>
        <v/>
      </c>
      <c r="E5" s="605" t="str">
        <f t="shared" si="0"/>
        <v/>
      </c>
      <c r="F5" s="236" t="str">
        <f t="shared" si="1"/>
        <v/>
      </c>
      <c r="G5" t="str">
        <f xml:space="preserve"> IF(AND('General Information'!$H$401=TRUE, 'General Information'!D405&lt;&gt;"", 'General Information'!E405&lt;&gt;"", 'General Information'!F405&lt;&gt;"", 'General Information'!G405&lt;&gt;""), E5 &amp; "," &amp; F5, "-")</f>
        <v>-</v>
      </c>
    </row>
    <row r="6" spans="1:7">
      <c r="D6" s="235" t="str">
        <f>IF(AND('General Information'!$H$401=TRUE, 'General Information'!D406&lt;&gt;"", 'General Information'!E406&lt;&gt;"", 'General Information'!F406&lt;&gt;"", 'General Information'!G406&lt;&gt;""), _xlfn.WEBSERVICE("https://photon.komoot.io/api/?limit=1&amp;lang=en&amp;q="&amp;'General Information'!K406), "")</f>
        <v/>
      </c>
      <c r="E6" s="605" t="str">
        <f t="shared" si="0"/>
        <v/>
      </c>
      <c r="F6" s="236" t="str">
        <f t="shared" si="1"/>
        <v/>
      </c>
      <c r="G6" t="str">
        <f xml:space="preserve"> IF(AND('General Information'!$H$401=TRUE, 'General Information'!D406&lt;&gt;"", 'General Information'!E406&lt;&gt;"", 'General Information'!F406&lt;&gt;"", 'General Information'!G406&lt;&gt;""), E6 &amp; "," &amp; F6, "-")</f>
        <v>-</v>
      </c>
    </row>
    <row r="7" spans="1:7">
      <c r="D7" s="235" t="str">
        <f>IF(AND('General Information'!$H$401=TRUE, 'General Information'!D407&lt;&gt;"", 'General Information'!E407&lt;&gt;"", 'General Information'!F407&lt;&gt;"", 'General Information'!G407&lt;&gt;""), _xlfn.WEBSERVICE("https://photon.komoot.io/api/?limit=1&amp;lang=en&amp;q="&amp;'General Information'!K407), "")</f>
        <v/>
      </c>
      <c r="E7" s="605" t="str">
        <f t="shared" si="0"/>
        <v/>
      </c>
      <c r="F7" s="236" t="str">
        <f t="shared" si="1"/>
        <v/>
      </c>
      <c r="G7" t="str">
        <f xml:space="preserve"> IF(AND('General Information'!$H$401=TRUE, 'General Information'!D407&lt;&gt;"", 'General Information'!E407&lt;&gt;"", 'General Information'!F407&lt;&gt;"", 'General Information'!G407&lt;&gt;""), E7 &amp; "," &amp; F7, "-")</f>
        <v>-</v>
      </c>
    </row>
    <row r="8" spans="1:7">
      <c r="D8" s="235" t="str">
        <f>IF(AND('General Information'!$H$401=TRUE, 'General Information'!D408&lt;&gt;"", 'General Information'!E408&lt;&gt;"", 'General Information'!F408&lt;&gt;"", 'General Information'!G408&lt;&gt;""), _xlfn.WEBSERVICE("https://photon.komoot.io/api/?limit=1&amp;lang=en&amp;q="&amp;'General Information'!K408), "")</f>
        <v/>
      </c>
      <c r="E8" s="605" t="str">
        <f t="shared" si="0"/>
        <v/>
      </c>
      <c r="F8" s="236" t="str">
        <f t="shared" si="1"/>
        <v/>
      </c>
      <c r="G8" t="str">
        <f xml:space="preserve"> IF(AND('General Information'!$H$401=TRUE, 'General Information'!D408&lt;&gt;"", 'General Information'!E408&lt;&gt;"", 'General Information'!F408&lt;&gt;"", 'General Information'!G408&lt;&gt;""), E8 &amp; "," &amp; F8, "-")</f>
        <v>-</v>
      </c>
    </row>
    <row r="9" spans="1:7">
      <c r="D9" s="235" t="str">
        <f>IF(AND('General Information'!$H$401=TRUE, 'General Information'!D409&lt;&gt;"", 'General Information'!E409&lt;&gt;"", 'General Information'!F409&lt;&gt;"", 'General Information'!G409&lt;&gt;""), _xlfn.WEBSERVICE("https://photon.komoot.io/api/?limit=1&amp;lang=en&amp;q="&amp;'General Information'!K409), "")</f>
        <v/>
      </c>
      <c r="E9" s="605" t="str">
        <f t="shared" si="0"/>
        <v/>
      </c>
      <c r="F9" s="236" t="str">
        <f t="shared" si="1"/>
        <v/>
      </c>
      <c r="G9" t="str">
        <f xml:space="preserve"> IF(AND('General Information'!$H$401=TRUE, 'General Information'!D409&lt;&gt;"", 'General Information'!E409&lt;&gt;"", 'General Information'!F409&lt;&gt;"", 'General Information'!G409&lt;&gt;""), E9 &amp; "," &amp; F9, "-")</f>
        <v>-</v>
      </c>
    </row>
    <row r="10" spans="1:7">
      <c r="D10" s="235" t="str">
        <f>IF(AND('General Information'!$H$401=TRUE, 'General Information'!D410&lt;&gt;"", 'General Information'!E410&lt;&gt;"", 'General Information'!F410&lt;&gt;"", 'General Information'!G410&lt;&gt;""), _xlfn.WEBSERVICE("https://photon.komoot.io/api/?limit=1&amp;lang=en&amp;q="&amp;'General Information'!K410), "")</f>
        <v/>
      </c>
      <c r="E10" s="605" t="str">
        <f t="shared" si="0"/>
        <v/>
      </c>
      <c r="F10" s="236" t="str">
        <f t="shared" si="1"/>
        <v/>
      </c>
      <c r="G10" t="str">
        <f xml:space="preserve"> IF(AND('General Information'!$H$401=TRUE, 'General Information'!D410&lt;&gt;"", 'General Information'!E410&lt;&gt;"", 'General Information'!F410&lt;&gt;"", 'General Information'!G410&lt;&gt;""), E10 &amp; "," &amp; F10, "-")</f>
        <v>-</v>
      </c>
    </row>
    <row r="11" spans="1:7">
      <c r="D11" s="235" t="str">
        <f>IF(AND('General Information'!$H$401=TRUE, 'General Information'!D411&lt;&gt;"", 'General Information'!E411&lt;&gt;"", 'General Information'!F411&lt;&gt;"", 'General Information'!G411&lt;&gt;""), _xlfn.WEBSERVICE("https://photon.komoot.io/api/?limit=1&amp;lang=en&amp;q="&amp;'General Information'!K411), "")</f>
        <v/>
      </c>
      <c r="E11" s="605" t="str">
        <f t="shared" si="0"/>
        <v/>
      </c>
      <c r="F11" s="236" t="str">
        <f t="shared" si="1"/>
        <v/>
      </c>
      <c r="G11" t="str">
        <f xml:space="preserve"> IF(AND('General Information'!$H$401=TRUE, 'General Information'!D411&lt;&gt;"", 'General Information'!E411&lt;&gt;"", 'General Information'!F411&lt;&gt;"", 'General Information'!G411&lt;&gt;""), E11 &amp; "," &amp; F11, "-")</f>
        <v>-</v>
      </c>
    </row>
    <row r="12" spans="1:7">
      <c r="D12" s="235" t="str">
        <f>IF(AND('General Information'!$H$401=TRUE, 'General Information'!D412&lt;&gt;"", 'General Information'!E412&lt;&gt;"", 'General Information'!F412&lt;&gt;"", 'General Information'!G412&lt;&gt;""), _xlfn.WEBSERVICE("https://photon.komoot.io/api/?limit=1&amp;lang=en&amp;q="&amp;'General Information'!K412), "")</f>
        <v/>
      </c>
      <c r="E12" s="605" t="str">
        <f t="shared" si="0"/>
        <v/>
      </c>
      <c r="F12" s="236" t="str">
        <f t="shared" si="1"/>
        <v/>
      </c>
      <c r="G12" t="str">
        <f xml:space="preserve"> IF(AND('General Information'!$H$401=TRUE, 'General Information'!D412&lt;&gt;"", 'General Information'!E412&lt;&gt;"", 'General Information'!F412&lt;&gt;"", 'General Information'!G412&lt;&gt;""), E12 &amp; "," &amp; F12, "-")</f>
        <v>-</v>
      </c>
    </row>
    <row r="13" spans="1:7">
      <c r="D13" s="235" t="str">
        <f>IF(AND('General Information'!$H$401=TRUE, 'General Information'!D413&lt;&gt;"", 'General Information'!E413&lt;&gt;"", 'General Information'!F413&lt;&gt;"", 'General Information'!G413&lt;&gt;""), _xlfn.WEBSERVICE("https://photon.komoot.io/api/?limit=1&amp;lang=en&amp;q="&amp;'General Information'!K413), "")</f>
        <v/>
      </c>
      <c r="E13" s="605" t="str">
        <f t="shared" si="0"/>
        <v/>
      </c>
      <c r="F13" s="236" t="str">
        <f t="shared" si="1"/>
        <v/>
      </c>
      <c r="G13" t="str">
        <f xml:space="preserve"> IF(AND('General Information'!$H$401=TRUE, 'General Information'!D413&lt;&gt;"", 'General Information'!E413&lt;&gt;"", 'General Information'!F413&lt;&gt;"", 'General Information'!G413&lt;&gt;""), E13 &amp; "," &amp; F13, "-")</f>
        <v>-</v>
      </c>
    </row>
    <row r="14" spans="1:7">
      <c r="D14" s="235" t="str">
        <f>IF(AND('General Information'!$H$401=TRUE, 'General Information'!D414&lt;&gt;"", 'General Information'!E414&lt;&gt;"", 'General Information'!F414&lt;&gt;"", 'General Information'!G414&lt;&gt;""), _xlfn.WEBSERVICE("https://photon.komoot.io/api/?limit=1&amp;lang=en&amp;q="&amp;'General Information'!K414), "")</f>
        <v/>
      </c>
      <c r="E14" s="605" t="str">
        <f t="shared" si="0"/>
        <v/>
      </c>
      <c r="F14" s="236" t="str">
        <f t="shared" si="1"/>
        <v/>
      </c>
      <c r="G14" t="str">
        <f xml:space="preserve"> IF(AND('General Information'!$H$401=TRUE, 'General Information'!D414&lt;&gt;"", 'General Information'!E414&lt;&gt;"", 'General Information'!F414&lt;&gt;"", 'General Information'!G414&lt;&gt;""), E14 &amp; "," &amp; F14, "-")</f>
        <v>-</v>
      </c>
    </row>
    <row r="15" spans="1:7">
      <c r="D15" s="235" t="str">
        <f>IF(AND('General Information'!$H$401=TRUE, 'General Information'!D415&lt;&gt;"", 'General Information'!E415&lt;&gt;"", 'General Information'!F415&lt;&gt;"", 'General Information'!G415&lt;&gt;""), _xlfn.WEBSERVICE("https://photon.komoot.io/api/?limit=1&amp;lang=en&amp;q="&amp;'General Information'!K415), "")</f>
        <v/>
      </c>
      <c r="E15" s="605" t="str">
        <f t="shared" si="0"/>
        <v/>
      </c>
      <c r="F15" s="236" t="str">
        <f t="shared" si="1"/>
        <v/>
      </c>
      <c r="G15" t="str">
        <f xml:space="preserve"> IF(AND('General Information'!$H$401=TRUE, 'General Information'!D415&lt;&gt;"", 'General Information'!E415&lt;&gt;"", 'General Information'!F415&lt;&gt;"", 'General Information'!G415&lt;&gt;""), E15 &amp; "," &amp; F15, "-")</f>
        <v>-</v>
      </c>
    </row>
    <row r="16" spans="1:7">
      <c r="D16" s="235" t="str">
        <f>IF(AND('General Information'!$H$401=TRUE, 'General Information'!D416&lt;&gt;"", 'General Information'!E416&lt;&gt;"", 'General Information'!F416&lt;&gt;"", 'General Information'!G416&lt;&gt;""), _xlfn.WEBSERVICE("https://photon.komoot.io/api/?limit=1&amp;lang=en&amp;q="&amp;'General Information'!K416), "")</f>
        <v/>
      </c>
      <c r="E16" s="605" t="str">
        <f t="shared" si="0"/>
        <v/>
      </c>
      <c r="F16" s="236" t="str">
        <f t="shared" si="1"/>
        <v/>
      </c>
      <c r="G16" t="str">
        <f xml:space="preserve"> IF(AND('General Information'!$H$401=TRUE, 'General Information'!D416&lt;&gt;"", 'General Information'!E416&lt;&gt;"", 'General Information'!F416&lt;&gt;"", 'General Information'!G416&lt;&gt;""), E16 &amp; "," &amp; F16, "-")</f>
        <v>-</v>
      </c>
    </row>
    <row r="17" spans="1:7">
      <c r="A17" s="862" t="s">
        <v>9485</v>
      </c>
      <c r="B17" s="862"/>
      <c r="D17" s="235" t="str">
        <f>IF(AND('General Information'!$H$401=TRUE, 'General Information'!D417&lt;&gt;"", 'General Information'!E417&lt;&gt;"", 'General Information'!F417&lt;&gt;"", 'General Information'!G417&lt;&gt;""), _xlfn.WEBSERVICE("https://photon.komoot.io/api/?limit=1&amp;lang=en&amp;q="&amp;'General Information'!K417), "")</f>
        <v/>
      </c>
      <c r="E17" s="605" t="str">
        <f t="shared" si="0"/>
        <v/>
      </c>
      <c r="F17" s="236" t="str">
        <f t="shared" si="1"/>
        <v/>
      </c>
      <c r="G17" t="str">
        <f xml:space="preserve"> IF(AND('General Information'!$H$401=TRUE, 'General Information'!D417&lt;&gt;"", 'General Information'!E417&lt;&gt;"", 'General Information'!F417&lt;&gt;"", 'General Information'!G417&lt;&gt;""), E17 &amp; "," &amp; F17, "-")</f>
        <v>-</v>
      </c>
    </row>
    <row r="18" spans="1:7">
      <c r="A18" s="862"/>
      <c r="B18" s="862"/>
      <c r="D18" s="235" t="str">
        <f>IF(AND('General Information'!$H$401=TRUE, 'General Information'!D418&lt;&gt;"", 'General Information'!E418&lt;&gt;"", 'General Information'!F418&lt;&gt;"", 'General Information'!G418&lt;&gt;""), _xlfn.WEBSERVICE("https://photon.komoot.io/api/?limit=1&amp;lang=en&amp;q="&amp;'General Information'!K418), "")</f>
        <v/>
      </c>
      <c r="E18" s="605" t="str">
        <f t="shared" si="0"/>
        <v/>
      </c>
      <c r="F18" s="236" t="str">
        <f t="shared" si="1"/>
        <v/>
      </c>
      <c r="G18" t="str">
        <f xml:space="preserve"> IF(AND('General Information'!$H$401=TRUE, 'General Information'!D418&lt;&gt;"", 'General Information'!E418&lt;&gt;"", 'General Information'!F418&lt;&gt;"", 'General Information'!G418&lt;&gt;""), E18 &amp; "," &amp; F18, "-")</f>
        <v>-</v>
      </c>
    </row>
    <row r="19" spans="1:7">
      <c r="A19" s="862"/>
      <c r="B19" s="862"/>
      <c r="D19" s="235" t="str">
        <f>IF(AND('General Information'!$H$401=TRUE, 'General Information'!D419&lt;&gt;"", 'General Information'!E419&lt;&gt;"", 'General Information'!F419&lt;&gt;"", 'General Information'!G419&lt;&gt;""), _xlfn.WEBSERVICE("https://photon.komoot.io/api/?limit=1&amp;lang=en&amp;q="&amp;'General Information'!K419), "")</f>
        <v/>
      </c>
      <c r="E19" s="605" t="str">
        <f t="shared" si="0"/>
        <v/>
      </c>
      <c r="F19" s="236" t="str">
        <f t="shared" si="1"/>
        <v/>
      </c>
      <c r="G19" t="str">
        <f xml:space="preserve"> IF(AND('General Information'!$H$401=TRUE, 'General Information'!D419&lt;&gt;"", 'General Information'!E419&lt;&gt;"", 'General Information'!F419&lt;&gt;"", 'General Information'!G419&lt;&gt;""), E19 &amp; "," &amp; F19, "-")</f>
        <v>-</v>
      </c>
    </row>
    <row r="20" spans="1:7">
      <c r="D20" s="235" t="str">
        <f>IF(AND('General Information'!$H$401=TRUE, 'General Information'!D420&lt;&gt;"", 'General Information'!E420&lt;&gt;"", 'General Information'!F420&lt;&gt;"", 'General Information'!G420&lt;&gt;""), _xlfn.WEBSERVICE("https://photon.komoot.io/api/?limit=1&amp;lang=en&amp;q="&amp;'General Information'!K420), "")</f>
        <v/>
      </c>
      <c r="E20" s="605" t="str">
        <f t="shared" si="0"/>
        <v/>
      </c>
      <c r="F20" s="236" t="str">
        <f t="shared" si="1"/>
        <v/>
      </c>
      <c r="G20" t="str">
        <f xml:space="preserve"> IF(AND('General Information'!$H$401=TRUE, 'General Information'!D420&lt;&gt;"", 'General Information'!E420&lt;&gt;"", 'General Information'!F420&lt;&gt;"", 'General Information'!G420&lt;&gt;""), E20 &amp; "," &amp; F20, "-")</f>
        <v>-</v>
      </c>
    </row>
    <row r="21" spans="1:7">
      <c r="D21" s="235" t="str">
        <f>IF(AND('General Information'!$H$401=TRUE, 'General Information'!D421&lt;&gt;"", 'General Information'!E421&lt;&gt;"", 'General Information'!F421&lt;&gt;"", 'General Information'!G421&lt;&gt;""), _xlfn.WEBSERVICE("https://photon.komoot.io/api/?limit=1&amp;lang=en&amp;q="&amp;'General Information'!K421), "")</f>
        <v/>
      </c>
      <c r="E21" s="605" t="str">
        <f t="shared" si="0"/>
        <v/>
      </c>
      <c r="F21" s="236" t="str">
        <f t="shared" si="1"/>
        <v/>
      </c>
      <c r="G21" t="str">
        <f xml:space="preserve"> IF(AND('General Information'!$H$401=TRUE, 'General Information'!D421&lt;&gt;"", 'General Information'!E421&lt;&gt;"", 'General Information'!F421&lt;&gt;"", 'General Information'!G421&lt;&gt;""), E21 &amp; "," &amp; F21, "-")</f>
        <v>-</v>
      </c>
    </row>
    <row r="22" spans="1:7">
      <c r="D22" s="235" t="str">
        <f>IF(AND('General Information'!$H$401=TRUE, 'General Information'!D422&lt;&gt;"", 'General Information'!E422&lt;&gt;"", 'General Information'!F422&lt;&gt;"", 'General Information'!G422&lt;&gt;""), _xlfn.WEBSERVICE("https://photon.komoot.io/api/?limit=1&amp;lang=en&amp;q="&amp;'General Information'!K422), "")</f>
        <v/>
      </c>
      <c r="E22" s="605" t="str">
        <f t="shared" si="0"/>
        <v/>
      </c>
      <c r="F22" s="236" t="str">
        <f t="shared" si="1"/>
        <v/>
      </c>
      <c r="G22" t="str">
        <f xml:space="preserve"> IF(AND('General Information'!$H$401=TRUE, 'General Information'!D422&lt;&gt;"", 'General Information'!E422&lt;&gt;"", 'General Information'!F422&lt;&gt;"", 'General Information'!G422&lt;&gt;""), E22 &amp; "," &amp; F22, "-")</f>
        <v>-</v>
      </c>
    </row>
    <row r="23" spans="1:7">
      <c r="D23" s="235" t="str">
        <f>IF(AND('General Information'!$H$401=TRUE, 'General Information'!D423&lt;&gt;"", 'General Information'!E423&lt;&gt;"", 'General Information'!F423&lt;&gt;"", 'General Information'!G423&lt;&gt;""), _xlfn.WEBSERVICE("https://photon.komoot.io/api/?limit=1&amp;lang=en&amp;q="&amp;'General Information'!K423), "")</f>
        <v/>
      </c>
      <c r="E23" s="605" t="str">
        <f t="shared" si="0"/>
        <v/>
      </c>
      <c r="F23" s="236" t="str">
        <f t="shared" si="1"/>
        <v/>
      </c>
      <c r="G23" t="str">
        <f xml:space="preserve"> IF(AND('General Information'!$H$401=TRUE, 'General Information'!D423&lt;&gt;"", 'General Information'!E423&lt;&gt;"", 'General Information'!F423&lt;&gt;"", 'General Information'!G423&lt;&gt;""), E23 &amp; "," &amp; F23, "-")</f>
        <v>-</v>
      </c>
    </row>
    <row r="24" spans="1:7">
      <c r="D24" s="235" t="str">
        <f>IF(AND('General Information'!$H$401=TRUE, 'General Information'!D424&lt;&gt;"", 'General Information'!E424&lt;&gt;"", 'General Information'!F424&lt;&gt;"", 'General Information'!G424&lt;&gt;""), _xlfn.WEBSERVICE("https://photon.komoot.io/api/?limit=1&amp;lang=en&amp;q="&amp;'General Information'!K424), "")</f>
        <v/>
      </c>
      <c r="E24" s="605" t="str">
        <f t="shared" si="0"/>
        <v/>
      </c>
      <c r="F24" s="236" t="str">
        <f t="shared" si="1"/>
        <v/>
      </c>
      <c r="G24" t="str">
        <f xml:space="preserve"> IF(AND('General Information'!$H$401=TRUE, 'General Information'!D424&lt;&gt;"", 'General Information'!E424&lt;&gt;"", 'General Information'!F424&lt;&gt;"", 'General Information'!G424&lt;&gt;""), E24 &amp; "," &amp; F24, "-")</f>
        <v>-</v>
      </c>
    </row>
    <row r="25" spans="1:7">
      <c r="D25" s="235" t="str">
        <f>IF(AND('General Information'!$H$401=TRUE, 'General Information'!D425&lt;&gt;"", 'General Information'!E425&lt;&gt;"", 'General Information'!F425&lt;&gt;"", 'General Information'!G425&lt;&gt;""), _xlfn.WEBSERVICE("https://photon.komoot.io/api/?limit=1&amp;lang=en&amp;q="&amp;'General Information'!K425), "")</f>
        <v/>
      </c>
      <c r="E25" s="605" t="str">
        <f t="shared" si="0"/>
        <v/>
      </c>
      <c r="F25" s="236" t="str">
        <f t="shared" si="1"/>
        <v/>
      </c>
      <c r="G25" t="str">
        <f xml:space="preserve"> IF(AND('General Information'!$H$401=TRUE, 'General Information'!D425&lt;&gt;"", 'General Information'!E425&lt;&gt;"", 'General Information'!F425&lt;&gt;"", 'General Information'!G425&lt;&gt;""), E25 &amp; "," &amp; F25, "-")</f>
        <v>-</v>
      </c>
    </row>
    <row r="26" spans="1:7">
      <c r="D26" s="235" t="str">
        <f>IF(AND('General Information'!$H$401=TRUE, 'General Information'!D426&lt;&gt;"", 'General Information'!E426&lt;&gt;"", 'General Information'!F426&lt;&gt;"", 'General Information'!G426&lt;&gt;""), _xlfn.WEBSERVICE("https://photon.komoot.io/api/?limit=1&amp;lang=en&amp;q="&amp;'General Information'!K426), "")</f>
        <v/>
      </c>
      <c r="E26" s="605" t="str">
        <f t="shared" si="0"/>
        <v/>
      </c>
      <c r="F26" s="236" t="str">
        <f t="shared" si="1"/>
        <v/>
      </c>
      <c r="G26" t="str">
        <f xml:space="preserve"> IF(AND('General Information'!$H$401=TRUE, 'General Information'!D426&lt;&gt;"", 'General Information'!E426&lt;&gt;"", 'General Information'!F426&lt;&gt;"", 'General Information'!G426&lt;&gt;""), E26 &amp; "," &amp; F26, "-")</f>
        <v>-</v>
      </c>
    </row>
    <row r="27" spans="1:7">
      <c r="D27" s="235" t="str">
        <f>IF(AND('General Information'!$H$401=TRUE, 'General Information'!D427&lt;&gt;"", 'General Information'!E427&lt;&gt;"", 'General Information'!F427&lt;&gt;"", 'General Information'!G427&lt;&gt;""), _xlfn.WEBSERVICE("https://photon.komoot.io/api/?limit=1&amp;lang=en&amp;q="&amp;'General Information'!K427), "")</f>
        <v/>
      </c>
      <c r="E27" s="605" t="str">
        <f t="shared" si="0"/>
        <v/>
      </c>
      <c r="F27" s="236" t="str">
        <f t="shared" si="1"/>
        <v/>
      </c>
      <c r="G27" t="str">
        <f xml:space="preserve"> IF(AND('General Information'!$H$401=TRUE, 'General Information'!D427&lt;&gt;"", 'General Information'!E427&lt;&gt;"", 'General Information'!F427&lt;&gt;"", 'General Information'!G427&lt;&gt;""), E27 &amp; "," &amp; F27, "-")</f>
        <v>-</v>
      </c>
    </row>
    <row r="28" spans="1:7">
      <c r="D28" s="235" t="str">
        <f>IF(AND('General Information'!$H$401=TRUE, 'General Information'!D428&lt;&gt;"", 'General Information'!E428&lt;&gt;"", 'General Information'!F428&lt;&gt;"", 'General Information'!G428&lt;&gt;""), _xlfn.WEBSERVICE("https://photon.komoot.io/api/?limit=1&amp;lang=en&amp;q="&amp;'General Information'!K428), "")</f>
        <v/>
      </c>
      <c r="E28" s="605" t="str">
        <f t="shared" si="0"/>
        <v/>
      </c>
      <c r="F28" s="236" t="str">
        <f t="shared" si="1"/>
        <v/>
      </c>
      <c r="G28" t="str">
        <f xml:space="preserve"> IF(AND('General Information'!$H$401=TRUE, 'General Information'!D428&lt;&gt;"", 'General Information'!E428&lt;&gt;"", 'General Information'!F428&lt;&gt;"", 'General Information'!G428&lt;&gt;""), E28 &amp; "," &amp; F28, "-")</f>
        <v>-</v>
      </c>
    </row>
    <row r="29" spans="1:7">
      <c r="D29" s="235" t="str">
        <f>IF(AND('General Information'!$H$401=TRUE, 'General Information'!D429&lt;&gt;"", 'General Information'!E429&lt;&gt;"", 'General Information'!F429&lt;&gt;"", 'General Information'!G429&lt;&gt;""), _xlfn.WEBSERVICE("https://photon.komoot.io/api/?limit=1&amp;lang=en&amp;q="&amp;'General Information'!K429), "")</f>
        <v/>
      </c>
      <c r="E29" s="605" t="str">
        <f t="shared" si="0"/>
        <v/>
      </c>
      <c r="F29" s="236" t="str">
        <f t="shared" si="1"/>
        <v/>
      </c>
      <c r="G29" t="str">
        <f xml:space="preserve"> IF(AND('General Information'!$H$401=TRUE, 'General Information'!D429&lt;&gt;"", 'General Information'!E429&lt;&gt;"", 'General Information'!F429&lt;&gt;"", 'General Information'!G429&lt;&gt;""), E29 &amp; "," &amp; F29, "-")</f>
        <v>-</v>
      </c>
    </row>
    <row r="30" spans="1:7">
      <c r="D30" s="235" t="str">
        <f>IF(AND('General Information'!$H$401=TRUE, 'General Information'!D430&lt;&gt;"", 'General Information'!E430&lt;&gt;"", 'General Information'!F430&lt;&gt;"", 'General Information'!G430&lt;&gt;""), _xlfn.WEBSERVICE("https://photon.komoot.io/api/?limit=1&amp;lang=en&amp;q="&amp;'General Information'!K430), "")</f>
        <v/>
      </c>
      <c r="E30" s="605" t="str">
        <f t="shared" si="0"/>
        <v/>
      </c>
      <c r="F30" s="236" t="str">
        <f t="shared" si="1"/>
        <v/>
      </c>
      <c r="G30" t="str">
        <f xml:space="preserve"> IF(AND('General Information'!$H$401=TRUE, 'General Information'!D430&lt;&gt;"", 'General Information'!E430&lt;&gt;"", 'General Information'!F430&lt;&gt;"", 'General Information'!G430&lt;&gt;""), E30 &amp; "," &amp; F30, "-")</f>
        <v>-</v>
      </c>
    </row>
    <row r="31" spans="1:7">
      <c r="D31" s="235" t="str">
        <f>IF(AND('General Information'!$H$401=TRUE, 'General Information'!D431&lt;&gt;"", 'General Information'!E431&lt;&gt;"", 'General Information'!F431&lt;&gt;"", 'General Information'!G431&lt;&gt;""), _xlfn.WEBSERVICE("https://photon.komoot.io/api/?limit=1&amp;lang=en&amp;q="&amp;'General Information'!K431), "")</f>
        <v/>
      </c>
      <c r="E31" s="605" t="str">
        <f t="shared" si="0"/>
        <v/>
      </c>
      <c r="F31" s="236" t="str">
        <f t="shared" si="1"/>
        <v/>
      </c>
      <c r="G31" t="str">
        <f xml:space="preserve"> IF(AND('General Information'!$H$401=TRUE, 'General Information'!D431&lt;&gt;"", 'General Information'!E431&lt;&gt;"", 'General Information'!F431&lt;&gt;"", 'General Information'!G431&lt;&gt;""), E31 &amp; "," &amp; F31, "-")</f>
        <v>-</v>
      </c>
    </row>
    <row r="32" spans="1:7">
      <c r="D32" s="235" t="str">
        <f>IF(AND('General Information'!$H$401=TRUE, 'General Information'!D432&lt;&gt;"", 'General Information'!E432&lt;&gt;"", 'General Information'!F432&lt;&gt;"", 'General Information'!G432&lt;&gt;""), _xlfn.WEBSERVICE("https://photon.komoot.io/api/?limit=1&amp;lang=en&amp;q="&amp;'General Information'!K432), "")</f>
        <v/>
      </c>
      <c r="E32" s="605" t="str">
        <f t="shared" si="0"/>
        <v/>
      </c>
      <c r="F32" s="236" t="str">
        <f t="shared" si="1"/>
        <v/>
      </c>
      <c r="G32" t="str">
        <f xml:space="preserve"> IF(AND('General Information'!$H$401=TRUE, 'General Information'!D432&lt;&gt;"", 'General Information'!E432&lt;&gt;"", 'General Information'!F432&lt;&gt;"", 'General Information'!G432&lt;&gt;""), E32 &amp; "," &amp; F32, "-")</f>
        <v>-</v>
      </c>
    </row>
    <row r="33" spans="4:7">
      <c r="D33" s="235" t="str">
        <f>IF(AND('General Information'!$H$401=TRUE, 'General Information'!D433&lt;&gt;"", 'General Information'!E433&lt;&gt;"", 'General Information'!F433&lt;&gt;"", 'General Information'!G433&lt;&gt;""), _xlfn.WEBSERVICE("https://photon.komoot.io/api/?limit=1&amp;lang=en&amp;q="&amp;'General Information'!K433), "")</f>
        <v/>
      </c>
      <c r="E33" s="605" t="str">
        <f t="shared" si="0"/>
        <v/>
      </c>
      <c r="F33" s="236" t="str">
        <f t="shared" si="1"/>
        <v/>
      </c>
      <c r="G33" t="str">
        <f xml:space="preserve"> IF(AND('General Information'!$H$401=TRUE, 'General Information'!D433&lt;&gt;"", 'General Information'!E433&lt;&gt;"", 'General Information'!F433&lt;&gt;"", 'General Information'!G433&lt;&gt;""), E33 &amp; "," &amp; F33, "-")</f>
        <v>-</v>
      </c>
    </row>
    <row r="34" spans="4:7">
      <c r="D34" s="235" t="str">
        <f>IF(AND('General Information'!$H$401=TRUE, 'General Information'!D434&lt;&gt;"", 'General Information'!E434&lt;&gt;"", 'General Information'!F434&lt;&gt;"", 'General Information'!G434&lt;&gt;""), _xlfn.WEBSERVICE("https://photon.komoot.io/api/?limit=1&amp;lang=en&amp;q="&amp;'General Information'!K434), "")</f>
        <v/>
      </c>
      <c r="E34" s="605" t="str">
        <f t="shared" si="0"/>
        <v/>
      </c>
      <c r="F34" s="236" t="str">
        <f t="shared" si="1"/>
        <v/>
      </c>
      <c r="G34" t="str">
        <f xml:space="preserve"> IF(AND('General Information'!$H$401=TRUE, 'General Information'!D434&lt;&gt;"", 'General Information'!E434&lt;&gt;"", 'General Information'!F434&lt;&gt;"", 'General Information'!G434&lt;&gt;""), E34 &amp; "," &amp; F34, "-")</f>
        <v>-</v>
      </c>
    </row>
    <row r="35" spans="4:7">
      <c r="D35" s="235" t="str">
        <f>IF(AND('General Information'!$H$401=TRUE, 'General Information'!D435&lt;&gt;"", 'General Information'!E435&lt;&gt;"", 'General Information'!F435&lt;&gt;"", 'General Information'!G435&lt;&gt;""), _xlfn.WEBSERVICE("https://photon.komoot.io/api/?limit=1&amp;lang=en&amp;q="&amp;'General Information'!K435), "")</f>
        <v/>
      </c>
      <c r="E35" s="605" t="str">
        <f t="shared" si="0"/>
        <v/>
      </c>
      <c r="F35" s="236" t="str">
        <f t="shared" si="1"/>
        <v/>
      </c>
      <c r="G35" t="str">
        <f xml:space="preserve"> IF(AND('General Information'!$H$401=TRUE, 'General Information'!D435&lt;&gt;"", 'General Information'!E435&lt;&gt;"", 'General Information'!F435&lt;&gt;"", 'General Information'!G435&lt;&gt;""), E35 &amp; "," &amp; F35, "-")</f>
        <v>-</v>
      </c>
    </row>
    <row r="36" spans="4:7">
      <c r="D36" s="235" t="str">
        <f>IF(AND('General Information'!$H$401=TRUE, 'General Information'!D436&lt;&gt;"", 'General Information'!E436&lt;&gt;"", 'General Information'!F436&lt;&gt;"", 'General Information'!G436&lt;&gt;""), _xlfn.WEBSERVICE("https://photon.komoot.io/api/?limit=1&amp;lang=en&amp;q="&amp;'General Information'!K436), "")</f>
        <v/>
      </c>
      <c r="E36" s="605" t="str">
        <f t="shared" si="0"/>
        <v/>
      </c>
      <c r="F36" s="236" t="str">
        <f t="shared" si="1"/>
        <v/>
      </c>
      <c r="G36" t="str">
        <f xml:space="preserve"> IF(AND('General Information'!$H$401=TRUE, 'General Information'!D436&lt;&gt;"", 'General Information'!E436&lt;&gt;"", 'General Information'!F436&lt;&gt;"", 'General Information'!G436&lt;&gt;""), E36 &amp; "," &amp; F36, "-")</f>
        <v>-</v>
      </c>
    </row>
    <row r="37" spans="4:7">
      <c r="D37" s="235" t="str">
        <f>IF(AND('General Information'!$H$401=TRUE, 'General Information'!D437&lt;&gt;"", 'General Information'!E437&lt;&gt;"", 'General Information'!F437&lt;&gt;"", 'General Information'!G437&lt;&gt;""), _xlfn.WEBSERVICE("https://photon.komoot.io/api/?limit=1&amp;lang=en&amp;q="&amp;'General Information'!K437), "")</f>
        <v/>
      </c>
      <c r="E37" s="605" t="str">
        <f t="shared" si="0"/>
        <v/>
      </c>
      <c r="F37" s="236" t="str">
        <f t="shared" si="1"/>
        <v/>
      </c>
      <c r="G37" t="str">
        <f xml:space="preserve"> IF(AND('General Information'!$H$401=TRUE, 'General Information'!D437&lt;&gt;"", 'General Information'!E437&lt;&gt;"", 'General Information'!F437&lt;&gt;"", 'General Information'!G437&lt;&gt;""), E37 &amp; "," &amp; F37, "-")</f>
        <v>-</v>
      </c>
    </row>
    <row r="38" spans="4:7">
      <c r="D38" s="235" t="str">
        <f>IF(AND('General Information'!$H$401=TRUE, 'General Information'!D438&lt;&gt;"", 'General Information'!E438&lt;&gt;"", 'General Information'!F438&lt;&gt;"", 'General Information'!G438&lt;&gt;""), _xlfn.WEBSERVICE("https://photon.komoot.io/api/?limit=1&amp;lang=en&amp;q="&amp;'General Information'!K438), "")</f>
        <v/>
      </c>
      <c r="E38" s="605" t="str">
        <f t="shared" si="0"/>
        <v/>
      </c>
      <c r="F38" s="236" t="str">
        <f t="shared" si="1"/>
        <v/>
      </c>
      <c r="G38" t="str">
        <f xml:space="preserve"> IF(AND('General Information'!$H$401=TRUE, 'General Information'!D438&lt;&gt;"", 'General Information'!E438&lt;&gt;"", 'General Information'!F438&lt;&gt;"", 'General Information'!G438&lt;&gt;""), E38 &amp; "," &amp; F38, "-")</f>
        <v>-</v>
      </c>
    </row>
    <row r="39" spans="4:7">
      <c r="D39" s="235" t="str">
        <f>IF(AND('General Information'!$H$401=TRUE, 'General Information'!D439&lt;&gt;"", 'General Information'!E439&lt;&gt;"", 'General Information'!F439&lt;&gt;"", 'General Information'!G439&lt;&gt;""), _xlfn.WEBSERVICE("https://photon.komoot.io/api/?limit=1&amp;lang=en&amp;q="&amp;'General Information'!K439), "")</f>
        <v/>
      </c>
      <c r="E39" s="605" t="str">
        <f t="shared" si="0"/>
        <v/>
      </c>
      <c r="F39" s="236" t="str">
        <f t="shared" si="1"/>
        <v/>
      </c>
      <c r="G39" t="str">
        <f xml:space="preserve"> IF(AND('General Information'!$H$401=TRUE, 'General Information'!D439&lt;&gt;"", 'General Information'!E439&lt;&gt;"", 'General Information'!F439&lt;&gt;"", 'General Information'!G439&lt;&gt;""), E39 &amp; "," &amp; F39, "-")</f>
        <v>-</v>
      </c>
    </row>
    <row r="40" spans="4:7">
      <c r="D40" s="235" t="str">
        <f>IF(AND('General Information'!$H$401=TRUE, 'General Information'!D440&lt;&gt;"", 'General Information'!E440&lt;&gt;"", 'General Information'!F440&lt;&gt;"", 'General Information'!G440&lt;&gt;""), _xlfn.WEBSERVICE("https://photon.komoot.io/api/?limit=1&amp;lang=en&amp;q="&amp;'General Information'!K440), "")</f>
        <v/>
      </c>
      <c r="E40" s="605" t="str">
        <f t="shared" si="0"/>
        <v/>
      </c>
      <c r="F40" s="236" t="str">
        <f t="shared" si="1"/>
        <v/>
      </c>
      <c r="G40" t="str">
        <f xml:space="preserve"> IF(AND('General Information'!$H$401=TRUE, 'General Information'!D440&lt;&gt;"", 'General Information'!E440&lt;&gt;"", 'General Information'!F440&lt;&gt;"", 'General Information'!G440&lt;&gt;""), E40 &amp; "," &amp; F40, "-")</f>
        <v>-</v>
      </c>
    </row>
    <row r="41" spans="4:7">
      <c r="D41" s="235" t="str">
        <f>IF(AND('General Information'!$H$401=TRUE, 'General Information'!D441&lt;&gt;"", 'General Information'!E441&lt;&gt;"", 'General Information'!F441&lt;&gt;"", 'General Information'!G441&lt;&gt;""), _xlfn.WEBSERVICE("https://photon.komoot.io/api/?limit=1&amp;lang=en&amp;q="&amp;'General Information'!K441), "")</f>
        <v/>
      </c>
      <c r="E41" s="605" t="str">
        <f t="shared" si="0"/>
        <v/>
      </c>
      <c r="F41" s="236" t="str">
        <f t="shared" si="1"/>
        <v/>
      </c>
      <c r="G41" t="str">
        <f xml:space="preserve"> IF(AND('General Information'!$H$401=TRUE, 'General Information'!D441&lt;&gt;"", 'General Information'!E441&lt;&gt;"", 'General Information'!F441&lt;&gt;"", 'General Information'!G441&lt;&gt;""), E41 &amp; "," &amp; F41, "-")</f>
        <v>-</v>
      </c>
    </row>
    <row r="42" spans="4:7">
      <c r="D42" s="235" t="str">
        <f>IF(AND('General Information'!$H$401=TRUE, 'General Information'!D442&lt;&gt;"", 'General Information'!E442&lt;&gt;"", 'General Information'!F442&lt;&gt;"", 'General Information'!G442&lt;&gt;""), _xlfn.WEBSERVICE("https://photon.komoot.io/api/?limit=1&amp;lang=en&amp;q="&amp;'General Information'!K442), "")</f>
        <v/>
      </c>
      <c r="E42" s="605" t="str">
        <f t="shared" si="0"/>
        <v/>
      </c>
      <c r="F42" s="236" t="str">
        <f t="shared" si="1"/>
        <v/>
      </c>
      <c r="G42" t="str">
        <f xml:space="preserve"> IF(AND('General Information'!$H$401=TRUE, 'General Information'!D442&lt;&gt;"", 'General Information'!E442&lt;&gt;"", 'General Information'!F442&lt;&gt;"", 'General Information'!G442&lt;&gt;""), E42 &amp; "," &amp; F42, "-")</f>
        <v>-</v>
      </c>
    </row>
    <row r="43" spans="4:7">
      <c r="D43" s="235" t="str">
        <f>IF(AND('General Information'!$H$401=TRUE, 'General Information'!D443&lt;&gt;"", 'General Information'!E443&lt;&gt;"", 'General Information'!F443&lt;&gt;"", 'General Information'!G443&lt;&gt;""), _xlfn.WEBSERVICE("https://photon.komoot.io/api/?limit=1&amp;lang=en&amp;q="&amp;'General Information'!K443), "")</f>
        <v/>
      </c>
      <c r="E43" s="605" t="str">
        <f t="shared" si="0"/>
        <v/>
      </c>
      <c r="F43" s="236" t="str">
        <f t="shared" si="1"/>
        <v/>
      </c>
      <c r="G43" t="str">
        <f xml:space="preserve"> IF(AND('General Information'!$H$401=TRUE, 'General Information'!D443&lt;&gt;"", 'General Information'!E443&lt;&gt;"", 'General Information'!F443&lt;&gt;"", 'General Information'!G443&lt;&gt;""), E43 &amp; "," &amp; F43, "-")</f>
        <v>-</v>
      </c>
    </row>
    <row r="44" spans="4:7">
      <c r="D44" s="235" t="str">
        <f>IF(AND('General Information'!$H$401=TRUE, 'General Information'!D444&lt;&gt;"", 'General Information'!E444&lt;&gt;"", 'General Information'!F444&lt;&gt;"", 'General Information'!G444&lt;&gt;""), _xlfn.WEBSERVICE("https://photon.komoot.io/api/?limit=1&amp;lang=en&amp;q="&amp;'General Information'!K444), "")</f>
        <v/>
      </c>
      <c r="E44" s="605" t="str">
        <f t="shared" si="0"/>
        <v/>
      </c>
      <c r="F44" s="236" t="str">
        <f t="shared" si="1"/>
        <v/>
      </c>
      <c r="G44" t="str">
        <f xml:space="preserve"> IF(AND('General Information'!$H$401=TRUE, 'General Information'!D444&lt;&gt;"", 'General Information'!E444&lt;&gt;"", 'General Information'!F444&lt;&gt;"", 'General Information'!G444&lt;&gt;""), E44 &amp; "," &amp; F44, "-")</f>
        <v>-</v>
      </c>
    </row>
    <row r="45" spans="4:7">
      <c r="D45" s="235" t="str">
        <f>IF(AND('General Information'!$H$401=TRUE, 'General Information'!D445&lt;&gt;"", 'General Information'!E445&lt;&gt;"", 'General Information'!F445&lt;&gt;"", 'General Information'!G445&lt;&gt;""), _xlfn.WEBSERVICE("https://photon.komoot.io/api/?limit=1&amp;lang=en&amp;q="&amp;'General Information'!K445), "")</f>
        <v/>
      </c>
      <c r="E45" s="605" t="str">
        <f t="shared" si="0"/>
        <v/>
      </c>
      <c r="F45" s="236" t="str">
        <f t="shared" si="1"/>
        <v/>
      </c>
      <c r="G45" t="str">
        <f xml:space="preserve"> IF(AND('General Information'!$H$401=TRUE, 'General Information'!D445&lt;&gt;"", 'General Information'!E445&lt;&gt;"", 'General Information'!F445&lt;&gt;"", 'General Information'!G445&lt;&gt;""), E45 &amp; "," &amp; F45, "-")</f>
        <v>-</v>
      </c>
    </row>
    <row r="46" spans="4:7">
      <c r="D46" s="235" t="str">
        <f>IF(AND('General Information'!$H$401=TRUE, 'General Information'!D446&lt;&gt;"", 'General Information'!E446&lt;&gt;"", 'General Information'!F446&lt;&gt;"", 'General Information'!G446&lt;&gt;""), _xlfn.WEBSERVICE("https://photon.komoot.io/api/?limit=1&amp;lang=en&amp;q="&amp;'General Information'!K446), "")</f>
        <v/>
      </c>
      <c r="E46" s="605" t="str">
        <f t="shared" si="0"/>
        <v/>
      </c>
      <c r="F46" s="236" t="str">
        <f t="shared" si="1"/>
        <v/>
      </c>
      <c r="G46" t="str">
        <f xml:space="preserve"> IF(AND('General Information'!$H$401=TRUE, 'General Information'!D446&lt;&gt;"", 'General Information'!E446&lt;&gt;"", 'General Information'!F446&lt;&gt;"", 'General Information'!G446&lt;&gt;""), E46 &amp; "," &amp; F46, "-")</f>
        <v>-</v>
      </c>
    </row>
    <row r="47" spans="4:7">
      <c r="D47" s="235" t="str">
        <f>IF(AND('General Information'!$H$401=TRUE, 'General Information'!D447&lt;&gt;"", 'General Information'!E447&lt;&gt;"", 'General Information'!F447&lt;&gt;"", 'General Information'!G447&lt;&gt;""), _xlfn.WEBSERVICE("https://photon.komoot.io/api/?limit=1&amp;lang=en&amp;q="&amp;'General Information'!K447), "")</f>
        <v/>
      </c>
      <c r="E47" s="605" t="str">
        <f t="shared" si="0"/>
        <v/>
      </c>
      <c r="F47" s="236" t="str">
        <f t="shared" si="1"/>
        <v/>
      </c>
      <c r="G47" t="str">
        <f xml:space="preserve"> IF(AND('General Information'!$H$401=TRUE, 'General Information'!D447&lt;&gt;"", 'General Information'!E447&lt;&gt;"", 'General Information'!F447&lt;&gt;"", 'General Information'!G447&lt;&gt;""), E47 &amp; "," &amp; F47, "-")</f>
        <v>-</v>
      </c>
    </row>
    <row r="48" spans="4:7">
      <c r="D48" s="235" t="str">
        <f>IF(AND('General Information'!$H$401=TRUE, 'General Information'!D448&lt;&gt;"", 'General Information'!E448&lt;&gt;"", 'General Information'!F448&lt;&gt;"", 'General Information'!G448&lt;&gt;""), _xlfn.WEBSERVICE("https://photon.komoot.io/api/?limit=1&amp;lang=en&amp;q="&amp;'General Information'!K448), "")</f>
        <v/>
      </c>
      <c r="E48" s="605" t="str">
        <f t="shared" si="0"/>
        <v/>
      </c>
      <c r="F48" s="236" t="str">
        <f t="shared" si="1"/>
        <v/>
      </c>
      <c r="G48" t="str">
        <f xml:space="preserve"> IF(AND('General Information'!$H$401=TRUE, 'General Information'!D448&lt;&gt;"", 'General Information'!E448&lt;&gt;"", 'General Information'!F448&lt;&gt;"", 'General Information'!G448&lt;&gt;""), E48 &amp; "," &amp; F48, "-")</f>
        <v>-</v>
      </c>
    </row>
    <row r="49" spans="4:7">
      <c r="D49" s="235" t="str">
        <f>IF(AND('General Information'!$H$401=TRUE, 'General Information'!D449&lt;&gt;"", 'General Information'!E449&lt;&gt;"", 'General Information'!F449&lt;&gt;"", 'General Information'!G449&lt;&gt;""), _xlfn.WEBSERVICE("https://photon.komoot.io/api/?limit=1&amp;lang=en&amp;q="&amp;'General Information'!K449), "")</f>
        <v/>
      </c>
      <c r="E49" s="605" t="str">
        <f t="shared" si="0"/>
        <v/>
      </c>
      <c r="F49" s="236" t="str">
        <f t="shared" si="1"/>
        <v/>
      </c>
      <c r="G49" t="str">
        <f xml:space="preserve"> IF(AND('General Information'!$H$401=TRUE, 'General Information'!D449&lt;&gt;"", 'General Information'!E449&lt;&gt;"", 'General Information'!F449&lt;&gt;"", 'General Information'!G449&lt;&gt;""), E49 &amp; "," &amp; F49, "-")</f>
        <v>-</v>
      </c>
    </row>
    <row r="50" spans="4:7">
      <c r="D50" s="235" t="str">
        <f>IF(AND('General Information'!$H$401=TRUE, 'General Information'!D450&lt;&gt;"", 'General Information'!E450&lt;&gt;"", 'General Information'!F450&lt;&gt;"", 'General Information'!G450&lt;&gt;""), _xlfn.WEBSERVICE("https://photon.komoot.io/api/?limit=1&amp;lang=en&amp;q="&amp;'General Information'!K450), "")</f>
        <v/>
      </c>
      <c r="E50" s="605" t="str">
        <f t="shared" si="0"/>
        <v/>
      </c>
      <c r="F50" s="236" t="str">
        <f t="shared" si="1"/>
        <v/>
      </c>
      <c r="G50" t="str">
        <f xml:space="preserve"> IF(AND('General Information'!$H$401=TRUE, 'General Information'!D450&lt;&gt;"", 'General Information'!E450&lt;&gt;"", 'General Information'!F450&lt;&gt;"", 'General Information'!G450&lt;&gt;""), E50 &amp; "," &amp; F50, "-")</f>
        <v>-</v>
      </c>
    </row>
    <row r="51" spans="4:7">
      <c r="D51" s="235" t="str">
        <f>IF(AND('General Information'!$H$401=TRUE, 'General Information'!D451&lt;&gt;"", 'General Information'!E451&lt;&gt;"", 'General Information'!F451&lt;&gt;"", 'General Information'!G451&lt;&gt;""), _xlfn.WEBSERVICE("https://photon.komoot.io/api/?limit=1&amp;lang=en&amp;q="&amp;'General Information'!K451), "")</f>
        <v/>
      </c>
      <c r="E51" s="605" t="str">
        <f t="shared" si="0"/>
        <v/>
      </c>
      <c r="F51" s="236" t="str">
        <f t="shared" si="1"/>
        <v/>
      </c>
      <c r="G51" t="str">
        <f xml:space="preserve"> IF(AND('General Information'!$H$401=TRUE, 'General Information'!D451&lt;&gt;"", 'General Information'!E451&lt;&gt;"", 'General Information'!F451&lt;&gt;"", 'General Information'!G451&lt;&gt;""), E51 &amp; "," &amp; F51, "-")</f>
        <v>-</v>
      </c>
    </row>
    <row r="52" spans="4:7">
      <c r="D52" s="235" t="str">
        <f>IF(AND('General Information'!$H$401=TRUE, 'General Information'!D452&lt;&gt;"", 'General Information'!E452&lt;&gt;"", 'General Information'!F452&lt;&gt;"", 'General Information'!G452&lt;&gt;""), _xlfn.WEBSERVICE("https://photon.komoot.io/api/?limit=1&amp;lang=en&amp;q="&amp;'General Information'!K452), "")</f>
        <v/>
      </c>
      <c r="E52" s="605" t="str">
        <f t="shared" si="0"/>
        <v/>
      </c>
      <c r="F52" s="236" t="str">
        <f t="shared" si="1"/>
        <v/>
      </c>
      <c r="G52" t="str">
        <f xml:space="preserve"> IF(AND('General Information'!$H$401=TRUE, 'General Information'!D452&lt;&gt;"", 'General Information'!E452&lt;&gt;"", 'General Information'!F452&lt;&gt;"", 'General Information'!G452&lt;&gt;""), E52 &amp; "," &amp; F52, "-")</f>
        <v>-</v>
      </c>
    </row>
    <row r="53" spans="4:7">
      <c r="D53" s="235" t="str">
        <f>IF(AND('General Information'!$H$401=TRUE, 'General Information'!D453&lt;&gt;"", 'General Information'!E453&lt;&gt;"", 'General Information'!F453&lt;&gt;"", 'General Information'!G453&lt;&gt;""), _xlfn.WEBSERVICE("https://photon.komoot.io/api/?limit=1&amp;lang=en&amp;q="&amp;'General Information'!K453), "")</f>
        <v/>
      </c>
      <c r="E53" s="605" t="str">
        <f t="shared" si="0"/>
        <v/>
      </c>
      <c r="F53" s="236" t="str">
        <f t="shared" si="1"/>
        <v/>
      </c>
      <c r="G53" t="str">
        <f xml:space="preserve"> IF(AND('General Information'!$H$401=TRUE, 'General Information'!D453&lt;&gt;"", 'General Information'!E453&lt;&gt;"", 'General Information'!F453&lt;&gt;"", 'General Information'!G453&lt;&gt;""), E53 &amp; "," &amp; F53, "-")</f>
        <v>-</v>
      </c>
    </row>
    <row r="54" spans="4:7">
      <c r="D54" s="235" t="str">
        <f>IF(AND('General Information'!$H$401=TRUE, 'General Information'!D454&lt;&gt;"", 'General Information'!E454&lt;&gt;"", 'General Information'!F454&lt;&gt;"", 'General Information'!G454&lt;&gt;""), _xlfn.WEBSERVICE("https://photon.komoot.io/api/?limit=1&amp;lang=en&amp;q="&amp;'General Information'!K454), "")</f>
        <v/>
      </c>
      <c r="E54" s="605" t="str">
        <f t="shared" si="0"/>
        <v/>
      </c>
      <c r="F54" s="236" t="str">
        <f t="shared" si="1"/>
        <v/>
      </c>
      <c r="G54" t="str">
        <f xml:space="preserve"> IF(AND('General Information'!$H$401=TRUE, 'General Information'!D454&lt;&gt;"", 'General Information'!E454&lt;&gt;"", 'General Information'!F454&lt;&gt;"", 'General Information'!G454&lt;&gt;""), E54 &amp; "," &amp; F54, "-")</f>
        <v>-</v>
      </c>
    </row>
    <row r="55" spans="4:7">
      <c r="D55" s="235" t="str">
        <f>IF(AND('General Information'!$H$401=TRUE, 'General Information'!D455&lt;&gt;"", 'General Information'!E455&lt;&gt;"", 'General Information'!F455&lt;&gt;"", 'General Information'!G455&lt;&gt;""), _xlfn.WEBSERVICE("https://photon.komoot.io/api/?limit=1&amp;lang=en&amp;q="&amp;'General Information'!K455), "")</f>
        <v/>
      </c>
      <c r="E55" s="605" t="str">
        <f t="shared" si="0"/>
        <v/>
      </c>
      <c r="F55" s="236" t="str">
        <f t="shared" si="1"/>
        <v/>
      </c>
      <c r="G55" t="str">
        <f xml:space="preserve"> IF(AND('General Information'!$H$401=TRUE, 'General Information'!D455&lt;&gt;"", 'General Information'!E455&lt;&gt;"", 'General Information'!F455&lt;&gt;"", 'General Information'!G455&lt;&gt;""), E55 &amp; "," &amp; F55, "-")</f>
        <v>-</v>
      </c>
    </row>
    <row r="56" spans="4:7">
      <c r="D56" s="235" t="str">
        <f>IF(AND('General Information'!$H$401=TRUE, 'General Information'!D456&lt;&gt;"", 'General Information'!E456&lt;&gt;"", 'General Information'!F456&lt;&gt;"", 'General Information'!G456&lt;&gt;""), _xlfn.WEBSERVICE("https://photon.komoot.io/api/?limit=1&amp;lang=en&amp;q="&amp;'General Information'!K456), "")</f>
        <v/>
      </c>
      <c r="E56" s="605" t="str">
        <f t="shared" si="0"/>
        <v/>
      </c>
      <c r="F56" s="236" t="str">
        <f t="shared" si="1"/>
        <v/>
      </c>
      <c r="G56" t="str">
        <f xml:space="preserve"> IF(AND('General Information'!$H$401=TRUE, 'General Information'!D456&lt;&gt;"", 'General Information'!E456&lt;&gt;"", 'General Information'!F456&lt;&gt;"", 'General Information'!G456&lt;&gt;""), E56 &amp; "," &amp; F56, "-")</f>
        <v>-</v>
      </c>
    </row>
    <row r="57" spans="4:7">
      <c r="D57" s="235" t="str">
        <f>IF(AND('General Information'!$H$401=TRUE, 'General Information'!D457&lt;&gt;"", 'General Information'!E457&lt;&gt;"", 'General Information'!F457&lt;&gt;"", 'General Information'!G457&lt;&gt;""), _xlfn.WEBSERVICE("https://photon.komoot.io/api/?limit=1&amp;lang=en&amp;q="&amp;'General Information'!K457), "")</f>
        <v/>
      </c>
      <c r="E57" s="605" t="str">
        <f t="shared" si="0"/>
        <v/>
      </c>
      <c r="F57" s="236" t="str">
        <f t="shared" si="1"/>
        <v/>
      </c>
      <c r="G57" t="str">
        <f xml:space="preserve"> IF(AND('General Information'!$H$401=TRUE, 'General Information'!D457&lt;&gt;"", 'General Information'!E457&lt;&gt;"", 'General Information'!F457&lt;&gt;"", 'General Information'!G457&lt;&gt;""), E57 &amp; "," &amp; F57, "-")</f>
        <v>-</v>
      </c>
    </row>
    <row r="58" spans="4:7">
      <c r="D58" s="235" t="str">
        <f>IF(AND('General Information'!$H$401=TRUE, 'General Information'!D458&lt;&gt;"", 'General Information'!E458&lt;&gt;"", 'General Information'!F458&lt;&gt;"", 'General Information'!G458&lt;&gt;""), _xlfn.WEBSERVICE("https://photon.komoot.io/api/?limit=1&amp;lang=en&amp;q="&amp;'General Information'!K458), "")</f>
        <v/>
      </c>
      <c r="E58" s="605" t="str">
        <f t="shared" si="0"/>
        <v/>
      </c>
      <c r="F58" s="236" t="str">
        <f t="shared" si="1"/>
        <v/>
      </c>
      <c r="G58" t="str">
        <f xml:space="preserve"> IF(AND('General Information'!$H$401=TRUE, 'General Information'!D458&lt;&gt;"", 'General Information'!E458&lt;&gt;"", 'General Information'!F458&lt;&gt;"", 'General Information'!G458&lt;&gt;""), E58 &amp; "," &amp; F58, "-")</f>
        <v>-</v>
      </c>
    </row>
    <row r="59" spans="4:7">
      <c r="D59" s="235" t="str">
        <f>IF(AND('General Information'!$H$401=TRUE, 'General Information'!D459&lt;&gt;"", 'General Information'!E459&lt;&gt;"", 'General Information'!F459&lt;&gt;"", 'General Information'!G459&lt;&gt;""), _xlfn.WEBSERVICE("https://photon.komoot.io/api/?limit=1&amp;lang=en&amp;q="&amp;'General Information'!K459), "")</f>
        <v/>
      </c>
      <c r="E59" s="605" t="str">
        <f t="shared" si="0"/>
        <v/>
      </c>
      <c r="F59" s="236" t="str">
        <f t="shared" si="1"/>
        <v/>
      </c>
      <c r="G59" t="str">
        <f xml:space="preserve"> IF(AND('General Information'!$H$401=TRUE, 'General Information'!D459&lt;&gt;"", 'General Information'!E459&lt;&gt;"", 'General Information'!F459&lt;&gt;"", 'General Information'!G459&lt;&gt;""), E59 &amp; "," &amp; F59, "-")</f>
        <v>-</v>
      </c>
    </row>
    <row r="60" spans="4:7">
      <c r="D60" s="235" t="str">
        <f>IF(AND('General Information'!$H$401=TRUE, 'General Information'!D460&lt;&gt;"", 'General Information'!E460&lt;&gt;"", 'General Information'!F460&lt;&gt;"", 'General Information'!G460&lt;&gt;""), _xlfn.WEBSERVICE("https://photon.komoot.io/api/?limit=1&amp;lang=en&amp;q="&amp;'General Information'!K460), "")</f>
        <v/>
      </c>
      <c r="E60" s="605" t="str">
        <f t="shared" si="0"/>
        <v/>
      </c>
      <c r="F60" s="236" t="str">
        <f t="shared" si="1"/>
        <v/>
      </c>
      <c r="G60" t="str">
        <f xml:space="preserve"> IF(AND('General Information'!$H$401=TRUE, 'General Information'!D460&lt;&gt;"", 'General Information'!E460&lt;&gt;"", 'General Information'!F460&lt;&gt;"", 'General Information'!G460&lt;&gt;""), E60 &amp; "," &amp; F60, "-")</f>
        <v>-</v>
      </c>
    </row>
    <row r="61" spans="4:7">
      <c r="D61" s="235" t="str">
        <f>IF(AND('General Information'!$H$401=TRUE, 'General Information'!D461&lt;&gt;"", 'General Information'!E461&lt;&gt;"", 'General Information'!F461&lt;&gt;"", 'General Information'!G461&lt;&gt;""), _xlfn.WEBSERVICE("https://photon.komoot.io/api/?limit=1&amp;lang=en&amp;q="&amp;'General Information'!K461), "")</f>
        <v/>
      </c>
      <c r="E61" s="605" t="str">
        <f t="shared" si="0"/>
        <v/>
      </c>
      <c r="F61" s="236" t="str">
        <f t="shared" si="1"/>
        <v/>
      </c>
      <c r="G61" t="str">
        <f xml:space="preserve"> IF(AND('General Information'!$H$401=TRUE, 'General Information'!D461&lt;&gt;"", 'General Information'!E461&lt;&gt;"", 'General Information'!F461&lt;&gt;"", 'General Information'!G461&lt;&gt;""), E61 &amp; "," &amp; F61, "-")</f>
        <v>-</v>
      </c>
    </row>
    <row r="62" spans="4:7">
      <c r="D62" s="235" t="str">
        <f>IF(AND('General Information'!$H$401=TRUE, 'General Information'!D462&lt;&gt;"", 'General Information'!E462&lt;&gt;"", 'General Information'!F462&lt;&gt;"", 'General Information'!G462&lt;&gt;""), _xlfn.WEBSERVICE("https://photon.komoot.io/api/?limit=1&amp;lang=en&amp;q="&amp;'General Information'!K462), "")</f>
        <v/>
      </c>
      <c r="E62" s="605" t="str">
        <f t="shared" si="0"/>
        <v/>
      </c>
      <c r="F62" s="236" t="str">
        <f t="shared" si="1"/>
        <v/>
      </c>
      <c r="G62" t="str">
        <f xml:space="preserve"> IF(AND('General Information'!$H$401=TRUE, 'General Information'!D462&lt;&gt;"", 'General Information'!E462&lt;&gt;"", 'General Information'!F462&lt;&gt;"", 'General Information'!G462&lt;&gt;""), E62 &amp; "," &amp; F62, "-")</f>
        <v>-</v>
      </c>
    </row>
    <row r="63" spans="4:7">
      <c r="D63" s="235" t="str">
        <f>IF(AND('General Information'!$H$401=TRUE, 'General Information'!D463&lt;&gt;"", 'General Information'!E463&lt;&gt;"", 'General Information'!F463&lt;&gt;"", 'General Information'!G463&lt;&gt;""), _xlfn.WEBSERVICE("https://photon.komoot.io/api/?limit=1&amp;lang=en&amp;q="&amp;'General Information'!K463), "")</f>
        <v/>
      </c>
      <c r="E63" s="605" t="str">
        <f t="shared" si="0"/>
        <v/>
      </c>
      <c r="F63" s="236" t="str">
        <f t="shared" si="1"/>
        <v/>
      </c>
      <c r="G63" t="str">
        <f xml:space="preserve"> IF(AND('General Information'!$H$401=TRUE, 'General Information'!D463&lt;&gt;"", 'General Information'!E463&lt;&gt;"", 'General Information'!F463&lt;&gt;"", 'General Information'!G463&lt;&gt;""), E63 &amp; "," &amp; F63, "-")</f>
        <v>-</v>
      </c>
    </row>
    <row r="64" spans="4:7">
      <c r="D64" s="235" t="str">
        <f>IF(AND('General Information'!$H$401=TRUE, 'General Information'!D464&lt;&gt;"", 'General Information'!E464&lt;&gt;"", 'General Information'!F464&lt;&gt;"", 'General Information'!G464&lt;&gt;""), _xlfn.WEBSERVICE("https://photon.komoot.io/api/?limit=1&amp;lang=en&amp;q="&amp;'General Information'!K464), "")</f>
        <v/>
      </c>
      <c r="E64" s="605" t="str">
        <f t="shared" si="0"/>
        <v/>
      </c>
      <c r="F64" s="236" t="str">
        <f t="shared" si="1"/>
        <v/>
      </c>
      <c r="G64" t="str">
        <f xml:space="preserve"> IF(AND('General Information'!$H$401=TRUE, 'General Information'!D464&lt;&gt;"", 'General Information'!E464&lt;&gt;"", 'General Information'!F464&lt;&gt;"", 'General Information'!G464&lt;&gt;""), E64 &amp; "," &amp; F64, "-")</f>
        <v>-</v>
      </c>
    </row>
    <row r="65" spans="4:7">
      <c r="D65" s="235" t="str">
        <f>IF(AND('General Information'!$H$401=TRUE, 'General Information'!D465&lt;&gt;"", 'General Information'!E465&lt;&gt;"", 'General Information'!F465&lt;&gt;"", 'General Information'!G465&lt;&gt;""), _xlfn.WEBSERVICE("https://photon.komoot.io/api/?limit=1&amp;lang=en&amp;q="&amp;'General Information'!K465), "")</f>
        <v/>
      </c>
      <c r="E65" s="605" t="str">
        <f t="shared" si="0"/>
        <v/>
      </c>
      <c r="F65" s="236" t="str">
        <f t="shared" si="1"/>
        <v/>
      </c>
      <c r="G65" t="str">
        <f xml:space="preserve"> IF(AND('General Information'!$H$401=TRUE, 'General Information'!D465&lt;&gt;"", 'General Information'!E465&lt;&gt;"", 'General Information'!F465&lt;&gt;"", 'General Information'!G465&lt;&gt;""), E65 &amp; "," &amp; F65, "-")</f>
        <v>-</v>
      </c>
    </row>
    <row r="66" spans="4:7">
      <c r="D66" s="235" t="str">
        <f>IF(AND('General Information'!$H$401=TRUE, 'General Information'!D466&lt;&gt;"", 'General Information'!E466&lt;&gt;"", 'General Information'!F466&lt;&gt;"", 'General Information'!G466&lt;&gt;""), _xlfn.WEBSERVICE("https://photon.komoot.io/api/?limit=1&amp;lang=en&amp;q="&amp;'General Information'!K466), "")</f>
        <v/>
      </c>
      <c r="E66" s="605" t="str">
        <f t="shared" si="0"/>
        <v/>
      </c>
      <c r="F66" s="236" t="str">
        <f t="shared" si="1"/>
        <v/>
      </c>
      <c r="G66" t="str">
        <f xml:space="preserve"> IF(AND('General Information'!$H$401=TRUE, 'General Information'!D466&lt;&gt;"", 'General Information'!E466&lt;&gt;"", 'General Information'!F466&lt;&gt;"", 'General Information'!G466&lt;&gt;""), E66 &amp; "," &amp; F66, "-")</f>
        <v>-</v>
      </c>
    </row>
    <row r="67" spans="4:7">
      <c r="D67" s="235" t="str">
        <f>IF(AND('General Information'!$H$401=TRUE, 'General Information'!D467&lt;&gt;"", 'General Information'!E467&lt;&gt;"", 'General Information'!F467&lt;&gt;"", 'General Information'!G467&lt;&gt;""), _xlfn.WEBSERVICE("https://photon.komoot.io/api/?limit=1&amp;lang=en&amp;q="&amp;'General Information'!K467), "")</f>
        <v/>
      </c>
      <c r="E67" s="605" t="str">
        <f t="shared" ref="E67:E103" si="2">IFERROR(TRIM(_xlfn.TEXTBEFORE(_xlfn.TEXTAFTER(_xlfn.TEXTAFTER(D67,"""coordinates"":"),","),"]")),"")</f>
        <v/>
      </c>
      <c r="F67" s="236" t="str">
        <f t="shared" ref="F67:F103" si="3">IFERROR(TRIM(_xlfn.TEXTBEFORE(_xlfn.TEXTAFTER(_xlfn.TEXTAFTER(D67,"""coordinates"":"),"["),",")),"")</f>
        <v/>
      </c>
      <c r="G67" t="str">
        <f xml:space="preserve"> IF(AND('General Information'!$H$401=TRUE, 'General Information'!D467&lt;&gt;"", 'General Information'!E467&lt;&gt;"", 'General Information'!F467&lt;&gt;"", 'General Information'!G467&lt;&gt;""), E67 &amp; "," &amp; F67, "-")</f>
        <v>-</v>
      </c>
    </row>
    <row r="68" spans="4:7">
      <c r="D68" s="235" t="str">
        <f>IF(AND('General Information'!$H$401=TRUE, 'General Information'!D468&lt;&gt;"", 'General Information'!E468&lt;&gt;"", 'General Information'!F468&lt;&gt;"", 'General Information'!G468&lt;&gt;""), _xlfn.WEBSERVICE("https://photon.komoot.io/api/?limit=1&amp;lang=en&amp;q="&amp;'General Information'!K468), "")</f>
        <v/>
      </c>
      <c r="E68" s="605" t="str">
        <f t="shared" si="2"/>
        <v/>
      </c>
      <c r="F68" s="236" t="str">
        <f t="shared" si="3"/>
        <v/>
      </c>
      <c r="G68" t="str">
        <f xml:space="preserve"> IF(AND('General Information'!$H$401=TRUE, 'General Information'!D468&lt;&gt;"", 'General Information'!E468&lt;&gt;"", 'General Information'!F468&lt;&gt;"", 'General Information'!G468&lt;&gt;""), E68 &amp; "," &amp; F68, "-")</f>
        <v>-</v>
      </c>
    </row>
    <row r="69" spans="4:7">
      <c r="D69" s="235" t="str">
        <f>IF(AND('General Information'!$H$401=TRUE, 'General Information'!D469&lt;&gt;"", 'General Information'!E469&lt;&gt;"", 'General Information'!F469&lt;&gt;"", 'General Information'!G469&lt;&gt;""), _xlfn.WEBSERVICE("https://photon.komoot.io/api/?limit=1&amp;lang=en&amp;q="&amp;'General Information'!K469), "")</f>
        <v/>
      </c>
      <c r="E69" s="605" t="str">
        <f t="shared" si="2"/>
        <v/>
      </c>
      <c r="F69" s="236" t="str">
        <f t="shared" si="3"/>
        <v/>
      </c>
      <c r="G69" t="str">
        <f xml:space="preserve"> IF(AND('General Information'!$H$401=TRUE, 'General Information'!D469&lt;&gt;"", 'General Information'!E469&lt;&gt;"", 'General Information'!F469&lt;&gt;"", 'General Information'!G469&lt;&gt;""), E69 &amp; "," &amp; F69, "-")</f>
        <v>-</v>
      </c>
    </row>
    <row r="70" spans="4:7">
      <c r="D70" s="235" t="str">
        <f>IF(AND('General Information'!$H$401=TRUE, 'General Information'!D470&lt;&gt;"", 'General Information'!E470&lt;&gt;"", 'General Information'!F470&lt;&gt;"", 'General Information'!G470&lt;&gt;""), _xlfn.WEBSERVICE("https://photon.komoot.io/api/?limit=1&amp;lang=en&amp;q="&amp;'General Information'!K470), "")</f>
        <v/>
      </c>
      <c r="E70" s="605" t="str">
        <f t="shared" si="2"/>
        <v/>
      </c>
      <c r="F70" s="236" t="str">
        <f t="shared" si="3"/>
        <v/>
      </c>
      <c r="G70" t="str">
        <f xml:space="preserve"> IF(AND('General Information'!$H$401=TRUE, 'General Information'!D470&lt;&gt;"", 'General Information'!E470&lt;&gt;"", 'General Information'!F470&lt;&gt;"", 'General Information'!G470&lt;&gt;""), E70 &amp; "," &amp; F70, "-")</f>
        <v>-</v>
      </c>
    </row>
    <row r="71" spans="4:7">
      <c r="D71" s="235" t="str">
        <f>IF(AND('General Information'!$H$401=TRUE, 'General Information'!D471&lt;&gt;"", 'General Information'!E471&lt;&gt;"", 'General Information'!F471&lt;&gt;"", 'General Information'!G471&lt;&gt;""), _xlfn.WEBSERVICE("https://photon.komoot.io/api/?limit=1&amp;lang=en&amp;q="&amp;'General Information'!K471), "")</f>
        <v/>
      </c>
      <c r="E71" s="605" t="str">
        <f t="shared" si="2"/>
        <v/>
      </c>
      <c r="F71" s="236" t="str">
        <f t="shared" si="3"/>
        <v/>
      </c>
      <c r="G71" t="str">
        <f xml:space="preserve"> IF(AND('General Information'!$H$401=TRUE, 'General Information'!D471&lt;&gt;"", 'General Information'!E471&lt;&gt;"", 'General Information'!F471&lt;&gt;"", 'General Information'!G471&lt;&gt;""), E71 &amp; "," &amp; F71, "-")</f>
        <v>-</v>
      </c>
    </row>
    <row r="72" spans="4:7">
      <c r="D72" s="235" t="str">
        <f>IF(AND('General Information'!$H$401=TRUE, 'General Information'!D472&lt;&gt;"", 'General Information'!E472&lt;&gt;"", 'General Information'!F472&lt;&gt;"", 'General Information'!G472&lt;&gt;""), _xlfn.WEBSERVICE("https://photon.komoot.io/api/?limit=1&amp;lang=en&amp;q="&amp;'General Information'!K472), "")</f>
        <v/>
      </c>
      <c r="E72" s="605" t="str">
        <f t="shared" si="2"/>
        <v/>
      </c>
      <c r="F72" s="236" t="str">
        <f t="shared" si="3"/>
        <v/>
      </c>
      <c r="G72" t="str">
        <f xml:space="preserve"> IF(AND('General Information'!$H$401=TRUE, 'General Information'!D472&lt;&gt;"", 'General Information'!E472&lt;&gt;"", 'General Information'!F472&lt;&gt;"", 'General Information'!G472&lt;&gt;""), E72 &amp; "," &amp; F72, "-")</f>
        <v>-</v>
      </c>
    </row>
    <row r="73" spans="4:7">
      <c r="D73" s="235" t="str">
        <f>IF(AND('General Information'!$H$401=TRUE, 'General Information'!D473&lt;&gt;"", 'General Information'!E473&lt;&gt;"", 'General Information'!F473&lt;&gt;"", 'General Information'!G473&lt;&gt;""), _xlfn.WEBSERVICE("https://photon.komoot.io/api/?limit=1&amp;lang=en&amp;q="&amp;'General Information'!K473), "")</f>
        <v/>
      </c>
      <c r="E73" s="605" t="str">
        <f t="shared" si="2"/>
        <v/>
      </c>
      <c r="F73" s="236" t="str">
        <f t="shared" si="3"/>
        <v/>
      </c>
      <c r="G73" t="str">
        <f xml:space="preserve"> IF(AND('General Information'!$H$401=TRUE, 'General Information'!D473&lt;&gt;"", 'General Information'!E473&lt;&gt;"", 'General Information'!F473&lt;&gt;"", 'General Information'!G473&lt;&gt;""), E73 &amp; "," &amp; F73, "-")</f>
        <v>-</v>
      </c>
    </row>
    <row r="74" spans="4:7">
      <c r="D74" s="235" t="str">
        <f>IF(AND('General Information'!$H$401=TRUE, 'General Information'!D474&lt;&gt;"", 'General Information'!E474&lt;&gt;"", 'General Information'!F474&lt;&gt;"", 'General Information'!G474&lt;&gt;""), _xlfn.WEBSERVICE("https://photon.komoot.io/api/?limit=1&amp;lang=en&amp;q="&amp;'General Information'!K474), "")</f>
        <v/>
      </c>
      <c r="E74" s="605" t="str">
        <f t="shared" si="2"/>
        <v/>
      </c>
      <c r="F74" s="236" t="str">
        <f t="shared" si="3"/>
        <v/>
      </c>
      <c r="G74" t="str">
        <f xml:space="preserve"> IF(AND('General Information'!$H$401=TRUE, 'General Information'!D474&lt;&gt;"", 'General Information'!E474&lt;&gt;"", 'General Information'!F474&lt;&gt;"", 'General Information'!G474&lt;&gt;""), E74 &amp; "," &amp; F74, "-")</f>
        <v>-</v>
      </c>
    </row>
    <row r="75" spans="4:7">
      <c r="D75" s="235" t="str">
        <f>IF(AND('General Information'!$H$401=TRUE, 'General Information'!D475&lt;&gt;"", 'General Information'!E475&lt;&gt;"", 'General Information'!F475&lt;&gt;"", 'General Information'!G475&lt;&gt;""), _xlfn.WEBSERVICE("https://photon.komoot.io/api/?limit=1&amp;lang=en&amp;q="&amp;'General Information'!K475), "")</f>
        <v/>
      </c>
      <c r="E75" s="605" t="str">
        <f t="shared" si="2"/>
        <v/>
      </c>
      <c r="F75" s="236" t="str">
        <f t="shared" si="3"/>
        <v/>
      </c>
      <c r="G75" t="str">
        <f xml:space="preserve"> IF(AND('General Information'!$H$401=TRUE, 'General Information'!D475&lt;&gt;"", 'General Information'!E475&lt;&gt;"", 'General Information'!F475&lt;&gt;"", 'General Information'!G475&lt;&gt;""), E75 &amp; "," &amp; F75, "-")</f>
        <v>-</v>
      </c>
    </row>
    <row r="76" spans="4:7">
      <c r="D76" s="235" t="str">
        <f>IF(AND('General Information'!$H$401=TRUE, 'General Information'!D476&lt;&gt;"", 'General Information'!E476&lt;&gt;"", 'General Information'!F476&lt;&gt;"", 'General Information'!G476&lt;&gt;""), _xlfn.WEBSERVICE("https://photon.komoot.io/api/?limit=1&amp;lang=en&amp;q="&amp;'General Information'!K476), "")</f>
        <v/>
      </c>
      <c r="E76" s="605" t="str">
        <f t="shared" si="2"/>
        <v/>
      </c>
      <c r="F76" s="236" t="str">
        <f t="shared" si="3"/>
        <v/>
      </c>
      <c r="G76" t="str">
        <f xml:space="preserve"> IF(AND('General Information'!$H$401=TRUE, 'General Information'!D476&lt;&gt;"", 'General Information'!E476&lt;&gt;"", 'General Information'!F476&lt;&gt;"", 'General Information'!G476&lt;&gt;""), E76 &amp; "," &amp; F76, "-")</f>
        <v>-</v>
      </c>
    </row>
    <row r="77" spans="4:7">
      <c r="D77" s="235" t="str">
        <f>IF(AND('General Information'!$H$401=TRUE, 'General Information'!D477&lt;&gt;"", 'General Information'!E477&lt;&gt;"", 'General Information'!F477&lt;&gt;"", 'General Information'!G477&lt;&gt;""), _xlfn.WEBSERVICE("https://photon.komoot.io/api/?limit=1&amp;lang=en&amp;q="&amp;'General Information'!K477), "")</f>
        <v/>
      </c>
      <c r="E77" s="605" t="str">
        <f t="shared" si="2"/>
        <v/>
      </c>
      <c r="F77" s="236" t="str">
        <f t="shared" si="3"/>
        <v/>
      </c>
      <c r="G77" t="str">
        <f xml:space="preserve"> IF(AND('General Information'!$H$401=TRUE, 'General Information'!D477&lt;&gt;"", 'General Information'!E477&lt;&gt;"", 'General Information'!F477&lt;&gt;"", 'General Information'!G477&lt;&gt;""), E77 &amp; "," &amp; F77, "-")</f>
        <v>-</v>
      </c>
    </row>
    <row r="78" spans="4:7">
      <c r="D78" s="235" t="str">
        <f>IF(AND('General Information'!$H$401=TRUE, 'General Information'!D478&lt;&gt;"", 'General Information'!E478&lt;&gt;"", 'General Information'!F478&lt;&gt;"", 'General Information'!G478&lt;&gt;""), _xlfn.WEBSERVICE("https://photon.komoot.io/api/?limit=1&amp;lang=en&amp;q="&amp;'General Information'!K478), "")</f>
        <v/>
      </c>
      <c r="E78" s="605" t="str">
        <f t="shared" si="2"/>
        <v/>
      </c>
      <c r="F78" s="236" t="str">
        <f t="shared" si="3"/>
        <v/>
      </c>
      <c r="G78" t="str">
        <f xml:space="preserve"> IF(AND('General Information'!$H$401=TRUE, 'General Information'!D478&lt;&gt;"", 'General Information'!E478&lt;&gt;"", 'General Information'!F478&lt;&gt;"", 'General Information'!G478&lt;&gt;""), E78 &amp; "," &amp; F78, "-")</f>
        <v>-</v>
      </c>
    </row>
    <row r="79" spans="4:7">
      <c r="D79" s="235" t="str">
        <f>IF(AND('General Information'!$H$401=TRUE, 'General Information'!D479&lt;&gt;"", 'General Information'!E479&lt;&gt;"", 'General Information'!F479&lt;&gt;"", 'General Information'!G479&lt;&gt;""), _xlfn.WEBSERVICE("https://photon.komoot.io/api/?limit=1&amp;lang=en&amp;q="&amp;'General Information'!K479), "")</f>
        <v/>
      </c>
      <c r="E79" s="605" t="str">
        <f t="shared" si="2"/>
        <v/>
      </c>
      <c r="F79" s="236" t="str">
        <f t="shared" si="3"/>
        <v/>
      </c>
      <c r="G79" t="str">
        <f xml:space="preserve"> IF(AND('General Information'!$H$401=TRUE, 'General Information'!D479&lt;&gt;"", 'General Information'!E479&lt;&gt;"", 'General Information'!F479&lt;&gt;"", 'General Information'!G479&lt;&gt;""), E79 &amp; "," &amp; F79, "-")</f>
        <v>-</v>
      </c>
    </row>
    <row r="80" spans="4:7">
      <c r="D80" s="235" t="str">
        <f>IF(AND('General Information'!$H$401=TRUE, 'General Information'!D480&lt;&gt;"", 'General Information'!E480&lt;&gt;"", 'General Information'!F480&lt;&gt;"", 'General Information'!G480&lt;&gt;""), _xlfn.WEBSERVICE("https://photon.komoot.io/api/?limit=1&amp;lang=en&amp;q="&amp;'General Information'!K480), "")</f>
        <v/>
      </c>
      <c r="E80" s="605" t="str">
        <f t="shared" si="2"/>
        <v/>
      </c>
      <c r="F80" s="236" t="str">
        <f t="shared" si="3"/>
        <v/>
      </c>
      <c r="G80" t="str">
        <f xml:space="preserve"> IF(AND('General Information'!$H$401=TRUE, 'General Information'!D480&lt;&gt;"", 'General Information'!E480&lt;&gt;"", 'General Information'!F480&lt;&gt;"", 'General Information'!G480&lt;&gt;""), E80 &amp; "," &amp; F80, "-")</f>
        <v>-</v>
      </c>
    </row>
    <row r="81" spans="4:7">
      <c r="D81" s="235" t="str">
        <f>IF(AND('General Information'!$H$401=TRUE, 'General Information'!D481&lt;&gt;"", 'General Information'!E481&lt;&gt;"", 'General Information'!F481&lt;&gt;"", 'General Information'!G481&lt;&gt;""), _xlfn.WEBSERVICE("https://photon.komoot.io/api/?limit=1&amp;lang=en&amp;q="&amp;'General Information'!K481), "")</f>
        <v/>
      </c>
      <c r="E81" s="605" t="str">
        <f t="shared" si="2"/>
        <v/>
      </c>
      <c r="F81" s="236" t="str">
        <f t="shared" si="3"/>
        <v/>
      </c>
      <c r="G81" t="str">
        <f xml:space="preserve"> IF(AND('General Information'!$H$401=TRUE, 'General Information'!D481&lt;&gt;"", 'General Information'!E481&lt;&gt;"", 'General Information'!F481&lt;&gt;"", 'General Information'!G481&lt;&gt;""), E81 &amp; "," &amp; F81, "-")</f>
        <v>-</v>
      </c>
    </row>
    <row r="82" spans="4:7">
      <c r="D82" s="235" t="str">
        <f>IF(AND('General Information'!$H$401=TRUE, 'General Information'!D482&lt;&gt;"", 'General Information'!E482&lt;&gt;"", 'General Information'!F482&lt;&gt;"", 'General Information'!G482&lt;&gt;""), _xlfn.WEBSERVICE("https://photon.komoot.io/api/?limit=1&amp;lang=en&amp;q="&amp;'General Information'!K482), "")</f>
        <v/>
      </c>
      <c r="E82" s="605" t="str">
        <f t="shared" si="2"/>
        <v/>
      </c>
      <c r="F82" s="236" t="str">
        <f t="shared" si="3"/>
        <v/>
      </c>
      <c r="G82" t="str">
        <f xml:space="preserve"> IF(AND('General Information'!$H$401=TRUE, 'General Information'!D482&lt;&gt;"", 'General Information'!E482&lt;&gt;"", 'General Information'!F482&lt;&gt;"", 'General Information'!G482&lt;&gt;""), E82 &amp; "," &amp; F82, "-")</f>
        <v>-</v>
      </c>
    </row>
    <row r="83" spans="4:7">
      <c r="D83" s="235" t="str">
        <f>IF(AND('General Information'!$H$401=TRUE, 'General Information'!D483&lt;&gt;"", 'General Information'!E483&lt;&gt;"", 'General Information'!F483&lt;&gt;"", 'General Information'!G483&lt;&gt;""), _xlfn.WEBSERVICE("https://photon.komoot.io/api/?limit=1&amp;lang=en&amp;q="&amp;'General Information'!K483), "")</f>
        <v/>
      </c>
      <c r="E83" s="605" t="str">
        <f t="shared" si="2"/>
        <v/>
      </c>
      <c r="F83" s="236" t="str">
        <f t="shared" si="3"/>
        <v/>
      </c>
      <c r="G83" t="str">
        <f xml:space="preserve"> IF(AND('General Information'!$H$401=TRUE, 'General Information'!D483&lt;&gt;"", 'General Information'!E483&lt;&gt;"", 'General Information'!F483&lt;&gt;"", 'General Information'!G483&lt;&gt;""), E83 &amp; "," &amp; F83, "-")</f>
        <v>-</v>
      </c>
    </row>
    <row r="84" spans="4:7">
      <c r="D84" s="235" t="str">
        <f>IF(AND('General Information'!$H$401=TRUE, 'General Information'!D484&lt;&gt;"", 'General Information'!E484&lt;&gt;"", 'General Information'!F484&lt;&gt;"", 'General Information'!G484&lt;&gt;""), _xlfn.WEBSERVICE("https://photon.komoot.io/api/?limit=1&amp;lang=en&amp;q="&amp;'General Information'!K484), "")</f>
        <v/>
      </c>
      <c r="E84" s="605" t="str">
        <f t="shared" si="2"/>
        <v/>
      </c>
      <c r="F84" s="236" t="str">
        <f t="shared" si="3"/>
        <v/>
      </c>
      <c r="G84" t="str">
        <f xml:space="preserve"> IF(AND('General Information'!$H$401=TRUE, 'General Information'!D484&lt;&gt;"", 'General Information'!E484&lt;&gt;"", 'General Information'!F484&lt;&gt;"", 'General Information'!G484&lt;&gt;""), E84 &amp; "," &amp; F84, "-")</f>
        <v>-</v>
      </c>
    </row>
    <row r="85" spans="4:7">
      <c r="D85" s="235" t="str">
        <f>IF(AND('General Information'!$H$401=TRUE, 'General Information'!D485&lt;&gt;"", 'General Information'!E485&lt;&gt;"", 'General Information'!F485&lt;&gt;"", 'General Information'!G485&lt;&gt;""), _xlfn.WEBSERVICE("https://photon.komoot.io/api/?limit=1&amp;lang=en&amp;q="&amp;'General Information'!K485), "")</f>
        <v/>
      </c>
      <c r="E85" s="605" t="str">
        <f t="shared" si="2"/>
        <v/>
      </c>
      <c r="F85" s="236" t="str">
        <f t="shared" si="3"/>
        <v/>
      </c>
      <c r="G85" t="str">
        <f xml:space="preserve"> IF(AND('General Information'!$H$401=TRUE, 'General Information'!D485&lt;&gt;"", 'General Information'!E485&lt;&gt;"", 'General Information'!F485&lt;&gt;"", 'General Information'!G485&lt;&gt;""), E85 &amp; "," &amp; F85, "-")</f>
        <v>-</v>
      </c>
    </row>
    <row r="86" spans="4:7">
      <c r="D86" s="235" t="str">
        <f>IF(AND('General Information'!$H$401=TRUE, 'General Information'!D486&lt;&gt;"", 'General Information'!E486&lt;&gt;"", 'General Information'!F486&lt;&gt;"", 'General Information'!G486&lt;&gt;""), _xlfn.WEBSERVICE("https://photon.komoot.io/api/?limit=1&amp;lang=en&amp;q="&amp;'General Information'!K486), "")</f>
        <v/>
      </c>
      <c r="E86" s="605" t="str">
        <f t="shared" si="2"/>
        <v/>
      </c>
      <c r="F86" s="236" t="str">
        <f t="shared" si="3"/>
        <v/>
      </c>
      <c r="G86" t="str">
        <f xml:space="preserve"> IF(AND('General Information'!$H$401=TRUE, 'General Information'!D486&lt;&gt;"", 'General Information'!E486&lt;&gt;"", 'General Information'!F486&lt;&gt;"", 'General Information'!G486&lt;&gt;""), E86 &amp; "," &amp; F86, "-")</f>
        <v>-</v>
      </c>
    </row>
    <row r="87" spans="4:7">
      <c r="D87" s="235" t="str">
        <f>IF(AND('General Information'!$H$401=TRUE, 'General Information'!D487&lt;&gt;"", 'General Information'!E487&lt;&gt;"", 'General Information'!F487&lt;&gt;"", 'General Information'!G487&lt;&gt;""), _xlfn.WEBSERVICE("https://photon.komoot.io/api/?limit=1&amp;lang=en&amp;q="&amp;'General Information'!K487), "")</f>
        <v/>
      </c>
      <c r="E87" s="605" t="str">
        <f t="shared" si="2"/>
        <v/>
      </c>
      <c r="F87" s="236" t="str">
        <f t="shared" si="3"/>
        <v/>
      </c>
      <c r="G87" t="str">
        <f xml:space="preserve"> IF(AND('General Information'!$H$401=TRUE, 'General Information'!D487&lt;&gt;"", 'General Information'!E487&lt;&gt;"", 'General Information'!F487&lt;&gt;"", 'General Information'!G487&lt;&gt;""), E87 &amp; "," &amp; F87, "-")</f>
        <v>-</v>
      </c>
    </row>
    <row r="88" spans="4:7">
      <c r="D88" s="235" t="str">
        <f>IF(AND('General Information'!$H$401=TRUE, 'General Information'!D488&lt;&gt;"", 'General Information'!E488&lt;&gt;"", 'General Information'!F488&lt;&gt;"", 'General Information'!G488&lt;&gt;""), _xlfn.WEBSERVICE("https://photon.komoot.io/api/?limit=1&amp;lang=en&amp;q="&amp;'General Information'!K488), "")</f>
        <v/>
      </c>
      <c r="E88" s="605" t="str">
        <f t="shared" si="2"/>
        <v/>
      </c>
      <c r="F88" s="236" t="str">
        <f t="shared" si="3"/>
        <v/>
      </c>
      <c r="G88" t="str">
        <f xml:space="preserve"> IF(AND('General Information'!$H$401=TRUE, 'General Information'!D488&lt;&gt;"", 'General Information'!E488&lt;&gt;"", 'General Information'!F488&lt;&gt;"", 'General Information'!G488&lt;&gt;""), E88 &amp; "," &amp; F88, "-")</f>
        <v>-</v>
      </c>
    </row>
    <row r="89" spans="4:7">
      <c r="D89" s="235" t="str">
        <f>IF(AND('General Information'!$H$401=TRUE, 'General Information'!D489&lt;&gt;"", 'General Information'!E489&lt;&gt;"", 'General Information'!F489&lt;&gt;"", 'General Information'!G489&lt;&gt;""), _xlfn.WEBSERVICE("https://photon.komoot.io/api/?limit=1&amp;lang=en&amp;q="&amp;'General Information'!K489), "")</f>
        <v/>
      </c>
      <c r="E89" s="605" t="str">
        <f t="shared" si="2"/>
        <v/>
      </c>
      <c r="F89" s="236" t="str">
        <f t="shared" si="3"/>
        <v/>
      </c>
      <c r="G89" t="str">
        <f xml:space="preserve"> IF(AND('General Information'!$H$401=TRUE, 'General Information'!D489&lt;&gt;"", 'General Information'!E489&lt;&gt;"", 'General Information'!F489&lt;&gt;"", 'General Information'!G489&lt;&gt;""), E89 &amp; "," &amp; F89, "-")</f>
        <v>-</v>
      </c>
    </row>
    <row r="90" spans="4:7">
      <c r="D90" s="235" t="str">
        <f>IF(AND('General Information'!$H$401=TRUE, 'General Information'!D490&lt;&gt;"", 'General Information'!E490&lt;&gt;"", 'General Information'!F490&lt;&gt;"", 'General Information'!G490&lt;&gt;""), _xlfn.WEBSERVICE("https://photon.komoot.io/api/?limit=1&amp;lang=en&amp;q="&amp;'General Information'!K490), "")</f>
        <v/>
      </c>
      <c r="E90" s="605" t="str">
        <f t="shared" si="2"/>
        <v/>
      </c>
      <c r="F90" s="236" t="str">
        <f t="shared" si="3"/>
        <v/>
      </c>
      <c r="G90" t="str">
        <f xml:space="preserve"> IF(AND('General Information'!$H$401=TRUE, 'General Information'!D490&lt;&gt;"", 'General Information'!E490&lt;&gt;"", 'General Information'!F490&lt;&gt;"", 'General Information'!G490&lt;&gt;""), E90 &amp; "," &amp; F90, "-")</f>
        <v>-</v>
      </c>
    </row>
    <row r="91" spans="4:7">
      <c r="D91" s="235" t="str">
        <f>IF(AND('General Information'!$H$401=TRUE, 'General Information'!D491&lt;&gt;"", 'General Information'!E491&lt;&gt;"", 'General Information'!F491&lt;&gt;"", 'General Information'!G491&lt;&gt;""), _xlfn.WEBSERVICE("https://photon.komoot.io/api/?limit=1&amp;lang=en&amp;q="&amp;'General Information'!K491), "")</f>
        <v/>
      </c>
      <c r="E91" s="605" t="str">
        <f t="shared" si="2"/>
        <v/>
      </c>
      <c r="F91" s="236" t="str">
        <f t="shared" si="3"/>
        <v/>
      </c>
      <c r="G91" t="str">
        <f xml:space="preserve"> IF(AND('General Information'!$H$401=TRUE, 'General Information'!D491&lt;&gt;"", 'General Information'!E491&lt;&gt;"", 'General Information'!F491&lt;&gt;"", 'General Information'!G491&lt;&gt;""), E91 &amp; "," &amp; F91, "-")</f>
        <v>-</v>
      </c>
    </row>
    <row r="92" spans="4:7">
      <c r="D92" s="235" t="str">
        <f>IF(AND('General Information'!$H$401=TRUE, 'General Information'!D492&lt;&gt;"", 'General Information'!E492&lt;&gt;"", 'General Information'!F492&lt;&gt;"", 'General Information'!G492&lt;&gt;""), _xlfn.WEBSERVICE("https://photon.komoot.io/api/?limit=1&amp;lang=en&amp;q="&amp;'General Information'!K492), "")</f>
        <v/>
      </c>
      <c r="E92" s="605" t="str">
        <f t="shared" si="2"/>
        <v/>
      </c>
      <c r="F92" s="236" t="str">
        <f t="shared" si="3"/>
        <v/>
      </c>
      <c r="G92" t="str">
        <f xml:space="preserve"> IF(AND('General Information'!$H$401=TRUE, 'General Information'!D492&lt;&gt;"", 'General Information'!E492&lt;&gt;"", 'General Information'!F492&lt;&gt;"", 'General Information'!G492&lt;&gt;""), E92 &amp; "," &amp; F92, "-")</f>
        <v>-</v>
      </c>
    </row>
    <row r="93" spans="4:7">
      <c r="D93" s="235" t="str">
        <f>IF(AND('General Information'!$H$401=TRUE, 'General Information'!D493&lt;&gt;"", 'General Information'!E493&lt;&gt;"", 'General Information'!F493&lt;&gt;"", 'General Information'!G493&lt;&gt;""), _xlfn.WEBSERVICE("https://photon.komoot.io/api/?limit=1&amp;lang=en&amp;q="&amp;'General Information'!K493), "")</f>
        <v/>
      </c>
      <c r="E93" s="605" t="str">
        <f t="shared" si="2"/>
        <v/>
      </c>
      <c r="F93" s="236" t="str">
        <f t="shared" si="3"/>
        <v/>
      </c>
      <c r="G93" t="str">
        <f xml:space="preserve"> IF(AND('General Information'!$H$401=TRUE, 'General Information'!D493&lt;&gt;"", 'General Information'!E493&lt;&gt;"", 'General Information'!F493&lt;&gt;"", 'General Information'!G493&lt;&gt;""), E93 &amp; "," &amp; F93, "-")</f>
        <v>-</v>
      </c>
    </row>
    <row r="94" spans="4:7">
      <c r="D94" s="235" t="str">
        <f>IF(AND('General Information'!$H$401=TRUE, 'General Information'!D494&lt;&gt;"", 'General Information'!E494&lt;&gt;"", 'General Information'!F494&lt;&gt;"", 'General Information'!G494&lt;&gt;""), _xlfn.WEBSERVICE("https://photon.komoot.io/api/?limit=1&amp;lang=en&amp;q="&amp;'General Information'!K494), "")</f>
        <v/>
      </c>
      <c r="E94" s="605" t="str">
        <f t="shared" si="2"/>
        <v/>
      </c>
      <c r="F94" s="236" t="str">
        <f t="shared" si="3"/>
        <v/>
      </c>
      <c r="G94" t="str">
        <f xml:space="preserve"> IF(AND('General Information'!$H$401=TRUE, 'General Information'!D494&lt;&gt;"", 'General Information'!E494&lt;&gt;"", 'General Information'!F494&lt;&gt;"", 'General Information'!G494&lt;&gt;""), E94 &amp; "," &amp; F94, "-")</f>
        <v>-</v>
      </c>
    </row>
    <row r="95" spans="4:7">
      <c r="D95" s="235" t="str">
        <f>IF(AND('General Information'!$H$401=TRUE, 'General Information'!D495&lt;&gt;"", 'General Information'!E495&lt;&gt;"", 'General Information'!F495&lt;&gt;"", 'General Information'!G495&lt;&gt;""), _xlfn.WEBSERVICE("https://photon.komoot.io/api/?limit=1&amp;lang=en&amp;q="&amp;'General Information'!K495), "")</f>
        <v/>
      </c>
      <c r="E95" s="605" t="str">
        <f t="shared" si="2"/>
        <v/>
      </c>
      <c r="F95" s="236" t="str">
        <f t="shared" si="3"/>
        <v/>
      </c>
      <c r="G95" t="str">
        <f xml:space="preserve"> IF(AND('General Information'!$H$401=TRUE, 'General Information'!D495&lt;&gt;"", 'General Information'!E495&lt;&gt;"", 'General Information'!F495&lt;&gt;"", 'General Information'!G495&lt;&gt;""), E95 &amp; "," &amp; F95, "-")</f>
        <v>-</v>
      </c>
    </row>
    <row r="96" spans="4:7">
      <c r="D96" s="235" t="str">
        <f>IF(AND('General Information'!$H$401=TRUE, 'General Information'!D496&lt;&gt;"", 'General Information'!E496&lt;&gt;"", 'General Information'!F496&lt;&gt;"", 'General Information'!G496&lt;&gt;""), _xlfn.WEBSERVICE("https://photon.komoot.io/api/?limit=1&amp;lang=en&amp;q="&amp;'General Information'!K496), "")</f>
        <v/>
      </c>
      <c r="E96" s="605" t="str">
        <f t="shared" si="2"/>
        <v/>
      </c>
      <c r="F96" s="236" t="str">
        <f t="shared" si="3"/>
        <v/>
      </c>
      <c r="G96" t="str">
        <f xml:space="preserve"> IF(AND('General Information'!$H$401=TRUE, 'General Information'!D496&lt;&gt;"", 'General Information'!E496&lt;&gt;"", 'General Information'!F496&lt;&gt;"", 'General Information'!G496&lt;&gt;""), E96 &amp; "," &amp; F96, "-")</f>
        <v>-</v>
      </c>
    </row>
    <row r="97" spans="4:7">
      <c r="D97" s="235" t="str">
        <f>IF(AND('General Information'!$H$401=TRUE, 'General Information'!D497&lt;&gt;"", 'General Information'!E497&lt;&gt;"", 'General Information'!F497&lt;&gt;"", 'General Information'!G497&lt;&gt;""), _xlfn.WEBSERVICE("https://photon.komoot.io/api/?limit=1&amp;lang=en&amp;q="&amp;'General Information'!K497), "")</f>
        <v/>
      </c>
      <c r="E97" s="605" t="str">
        <f t="shared" si="2"/>
        <v/>
      </c>
      <c r="F97" s="236" t="str">
        <f t="shared" si="3"/>
        <v/>
      </c>
      <c r="G97" t="str">
        <f xml:space="preserve"> IF(AND('General Information'!$H$401=TRUE, 'General Information'!D497&lt;&gt;"", 'General Information'!E497&lt;&gt;"", 'General Information'!F497&lt;&gt;"", 'General Information'!G497&lt;&gt;""), E97 &amp; "," &amp; F97, "-")</f>
        <v>-</v>
      </c>
    </row>
    <row r="98" spans="4:7">
      <c r="D98" s="235" t="str">
        <f>IF(AND('General Information'!$H$401=TRUE, 'General Information'!D498&lt;&gt;"", 'General Information'!E498&lt;&gt;"", 'General Information'!F498&lt;&gt;"", 'General Information'!G498&lt;&gt;""), _xlfn.WEBSERVICE("https://photon.komoot.io/api/?limit=1&amp;lang=en&amp;q="&amp;'General Information'!K498), "")</f>
        <v/>
      </c>
      <c r="E98" s="605" t="str">
        <f t="shared" si="2"/>
        <v/>
      </c>
      <c r="F98" s="236" t="str">
        <f t="shared" si="3"/>
        <v/>
      </c>
      <c r="G98" t="str">
        <f xml:space="preserve"> IF(AND('General Information'!$H$401=TRUE, 'General Information'!D498&lt;&gt;"", 'General Information'!E498&lt;&gt;"", 'General Information'!F498&lt;&gt;"", 'General Information'!G498&lt;&gt;""), E98 &amp; "," &amp; F98, "-")</f>
        <v>-</v>
      </c>
    </row>
    <row r="99" spans="4:7">
      <c r="D99" s="235" t="str">
        <f>IF(AND('General Information'!$H$401=TRUE, 'General Information'!D499&lt;&gt;"", 'General Information'!E499&lt;&gt;"", 'General Information'!F499&lt;&gt;"", 'General Information'!G499&lt;&gt;""), _xlfn.WEBSERVICE("https://photon.komoot.io/api/?limit=1&amp;lang=en&amp;q="&amp;'General Information'!K499), "")</f>
        <v/>
      </c>
      <c r="E99" s="605" t="str">
        <f t="shared" si="2"/>
        <v/>
      </c>
      <c r="F99" s="236" t="str">
        <f t="shared" si="3"/>
        <v/>
      </c>
      <c r="G99" t="str">
        <f xml:space="preserve"> IF(AND('General Information'!$H$401=TRUE, 'General Information'!D499&lt;&gt;"", 'General Information'!E499&lt;&gt;"", 'General Information'!F499&lt;&gt;"", 'General Information'!G499&lt;&gt;""), E99 &amp; "," &amp; F99, "-")</f>
        <v>-</v>
      </c>
    </row>
    <row r="100" spans="4:7">
      <c r="D100" s="235" t="str">
        <f>IF(AND('General Information'!$H$401=TRUE, 'General Information'!D500&lt;&gt;"", 'General Information'!E500&lt;&gt;"", 'General Information'!F500&lt;&gt;"", 'General Information'!G500&lt;&gt;""), _xlfn.WEBSERVICE("https://photon.komoot.io/api/?limit=1&amp;lang=en&amp;q="&amp;'General Information'!K500), "")</f>
        <v/>
      </c>
      <c r="E100" s="605" t="str">
        <f t="shared" si="2"/>
        <v/>
      </c>
      <c r="F100" s="236" t="str">
        <f t="shared" si="3"/>
        <v/>
      </c>
      <c r="G100" t="str">
        <f xml:space="preserve"> IF(AND('General Information'!$H$401=TRUE, 'General Information'!D500&lt;&gt;"", 'General Information'!E500&lt;&gt;"", 'General Information'!F500&lt;&gt;"", 'General Information'!G500&lt;&gt;""), E100 &amp; "," &amp; F100, "-")</f>
        <v>-</v>
      </c>
    </row>
    <row r="101" spans="4:7">
      <c r="D101" s="235" t="str">
        <f>IF(AND('General Information'!$H$401=TRUE, 'General Information'!D501&lt;&gt;"", 'General Information'!E501&lt;&gt;"", 'General Information'!F501&lt;&gt;"", 'General Information'!G501&lt;&gt;""), _xlfn.WEBSERVICE("https://photon.komoot.io/api/?limit=1&amp;lang=en&amp;q="&amp;'General Information'!K501), "")</f>
        <v/>
      </c>
      <c r="E101" s="605" t="str">
        <f t="shared" si="2"/>
        <v/>
      </c>
      <c r="F101" s="236" t="str">
        <f t="shared" si="3"/>
        <v/>
      </c>
      <c r="G101" t="str">
        <f xml:space="preserve"> IF(AND('General Information'!$H$401=TRUE, 'General Information'!D501&lt;&gt;"", 'General Information'!E501&lt;&gt;"", 'General Information'!F501&lt;&gt;"", 'General Information'!G501&lt;&gt;""), E101 &amp; "," &amp; F101, "-")</f>
        <v>-</v>
      </c>
    </row>
    <row r="102" spans="4:7">
      <c r="D102" s="235" t="str">
        <f>IF(AND('General Information'!$H$401=TRUE, 'General Information'!D502&lt;&gt;"", 'General Information'!E502&lt;&gt;"", 'General Information'!F502&lt;&gt;"", 'General Information'!G502&lt;&gt;""), _xlfn.WEBSERVICE("https://photon.komoot.io/api/?limit=1&amp;lang=en&amp;q="&amp;'General Information'!K502), "")</f>
        <v/>
      </c>
      <c r="E102" s="605" t="str">
        <f t="shared" si="2"/>
        <v/>
      </c>
      <c r="F102" s="236" t="str">
        <f t="shared" si="3"/>
        <v/>
      </c>
      <c r="G102" t="str">
        <f xml:space="preserve"> IF(AND('General Information'!$H$401=TRUE, 'General Information'!D502&lt;&gt;"", 'General Information'!E502&lt;&gt;"", 'General Information'!F502&lt;&gt;"", 'General Information'!G502&lt;&gt;""), E102 &amp; "," &amp; F102, "-")</f>
        <v>-</v>
      </c>
    </row>
    <row r="103" spans="4:7">
      <c r="D103" s="2" t="str">
        <f>IF(AND('General Information'!$H$401=TRUE, 'General Information'!D503&lt;&gt;"", 'General Information'!E503&lt;&gt;"", 'General Information'!F503&lt;&gt;"", 'General Information'!G503&lt;&gt;""), _xlfn.WEBSERVICE("https://photon.komoot.io/api/?limit=1&amp;lang=en&amp;q="&amp;'General Information'!K503), "")</f>
        <v/>
      </c>
      <c r="E103" s="606" t="str">
        <f t="shared" si="2"/>
        <v/>
      </c>
      <c r="F103" s="2" t="str">
        <f t="shared" si="3"/>
        <v/>
      </c>
    </row>
    <row r="104" spans="4:7">
      <c r="D104" s="2"/>
      <c r="E104" s="606"/>
      <c r="F104" s="2"/>
    </row>
    <row r="105" spans="4:7">
      <c r="D105" s="2"/>
      <c r="E105" s="606"/>
      <c r="F105" s="2"/>
    </row>
    <row r="106" spans="4:7">
      <c r="D106" s="2"/>
      <c r="E106" s="606"/>
      <c r="F106" s="2"/>
    </row>
    <row r="107" spans="4:7">
      <c r="D107" s="2"/>
      <c r="E107" s="606"/>
      <c r="F107" s="2"/>
    </row>
    <row r="108" spans="4:7">
      <c r="D108" s="2"/>
      <c r="E108" s="606"/>
      <c r="F108" s="2"/>
    </row>
    <row r="109" spans="4:7">
      <c r="D109" s="2"/>
      <c r="E109" s="606"/>
      <c r="F109" s="2"/>
    </row>
    <row r="110" spans="4:7">
      <c r="D110" s="2"/>
      <c r="E110" s="606"/>
      <c r="F110" s="2"/>
    </row>
    <row r="111" spans="4:7">
      <c r="D111" s="2"/>
      <c r="E111" s="606"/>
      <c r="F111" s="2"/>
    </row>
    <row r="112" spans="4:7">
      <c r="D112" s="2"/>
      <c r="E112" s="606"/>
      <c r="F112" s="2"/>
    </row>
    <row r="113" spans="1:6">
      <c r="D113" s="2"/>
      <c r="E113" s="606"/>
      <c r="F113" s="2"/>
    </row>
    <row r="114" spans="1:6">
      <c r="D114" s="2"/>
      <c r="E114" s="606"/>
      <c r="F114" s="2"/>
    </row>
    <row r="115" spans="1:6">
      <c r="D115" s="2"/>
      <c r="E115" s="606"/>
      <c r="F115" s="2"/>
    </row>
    <row r="116" spans="1:6">
      <c r="D116" s="2"/>
      <c r="E116" s="606"/>
      <c r="F116" s="2"/>
    </row>
    <row r="117" spans="1:6">
      <c r="D117" s="2"/>
      <c r="E117" s="606"/>
      <c r="F117" s="2"/>
    </row>
    <row r="118" spans="1:6" s="12" customFormat="1" ht="15" thickBot="1"/>
    <row r="119" spans="1:6" ht="80.150000000000006" customHeight="1">
      <c r="A119" s="380" t="s">
        <v>9486</v>
      </c>
    </row>
    <row r="120" spans="1:6">
      <c r="A120" s="379">
        <v>1</v>
      </c>
    </row>
    <row r="121" spans="1:6">
      <c r="A121" s="379">
        <v>2</v>
      </c>
    </row>
    <row r="122" spans="1:6">
      <c r="A122" s="379">
        <v>3</v>
      </c>
    </row>
    <row r="123" spans="1:6">
      <c r="A123" s="379">
        <v>4</v>
      </c>
    </row>
    <row r="124" spans="1:6">
      <c r="A124" s="379">
        <v>5</v>
      </c>
    </row>
    <row r="125" spans="1:6">
      <c r="A125" s="379">
        <v>6</v>
      </c>
    </row>
    <row r="126" spans="1:6">
      <c r="A126" s="379">
        <v>7</v>
      </c>
    </row>
    <row r="127" spans="1:6">
      <c r="A127" s="379">
        <v>8</v>
      </c>
    </row>
    <row r="128" spans="1:6">
      <c r="A128" s="379">
        <v>9</v>
      </c>
    </row>
    <row r="129" spans="1:1">
      <c r="A129" s="379">
        <v>10</v>
      </c>
    </row>
    <row r="130" spans="1:1">
      <c r="A130" s="379">
        <v>11</v>
      </c>
    </row>
    <row r="131" spans="1:1">
      <c r="A131" s="379">
        <v>12</v>
      </c>
    </row>
    <row r="132" spans="1:1">
      <c r="A132" s="379">
        <v>13</v>
      </c>
    </row>
    <row r="133" spans="1:1">
      <c r="A133" s="379">
        <v>14</v>
      </c>
    </row>
    <row r="134" spans="1:1">
      <c r="A134" s="379">
        <v>15</v>
      </c>
    </row>
    <row r="135" spans="1:1">
      <c r="A135" s="379">
        <v>16</v>
      </c>
    </row>
    <row r="136" spans="1:1">
      <c r="A136" s="379">
        <v>17</v>
      </c>
    </row>
    <row r="137" spans="1:1">
      <c r="A137" s="379">
        <v>18</v>
      </c>
    </row>
    <row r="138" spans="1:1">
      <c r="A138" s="379">
        <v>19</v>
      </c>
    </row>
    <row r="139" spans="1:1">
      <c r="A139" s="379">
        <v>20</v>
      </c>
    </row>
    <row r="140" spans="1:1">
      <c r="A140" s="379">
        <v>21</v>
      </c>
    </row>
    <row r="141" spans="1:1">
      <c r="A141" s="379">
        <v>22</v>
      </c>
    </row>
    <row r="142" spans="1:1">
      <c r="A142" s="379">
        <v>23</v>
      </c>
    </row>
    <row r="143" spans="1:1">
      <c r="A143" s="379">
        <v>24</v>
      </c>
    </row>
    <row r="144" spans="1:1">
      <c r="A144" s="379">
        <v>25</v>
      </c>
    </row>
    <row r="145" spans="1:1">
      <c r="A145" s="379">
        <v>26</v>
      </c>
    </row>
    <row r="146" spans="1:1">
      <c r="A146" s="379">
        <v>27</v>
      </c>
    </row>
    <row r="147" spans="1:1">
      <c r="A147" s="379">
        <v>28</v>
      </c>
    </row>
    <row r="148" spans="1:1">
      <c r="A148" s="379">
        <v>29</v>
      </c>
    </row>
    <row r="149" spans="1:1">
      <c r="A149" s="379">
        <v>30</v>
      </c>
    </row>
    <row r="150" spans="1:1">
      <c r="A150" s="379">
        <v>31</v>
      </c>
    </row>
    <row r="151" spans="1:1">
      <c r="A151" s="379">
        <v>32</v>
      </c>
    </row>
    <row r="152" spans="1:1">
      <c r="A152" s="379">
        <v>33</v>
      </c>
    </row>
    <row r="153" spans="1:1">
      <c r="A153" s="379">
        <v>34</v>
      </c>
    </row>
    <row r="154" spans="1:1">
      <c r="A154" s="379">
        <v>35</v>
      </c>
    </row>
    <row r="155" spans="1:1">
      <c r="A155" s="379">
        <v>36</v>
      </c>
    </row>
    <row r="156" spans="1:1">
      <c r="A156" s="379">
        <v>37</v>
      </c>
    </row>
    <row r="157" spans="1:1">
      <c r="A157" s="379">
        <v>38</v>
      </c>
    </row>
    <row r="158" spans="1:1">
      <c r="A158" s="379">
        <v>39</v>
      </c>
    </row>
    <row r="159" spans="1:1">
      <c r="A159" s="379">
        <v>40</v>
      </c>
    </row>
    <row r="160" spans="1:1">
      <c r="A160" s="379">
        <v>41</v>
      </c>
    </row>
    <row r="161" spans="1:1">
      <c r="A161" s="379">
        <v>42</v>
      </c>
    </row>
    <row r="162" spans="1:1">
      <c r="A162" s="379">
        <v>43</v>
      </c>
    </row>
    <row r="163" spans="1:1">
      <c r="A163" s="379">
        <v>44</v>
      </c>
    </row>
    <row r="164" spans="1:1">
      <c r="A164" s="379">
        <v>45</v>
      </c>
    </row>
    <row r="165" spans="1:1">
      <c r="A165" s="379">
        <v>46</v>
      </c>
    </row>
    <row r="166" spans="1:1">
      <c r="A166" s="379">
        <v>47</v>
      </c>
    </row>
    <row r="167" spans="1:1">
      <c r="A167" s="379">
        <v>48</v>
      </c>
    </row>
    <row r="168" spans="1:1">
      <c r="A168" s="379">
        <v>49</v>
      </c>
    </row>
    <row r="169" spans="1:1">
      <c r="A169" s="379">
        <v>50</v>
      </c>
    </row>
    <row r="170" spans="1:1">
      <c r="A170" s="379">
        <v>51</v>
      </c>
    </row>
    <row r="171" spans="1:1">
      <c r="A171" s="379">
        <v>52</v>
      </c>
    </row>
    <row r="172" spans="1:1">
      <c r="A172" s="379">
        <v>53</v>
      </c>
    </row>
    <row r="173" spans="1:1">
      <c r="A173" s="379">
        <v>54</v>
      </c>
    </row>
    <row r="174" spans="1:1">
      <c r="A174" s="379">
        <v>55</v>
      </c>
    </row>
    <row r="175" spans="1:1">
      <c r="A175" s="379">
        <v>56</v>
      </c>
    </row>
    <row r="176" spans="1:1">
      <c r="A176" s="379">
        <v>57</v>
      </c>
    </row>
    <row r="177" spans="1:6">
      <c r="A177" s="379">
        <v>58</v>
      </c>
    </row>
    <row r="178" spans="1:6">
      <c r="A178" s="379">
        <v>59</v>
      </c>
    </row>
    <row r="179" spans="1:6">
      <c r="A179" s="379">
        <v>60</v>
      </c>
    </row>
    <row r="180" spans="1:6">
      <c r="A180" s="379">
        <v>61</v>
      </c>
    </row>
    <row r="181" spans="1:6">
      <c r="A181" s="379">
        <v>62</v>
      </c>
    </row>
    <row r="182" spans="1:6">
      <c r="A182" s="379">
        <v>63</v>
      </c>
    </row>
    <row r="183" spans="1:6">
      <c r="A183" s="379">
        <v>64</v>
      </c>
    </row>
    <row r="184" spans="1:6">
      <c r="A184" s="379">
        <v>65</v>
      </c>
    </row>
    <row r="185" spans="1:6">
      <c r="A185" s="379">
        <v>66</v>
      </c>
    </row>
    <row r="186" spans="1:6">
      <c r="A186" s="379">
        <v>67</v>
      </c>
    </row>
    <row r="187" spans="1:6">
      <c r="A187" s="379">
        <v>68</v>
      </c>
    </row>
    <row r="188" spans="1:6">
      <c r="A188" s="379">
        <v>69</v>
      </c>
    </row>
    <row r="189" spans="1:6" s="12" customFormat="1" ht="15" thickBot="1">
      <c r="A189" s="428">
        <v>70</v>
      </c>
    </row>
    <row r="190" spans="1:6" ht="31.75">
      <c r="A190" s="10"/>
      <c r="B190" s="425" t="s">
        <v>3484</v>
      </c>
      <c r="C190" s="426" t="s">
        <v>4045</v>
      </c>
      <c r="D190" s="427" t="s">
        <v>4062</v>
      </c>
    </row>
    <row r="191" spans="1:6" ht="14.9" customHeight="1">
      <c r="A191" s="10"/>
      <c r="B191" s="625" t="s">
        <v>4075</v>
      </c>
      <c r="C191" s="393" t="s">
        <v>8652</v>
      </c>
      <c r="D191" s="1310" t="s">
        <v>9487</v>
      </c>
    </row>
    <row r="192" spans="1:6" ht="18.45">
      <c r="A192" s="10"/>
      <c r="B192" s="626"/>
      <c r="C192" s="389" t="s">
        <v>4088</v>
      </c>
      <c r="D192" s="1311"/>
      <c r="E192" s="318" t="s">
        <v>9488</v>
      </c>
      <c r="F192" s="397" t="s">
        <v>9489</v>
      </c>
    </row>
    <row r="193" spans="1:6" ht="18.45">
      <c r="A193" s="10"/>
      <c r="B193" s="400" t="s">
        <v>4101</v>
      </c>
      <c r="C193" s="409"/>
      <c r="D193" s="375"/>
      <c r="E193" s="501" t="str">
        <f>IF('Table of Contents &amp; Validation'!D5=TRUE,COUNTIF('Table of Contents &amp; Validation'!$D$5:D5,TRUE),"")</f>
        <v/>
      </c>
      <c r="F193" s="502"/>
    </row>
    <row r="194" spans="1:6" ht="18.45">
      <c r="A194" s="10"/>
      <c r="B194" s="404" t="s">
        <v>4114</v>
      </c>
      <c r="C194" s="410"/>
      <c r="D194" s="376"/>
      <c r="E194" s="501" t="str">
        <f>IF('Table of Contents &amp; Validation'!D6=TRUE,COUNTIF('Table of Contents &amp; Validation'!$D$5:D6,TRUE),"")</f>
        <v/>
      </c>
      <c r="F194" s="502"/>
    </row>
    <row r="195" spans="1:6">
      <c r="A195" s="10"/>
      <c r="B195" s="404" t="s">
        <v>9490</v>
      </c>
      <c r="C195" s="410"/>
      <c r="D195" s="395" t="b">
        <v>0</v>
      </c>
      <c r="E195" s="10" t="str">
        <f>IF('Table of Contents &amp; Validation'!D7=TRUE,COUNTIF('Table of Contents &amp; Validation'!$D$5:D7,TRUE),"")</f>
        <v/>
      </c>
      <c r="F195" s="398">
        <f>IF('Table of Contents &amp; Validation'!D7=TRUE,1,0)</f>
        <v>0</v>
      </c>
    </row>
    <row r="196" spans="1:6" ht="18.899999999999999" thickBot="1">
      <c r="A196" s="10"/>
      <c r="B196" s="404" t="s">
        <v>4127</v>
      </c>
      <c r="C196" s="410"/>
      <c r="D196" s="376"/>
      <c r="E196" s="501" t="str">
        <f>IF('Table of Contents &amp; Validation'!D8=TRUE,COUNTIF('Table of Contents &amp; Validation'!$D$5:D8,TRUE),"")</f>
        <v/>
      </c>
      <c r="F196" s="502"/>
    </row>
    <row r="197" spans="1:6" ht="18.45">
      <c r="A197" s="10"/>
      <c r="B197" s="342" t="s">
        <v>3805</v>
      </c>
      <c r="C197" s="411"/>
      <c r="D197" s="377"/>
      <c r="E197" s="501" t="str">
        <f>IF('Table of Contents &amp; Validation'!D9=TRUE,COUNTIF('Table of Contents &amp; Validation'!$D$5:D9,TRUE),"")</f>
        <v/>
      </c>
      <c r="F197" s="502"/>
    </row>
    <row r="198" spans="1:6">
      <c r="A198" s="10"/>
      <c r="B198" s="400" t="s">
        <v>4101</v>
      </c>
      <c r="C198" s="409"/>
      <c r="D198" s="378"/>
      <c r="E198" s="501" t="str">
        <f>IF('Table of Contents &amp; Validation'!D10=TRUE,COUNTIF('Table of Contents &amp; Validation'!$D$5:D10,TRUE),"")</f>
        <v/>
      </c>
      <c r="F198" s="502"/>
    </row>
    <row r="199" spans="1:6">
      <c r="A199" s="10"/>
      <c r="B199" s="401" t="s">
        <v>4142</v>
      </c>
      <c r="C199" s="410"/>
      <c r="D199" s="415" t="b">
        <v>0</v>
      </c>
      <c r="E199" s="10" t="str">
        <f>IF('Table of Contents &amp; Validation'!D11=TRUE,COUNTIF('Table of Contents &amp; Validation'!$D$5:D11,TRUE),"")</f>
        <v/>
      </c>
      <c r="F199" s="398">
        <f>IF('Table of Contents &amp; Validation'!D11=TRUE,1,0)</f>
        <v>0</v>
      </c>
    </row>
    <row r="200" spans="1:6">
      <c r="A200" s="10"/>
      <c r="B200" s="405" t="s">
        <v>4717</v>
      </c>
      <c r="C200" s="410"/>
      <c r="D200" s="189"/>
      <c r="E200" s="501"/>
      <c r="F200" s="502"/>
    </row>
    <row r="201" spans="1:6">
      <c r="A201" s="10"/>
      <c r="B201" s="405" t="s">
        <v>4730</v>
      </c>
      <c r="C201" s="410"/>
      <c r="D201" s="395" t="b">
        <v>0</v>
      </c>
      <c r="E201" s="10" t="str">
        <f>IF('Table of Contents &amp; Validation'!D13=TRUE,COUNTIF('Table of Contents &amp; Validation'!$D$5:D13,TRUE),"")</f>
        <v/>
      </c>
      <c r="F201" s="398">
        <f>IF('Table of Contents &amp; Validation'!D13=TRUE,1,0)</f>
        <v>0</v>
      </c>
    </row>
    <row r="202" spans="1:6">
      <c r="A202" s="10"/>
      <c r="B202" s="405" t="s">
        <v>4900</v>
      </c>
      <c r="C202" s="410"/>
      <c r="D202" s="395" t="b">
        <v>0</v>
      </c>
      <c r="E202" s="10" t="str">
        <f>IF('Table of Contents &amp; Validation'!D14=TRUE,COUNTIF('Table of Contents &amp; Validation'!$D$5:D14,TRUE),"")</f>
        <v/>
      </c>
      <c r="F202" s="398">
        <f>IF('Table of Contents &amp; Validation'!D14=TRUE,1,0)</f>
        <v>0</v>
      </c>
    </row>
    <row r="203" spans="1:6">
      <c r="A203" s="10"/>
      <c r="B203" s="405" t="s">
        <v>4941</v>
      </c>
      <c r="C203" s="410"/>
      <c r="D203" s="395" t="b">
        <v>0</v>
      </c>
      <c r="E203" s="10" t="str">
        <f>IF('Table of Contents &amp; Validation'!D15=TRUE,COUNTIF('Table of Contents &amp; Validation'!$D$5:D15,TRUE),"")</f>
        <v/>
      </c>
      <c r="F203" s="398">
        <f>IF('Table of Contents &amp; Validation'!D15=TRUE,1,0)</f>
        <v>0</v>
      </c>
    </row>
    <row r="204" spans="1:6">
      <c r="A204" s="10"/>
      <c r="B204" s="405" t="s">
        <v>4980</v>
      </c>
      <c r="C204" s="410"/>
      <c r="D204" s="395" t="b">
        <v>0</v>
      </c>
      <c r="E204" s="10" t="str">
        <f>IF('Table of Contents &amp; Validation'!D16=TRUE,COUNTIF('Table of Contents &amp; Validation'!$D$5:D16,TRUE),"")</f>
        <v/>
      </c>
      <c r="F204" s="398">
        <f>IF('Table of Contents &amp; Validation'!D16=TRUE,1,0)</f>
        <v>0</v>
      </c>
    </row>
    <row r="205" spans="1:6">
      <c r="A205" s="10"/>
      <c r="B205" s="441" t="s">
        <v>9491</v>
      </c>
      <c r="C205" s="410"/>
      <c r="D205" s="395" t="b">
        <v>0</v>
      </c>
      <c r="E205" s="10" t="str">
        <f>IF('Table of Contents &amp; Validation'!D17=TRUE,COUNTIF('Table of Contents &amp; Validation'!$D$5:D17,TRUE),"")</f>
        <v/>
      </c>
      <c r="F205" s="398">
        <f>IF('Table of Contents &amp; Validation'!D17=TRUE,1,0)</f>
        <v>0</v>
      </c>
    </row>
    <row r="206" spans="1:6">
      <c r="A206" s="10"/>
      <c r="B206" s="440" t="s">
        <v>5249</v>
      </c>
      <c r="C206" s="410"/>
      <c r="D206" s="395" t="b">
        <v>0</v>
      </c>
      <c r="E206" s="10" t="str">
        <f>IF('Table of Contents &amp; Validation'!D18=TRUE,COUNTIF('Table of Contents &amp; Validation'!$D$5:D18,TRUE),"")</f>
        <v/>
      </c>
      <c r="F206" s="398">
        <f>IF('Table of Contents &amp; Validation'!D18=TRUE,1,0)</f>
        <v>0</v>
      </c>
    </row>
    <row r="207" spans="1:6">
      <c r="A207" s="10"/>
      <c r="B207" s="402" t="s">
        <v>4168</v>
      </c>
      <c r="C207" s="409"/>
      <c r="D207" s="417"/>
      <c r="E207" s="501" t="str">
        <f>IF('Table of Contents &amp; Validation'!D19=TRUE,COUNTIF('Table of Contents &amp; Validation'!$D$5:D19,TRUE),"")</f>
        <v/>
      </c>
      <c r="F207" s="502"/>
    </row>
    <row r="208" spans="1:6">
      <c r="A208" s="10"/>
      <c r="B208" s="401" t="s">
        <v>4181</v>
      </c>
      <c r="C208" s="410"/>
      <c r="D208" s="416" t="b">
        <v>0</v>
      </c>
      <c r="E208" s="10" t="str">
        <f>IF('Table of Contents &amp; Validation'!D20=TRUE,COUNTIF('Table of Contents &amp; Validation'!$D$5:D20,TRUE),"")</f>
        <v/>
      </c>
      <c r="F208" s="398">
        <f>IF('Table of Contents &amp; Validation'!D20=TRUE,1,0)</f>
        <v>0</v>
      </c>
    </row>
    <row r="209" spans="1:6">
      <c r="A209" s="10"/>
      <c r="B209" s="405" t="s">
        <v>5442</v>
      </c>
      <c r="C209" s="410"/>
      <c r="D209" s="395" t="b">
        <v>0</v>
      </c>
      <c r="E209" s="10" t="str">
        <f>IF('Table of Contents &amp; Validation'!D21=TRUE,COUNTIF('Table of Contents &amp; Validation'!$D$5:D21,TRUE),"")</f>
        <v/>
      </c>
      <c r="F209" s="398">
        <f>IF('Table of Contents &amp; Validation'!D21=TRUE,1,0)</f>
        <v>0</v>
      </c>
    </row>
    <row r="210" spans="1:6">
      <c r="A210" s="10"/>
      <c r="B210" s="405" t="s">
        <v>5468</v>
      </c>
      <c r="C210" s="410"/>
      <c r="D210" s="395" t="b">
        <v>0</v>
      </c>
      <c r="E210" s="10" t="str">
        <f>IF('Table of Contents &amp; Validation'!D22=TRUE,COUNTIF('Table of Contents &amp; Validation'!$D$5:D22,TRUE),"")</f>
        <v/>
      </c>
      <c r="F210" s="398">
        <f>IF('Table of Contents &amp; Validation'!D22=TRUE,1,0)</f>
        <v>0</v>
      </c>
    </row>
    <row r="211" spans="1:6">
      <c r="A211" s="10"/>
      <c r="B211" s="405" t="s">
        <v>9324</v>
      </c>
      <c r="C211" s="410"/>
      <c r="D211" s="395" t="b">
        <v>0</v>
      </c>
      <c r="E211" s="10" t="str">
        <f>IF('Table of Contents &amp; Validation'!D23=TRUE,COUNTIF('Table of Contents &amp; Validation'!$D$5:D23,TRUE),"")</f>
        <v/>
      </c>
      <c r="F211" s="398">
        <f>IF('Table of Contents &amp; Validation'!D23=TRUE,1,0)</f>
        <v>0</v>
      </c>
    </row>
    <row r="212" spans="1:6">
      <c r="A212" s="10"/>
      <c r="B212" s="404" t="s">
        <v>4194</v>
      </c>
      <c r="C212" s="410"/>
      <c r="D212" s="395" t="b">
        <v>0</v>
      </c>
      <c r="E212" s="10" t="str">
        <f>IF('Table of Contents &amp; Validation'!D24=TRUE,COUNTIF('Table of Contents &amp; Validation'!$D$5:D24,TRUE),"")</f>
        <v/>
      </c>
      <c r="F212" s="398">
        <f>IF('Table of Contents &amp; Validation'!D24=TRUE,1,0)</f>
        <v>0</v>
      </c>
    </row>
    <row r="213" spans="1:6">
      <c r="A213" s="10"/>
      <c r="B213" s="404" t="s">
        <v>4207</v>
      </c>
      <c r="C213" s="410"/>
      <c r="D213" s="416" t="b">
        <v>0</v>
      </c>
      <c r="E213" s="10" t="str">
        <f>IF('Table of Contents &amp; Validation'!D25=TRUE,COUNTIF('Table of Contents &amp; Validation'!$D$5:D25,TRUE),"")</f>
        <v/>
      </c>
      <c r="F213" s="398">
        <f>IF('Table of Contents &amp; Validation'!D25=TRUE,1,0)</f>
        <v>0</v>
      </c>
    </row>
    <row r="214" spans="1:6">
      <c r="A214" s="10"/>
      <c r="B214" s="405" t="s">
        <v>6210</v>
      </c>
      <c r="C214" s="410"/>
      <c r="D214" s="395" t="b">
        <v>0</v>
      </c>
      <c r="E214" s="10" t="str">
        <f>IF('Table of Contents &amp; Validation'!D26=TRUE,COUNTIF('Table of Contents &amp; Validation'!$D$5:D26,TRUE),"")</f>
        <v/>
      </c>
      <c r="F214" s="398">
        <f>IF('Table of Contents &amp; Validation'!D26=TRUE,1,0)</f>
        <v>0</v>
      </c>
    </row>
    <row r="215" spans="1:6">
      <c r="A215" s="10"/>
      <c r="B215" s="404" t="s">
        <v>4220</v>
      </c>
      <c r="C215" s="410"/>
      <c r="D215" s="416" t="b">
        <v>0</v>
      </c>
      <c r="E215" s="10" t="str">
        <f>IF('Table of Contents &amp; Validation'!D27=TRUE,COUNTIF('Table of Contents &amp; Validation'!$D$5:D27,TRUE),"")</f>
        <v/>
      </c>
      <c r="F215" s="398">
        <f>IF('Table of Contents &amp; Validation'!D27=TRUE,1,0)</f>
        <v>0</v>
      </c>
    </row>
    <row r="216" spans="1:6">
      <c r="A216" s="10"/>
      <c r="B216" s="405" t="s">
        <v>6301</v>
      </c>
      <c r="C216" s="410"/>
      <c r="D216" s="395" t="b">
        <v>0</v>
      </c>
      <c r="E216" s="10" t="str">
        <f>IF('Table of Contents &amp; Validation'!D28=TRUE,COUNTIF('Table of Contents &amp; Validation'!$D$5:D28,TRUE),"")</f>
        <v/>
      </c>
      <c r="F216" s="398">
        <f>IF('Table of Contents &amp; Validation'!D28=TRUE,1,0)</f>
        <v>0</v>
      </c>
    </row>
    <row r="217" spans="1:6">
      <c r="A217" s="10"/>
      <c r="B217" s="405" t="s">
        <v>6327</v>
      </c>
      <c r="C217" s="410"/>
      <c r="D217" s="395" t="b">
        <v>0</v>
      </c>
      <c r="E217" s="10" t="str">
        <f>IF('Table of Contents &amp; Validation'!D29=TRUE,COUNTIF('Table of Contents &amp; Validation'!$D$5:D29,TRUE),"")</f>
        <v/>
      </c>
      <c r="F217" s="398">
        <f>IF('Table of Contents &amp; Validation'!D29=TRUE,1,0)</f>
        <v>0</v>
      </c>
    </row>
    <row r="218" spans="1:6">
      <c r="A218" s="10"/>
      <c r="B218" s="404" t="s">
        <v>4233</v>
      </c>
      <c r="C218" s="410"/>
      <c r="D218" s="416" t="b">
        <v>0</v>
      </c>
      <c r="E218" s="10" t="str">
        <f>IF('Table of Contents &amp; Validation'!D30=TRUE,COUNTIF('Table of Contents &amp; Validation'!$D$5:D30,TRUE),"")</f>
        <v/>
      </c>
      <c r="F218" s="398">
        <f>IF('Table of Contents &amp; Validation'!D30=TRUE,1,0)</f>
        <v>0</v>
      </c>
    </row>
    <row r="219" spans="1:6">
      <c r="A219" s="10"/>
      <c r="B219" s="405" t="s">
        <v>6384</v>
      </c>
      <c r="C219" s="410"/>
      <c r="D219" s="395" t="b">
        <v>0</v>
      </c>
      <c r="E219" s="10" t="str">
        <f>IF('Table of Contents &amp; Validation'!D31=TRUE,COUNTIF('Table of Contents &amp; Validation'!$D$5:D31,TRUE),"")</f>
        <v/>
      </c>
      <c r="F219" s="398">
        <f>IF('Table of Contents &amp; Validation'!D31=TRUE,1,0)</f>
        <v>0</v>
      </c>
    </row>
    <row r="220" spans="1:6">
      <c r="A220" s="10"/>
      <c r="B220" s="405" t="s">
        <v>6423</v>
      </c>
      <c r="C220" s="410"/>
      <c r="D220" s="395" t="b">
        <v>0</v>
      </c>
      <c r="E220" s="10" t="str">
        <f>IF('Table of Contents &amp; Validation'!D32=TRUE,COUNTIF('Table of Contents &amp; Validation'!$D$5:D32,TRUE),"")</f>
        <v/>
      </c>
      <c r="F220" s="398">
        <f>IF('Table of Contents &amp; Validation'!D32=TRUE,1,0)</f>
        <v>0</v>
      </c>
    </row>
    <row r="221" spans="1:6">
      <c r="A221" s="10"/>
      <c r="B221" s="405" t="s">
        <v>6626</v>
      </c>
      <c r="C221" s="410"/>
      <c r="D221" s="395" t="b">
        <v>0</v>
      </c>
      <c r="E221" s="10" t="str">
        <f>IF('Table of Contents &amp; Validation'!D33=TRUE,COUNTIF('Table of Contents &amp; Validation'!$D$5:D33,TRUE),"")</f>
        <v/>
      </c>
      <c r="F221" s="398">
        <f>IF('Table of Contents &amp; Validation'!D33=TRUE,1,0)</f>
        <v>0</v>
      </c>
    </row>
    <row r="222" spans="1:6">
      <c r="A222" s="10"/>
      <c r="B222" s="402" t="s">
        <v>4246</v>
      </c>
      <c r="C222" s="409"/>
      <c r="D222" s="418"/>
      <c r="E222" s="501" t="str">
        <f>IF('Table of Contents &amp; Validation'!D34=TRUE,COUNTIF('Table of Contents &amp; Validation'!$D$5:D34,TRUE),"")</f>
        <v/>
      </c>
      <c r="F222" s="502"/>
    </row>
    <row r="223" spans="1:6">
      <c r="A223" s="10"/>
      <c r="B223" s="401" t="s">
        <v>4259</v>
      </c>
      <c r="C223" s="410"/>
      <c r="D223" s="416" t="b">
        <v>0</v>
      </c>
      <c r="E223" s="10" t="str">
        <f>IF('Table of Contents &amp; Validation'!D35=TRUE,COUNTIF('Table of Contents &amp; Validation'!$D$5:D35,TRUE),"")</f>
        <v/>
      </c>
      <c r="F223" s="398">
        <f>IF('Table of Contents &amp; Validation'!D35=TRUE,1,0)</f>
        <v>0</v>
      </c>
    </row>
    <row r="224" spans="1:6">
      <c r="A224" s="10"/>
      <c r="B224" s="405" t="s">
        <v>6847</v>
      </c>
      <c r="C224" s="410"/>
      <c r="D224" s="395" t="b">
        <v>0</v>
      </c>
      <c r="E224" s="10" t="str">
        <f>IF('Table of Contents &amp; Validation'!D36=TRUE,COUNTIF('Table of Contents &amp; Validation'!$D$5:D36,TRUE),"")</f>
        <v/>
      </c>
      <c r="F224" s="398">
        <f>IF('Table of Contents &amp; Validation'!D36=TRUE,1,0)</f>
        <v>0</v>
      </c>
    </row>
    <row r="225" spans="1:6">
      <c r="A225" s="10"/>
      <c r="B225" s="405" t="s">
        <v>6911</v>
      </c>
      <c r="C225" s="410"/>
      <c r="D225" s="395" t="b">
        <v>0</v>
      </c>
      <c r="E225" s="10" t="str">
        <f>IF('Table of Contents &amp; Validation'!D37=TRUE,COUNTIF('Table of Contents &amp; Validation'!$D$5:D37,TRUE),"")</f>
        <v/>
      </c>
      <c r="F225" s="398">
        <f>IF('Table of Contents &amp; Validation'!D37=TRUE,1,0)</f>
        <v>0</v>
      </c>
    </row>
    <row r="226" spans="1:6">
      <c r="A226" s="10"/>
      <c r="B226" s="405" t="s">
        <v>6985</v>
      </c>
      <c r="C226" s="410"/>
      <c r="D226" s="395" t="b">
        <v>0</v>
      </c>
      <c r="E226" s="10" t="str">
        <f>IF('Table of Contents &amp; Validation'!D38=TRUE,COUNTIF('Table of Contents &amp; Validation'!$D$5:D38,TRUE),"")</f>
        <v/>
      </c>
      <c r="F226" s="398">
        <f>IF('Table of Contents &amp; Validation'!D38=TRUE,1,0)</f>
        <v>0</v>
      </c>
    </row>
    <row r="227" spans="1:6">
      <c r="A227" s="10"/>
      <c r="B227" s="404" t="s">
        <v>4272</v>
      </c>
      <c r="C227" s="410"/>
      <c r="D227" s="395" t="b">
        <v>0</v>
      </c>
      <c r="E227" s="10" t="str">
        <f>IF('Table of Contents &amp; Validation'!D39=TRUE,COUNTIF('Table of Contents &amp; Validation'!$D$5:D39,TRUE),"")</f>
        <v/>
      </c>
      <c r="F227" s="398">
        <f>IF('Table of Contents &amp; Validation'!D39=TRUE,1,0)</f>
        <v>0</v>
      </c>
    </row>
    <row r="228" spans="1:6">
      <c r="A228" s="10"/>
      <c r="B228" s="404" t="s">
        <v>4285</v>
      </c>
      <c r="C228" s="410"/>
      <c r="D228" s="416" t="b">
        <v>0</v>
      </c>
      <c r="E228" s="10" t="str">
        <f>IF('Table of Contents &amp; Validation'!D40=TRUE,COUNTIF('Table of Contents &amp; Validation'!$D$5:D40,TRUE),"")</f>
        <v/>
      </c>
      <c r="F228" s="398">
        <f>IF('Table of Contents &amp; Validation'!D40=TRUE,1,0)</f>
        <v>0</v>
      </c>
    </row>
    <row r="229" spans="1:6">
      <c r="A229" s="10"/>
      <c r="B229" s="405" t="s">
        <v>4285</v>
      </c>
      <c r="C229" s="410"/>
      <c r="D229" s="395" t="b">
        <v>0</v>
      </c>
      <c r="E229" s="10" t="str">
        <f>IF('Table of Contents &amp; Validation'!D41=TRUE,COUNTIF('Table of Contents &amp; Validation'!$D$5:D41,TRUE),"")</f>
        <v/>
      </c>
      <c r="F229" s="398">
        <f>IF('Table of Contents &amp; Validation'!D41=TRUE,1,0)</f>
        <v>0</v>
      </c>
    </row>
    <row r="230" spans="1:6">
      <c r="A230" s="10"/>
      <c r="B230" s="405" t="s">
        <v>7226</v>
      </c>
      <c r="C230" s="410"/>
      <c r="D230" s="395" t="b">
        <v>0</v>
      </c>
      <c r="E230" s="10" t="str">
        <f>IF('Table of Contents &amp; Validation'!D42=TRUE,COUNTIF('Table of Contents &amp; Validation'!$D$5:D42,TRUE),"")</f>
        <v/>
      </c>
      <c r="F230" s="398">
        <f>IF('Table of Contents &amp; Validation'!D42=TRUE,1,0)</f>
        <v>0</v>
      </c>
    </row>
    <row r="231" spans="1:6">
      <c r="A231" s="10"/>
      <c r="B231" s="402" t="s">
        <v>4298</v>
      </c>
      <c r="C231" s="409"/>
      <c r="D231" s="418"/>
      <c r="E231" s="501" t="str">
        <f>IF('Table of Contents &amp; Validation'!D43=TRUE,COUNTIF('Table of Contents &amp; Validation'!$D$5:D43,TRUE),"")</f>
        <v/>
      </c>
      <c r="F231" s="502"/>
    </row>
    <row r="232" spans="1:6" ht="15" thickBot="1">
      <c r="A232" s="10"/>
      <c r="B232" s="406" t="s">
        <v>4311</v>
      </c>
      <c r="C232" s="412"/>
      <c r="D232" s="396" t="b">
        <v>0</v>
      </c>
      <c r="E232" s="10" t="str">
        <f>IF('Table of Contents &amp; Validation'!D44=TRUE,COUNTIF('Table of Contents &amp; Validation'!$D$5:D44,TRUE),"")</f>
        <v/>
      </c>
      <c r="F232" s="398">
        <f>IF('Table of Contents &amp; Validation'!D44=TRUE,1,0)</f>
        <v>0</v>
      </c>
    </row>
    <row r="233" spans="1:6" ht="18.45">
      <c r="A233" s="10"/>
      <c r="B233" s="342" t="s">
        <v>3831</v>
      </c>
      <c r="C233" s="411"/>
      <c r="D233" s="419"/>
      <c r="E233" s="501" t="str">
        <f>IF('Table of Contents &amp; Validation'!D45=TRUE,COUNTIF('Table of Contents &amp; Validation'!$D$5:D45,TRUE),"")</f>
        <v/>
      </c>
      <c r="F233" s="502"/>
    </row>
    <row r="234" spans="1:6">
      <c r="A234" s="10"/>
      <c r="B234" s="400" t="s">
        <v>4101</v>
      </c>
      <c r="C234" s="409"/>
      <c r="D234" s="418"/>
      <c r="E234" s="501" t="str">
        <f>IF('Table of Contents &amp; Validation'!D46=TRUE,COUNTIF('Table of Contents &amp; Validation'!$D$5:D46,TRUE),"")</f>
        <v/>
      </c>
      <c r="F234" s="502"/>
    </row>
    <row r="235" spans="1:6">
      <c r="A235" s="10"/>
      <c r="B235" s="404" t="s">
        <v>4329</v>
      </c>
      <c r="C235" s="410"/>
      <c r="D235" s="395" t="b">
        <v>0</v>
      </c>
      <c r="E235" s="10" t="str">
        <f>IF('Table of Contents &amp; Validation'!D47=TRUE,COUNTIF('Table of Contents &amp; Validation'!$D$5:D47,TRUE),"")</f>
        <v/>
      </c>
      <c r="F235" s="398">
        <f>IF('Table of Contents &amp; Validation'!D47=TRUE,1,0)</f>
        <v>0</v>
      </c>
    </row>
    <row r="236" spans="1:6">
      <c r="A236" s="10"/>
      <c r="B236" s="404" t="s">
        <v>4342</v>
      </c>
      <c r="C236" s="410"/>
      <c r="D236" s="395" t="b">
        <v>0</v>
      </c>
      <c r="E236" s="10" t="str">
        <f>IF('Table of Contents &amp; Validation'!D48=TRUE,COUNTIF('Table of Contents &amp; Validation'!$D$5:D48,TRUE),"")</f>
        <v/>
      </c>
      <c r="F236" s="398">
        <f>IF('Table of Contents &amp; Validation'!D48=TRUE,1,0)</f>
        <v>0</v>
      </c>
    </row>
    <row r="237" spans="1:6">
      <c r="A237" s="10"/>
      <c r="B237" s="402" t="s">
        <v>4168</v>
      </c>
      <c r="C237" s="409"/>
      <c r="D237" s="418"/>
      <c r="E237" s="10" t="str">
        <f>IF('Table of Contents &amp; Validation'!D49=TRUE,COUNTIF('Table of Contents &amp; Validation'!$D$5:D49,TRUE),"")</f>
        <v/>
      </c>
      <c r="F237" s="398">
        <f>IF('Table of Contents &amp; Validation'!D49=TRUE,1,0)</f>
        <v>0</v>
      </c>
    </row>
    <row r="238" spans="1:6">
      <c r="A238" s="10"/>
      <c r="B238" s="401" t="s">
        <v>4355</v>
      </c>
      <c r="C238" s="410"/>
      <c r="D238" s="416" t="b">
        <v>0</v>
      </c>
      <c r="E238" s="10" t="str">
        <f>IF('Table of Contents &amp; Validation'!D50=TRUE,COUNTIF('Table of Contents &amp; Validation'!$D$5:D50,TRUE),"")</f>
        <v/>
      </c>
      <c r="F238" s="398">
        <f>IF('Table of Contents &amp; Validation'!D50=TRUE,1,0)</f>
        <v>0</v>
      </c>
    </row>
    <row r="239" spans="1:6">
      <c r="A239" s="10"/>
      <c r="B239" s="405" t="s">
        <v>5575</v>
      </c>
      <c r="C239" s="410"/>
      <c r="D239" s="395" t="b">
        <v>0</v>
      </c>
      <c r="E239" s="10" t="str">
        <f>IF('Table of Contents &amp; Validation'!D51=TRUE,COUNTIF('Table of Contents &amp; Validation'!$D$5:D51,TRUE),"")</f>
        <v/>
      </c>
      <c r="F239" s="398">
        <f>IF('Table of Contents &amp; Validation'!D51=TRUE,1,0)</f>
        <v>0</v>
      </c>
    </row>
    <row r="240" spans="1:6">
      <c r="A240" s="10"/>
      <c r="B240" s="405" t="s">
        <v>5958</v>
      </c>
      <c r="C240" s="410"/>
      <c r="D240" s="395" t="b">
        <v>0</v>
      </c>
      <c r="E240" s="10" t="str">
        <f>IF('Table of Contents &amp; Validation'!D52=TRUE,COUNTIF('Table of Contents &amp; Validation'!$D$5:D52,TRUE),"")</f>
        <v/>
      </c>
      <c r="F240" s="398">
        <f>IF('Table of Contents &amp; Validation'!D52=TRUE,1,0)</f>
        <v>0</v>
      </c>
    </row>
    <row r="241" spans="1:6">
      <c r="A241" s="10"/>
      <c r="B241" s="405" t="s">
        <v>5971</v>
      </c>
      <c r="C241" s="410"/>
      <c r="D241" s="395" t="b">
        <v>0</v>
      </c>
      <c r="E241" s="10" t="str">
        <f>IF('Table of Contents &amp; Validation'!D53=TRUE,COUNTIF('Table of Contents &amp; Validation'!$D$5:D53,TRUE),"")</f>
        <v/>
      </c>
      <c r="F241" s="398">
        <f>IF('Table of Contents &amp; Validation'!D53=TRUE,1,0)</f>
        <v>0</v>
      </c>
    </row>
    <row r="242" spans="1:6">
      <c r="A242" s="10"/>
      <c r="B242" s="404" t="s">
        <v>4368</v>
      </c>
      <c r="C242" s="410"/>
      <c r="D242" s="395" t="b">
        <v>0</v>
      </c>
      <c r="E242" s="10" t="str">
        <f>IF('Table of Contents &amp; Validation'!D54=TRUE,COUNTIF('Table of Contents &amp; Validation'!$D$5:D54,TRUE),"")</f>
        <v/>
      </c>
      <c r="F242" s="398">
        <f>IF('Table of Contents &amp; Validation'!D54=TRUE,1,0)</f>
        <v>0</v>
      </c>
    </row>
    <row r="243" spans="1:6">
      <c r="A243" s="10"/>
      <c r="B243" s="402" t="s">
        <v>4246</v>
      </c>
      <c r="C243" s="409"/>
      <c r="D243" s="418"/>
      <c r="E243" s="501" t="str">
        <f>IF('Table of Contents &amp; Validation'!D55=TRUE,COUNTIF('Table of Contents &amp; Validation'!$D$5:D55,TRUE),"")</f>
        <v/>
      </c>
      <c r="F243" s="502"/>
    </row>
    <row r="244" spans="1:6">
      <c r="A244" s="10"/>
      <c r="B244" s="404" t="s">
        <v>4381</v>
      </c>
      <c r="C244" s="410"/>
      <c r="D244" s="395" t="b">
        <v>0</v>
      </c>
      <c r="E244" s="10" t="str">
        <f>IF('Table of Contents &amp; Validation'!D56=TRUE,COUNTIF('Table of Contents &amp; Validation'!$D$5:D56,TRUE),"")</f>
        <v/>
      </c>
      <c r="F244" s="398">
        <f>IF('Table of Contents &amp; Validation'!D56=TRUE,1,0)</f>
        <v>0</v>
      </c>
    </row>
    <row r="245" spans="1:6">
      <c r="A245" s="10"/>
      <c r="B245" s="404" t="s">
        <v>4394</v>
      </c>
      <c r="C245" s="410"/>
      <c r="D245" s="395" t="b">
        <v>0</v>
      </c>
      <c r="E245" s="10" t="str">
        <f>IF('Table of Contents &amp; Validation'!D57=TRUE,COUNTIF('Table of Contents &amp; Validation'!$D$5:D57,TRUE),"")</f>
        <v/>
      </c>
      <c r="F245" s="398">
        <f>IF('Table of Contents &amp; Validation'!D57=TRUE,1,0)</f>
        <v>0</v>
      </c>
    </row>
    <row r="246" spans="1:6">
      <c r="A246" s="10"/>
      <c r="B246" s="407" t="s">
        <v>9350</v>
      </c>
      <c r="C246" s="413"/>
      <c r="D246" s="395" t="b">
        <v>0</v>
      </c>
      <c r="E246" s="10" t="str">
        <f>IF('Table of Contents &amp; Validation'!D58=TRUE,COUNTIF('Table of Contents &amp; Validation'!$D$5:D58,TRUE),"")</f>
        <v/>
      </c>
      <c r="F246" s="398">
        <f>IF('Table of Contents &amp; Validation'!D58=TRUE,1,0)</f>
        <v>0</v>
      </c>
    </row>
    <row r="247" spans="1:6">
      <c r="A247" s="10"/>
      <c r="B247" s="403" t="s">
        <v>4298</v>
      </c>
      <c r="C247" s="410"/>
      <c r="D247" s="418"/>
      <c r="E247" s="501" t="str">
        <f>IF('Table of Contents &amp; Validation'!D59=TRUE,COUNTIF('Table of Contents &amp; Validation'!$D$5:D59,TRUE),"")</f>
        <v/>
      </c>
      <c r="F247" s="502"/>
    </row>
    <row r="248" spans="1:6">
      <c r="A248" s="10"/>
      <c r="B248" s="405" t="s">
        <v>4420</v>
      </c>
      <c r="C248" s="410"/>
      <c r="D248" s="395" t="b">
        <v>0</v>
      </c>
      <c r="E248" s="10" t="str">
        <f>IF('Table of Contents &amp; Validation'!D60=TRUE,COUNTIF('Table of Contents &amp; Validation'!$D$5:D60,TRUE),"")</f>
        <v/>
      </c>
      <c r="F248" s="398">
        <f>IF('Table of Contents &amp; Validation'!D60=TRUE,1,0)</f>
        <v>0</v>
      </c>
    </row>
    <row r="249" spans="1:6" ht="15" thickBot="1">
      <c r="A249" s="10"/>
      <c r="B249" s="404" t="s">
        <v>4433</v>
      </c>
      <c r="C249" s="410"/>
      <c r="D249" s="395" t="b">
        <v>0</v>
      </c>
      <c r="E249" s="10" t="str">
        <f>IF('Table of Contents &amp; Validation'!D61=TRUE,COUNTIF('Table of Contents &amp; Validation'!$D$5:D61,TRUE),"")</f>
        <v/>
      </c>
      <c r="F249" s="398">
        <f>IF('Table of Contents &amp; Validation'!D61=TRUE,1,0)</f>
        <v>0</v>
      </c>
    </row>
    <row r="250" spans="1:6">
      <c r="A250" s="10"/>
      <c r="B250" s="408" t="s">
        <v>4446</v>
      </c>
      <c r="C250" s="414"/>
      <c r="D250" s="420"/>
      <c r="E250" s="501" t="str">
        <f>IF('Table of Contents &amp; Validation'!D62=TRUE,COUNTIF('Table of Contents &amp; Validation'!$D$5:D62,TRUE),"")</f>
        <v/>
      </c>
      <c r="F250" s="502"/>
    </row>
    <row r="251" spans="1:6">
      <c r="A251" s="10"/>
      <c r="B251" s="404" t="s">
        <v>9492</v>
      </c>
      <c r="C251" s="410"/>
      <c r="D251" s="395" t="b">
        <v>0</v>
      </c>
      <c r="E251" s="10" t="str">
        <f>IF('Table of Contents &amp; Validation'!D63=TRUE,COUNTIF('Table of Contents &amp; Validation'!$D$5:D63,TRUE),"")</f>
        <v/>
      </c>
      <c r="F251" s="398">
        <f>IF('Table of Contents &amp; Validation'!D63=TRUE,1,0)</f>
        <v>0</v>
      </c>
    </row>
    <row r="252" spans="1:6">
      <c r="A252" s="10"/>
      <c r="B252" s="404" t="s">
        <v>9493</v>
      </c>
      <c r="C252" s="410"/>
      <c r="D252" s="395" t="b">
        <v>0</v>
      </c>
      <c r="E252" s="10" t="str">
        <f>IF('Table of Contents &amp; Validation'!D64=TRUE,COUNTIF('Table of Contents &amp; Validation'!$D$5:D64,TRUE),"")</f>
        <v/>
      </c>
      <c r="F252" s="398">
        <f>IF('Table of Contents &amp; Validation'!D64=TRUE,1,0)</f>
        <v>0</v>
      </c>
    </row>
    <row r="253" spans="1:6" ht="15" thickBot="1">
      <c r="A253" s="10"/>
      <c r="B253" s="406" t="s">
        <v>9494</v>
      </c>
      <c r="C253" s="412"/>
      <c r="D253" s="396" t="b">
        <v>0</v>
      </c>
      <c r="E253" s="500" t="str">
        <f>IF('Table of Contents &amp; Validation'!D65=TRUE,COUNTIF('Table of Contents &amp; Validation'!$D$5:D65,TRUE),"")</f>
        <v/>
      </c>
      <c r="F253" s="399">
        <f>IF('Table of Contents &amp; Validation'!D65=TRUE,1,0)</f>
        <v>0</v>
      </c>
    </row>
    <row r="254" spans="1:6" s="12" customFormat="1" ht="15" thickBot="1">
      <c r="E254" s="12">
        <f>SUM(E193:E253)</f>
        <v>0</v>
      </c>
    </row>
    <row r="255" spans="1:6">
      <c r="A255" s="94" t="s">
        <v>9495</v>
      </c>
      <c r="B255" s="94"/>
    </row>
    <row r="256" spans="1:6">
      <c r="A256" s="542" t="s">
        <v>9496</v>
      </c>
      <c r="B256" s="546" t="s">
        <v>9497</v>
      </c>
      <c r="C256" s="546" t="s">
        <v>9498</v>
      </c>
    </row>
    <row r="257" spans="1:7" ht="29.15">
      <c r="A257" s="1" t="str">
        <f>IF(template_checkbox_introduction_docx=TRUE,COUNTIF(template_checkbox_introduction_docx,TRUE),"")</f>
        <v/>
      </c>
      <c r="B257" s="477" t="s">
        <v>9499</v>
      </c>
      <c r="C257" s="477" t="str">
        <f>template_label_introduction &amp; ": " &amp; template_label_disclosure_of_any_other_general_and_or_entity_specific_information_on_the_reporting_period</f>
        <v>Introduction: Introduction and/or other entity specific information</v>
      </c>
      <c r="F257" s="537"/>
      <c r="G257" s="538" t="s">
        <v>9500</v>
      </c>
    </row>
    <row r="258" spans="1:7" ht="58.3">
      <c r="A258" s="1" t="str">
        <f>IF(template_checkbox_b1_certifications_or_labels_docx=TRUE,COUNTIF('Table of Contents &amp; Validation'!E7:E15,TRUE),"")</f>
        <v/>
      </c>
      <c r="B258" s="477" t="s">
        <v>9501</v>
      </c>
      <c r="C258" s="477" t="str">
        <f>template_label_b1_disclosure_of_sustainability_related_certification_or_label &amp; " - " &amp; template_label_description_of_sustainability_related_certification_or_label</f>
        <v>B1 - Disclosure of sustainability-related certification(s) or label(s) - Description of sustainability-related certification(s) or label(s) including where relevant the issuers of the certification or label date and rating score</v>
      </c>
      <c r="G258" s="511" t="s">
        <v>9502</v>
      </c>
    </row>
    <row r="259" spans="1:7" ht="29.15">
      <c r="A259" s="1" t="str">
        <f>IF(template_checkbox_b7_description_of_circular_economy_principles_docx=TRUE,COUNTIF('Table of Contents &amp; Validation'!E7:E31,TRUE),"")</f>
        <v/>
      </c>
      <c r="B259" s="477" t="s">
        <v>9503</v>
      </c>
      <c r="C259" s="477" t="str">
        <f>template_label_b7_description_of_circular_economy_principles &amp; " - " &amp; template_label_description_of_how_it_applies_these_principles</f>
        <v>B7 - Description of circular economy principles - Description of how it applies these principles</v>
      </c>
      <c r="F259" s="94"/>
      <c r="G259" s="539" t="s">
        <v>9504</v>
      </c>
    </row>
    <row r="260" spans="1:7" ht="43.75">
      <c r="A260" s="540" t="str">
        <f>IF(template_checkbox_c1_strategy_business_model_and_sustainability_initiatives_docx=TRUE,COUNTIF('Table of Contents &amp; Validation'!E7:E47,TRUE),"")</f>
        <v/>
      </c>
      <c r="B260" s="477" t="s">
        <v>9505</v>
      </c>
      <c r="C260" s="477" t="str">
        <f>template_label_c1_strategy_business_model_and_sustainability_related_initiatives &amp; " - " &amp; template_label_description_of_significant_groups_of_products_and_or_services_offered</f>
        <v>C1 - Strategy: Business Model and Sustainability - Related Initiatives - Description of significant groups of products and or services offered</v>
      </c>
      <c r="G260" s="511"/>
    </row>
    <row r="261" spans="1:7" ht="58.3">
      <c r="A261" s="541" t="str">
        <f>IF(template_checkbox_c1_strategy_business_model_and_sustainability_initiatives_docx=TRUE,A260+0.3,"")</f>
        <v/>
      </c>
      <c r="B261" s="477" t="s">
        <v>9506</v>
      </c>
      <c r="C261" s="477" t="str">
        <f>template_label_c1_strategy_business_model_and_sustainability_related_initiatives &amp; " - " &amp; template_label_description_of_significant_market_the_undertaking_operates_in</f>
        <v>C1 - Strategy: Business Model and Sustainability - Related Initiatives - Description of significant market(s) the undertaking operates in (e.g. B2B, wholesale, retail, countries)</v>
      </c>
      <c r="F261" s="537"/>
      <c r="G261" s="538" t="s">
        <v>9507</v>
      </c>
    </row>
    <row r="262" spans="1:7" ht="58.3">
      <c r="A262" s="541" t="str">
        <f>IF(template_checkbox_c1_strategy_business_model_and_sustainability_initiatives_docx=TRUE,A261+0.2,"")</f>
        <v/>
      </c>
      <c r="B262" s="477" t="s">
        <v>9508</v>
      </c>
      <c r="C262" s="477" t="str">
        <f>template_label_c1_strategy_business_model_and_sustainability_related_initiatives &amp; " - " &amp; template_label_description_of_main_business_relationships</f>
        <v>C1 - Strategy: Business Model and Sustainability - Related Initiatives - Description of main business relationships (such as key suppliers, customers, distribution channels)</v>
      </c>
      <c r="G262" s="511" t="s">
        <v>9509</v>
      </c>
    </row>
    <row r="263" spans="1:7" ht="43.75">
      <c r="A263" s="541" t="str">
        <f>IF(template_checkbox_c1_strategy_business_model_and_sustainability_initiatives_docx=TRUE,A262+0.3,"")</f>
        <v/>
      </c>
      <c r="B263" s="477" t="s">
        <v>9510</v>
      </c>
      <c r="C263" s="477" t="str">
        <f>template_label_c1_strategy_business_model_and_sustainability_related_initiatives &amp; " - " &amp; template_label_description_of_those_key_elements_in_the_strategy_that_relate_or_affect_sustainability_issues</f>
        <v>C1 - Strategy: Business Model and Sustainability - Related Initiatives - Description of those key elements in the strategy that relate or affect sustainability issues</v>
      </c>
      <c r="G263" s="511" t="s">
        <v>9511</v>
      </c>
    </row>
    <row r="264" spans="1:7" ht="87.45">
      <c r="A264" s="540" t="str">
        <f>IF(template_checkbox_c2_description_of_practices_policies_and_future_initiatives_docx=TRUE,COUNTIF('Table of Contents &amp; Validation'!E7:E48,TRUE),"")</f>
        <v/>
      </c>
      <c r="B264" s="477" t="s">
        <v>9512</v>
      </c>
      <c r="C264" s="477" t="str">
        <f>template_label_c2_description_of_practices_policies_and_future_initiatives_for_transitioning_towards_a_more_sustainable_economy&amp; " - " &amp; template_label_description_of_a_practice_policy_and_or_future_initiative_towards_a_more_sustainable_future</f>
        <v>C2 - Description of practices policies and future initiatives for transitioning towards a more sustainable economy - Description of a practice policy and or future initiative towards a more sustainable future (In case the practice  policy  future initiative covers suppliers or clients the undertaking shall mention it)</v>
      </c>
      <c r="G264" s="511"/>
    </row>
    <row r="265" spans="1:7" ht="43.75">
      <c r="A265" s="541" t="str">
        <f>IF(template_checkbox_c2_description_of_practices_policies_and_future_initiatives_docx=TRUE,A264+0.3,"")</f>
        <v/>
      </c>
      <c r="B265" s="477" t="s">
        <v>9513</v>
      </c>
      <c r="C265" s="477" t="str">
        <f>template_label_c2_description_of_practices_policies_and_future_initiatives_for_transitioning_towards_a_more_sustainable_economy&amp; " - " &amp; template_label_description_of_target_related_to_a_policy</f>
        <v>C2 - Description of practices policies and future initiatives for transitioning towards a more sustainable economy - Description of target related to a policy</v>
      </c>
      <c r="F265" s="537"/>
      <c r="G265" s="538" t="s">
        <v>9514</v>
      </c>
    </row>
    <row r="266" spans="1:7" ht="87.45">
      <c r="A266" s="541" t="str">
        <f>IF(template_checkbox_c2_description_of_practices_policies_and_future_initiatives_docx=TRUE,A265+0.2,"")</f>
        <v/>
      </c>
      <c r="B266" s="477" t="s">
        <v>9471</v>
      </c>
      <c r="C266" s="477" t="str">
        <f>template_label_c2_description_of_practices_policies_and_future_initiatives_for_transitioning_towards_a_more_sustainable_economy&amp;" - " &amp; template_label_most_senior_level_accountable_for_implementing_practices_policies_and_or_future_initiatives</f>
        <v>C2 - Description of practices policies and future initiatives for transitioning towards a more sustainable economy - Most senior level in the undertaking (i.e. a person or a body) that is accountable for implementing those practices, policies, and future initiatives  when this has been determined by the undertaking</v>
      </c>
      <c r="G266" s="511" t="s">
        <v>9515</v>
      </c>
    </row>
    <row r="267" spans="1:7" ht="29.15">
      <c r="A267" s="1" t="str">
        <f>IF(template_checkbox_c3_list_of_main_actions_to_achieve_targets_docx=TRUE,COUNTIF('Table of Contents &amp; Validation'!E7:E52,TRUE),"")</f>
        <v/>
      </c>
      <c r="B267" s="477" t="s">
        <v>9516</v>
      </c>
      <c r="C267" s="477" t="str">
        <f>template_label_c3_disclosure_of_list_of_main_actions_the_entity_seeks_in_order_to_achieve_its_targets</f>
        <v>C3 - Disclosure of list of main actions the entity seeks in order to achieve its targets</v>
      </c>
      <c r="G267" s="511" t="s">
        <v>9517</v>
      </c>
    </row>
    <row r="268" spans="1:7" ht="58.3">
      <c r="A268" s="1" t="str">
        <f>IF(template_checkbox_c3_transition_plan_docx=TRUE,COUNTIF('Table of Contents &amp; Validation'!E7:E53,TRUE),"")</f>
        <v/>
      </c>
      <c r="B268" s="477" t="s">
        <v>9518</v>
      </c>
      <c r="C268" s="477" t="str">
        <f>template_label_c3_transition_plan_for_undertakings_operating_in_high_climate_impact_sectors&amp;" - "&amp;template_label_description_of_a_transition_plan_for_climate_change_mitigation</f>
        <v>C3 - Transition plan for undertakings operating in high climate impact sectors - Description of a transition plan for climate change mitigation including an explanation of how it is contributing to reduce GHG emissions</v>
      </c>
      <c r="G268" s="511"/>
    </row>
    <row r="269" spans="1:7" ht="29.15">
      <c r="A269" s="540" t="str">
        <f>IF(template_checkbox_c4_climate_risks_docx=TRUE,COUNTIF('Table of Contents &amp; Validation'!E7:E54,TRUE),"")</f>
        <v/>
      </c>
      <c r="B269" s="477" t="s">
        <v>9519</v>
      </c>
      <c r="C269" s="477" t="str">
        <f>template_label_c4_climate_risks&amp; " - " &amp; template_label_description_of_climate_related_hazards_and_climate_related_transition_events</f>
        <v>C4 - Climate risks - Description of climate-related hazards and climate-related transition events</v>
      </c>
      <c r="F269" s="537"/>
      <c r="G269" s="538" t="s">
        <v>9520</v>
      </c>
    </row>
    <row r="270" spans="1:7" ht="43.75">
      <c r="A270" s="541" t="str">
        <f>IF(template_checkbox_c4_climate_risks_docx=TRUE,A269+0.3,"")</f>
        <v/>
      </c>
      <c r="B270" s="477" t="s">
        <v>9521</v>
      </c>
      <c r="C270" s="477" t="str">
        <f>template_label_c4_climate_risks&amp; " - " &amp; template_label_disclosure_of_how_it_has_assessed_the_exposure_and_sensitivity_of_its_assets</f>
        <v>C4 - Climate risks - Disclosure of how it has assessed the exposure and sensitivity of its assets activities and value chain to these hazards and transition events</v>
      </c>
      <c r="G270" s="511" t="s">
        <v>9522</v>
      </c>
    </row>
    <row r="271" spans="1:7" ht="29.15">
      <c r="A271" s="541" t="str">
        <f>IF(template_checkbox_c4_climate_risks_docx=TRUE,A270+0.2,"")</f>
        <v/>
      </c>
      <c r="B271" s="477" t="s">
        <v>9523</v>
      </c>
      <c r="C271" s="477" t="str">
        <f>template_label_c4_climate_risks&amp; " - " &amp; template_label_time_horizons_of_any_climate_related_hazards_and_transition_events_identified</f>
        <v>C4 - Climate risks - Time horizons of any climate-related hazards and transition events identified</v>
      </c>
      <c r="G271" s="511" t="s">
        <v>9524</v>
      </c>
    </row>
    <row r="272" spans="1:7" ht="72.900000000000006">
      <c r="A272" s="541" t="str">
        <f>IF(template_checkbox_c4_climate_risks_docx=TRUE,A271+0.3,"")</f>
        <v/>
      </c>
      <c r="B272" s="477" t="s">
        <v>9525</v>
      </c>
      <c r="C272" s="477" t="str">
        <f>template_label_c4_climate_risks&amp; " - " &amp; template_label_potential_adverse_effects_of_climate_risks</f>
        <v>C4 - Climate risks - Potential adverse effects of climate risks that may affect its financial performance or business operations in the short- medium- or long-term indicating whether it assesses the risks to be high medium or low</v>
      </c>
      <c r="G272" s="511" t="s">
        <v>9526</v>
      </c>
    </row>
    <row r="273" spans="1:7" ht="58.3">
      <c r="A273" s="1" t="str">
        <f>IF(template_checkbox_c6_additional_own_workforce_information_docx=TRUE,COUNTIF('Table of Contents &amp; Validation'!E7:E57,TRUE),"")</f>
        <v/>
      </c>
      <c r="B273" s="477" t="s">
        <v>9527</v>
      </c>
      <c r="C273" s="477" t="str">
        <f>template_label_c6_additional_own_workforce_information_human_rights_policies_and_processes&amp; " - " &amp;template_label_specify_other_types_of_content_covered_by_the_code_of_conduct_or_human_rights_policy</f>
        <v>C6 - Additional own workforce information - Human rights policies and processes - Specify other types of content covered by the code of conduct or human rights policy</v>
      </c>
      <c r="G273" s="511" t="s">
        <v>9528</v>
      </c>
    </row>
    <row r="274" spans="1:7" ht="29.15">
      <c r="A274" s="540" t="str">
        <f>IF(template_checkbox_c7_severe_negative_human_rights_incidents_docx=TRUE,COUNTIF('Table of Contents &amp; Validation'!E7:E58,TRUE),"")</f>
        <v/>
      </c>
      <c r="B274" s="477" t="s">
        <v>9529</v>
      </c>
      <c r="C274" s="477" t="str">
        <f>template_label_c7_human_rights_incidents&amp; " - "&amp;template_label_specify_other_human_rights_related_to_the_confirmed_incidents</f>
        <v>C7 - Human rights incidents - Specify other human rights related to the confirmed incidents</v>
      </c>
      <c r="G274" s="511" t="s">
        <v>9530</v>
      </c>
    </row>
    <row r="275" spans="1:7" ht="29.15">
      <c r="A275" s="541" t="str">
        <f>IF(template_checkbox_c7_severe_negative_human_rights_incidents_docx=TRUE,A274+0.3,"")</f>
        <v/>
      </c>
      <c r="B275" s="477" t="s">
        <v>9531</v>
      </c>
      <c r="C275" s="477" t="str">
        <f>template_label_c7_human_rights_incidents&amp; " - "&amp; template_label_description_of_actions_taken_to_address_the_confirmed_incidents</f>
        <v>C7 - Human rights incidents - Description of actions taken to address the confirmed incidents</v>
      </c>
      <c r="G275" s="511"/>
    </row>
    <row r="276" spans="1:7" ht="62.4" customHeight="1">
      <c r="A276" s="541" t="str">
        <f>IF(template_checkbox_c7_severe_negative_human_rights_incidents_docx=TRUE,A275+0.2,"")</f>
        <v/>
      </c>
      <c r="B276" s="477" t="s">
        <v>9532</v>
      </c>
      <c r="C276" s="477" t="str">
        <f>template_label_c7_human_rights_incidents&amp; " - " &amp;template_label_specification_of_any_confirmed_incident_involving_workers</f>
        <v>C7 - Human rights incidents - Specification of any confirmed incident identified in the reporitng period involving workers in the value chain affected communities consumers and end-users</v>
      </c>
      <c r="F276" s="537"/>
      <c r="G276" s="538" t="s">
        <v>9533</v>
      </c>
    </row>
    <row r="277" spans="1:7" ht="29.15">
      <c r="A277" s="1" t="str">
        <f>IF(template_checkbox_entity_specific_environmental_disclosures_docx=TRUE,COUNTIF('Table of Contents &amp; Validation'!E7:E63,TRUE),"")</f>
        <v/>
      </c>
      <c r="B277" s="477" t="s">
        <v>9534</v>
      </c>
      <c r="C277" s="477" t="str">
        <f>template_label_disclosure_of_any_other_environmental_and_or_entity_specific_environmental_disclosures</f>
        <v>Disclosure of any other environmental and/or entity specific environmental disclosures</v>
      </c>
      <c r="G277" s="511" t="s">
        <v>9535</v>
      </c>
    </row>
    <row r="278" spans="1:7" ht="29.15">
      <c r="A278" s="1" t="str">
        <f>IF(template_checkbox_entity_specific_social_disclosures_docx=TRUE,COUNTIF('Table of Contents &amp; Validation'!E7:E64,TRUE),"")</f>
        <v/>
      </c>
      <c r="B278" s="477" t="s">
        <v>9536</v>
      </c>
      <c r="C278" s="477" t="str">
        <f>template_label_disclosure_of_any_other_social_and_or_entity_specific_social_disclosures</f>
        <v>Disclosure of any other social and/or entity specific social disclosures</v>
      </c>
      <c r="G278" s="511" t="s">
        <v>9537</v>
      </c>
    </row>
    <row r="279" spans="1:7" ht="29.15">
      <c r="A279" s="1" t="str">
        <f>IF(template_checkbox_entity_specific_governance_disclosures_docx=TRUE,COUNTIF('Table of Contents &amp; Validation'!E7:E65,TRUE),"")</f>
        <v/>
      </c>
      <c r="B279" s="477" t="s">
        <v>9538</v>
      </c>
      <c r="C279" s="477" t="str">
        <f>template_label_disclosure_of_any_other_governance_and_or_entity_specific_governance_disclosures</f>
        <v>Disclosure of any other governance and/or entity specific governance disclosures</v>
      </c>
      <c r="G279" s="511" t="s">
        <v>9539</v>
      </c>
    </row>
    <row r="280" spans="1:7">
      <c r="A280" s="542" t="s">
        <v>4913</v>
      </c>
      <c r="B280" s="543" t="s">
        <v>9540</v>
      </c>
      <c r="G280" s="511" t="s">
        <v>9541</v>
      </c>
    </row>
    <row r="281" spans="1:7">
      <c r="A281" s="1">
        <v>1</v>
      </c>
      <c r="B281" s="544" t="str">
        <f>_xlfn.IFNA(_xlfn.XLOOKUP(A281,$A$257:$A$279,$B$257:$B$279),"")</f>
        <v/>
      </c>
      <c r="G281" s="511"/>
    </row>
    <row r="282" spans="1:7">
      <c r="A282" s="1">
        <v>1.3</v>
      </c>
      <c r="B282" s="544" t="str">
        <f t="shared" ref="B282:B312" si="4">_xlfn.IFNA(_xlfn.XLOOKUP(A282,$A$257:$A$279,$B$257:$B$279),"")</f>
        <v/>
      </c>
      <c r="F282" s="537"/>
      <c r="G282" s="538" t="s">
        <v>9542</v>
      </c>
    </row>
    <row r="283" spans="1:7">
      <c r="A283" s="1">
        <v>1.5</v>
      </c>
      <c r="B283" s="544" t="str">
        <f t="shared" si="4"/>
        <v/>
      </c>
      <c r="G283" s="511" t="s">
        <v>9543</v>
      </c>
    </row>
    <row r="284" spans="1:7">
      <c r="A284" s="1">
        <v>1.8</v>
      </c>
      <c r="B284" s="544" t="str">
        <f t="shared" si="4"/>
        <v/>
      </c>
      <c r="F284" s="94"/>
      <c r="G284" s="539" t="s">
        <v>9544</v>
      </c>
    </row>
    <row r="285" spans="1:7">
      <c r="A285" s="1">
        <v>2</v>
      </c>
      <c r="B285" s="544" t="str">
        <f t="shared" si="4"/>
        <v/>
      </c>
      <c r="F285" s="537"/>
      <c r="G285" s="538" t="s">
        <v>9545</v>
      </c>
    </row>
    <row r="286" spans="1:7">
      <c r="A286" s="1">
        <v>2.2999999999999998</v>
      </c>
      <c r="B286" s="477" t="str">
        <f t="shared" si="4"/>
        <v/>
      </c>
      <c r="G286" s="511" t="s">
        <v>9546</v>
      </c>
    </row>
    <row r="287" spans="1:7">
      <c r="A287" s="1">
        <v>2.5</v>
      </c>
      <c r="B287" s="477" t="str">
        <f t="shared" si="4"/>
        <v/>
      </c>
      <c r="G287" s="511" t="s">
        <v>9547</v>
      </c>
    </row>
    <row r="288" spans="1:7">
      <c r="A288" s="1">
        <v>2.8</v>
      </c>
      <c r="B288" s="477" t="str">
        <f t="shared" si="4"/>
        <v/>
      </c>
      <c r="G288" s="511"/>
    </row>
    <row r="289" spans="1:7">
      <c r="A289" s="1">
        <v>3</v>
      </c>
      <c r="B289" s="477" t="str">
        <f t="shared" si="4"/>
        <v/>
      </c>
      <c r="G289" s="511" t="s">
        <v>9548</v>
      </c>
    </row>
    <row r="290" spans="1:7">
      <c r="A290" s="1">
        <v>3.3</v>
      </c>
      <c r="B290" s="477" t="str">
        <f t="shared" si="4"/>
        <v/>
      </c>
      <c r="G290" s="511" t="s">
        <v>9549</v>
      </c>
    </row>
    <row r="291" spans="1:7">
      <c r="A291" s="1">
        <v>3.5</v>
      </c>
      <c r="B291" s="477" t="str">
        <f t="shared" si="4"/>
        <v/>
      </c>
      <c r="G291" s="511" t="s">
        <v>9550</v>
      </c>
    </row>
    <row r="292" spans="1:7">
      <c r="A292" s="1">
        <v>3.8</v>
      </c>
      <c r="B292" s="477" t="str">
        <f t="shared" si="4"/>
        <v/>
      </c>
      <c r="G292" s="511" t="s">
        <v>9551</v>
      </c>
    </row>
    <row r="293" spans="1:7">
      <c r="A293" s="1">
        <v>4</v>
      </c>
      <c r="B293" s="477" t="str">
        <f t="shared" si="4"/>
        <v/>
      </c>
      <c r="G293" s="511"/>
    </row>
    <row r="294" spans="1:7">
      <c r="A294" s="1">
        <v>4.3</v>
      </c>
      <c r="B294" s="477" t="str">
        <f t="shared" si="4"/>
        <v/>
      </c>
      <c r="F294" s="537"/>
      <c r="G294" s="538" t="s">
        <v>9552</v>
      </c>
    </row>
    <row r="295" spans="1:7">
      <c r="A295" s="1">
        <v>4.5</v>
      </c>
      <c r="B295" s="477" t="str">
        <f t="shared" si="4"/>
        <v/>
      </c>
      <c r="G295" s="511" t="s">
        <v>9553</v>
      </c>
    </row>
    <row r="296" spans="1:7">
      <c r="A296" s="1">
        <v>4.8</v>
      </c>
      <c r="B296" s="477" t="str">
        <f t="shared" si="4"/>
        <v/>
      </c>
      <c r="G296" s="511" t="s">
        <v>9554</v>
      </c>
    </row>
    <row r="297" spans="1:7">
      <c r="A297" s="1">
        <v>5</v>
      </c>
      <c r="B297" s="477" t="str">
        <f t="shared" si="4"/>
        <v/>
      </c>
      <c r="F297" s="537"/>
      <c r="G297" s="538" t="s">
        <v>9555</v>
      </c>
    </row>
    <row r="298" spans="1:7">
      <c r="A298" s="1">
        <v>5.3</v>
      </c>
      <c r="B298" s="477" t="str">
        <f t="shared" si="4"/>
        <v/>
      </c>
      <c r="G298" s="511" t="s">
        <v>9556</v>
      </c>
    </row>
    <row r="299" spans="1:7">
      <c r="A299" s="1">
        <v>5.5</v>
      </c>
      <c r="B299" s="477" t="str">
        <f t="shared" si="4"/>
        <v/>
      </c>
      <c r="G299" s="511" t="s">
        <v>9557</v>
      </c>
    </row>
    <row r="300" spans="1:7">
      <c r="A300" s="1">
        <v>5.8</v>
      </c>
      <c r="B300" s="477" t="str">
        <f t="shared" si="4"/>
        <v/>
      </c>
      <c r="G300" s="511" t="s">
        <v>9558</v>
      </c>
    </row>
    <row r="301" spans="1:7">
      <c r="A301" s="1">
        <v>6</v>
      </c>
      <c r="B301" s="477" t="str">
        <f t="shared" si="4"/>
        <v/>
      </c>
      <c r="G301" s="511"/>
    </row>
    <row r="302" spans="1:7">
      <c r="A302" s="1">
        <v>6.3</v>
      </c>
      <c r="B302" s="477" t="str">
        <f t="shared" si="4"/>
        <v/>
      </c>
      <c r="F302" s="537"/>
      <c r="G302" s="538" t="s">
        <v>9559</v>
      </c>
    </row>
    <row r="303" spans="1:7">
      <c r="A303" s="1">
        <v>6.5</v>
      </c>
      <c r="B303" s="477" t="str">
        <f t="shared" si="4"/>
        <v/>
      </c>
      <c r="G303" s="511" t="s">
        <v>9560</v>
      </c>
    </row>
    <row r="304" spans="1:7">
      <c r="A304" s="1">
        <v>6.8</v>
      </c>
      <c r="B304" s="477" t="str">
        <f t="shared" si="4"/>
        <v/>
      </c>
      <c r="F304" s="94"/>
      <c r="G304" s="539" t="s">
        <v>9561</v>
      </c>
    </row>
    <row r="305" spans="1:7">
      <c r="A305" s="1">
        <v>7</v>
      </c>
      <c r="B305" s="477" t="str">
        <f t="shared" si="4"/>
        <v/>
      </c>
      <c r="F305" s="537"/>
      <c r="G305" s="538" t="s">
        <v>9562</v>
      </c>
    </row>
    <row r="306" spans="1:7">
      <c r="A306" s="1">
        <v>7.3</v>
      </c>
      <c r="B306" s="477" t="str">
        <f t="shared" si="4"/>
        <v/>
      </c>
      <c r="G306" s="511" t="s">
        <v>9563</v>
      </c>
    </row>
    <row r="307" spans="1:7">
      <c r="A307" s="1">
        <v>7.5</v>
      </c>
      <c r="B307" s="477" t="str">
        <f t="shared" si="4"/>
        <v/>
      </c>
      <c r="F307" s="94"/>
      <c r="G307" s="539" t="s">
        <v>9564</v>
      </c>
    </row>
    <row r="308" spans="1:7">
      <c r="A308" s="1">
        <v>7.8</v>
      </c>
      <c r="B308" s="477" t="str">
        <f t="shared" si="4"/>
        <v/>
      </c>
      <c r="G308" s="511"/>
    </row>
    <row r="309" spans="1:7">
      <c r="A309" s="1">
        <v>8</v>
      </c>
      <c r="B309" s="477" t="str">
        <f t="shared" si="4"/>
        <v/>
      </c>
      <c r="G309" s="511" t="s">
        <v>9565</v>
      </c>
    </row>
    <row r="310" spans="1:7">
      <c r="A310" s="1">
        <v>8.3000000000000007</v>
      </c>
      <c r="B310" s="477" t="str">
        <f t="shared" si="4"/>
        <v/>
      </c>
      <c r="E310" s="94"/>
      <c r="G310" s="539" t="s">
        <v>9566</v>
      </c>
    </row>
    <row r="311" spans="1:7">
      <c r="A311" s="1">
        <v>8.5</v>
      </c>
      <c r="B311" s="477" t="str">
        <f t="shared" si="4"/>
        <v/>
      </c>
    </row>
    <row r="312" spans="1:7">
      <c r="A312" s="1">
        <v>8.8000000000000007</v>
      </c>
      <c r="B312" s="477" t="str">
        <f t="shared" si="4"/>
        <v/>
      </c>
    </row>
    <row r="313" spans="1:7">
      <c r="A313" s="1">
        <v>9</v>
      </c>
      <c r="B313" s="477" t="str">
        <f t="shared" ref="B313:B329" si="5">_xlfn.IFNA(_xlfn.XLOOKUP(A313,$A$257:$A$279,$B$257:$B$279),"")</f>
        <v/>
      </c>
    </row>
    <row r="314" spans="1:7">
      <c r="A314" s="1">
        <v>9.3000000000000007</v>
      </c>
      <c r="B314" s="477" t="str">
        <f t="shared" si="5"/>
        <v/>
      </c>
    </row>
    <row r="315" spans="1:7">
      <c r="A315" s="1">
        <v>9.5</v>
      </c>
      <c r="B315" s="477" t="str">
        <f t="shared" si="5"/>
        <v/>
      </c>
    </row>
    <row r="316" spans="1:7">
      <c r="A316" s="1">
        <v>9.8000000000000007</v>
      </c>
      <c r="B316" s="477" t="str">
        <f t="shared" si="5"/>
        <v/>
      </c>
    </row>
    <row r="317" spans="1:7">
      <c r="A317" s="1">
        <v>10</v>
      </c>
      <c r="B317" s="477" t="str">
        <f t="shared" si="5"/>
        <v/>
      </c>
    </row>
    <row r="318" spans="1:7">
      <c r="A318" s="1">
        <v>10.3</v>
      </c>
      <c r="B318" s="477" t="str">
        <f t="shared" si="5"/>
        <v/>
      </c>
    </row>
    <row r="319" spans="1:7">
      <c r="A319" s="1">
        <v>10.5</v>
      </c>
      <c r="B319" s="477" t="str">
        <f t="shared" si="5"/>
        <v/>
      </c>
    </row>
    <row r="320" spans="1:7">
      <c r="A320" s="1">
        <v>10.8</v>
      </c>
      <c r="B320" s="477" t="str">
        <f t="shared" si="5"/>
        <v/>
      </c>
    </row>
    <row r="321" spans="1:2">
      <c r="A321" s="1">
        <v>11</v>
      </c>
      <c r="B321" s="477" t="str">
        <f t="shared" si="5"/>
        <v/>
      </c>
    </row>
    <row r="322" spans="1:2">
      <c r="A322" s="1">
        <v>11.3</v>
      </c>
      <c r="B322" s="477" t="str">
        <f t="shared" si="5"/>
        <v/>
      </c>
    </row>
    <row r="323" spans="1:2">
      <c r="A323" s="1">
        <v>11.5</v>
      </c>
      <c r="B323" s="477" t="str">
        <f t="shared" si="5"/>
        <v/>
      </c>
    </row>
    <row r="324" spans="1:2">
      <c r="A324" s="1">
        <v>11.8</v>
      </c>
      <c r="B324" s="477" t="str">
        <f t="shared" si="5"/>
        <v/>
      </c>
    </row>
    <row r="325" spans="1:2">
      <c r="A325" s="1">
        <v>12</v>
      </c>
      <c r="B325" s="477" t="str">
        <f t="shared" si="5"/>
        <v/>
      </c>
    </row>
    <row r="326" spans="1:2">
      <c r="A326" s="1">
        <v>12.3</v>
      </c>
      <c r="B326" s="477" t="str">
        <f t="shared" si="5"/>
        <v/>
      </c>
    </row>
    <row r="327" spans="1:2">
      <c r="A327" s="1">
        <v>12.5</v>
      </c>
      <c r="B327" s="477" t="str">
        <f t="shared" si="5"/>
        <v/>
      </c>
    </row>
    <row r="328" spans="1:2">
      <c r="A328" s="1">
        <v>12.8</v>
      </c>
      <c r="B328" s="477" t="str">
        <f t="shared" si="5"/>
        <v/>
      </c>
    </row>
    <row r="329" spans="1:2" s="12" customFormat="1" ht="15" thickBot="1">
      <c r="A329" s="545">
        <v>13</v>
      </c>
      <c r="B329" s="480" t="str">
        <f t="shared" si="5"/>
        <v/>
      </c>
    </row>
  </sheetData>
  <mergeCells count="3">
    <mergeCell ref="B191:B192"/>
    <mergeCell ref="D191:D192"/>
    <mergeCell ref="A17:B19"/>
  </mergeCells>
  <conditionalFormatting sqref="B190:C190">
    <cfRule type="expression" dxfId="31" priority="49">
      <formula>B$139="INCOMPLETE"</formula>
    </cfRule>
    <cfRule type="expression" dxfId="30" priority="50">
      <formula>B$139="COMPLETE"</formula>
    </cfRule>
  </conditionalFormatting>
  <conditionalFormatting sqref="C191">
    <cfRule type="expression" dxfId="29" priority="47">
      <formula>$C$3=template_label_incomplete</formula>
    </cfRule>
    <cfRule type="expression" dxfId="28" priority="48">
      <formula>$C$3=template_label_complete</formula>
    </cfRule>
  </conditionalFormatting>
  <conditionalFormatting sqref="C194:C197 C199:C233 C235:C253">
    <cfRule type="expression" dxfId="27" priority="19">
      <formula>$C194=template_label_classified_or_sensitive_information</formula>
    </cfRule>
    <cfRule type="expression" dxfId="26" priority="38">
      <formula>$C194=template_label_value_inconsistency</formula>
    </cfRule>
    <cfRule type="expression" dxfId="25" priority="39">
      <formula>$C194=template_label_invalid_url</formula>
    </cfRule>
    <cfRule type="expression" dxfId="24" priority="40">
      <formula>$C194=template_label_error_plus_missing_value_plus_value_inconsistency</formula>
    </cfRule>
    <cfRule type="expression" dxfId="23" priority="41">
      <formula>$C194=template_label_error_plus_value_inconsistency</formula>
    </cfRule>
    <cfRule type="expression" dxfId="22" priority="42">
      <formula>$C194=template_label_error_plus_missing_value</formula>
    </cfRule>
    <cfRule type="expression" dxfId="21" priority="43">
      <formula>$C194=template_label_missing_value_plus_value_inconsistency</formula>
    </cfRule>
    <cfRule type="expression" dxfId="20" priority="44">
      <formula>$C194=template_label_missing_value</formula>
    </cfRule>
    <cfRule type="expression" dxfId="19" priority="45">
      <formula>$C194=template_label_error</formula>
    </cfRule>
    <cfRule type="expression" dxfId="18" priority="46">
      <formula>$C194=template_label_ok</formula>
    </cfRule>
  </conditionalFormatting>
  <conditionalFormatting sqref="D197:D198">
    <cfRule type="expression" dxfId="17" priority="20">
      <formula>$C197=template_label_value_inconsistency</formula>
    </cfRule>
    <cfRule type="expression" dxfId="16" priority="21">
      <formula>$C197=template_label_invalid_url</formula>
    </cfRule>
    <cfRule type="expression" dxfId="15" priority="22">
      <formula>$C197=template_label_error_plus_missing_value_plus_value_inconsistency</formula>
    </cfRule>
    <cfRule type="expression" dxfId="14" priority="23">
      <formula>$C197=template_label_error_plus_value_inconsistency</formula>
    </cfRule>
    <cfRule type="expression" dxfId="13" priority="24">
      <formula>$C197=template_label_error_plus_missing_value</formula>
    </cfRule>
    <cfRule type="expression" dxfId="12" priority="25">
      <formula>$C197=template_label_missing_value_plus_value_inconsistency</formula>
    </cfRule>
    <cfRule type="expression" dxfId="11" priority="26">
      <formula>$C197=template_label_missing_value</formula>
    </cfRule>
    <cfRule type="expression" dxfId="10" priority="27">
      <formula>$C197=template_label_error</formula>
    </cfRule>
    <cfRule type="expression" dxfId="9" priority="28">
      <formula>$C197=template_label_ok</formula>
    </cfRule>
  </conditionalFormatting>
  <conditionalFormatting sqref="D207">
    <cfRule type="expression" dxfId="8" priority="1">
      <formula>$C207=template_label_value_inconsistency</formula>
    </cfRule>
    <cfRule type="expression" dxfId="7" priority="2">
      <formula>$C207=template_label_invalid_url</formula>
    </cfRule>
    <cfRule type="expression" dxfId="6" priority="3">
      <formula>$C207=template_label_error_plus_missing_value_plus_value_inconsistency</formula>
    </cfRule>
    <cfRule type="expression" dxfId="5" priority="4">
      <formula>$C207=template_label_error_plus_value_inconsistency</formula>
    </cfRule>
    <cfRule type="expression" dxfId="4" priority="5">
      <formula>$C207=template_label_error_plus_missing_value</formula>
    </cfRule>
    <cfRule type="expression" dxfId="3" priority="6">
      <formula>$C207=template_label_missing_value_plus_value_inconsistency</formula>
    </cfRule>
    <cfRule type="expression" dxfId="2" priority="7">
      <formula>$C207=template_label_missing_value</formula>
    </cfRule>
    <cfRule type="expression" dxfId="1" priority="8">
      <formula>$C207=template_label_error</formula>
    </cfRule>
    <cfRule type="expression" dxfId="0" priority="9">
      <formula>$C207=template_label_ok</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sheetPr codeName="Sheet12"/>
  <dimension ref="A1:A21"/>
  <sheetViews>
    <sheetView workbookViewId="0"/>
  </sheetViews>
  <sheetFormatPr defaultColWidth="8.84375" defaultRowHeight="14.6"/>
  <cols>
    <col min="1" max="1" width="78.4609375" style="10" customWidth="1"/>
    <col min="2" max="16384" width="8.84375" style="10"/>
  </cols>
  <sheetData>
    <row r="1" spans="1:1">
      <c r="A1" s="188" t="s">
        <v>9567</v>
      </c>
    </row>
    <row r="2" spans="1:1">
      <c r="A2" s="189"/>
    </row>
    <row r="3" spans="1:1">
      <c r="A3" s="189" t="s">
        <v>9568</v>
      </c>
    </row>
    <row r="4" spans="1:1">
      <c r="A4" s="189"/>
    </row>
    <row r="5" spans="1:1">
      <c r="A5" s="189" t="s">
        <v>9569</v>
      </c>
    </row>
    <row r="6" spans="1:1">
      <c r="A6" s="189" t="s">
        <v>9570</v>
      </c>
    </row>
    <row r="7" spans="1:1">
      <c r="A7" s="189" t="s">
        <v>9571</v>
      </c>
    </row>
    <row r="8" spans="1:1">
      <c r="A8" s="189" t="s">
        <v>9572</v>
      </c>
    </row>
    <row r="9" spans="1:1">
      <c r="A9" s="189" t="s">
        <v>9573</v>
      </c>
    </row>
    <row r="10" spans="1:1">
      <c r="A10" s="189" t="s">
        <v>9574</v>
      </c>
    </row>
    <row r="11" spans="1:1">
      <c r="A11" s="189"/>
    </row>
    <row r="12" spans="1:1">
      <c r="A12" s="189" t="s">
        <v>9575</v>
      </c>
    </row>
    <row r="13" spans="1:1">
      <c r="A13" s="189" t="s">
        <v>9576</v>
      </c>
    </row>
    <row r="14" spans="1:1">
      <c r="A14" s="189"/>
    </row>
    <row r="15" spans="1:1">
      <c r="A15" s="189" t="s">
        <v>9577</v>
      </c>
    </row>
    <row r="16" spans="1:1">
      <c r="A16" s="189" t="s">
        <v>9578</v>
      </c>
    </row>
    <row r="17" spans="1:1">
      <c r="A17" s="189" t="s">
        <v>9579</v>
      </c>
    </row>
    <row r="18" spans="1:1">
      <c r="A18" s="189" t="s">
        <v>9580</v>
      </c>
    </row>
    <row r="19" spans="1:1">
      <c r="A19" s="189" t="s">
        <v>9581</v>
      </c>
    </row>
    <row r="20" spans="1:1">
      <c r="A20" s="189" t="s">
        <v>9582</v>
      </c>
    </row>
    <row r="21" spans="1:1" ht="15" thickBot="1">
      <c r="A21" s="190" t="s">
        <v>9583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4ACDE-9899-4AC6-B2AE-7D52E6244DE2}">
  <dimension ref="A1:M144"/>
  <sheetViews>
    <sheetView zoomScale="79" workbookViewId="0"/>
  </sheetViews>
  <sheetFormatPr defaultRowHeight="14.6"/>
  <cols>
    <col min="1" max="1" width="168" bestFit="1" customWidth="1"/>
    <col min="2" max="13" width="30.53515625" style="2" customWidth="1"/>
    <col min="14" max="14" width="9.07421875" bestFit="1" customWidth="1"/>
  </cols>
  <sheetData>
    <row r="1" spans="1:13" ht="14.4" customHeight="1" thickBot="1">
      <c r="A1" s="20" t="s">
        <v>9584</v>
      </c>
      <c r="B1" s="482" t="s">
        <v>0</v>
      </c>
      <c r="C1" s="475" t="s">
        <v>9585</v>
      </c>
      <c r="D1" s="475" t="s">
        <v>9586</v>
      </c>
      <c r="E1" s="475" t="s">
        <v>9587</v>
      </c>
      <c r="F1" s="475" t="s">
        <v>9588</v>
      </c>
      <c r="G1" s="475" t="s">
        <v>9589</v>
      </c>
      <c r="H1" s="475" t="s">
        <v>9590</v>
      </c>
      <c r="I1" s="475" t="s">
        <v>9591</v>
      </c>
      <c r="J1" s="475" t="s">
        <v>9592</v>
      </c>
      <c r="K1" s="475" t="s">
        <v>9593</v>
      </c>
      <c r="L1" s="475" t="s">
        <v>9594</v>
      </c>
      <c r="M1" s="475" t="s">
        <v>9595</v>
      </c>
    </row>
    <row r="2" spans="1:13" ht="14.4" customHeight="1">
      <c r="A2" s="13" t="str" cm="1">
        <f t="array" ref="A2">_xlfn.IFS(
template_selected_display_language='Footnote (Taxonomy) Labels'!$B$1,'Footnote (Taxonomy) Labels'!$B2,
template_selected_display_language='Footnote (Taxonomy) Labels'!$C$1,'Footnote (Taxonomy) Labels'!$C2,
template_selected_display_language='Footnote (Taxonomy) Labels'!$D$1,'Footnote (Taxonomy) Labels'!$D2,
template_selected_display_language='Footnote (Taxonomy) Labels'!$E$1,'Footnote (Taxonomy) Labels'!$E2,
template_selected_display_language='Footnote (Taxonomy) Labels'!$F$1,'Footnote (Taxonomy) Labels'!$F2,
template_selected_display_language='Footnote (Taxonomy) Labels'!$G$1,'Footnote (Taxonomy) Labels'!$G2,
template_selected_display_language='Footnote (Taxonomy) Labels'!$H$1,'Footnote (Taxonomy) Labels'!$H2,
template_selected_display_language='Footnote (Taxonomy) Labels'!$I$1,'Footnote (Taxonomy) Labels'!$I2,
template_selected_display_language='Footnote (Taxonomy) Labels'!$J$1,'Footnote (Taxonomy) Labels'!$J2,
template_selected_display_language='Footnote (Taxonomy) Labels'!$K$1,'Footnote (Taxonomy) Labels'!$K2,
template_selected_display_language='Footnote (Taxonomy) Labels'!$L$1,'Footnote (Taxonomy) Labels'!$L2,
template_selected_display_language='Footnote (Taxonomy) Labels'!$M$1,'Footnote (Taxonomy) Labels'!$M2
)</f>
        <v>Basis for preparation (Basic Module Only or Basic &amp; Comprehensive Module)</v>
      </c>
      <c r="B2" s="483" t="s">
        <v>4743</v>
      </c>
      <c r="C2" s="476" t="s">
        <v>9596</v>
      </c>
      <c r="D2" s="476" t="s">
        <v>9597</v>
      </c>
      <c r="E2" s="476" t="s">
        <v>9598</v>
      </c>
      <c r="F2" s="476" t="s">
        <v>9599</v>
      </c>
      <c r="G2" s="476" t="s">
        <v>9600</v>
      </c>
      <c r="H2" s="476" t="s">
        <v>9601</v>
      </c>
      <c r="I2" s="476" t="s">
        <v>9602</v>
      </c>
      <c r="J2" s="476" t="s">
        <v>9603</v>
      </c>
      <c r="K2" s="476" t="s">
        <v>9604</v>
      </c>
      <c r="L2" s="476" t="s">
        <v>9605</v>
      </c>
      <c r="M2" s="478" t="s">
        <v>9606</v>
      </c>
    </row>
    <row r="3" spans="1:13" ht="14.4" customHeight="1">
      <c r="A3" s="4" t="str" cm="1">
        <f t="array" ref="A3">_xlfn.IFS(
template_selected_display_language='Footnote (Taxonomy) Labels'!$B$1,'Footnote (Taxonomy) Labels'!$B3,
template_selected_display_language='Footnote (Taxonomy) Labels'!$C$1,'Footnote (Taxonomy) Labels'!$C3,
template_selected_display_language='Footnote (Taxonomy) Labels'!$D$1,'Footnote (Taxonomy) Labels'!$D3,
template_selected_display_language='Footnote (Taxonomy) Labels'!$E$1,'Footnote (Taxonomy) Labels'!$E3,
template_selected_display_language='Footnote (Taxonomy) Labels'!$F$1,'Footnote (Taxonomy) Labels'!$F3,
template_selected_display_language='Footnote (Taxonomy) Labels'!$G$1,'Footnote (Taxonomy) Labels'!$G3,
template_selected_display_language='Footnote (Taxonomy) Labels'!$H$1,'Footnote (Taxonomy) Labels'!$H3,
template_selected_display_language='Footnote (Taxonomy) Labels'!$I$1,'Footnote (Taxonomy) Labels'!$I3,
template_selected_display_language='Footnote (Taxonomy) Labels'!$J$1,'Footnote (Taxonomy) Labels'!$J3,
template_selected_display_language='Footnote (Taxonomy) Labels'!$K$1,'Footnote (Taxonomy) Labels'!$K3,
template_selected_display_language='Footnote (Taxonomy) Labels'!$L$1,'Footnote (Taxonomy) Labels'!$L3,
template_selected_display_language='Footnote (Taxonomy) Labels'!$M$1,'Footnote (Taxonomy) Labels'!$M3
)</f>
        <v>Basis for reporting (consolidated or individual basis)</v>
      </c>
      <c r="B3" s="484" t="s">
        <v>4770</v>
      </c>
      <c r="C3" s="477" t="s">
        <v>9607</v>
      </c>
      <c r="D3" s="477" t="s">
        <v>9608</v>
      </c>
      <c r="E3" s="477" t="s">
        <v>4773</v>
      </c>
      <c r="F3" s="477" t="s">
        <v>4774</v>
      </c>
      <c r="G3" s="477" t="s">
        <v>9609</v>
      </c>
      <c r="H3" s="477" t="s">
        <v>9610</v>
      </c>
      <c r="I3" s="477" t="s">
        <v>4777</v>
      </c>
      <c r="J3" s="477" t="s">
        <v>9611</v>
      </c>
      <c r="K3" s="477" t="s">
        <v>4781</v>
      </c>
      <c r="L3" s="477" t="s">
        <v>9612</v>
      </c>
      <c r="M3" s="479" t="s">
        <v>9613</v>
      </c>
    </row>
    <row r="4" spans="1:13" ht="14.4" customHeight="1">
      <c r="A4" s="4" t="str" cm="1">
        <f t="array" ref="A4">_xlfn.IFS(
template_selected_display_language='Footnote (Taxonomy) Labels'!$B$1,'Footnote (Taxonomy) Labels'!$B4,
template_selected_display_language='Footnote (Taxonomy) Labels'!$C$1,'Footnote (Taxonomy) Labels'!$C4,
template_selected_display_language='Footnote (Taxonomy) Labels'!$D$1,'Footnote (Taxonomy) Labels'!$D4,
template_selected_display_language='Footnote (Taxonomy) Labels'!$E$1,'Footnote (Taxonomy) Labels'!$E4,
template_selected_display_language='Footnote (Taxonomy) Labels'!$F$1,'Footnote (Taxonomy) Labels'!$F4,
template_selected_display_language='Footnote (Taxonomy) Labels'!$G$1,'Footnote (Taxonomy) Labels'!$G4,
template_selected_display_language='Footnote (Taxonomy) Labels'!$H$1,'Footnote (Taxonomy) Labels'!$H4,
template_selected_display_language='Footnote (Taxonomy) Labels'!$I$1,'Footnote (Taxonomy) Labels'!$I4,
template_selected_display_language='Footnote (Taxonomy) Labels'!$J$1,'Footnote (Taxonomy) Labels'!$J4,
template_selected_display_language='Footnote (Taxonomy) Labels'!$K$1,'Footnote (Taxonomy) Labels'!$K4,
template_selected_display_language='Footnote (Taxonomy) Labels'!$L$1,'Footnote (Taxonomy) Labels'!$L4,
template_selected_display_language='Footnote (Taxonomy) Labels'!$M$1,'Footnote (Taxonomy) Labels'!$M4
)</f>
        <v>Report contains disclosures from the previous reporting period that remain unchanged</v>
      </c>
      <c r="B4" s="484" t="s">
        <v>9614</v>
      </c>
      <c r="C4" s="477" t="s">
        <v>9615</v>
      </c>
      <c r="D4" s="477" t="s">
        <v>9616</v>
      </c>
      <c r="E4" s="477" t="s">
        <v>4681</v>
      </c>
      <c r="F4" s="477" t="s">
        <v>9617</v>
      </c>
      <c r="G4" s="477" t="s">
        <v>9618</v>
      </c>
      <c r="H4" s="477" t="s">
        <v>9619</v>
      </c>
      <c r="I4" s="477" t="s">
        <v>9620</v>
      </c>
      <c r="J4" s="477" t="s">
        <v>9621</v>
      </c>
      <c r="K4" s="477" t="s">
        <v>9622</v>
      </c>
      <c r="L4" s="477" t="s">
        <v>9623</v>
      </c>
      <c r="M4" s="479" t="s">
        <v>9624</v>
      </c>
    </row>
    <row r="5" spans="1:13" ht="14.4" customHeight="1">
      <c r="A5" s="4" t="str" cm="1">
        <f t="array" ref="A5">_xlfn.IFS(
template_selected_display_language='Footnote (Taxonomy) Labels'!$B$1,'Footnote (Taxonomy) Labels'!$B5,
template_selected_display_language='Footnote (Taxonomy) Labels'!$C$1,'Footnote (Taxonomy) Labels'!$C5,
template_selected_display_language='Footnote (Taxonomy) Labels'!$D$1,'Footnote (Taxonomy) Labels'!$D5,
template_selected_display_language='Footnote (Taxonomy) Labels'!$E$1,'Footnote (Taxonomy) Labels'!$E5,
template_selected_display_language='Footnote (Taxonomy) Labels'!$F$1,'Footnote (Taxonomy) Labels'!$F5,
template_selected_display_language='Footnote (Taxonomy) Labels'!$G$1,'Footnote (Taxonomy) Labels'!$G5,
template_selected_display_language='Footnote (Taxonomy) Labels'!$H$1,'Footnote (Taxonomy) Labels'!$H5,
template_selected_display_language='Footnote (Taxonomy) Labels'!$I$1,'Footnote (Taxonomy) Labels'!$I5,
template_selected_display_language='Footnote (Taxonomy) Labels'!$J$1,'Footnote (Taxonomy) Labels'!$J5,
template_selected_display_language='Footnote (Taxonomy) Labels'!$K$1,'Footnote (Taxonomy) Labels'!$K5,
template_selected_display_language='Footnote (Taxonomy) Labels'!$L$1,'Footnote (Taxonomy) Labels'!$L5,
template_selected_display_language='Footnote (Taxonomy) Labels'!$M$1,'Footnote (Taxonomy) Labels'!$M5
)</f>
        <v xml:space="preserve">List of disclosures for which no changes are reported compared to the previous period reporting </v>
      </c>
      <c r="B5" s="484" t="s">
        <v>9625</v>
      </c>
      <c r="C5" s="477" t="s">
        <v>9626</v>
      </c>
      <c r="D5" s="477" t="s">
        <v>9627</v>
      </c>
      <c r="E5" s="477" t="s">
        <v>9628</v>
      </c>
      <c r="F5" s="477" t="s">
        <v>4695</v>
      </c>
      <c r="G5" s="477" t="s">
        <v>9629</v>
      </c>
      <c r="H5" s="477" t="s">
        <v>9630</v>
      </c>
      <c r="I5" s="477" t="s">
        <v>9631</v>
      </c>
      <c r="J5" s="477" t="s">
        <v>4699</v>
      </c>
      <c r="K5" s="477" t="s">
        <v>9632</v>
      </c>
      <c r="L5" s="477" t="s">
        <v>9633</v>
      </c>
      <c r="M5" s="479" t="s">
        <v>9634</v>
      </c>
    </row>
    <row r="6" spans="1:13" ht="14.4" customHeight="1">
      <c r="A6" s="4" t="str" cm="1">
        <f t="array" ref="A6">_xlfn.IFS(
template_selected_display_language='Footnote (Taxonomy) Labels'!$B$1,'Footnote (Taxonomy) Labels'!$B6,
template_selected_display_language='Footnote (Taxonomy) Labels'!$C$1,'Footnote (Taxonomy) Labels'!$C6,
template_selected_display_language='Footnote (Taxonomy) Labels'!$D$1,'Footnote (Taxonomy) Labels'!$D6,
template_selected_display_language='Footnote (Taxonomy) Labels'!$E$1,'Footnote (Taxonomy) Labels'!$E6,
template_selected_display_language='Footnote (Taxonomy) Labels'!$F$1,'Footnote (Taxonomy) Labels'!$F6,
template_selected_display_language='Footnote (Taxonomy) Labels'!$G$1,'Footnote (Taxonomy) Labels'!$G6,
template_selected_display_language='Footnote (Taxonomy) Labels'!$H$1,'Footnote (Taxonomy) Labels'!$H6,
template_selected_display_language='Footnote (Taxonomy) Labels'!$I$1,'Footnote (Taxonomy) Labels'!$I6,
template_selected_display_language='Footnote (Taxonomy) Labels'!$J$1,'Footnote (Taxonomy) Labels'!$J6,
template_selected_display_language='Footnote (Taxonomy) Labels'!$K$1,'Footnote (Taxonomy) Labels'!$K6,
template_selected_display_language='Footnote (Taxonomy) Labels'!$L$1,'Footnote (Taxonomy) Labels'!$L6,
template_selected_display_language='Footnote (Taxonomy) Labels'!$M$1,'Footnote (Taxonomy) Labels'!$M6
)</f>
        <v>Link to previous report containing disclosures that remain unchanged</v>
      </c>
      <c r="B6" s="484" t="s">
        <v>4704</v>
      </c>
      <c r="C6" s="477" t="s">
        <v>9635</v>
      </c>
      <c r="D6" s="477" t="s">
        <v>9636</v>
      </c>
      <c r="E6" s="477" t="s">
        <v>4707</v>
      </c>
      <c r="F6" s="477" t="s">
        <v>9637</v>
      </c>
      <c r="G6" s="477" t="s">
        <v>9638</v>
      </c>
      <c r="H6" s="477" t="s">
        <v>4710</v>
      </c>
      <c r="I6" s="477" t="s">
        <v>9639</v>
      </c>
      <c r="J6" s="477" t="s">
        <v>4712</v>
      </c>
      <c r="K6" s="477" t="s">
        <v>4715</v>
      </c>
      <c r="L6" s="477" t="s">
        <v>9640</v>
      </c>
      <c r="M6" s="479" t="s">
        <v>9641</v>
      </c>
    </row>
    <row r="7" spans="1:13" ht="14.4" customHeight="1">
      <c r="A7" s="4" t="str" cm="1">
        <f t="array" ref="A7">_xlfn.IFS(
template_selected_display_language='Footnote (Taxonomy) Labels'!$B$1,'Footnote (Taxonomy) Labels'!$B7,
template_selected_display_language='Footnote (Taxonomy) Labels'!$C$1,'Footnote (Taxonomy) Labels'!$C7,
template_selected_display_language='Footnote (Taxonomy) Labels'!$D$1,'Footnote (Taxonomy) Labels'!$D7,
template_selected_display_language='Footnote (Taxonomy) Labels'!$E$1,'Footnote (Taxonomy) Labels'!$E7,
template_selected_display_language='Footnote (Taxonomy) Labels'!$F$1,'Footnote (Taxonomy) Labels'!$F7,
template_selected_display_language='Footnote (Taxonomy) Labels'!$G$1,'Footnote (Taxonomy) Labels'!$G7,
template_selected_display_language='Footnote (Taxonomy) Labels'!$H$1,'Footnote (Taxonomy) Labels'!$H7,
template_selected_display_language='Footnote (Taxonomy) Labels'!$I$1,'Footnote (Taxonomy) Labels'!$I7,
template_selected_display_language='Footnote (Taxonomy) Labels'!$J$1,'Footnote (Taxonomy) Labels'!$J7,
template_selected_display_language='Footnote (Taxonomy) Labels'!$K$1,'Footnote (Taxonomy) Labels'!$K7,
template_selected_display_language='Footnote (Taxonomy) Labels'!$L$1,'Footnote (Taxonomy) Labels'!$L7,
template_selected_display_language='Footnote (Taxonomy) Labels'!$M$1,'Footnote (Taxonomy) Labels'!$M7
)</f>
        <v>List of omitted disclosures deemed to be classified or sensitive information</v>
      </c>
      <c r="B7" s="484" t="s">
        <v>9642</v>
      </c>
      <c r="C7" s="477" t="s">
        <v>4758</v>
      </c>
      <c r="D7" s="477" t="s">
        <v>9643</v>
      </c>
      <c r="E7" s="477" t="s">
        <v>4760</v>
      </c>
      <c r="F7" s="477" t="s">
        <v>4761</v>
      </c>
      <c r="G7" s="477" t="s">
        <v>4762</v>
      </c>
      <c r="H7" s="477" t="s">
        <v>9644</v>
      </c>
      <c r="I7" s="477" t="s">
        <v>4764</v>
      </c>
      <c r="J7" s="477" t="s">
        <v>9645</v>
      </c>
      <c r="K7" s="477" t="s">
        <v>9646</v>
      </c>
      <c r="L7" s="477" t="s">
        <v>9647</v>
      </c>
      <c r="M7" s="479" t="s">
        <v>9648</v>
      </c>
    </row>
    <row r="8" spans="1:13" ht="14.4" customHeight="1">
      <c r="A8" s="4" t="str" cm="1">
        <f t="array" ref="A8">_xlfn.IFS(
template_selected_display_language='Footnote (Taxonomy) Labels'!$B$1,'Footnote (Taxonomy) Labels'!$B8,
template_selected_display_language='Footnote (Taxonomy) Labels'!$C$1,'Footnote (Taxonomy) Labels'!$C8,
template_selected_display_language='Footnote (Taxonomy) Labels'!$D$1,'Footnote (Taxonomy) Labels'!$D8,
template_selected_display_language='Footnote (Taxonomy) Labels'!$E$1,'Footnote (Taxonomy) Labels'!$E8,
template_selected_display_language='Footnote (Taxonomy) Labels'!$F$1,'Footnote (Taxonomy) Labels'!$F8,
template_selected_display_language='Footnote (Taxonomy) Labels'!$G$1,'Footnote (Taxonomy) Labels'!$G8,
template_selected_display_language='Footnote (Taxonomy) Labels'!$H$1,'Footnote (Taxonomy) Labels'!$H8,
template_selected_display_language='Footnote (Taxonomy) Labels'!$I$1,'Footnote (Taxonomy) Labels'!$I8,
template_selected_display_language='Footnote (Taxonomy) Labels'!$J$1,'Footnote (Taxonomy) Labels'!$J8,
template_selected_display_language='Footnote (Taxonomy) Labels'!$K$1,'Footnote (Taxonomy) Labels'!$K8,
template_selected_display_language='Footnote (Taxonomy) Labels'!$L$1,'Footnote (Taxonomy) Labels'!$L8,
template_selected_display_language='Footnote (Taxonomy) Labels'!$M$1,'Footnote (Taxonomy) Labels'!$M8
)</f>
        <v>Undertakings legal form</v>
      </c>
      <c r="B8" s="484" t="s">
        <v>4783</v>
      </c>
      <c r="C8" s="477" t="s">
        <v>9649</v>
      </c>
      <c r="D8" s="477" t="s">
        <v>9650</v>
      </c>
      <c r="E8" s="477" t="s">
        <v>9651</v>
      </c>
      <c r="F8" s="477" t="s">
        <v>4787</v>
      </c>
      <c r="G8" s="477" t="s">
        <v>9652</v>
      </c>
      <c r="H8" s="477" t="s">
        <v>4789</v>
      </c>
      <c r="I8" s="493"/>
      <c r="J8" s="477" t="s">
        <v>4791</v>
      </c>
      <c r="K8" s="477" t="s">
        <v>9653</v>
      </c>
      <c r="L8" s="477" t="s">
        <v>9654</v>
      </c>
      <c r="M8" s="479" t="s">
        <v>4792</v>
      </c>
    </row>
    <row r="9" spans="1:13" ht="14.4" customHeight="1">
      <c r="A9" s="4" t="str" cm="1">
        <f t="array" ref="A9">_xlfn.IFS(
template_selected_display_language='Footnote (Taxonomy) Labels'!$B$1,'Footnote (Taxonomy) Labels'!$B9,
template_selected_display_language='Footnote (Taxonomy) Labels'!$C$1,'Footnote (Taxonomy) Labels'!$C9,
template_selected_display_language='Footnote (Taxonomy) Labels'!$D$1,'Footnote (Taxonomy) Labels'!$D9,
template_selected_display_language='Footnote (Taxonomy) Labels'!$E$1,'Footnote (Taxonomy) Labels'!$E9,
template_selected_display_language='Footnote (Taxonomy) Labels'!$F$1,'Footnote (Taxonomy) Labels'!$F9,
template_selected_display_language='Footnote (Taxonomy) Labels'!$G$1,'Footnote (Taxonomy) Labels'!$G9,
template_selected_display_language='Footnote (Taxonomy) Labels'!$H$1,'Footnote (Taxonomy) Labels'!$H9,
template_selected_display_language='Footnote (Taxonomy) Labels'!$I$1,'Footnote (Taxonomy) Labels'!$I9,
template_selected_display_language='Footnote (Taxonomy) Labels'!$J$1,'Footnote (Taxonomy) Labels'!$J9,
template_selected_display_language='Footnote (Taxonomy) Labels'!$K$1,'Footnote (Taxonomy) Labels'!$K9,
template_selected_display_language='Footnote (Taxonomy) Labels'!$L$1,'Footnote (Taxonomy) Labels'!$L9,
template_selected_display_language='Footnote (Taxonomy) Labels'!$M$1,'Footnote (Taxonomy) Labels'!$M9
)</f>
        <v>Other undertaking's legal form</v>
      </c>
      <c r="B9" s="484" t="s">
        <v>9655</v>
      </c>
      <c r="C9" s="477" t="s">
        <v>9656</v>
      </c>
      <c r="D9" s="477" t="s">
        <v>9657</v>
      </c>
      <c r="E9" s="477" t="s">
        <v>4799</v>
      </c>
      <c r="F9" s="477" t="s">
        <v>4800</v>
      </c>
      <c r="G9" s="477" t="s">
        <v>9658</v>
      </c>
      <c r="H9" s="477" t="s">
        <v>9659</v>
      </c>
      <c r="I9" s="477" t="s">
        <v>9660</v>
      </c>
      <c r="J9" s="477" t="s">
        <v>9661</v>
      </c>
      <c r="K9" s="477" t="s">
        <v>9662</v>
      </c>
      <c r="L9" s="477" t="s">
        <v>9663</v>
      </c>
      <c r="M9" s="479" t="s">
        <v>9664</v>
      </c>
    </row>
    <row r="10" spans="1:13" ht="14.4" customHeight="1">
      <c r="A10" s="4" t="str" cm="1">
        <f t="array" ref="A10">_xlfn.IFS(
template_selected_display_language='Footnote (Taxonomy) Labels'!$B$1,'Footnote (Taxonomy) Labels'!$B10,
template_selected_display_language='Footnote (Taxonomy) Labels'!$C$1,'Footnote (Taxonomy) Labels'!$C10,
template_selected_display_language='Footnote (Taxonomy) Labels'!$D$1,'Footnote (Taxonomy) Labels'!$D10,
template_selected_display_language='Footnote (Taxonomy) Labels'!$E$1,'Footnote (Taxonomy) Labels'!$E10,
template_selected_display_language='Footnote (Taxonomy) Labels'!$F$1,'Footnote (Taxonomy) Labels'!$F10,
template_selected_display_language='Footnote (Taxonomy) Labels'!$G$1,'Footnote (Taxonomy) Labels'!$G10,
template_selected_display_language='Footnote (Taxonomy) Labels'!$H$1,'Footnote (Taxonomy) Labels'!$H10,
template_selected_display_language='Footnote (Taxonomy) Labels'!$I$1,'Footnote (Taxonomy) Labels'!$I10,
template_selected_display_language='Footnote (Taxonomy) Labels'!$J$1,'Footnote (Taxonomy) Labels'!$J10,
template_selected_display_language='Footnote (Taxonomy) Labels'!$K$1,'Footnote (Taxonomy) Labels'!$K10,
template_selected_display_language='Footnote (Taxonomy) Labels'!$L$1,'Footnote (Taxonomy) Labels'!$L10,
template_selected_display_language='Footnote (Taxonomy) Labels'!$M$1,'Footnote (Taxonomy) Labels'!$M10
)</f>
        <v>NACE sector classification codes</v>
      </c>
      <c r="B10" s="484" t="s">
        <v>9665</v>
      </c>
      <c r="C10" s="477" t="s">
        <v>9666</v>
      </c>
      <c r="D10" s="477" t="s">
        <v>9667</v>
      </c>
      <c r="E10" s="477" t="s">
        <v>4812</v>
      </c>
      <c r="F10" s="477" t="s">
        <v>4813</v>
      </c>
      <c r="G10" s="477" t="s">
        <v>9668</v>
      </c>
      <c r="H10" s="477" t="s">
        <v>9669</v>
      </c>
      <c r="I10" s="477" t="s">
        <v>9670</v>
      </c>
      <c r="J10" s="477" t="s">
        <v>9671</v>
      </c>
      <c r="K10" s="477" t="s">
        <v>4820</v>
      </c>
      <c r="L10" s="477" t="s">
        <v>9672</v>
      </c>
      <c r="M10" s="479" t="s">
        <v>9673</v>
      </c>
    </row>
    <row r="11" spans="1:13" ht="14.4" customHeight="1">
      <c r="A11" s="4" t="str" cm="1">
        <f t="array" ref="A11">_xlfn.IFS(
template_selected_display_language='Footnote (Taxonomy) Labels'!$B$1,'Footnote (Taxonomy) Labels'!$B11,
template_selected_display_language='Footnote (Taxonomy) Labels'!$C$1,'Footnote (Taxonomy) Labels'!$C11,
template_selected_display_language='Footnote (Taxonomy) Labels'!$D$1,'Footnote (Taxonomy) Labels'!$D11,
template_selected_display_language='Footnote (Taxonomy) Labels'!$E$1,'Footnote (Taxonomy) Labels'!$E11,
template_selected_display_language='Footnote (Taxonomy) Labels'!$F$1,'Footnote (Taxonomy) Labels'!$F11,
template_selected_display_language='Footnote (Taxonomy) Labels'!$G$1,'Footnote (Taxonomy) Labels'!$G11,
template_selected_display_language='Footnote (Taxonomy) Labels'!$H$1,'Footnote (Taxonomy) Labels'!$H11,
template_selected_display_language='Footnote (Taxonomy) Labels'!$I$1,'Footnote (Taxonomy) Labels'!$I11,
template_selected_display_language='Footnote (Taxonomy) Labels'!$J$1,'Footnote (Taxonomy) Labels'!$J11,
template_selected_display_language='Footnote (Taxonomy) Labels'!$K$1,'Footnote (Taxonomy) Labels'!$K11,
template_selected_display_language='Footnote (Taxonomy) Labels'!$L$1,'Footnote (Taxonomy) Labels'!$L11,
template_selected_display_language='Footnote (Taxonomy) Labels'!$M$1,'Footnote (Taxonomy) Labels'!$M11
)</f>
        <v>Assets</v>
      </c>
      <c r="B11" s="484" t="s">
        <v>9674</v>
      </c>
      <c r="C11" s="477" t="s">
        <v>9675</v>
      </c>
      <c r="D11" s="477" t="s">
        <v>9676</v>
      </c>
      <c r="E11" s="477" t="s">
        <v>9677</v>
      </c>
      <c r="F11" s="477" t="s">
        <v>9678</v>
      </c>
      <c r="G11" s="477" t="s">
        <v>9679</v>
      </c>
      <c r="H11" s="477" t="s">
        <v>9680</v>
      </c>
      <c r="I11" s="477" t="s">
        <v>9681</v>
      </c>
      <c r="J11" s="477" t="s">
        <v>9682</v>
      </c>
      <c r="K11" s="477" t="s">
        <v>9683</v>
      </c>
      <c r="L11" s="477" t="s">
        <v>9684</v>
      </c>
      <c r="M11" s="479" t="s">
        <v>9685</v>
      </c>
    </row>
    <row r="12" spans="1:13" ht="14.4" customHeight="1">
      <c r="A12" s="4" t="str" cm="1">
        <f t="array" ref="A12">_xlfn.IFS(
template_selected_display_language='Footnote (Taxonomy) Labels'!$B$1,'Footnote (Taxonomy) Labels'!$B12,
template_selected_display_language='Footnote (Taxonomy) Labels'!$C$1,'Footnote (Taxonomy) Labels'!$C12,
template_selected_display_language='Footnote (Taxonomy) Labels'!$D$1,'Footnote (Taxonomy) Labels'!$D12,
template_selected_display_language='Footnote (Taxonomy) Labels'!$E$1,'Footnote (Taxonomy) Labels'!$E12,
template_selected_display_language='Footnote (Taxonomy) Labels'!$F$1,'Footnote (Taxonomy) Labels'!$F12,
template_selected_display_language='Footnote (Taxonomy) Labels'!$G$1,'Footnote (Taxonomy) Labels'!$G12,
template_selected_display_language='Footnote (Taxonomy) Labels'!$H$1,'Footnote (Taxonomy) Labels'!$H12,
template_selected_display_language='Footnote (Taxonomy) Labels'!$I$1,'Footnote (Taxonomy) Labels'!$I12,
template_selected_display_language='Footnote (Taxonomy) Labels'!$J$1,'Footnote (Taxonomy) Labels'!$J12,
template_selected_display_language='Footnote (Taxonomy) Labels'!$K$1,'Footnote (Taxonomy) Labels'!$K12,
template_selected_display_language='Footnote (Taxonomy) Labels'!$L$1,'Footnote (Taxonomy) Labels'!$L12,
template_selected_display_language='Footnote (Taxonomy) Labels'!$M$1,'Footnote (Taxonomy) Labels'!$M12
)</f>
        <v>Turnover</v>
      </c>
      <c r="B12" s="484" t="s">
        <v>9686</v>
      </c>
      <c r="C12" s="477" t="s">
        <v>9687</v>
      </c>
      <c r="D12" s="477" t="s">
        <v>9688</v>
      </c>
      <c r="E12" s="477" t="s">
        <v>9689</v>
      </c>
      <c r="F12" s="477" t="s">
        <v>9690</v>
      </c>
      <c r="G12" s="477" t="s">
        <v>9691</v>
      </c>
      <c r="H12" s="477" t="s">
        <v>4841</v>
      </c>
      <c r="I12" s="477" t="s">
        <v>9692</v>
      </c>
      <c r="J12" s="477" t="s">
        <v>9693</v>
      </c>
      <c r="K12" s="477" t="s">
        <v>9694</v>
      </c>
      <c r="L12" s="477" t="s">
        <v>9695</v>
      </c>
      <c r="M12" s="479" t="s">
        <v>9696</v>
      </c>
    </row>
    <row r="13" spans="1:13" ht="14.4" customHeight="1">
      <c r="A13" s="4" t="str" cm="1">
        <f t="array" ref="A13">_xlfn.IFS(
template_selected_display_language='Footnote (Taxonomy) Labels'!$B$1,'Footnote (Taxonomy) Labels'!$B13,
template_selected_display_language='Footnote (Taxonomy) Labels'!$C$1,'Footnote (Taxonomy) Labels'!$C13,
template_selected_display_language='Footnote (Taxonomy) Labels'!$D$1,'Footnote (Taxonomy) Labels'!$D13,
template_selected_display_language='Footnote (Taxonomy) Labels'!$E$1,'Footnote (Taxonomy) Labels'!$E13,
template_selected_display_language='Footnote (Taxonomy) Labels'!$F$1,'Footnote (Taxonomy) Labels'!$F13,
template_selected_display_language='Footnote (Taxonomy) Labels'!$G$1,'Footnote (Taxonomy) Labels'!$G13,
template_selected_display_language='Footnote (Taxonomy) Labels'!$H$1,'Footnote (Taxonomy) Labels'!$H13,
template_selected_display_language='Footnote (Taxonomy) Labels'!$I$1,'Footnote (Taxonomy) Labels'!$I13,
template_selected_display_language='Footnote (Taxonomy) Labels'!$J$1,'Footnote (Taxonomy) Labels'!$J13,
template_selected_display_language='Footnote (Taxonomy) Labels'!$K$1,'Footnote (Taxonomy) Labels'!$K13,
template_selected_display_language='Footnote (Taxonomy) Labels'!$L$1,'Footnote (Taxonomy) Labels'!$L13,
template_selected_display_language='Footnote (Taxonomy) Labels'!$M$1,'Footnote (Taxonomy) Labels'!$M13
)</f>
        <v>Number of employees</v>
      </c>
      <c r="B13" s="484" t="s">
        <v>4848</v>
      </c>
      <c r="C13" s="477" t="s">
        <v>4849</v>
      </c>
      <c r="D13" s="477" t="s">
        <v>4850</v>
      </c>
      <c r="E13" s="477" t="s">
        <v>4851</v>
      </c>
      <c r="F13" s="477" t="s">
        <v>9697</v>
      </c>
      <c r="G13" s="477" t="s">
        <v>4853</v>
      </c>
      <c r="H13" s="477" t="s">
        <v>4854</v>
      </c>
      <c r="I13" s="477" t="s">
        <v>4855</v>
      </c>
      <c r="J13" s="477" t="s">
        <v>4856</v>
      </c>
      <c r="K13" s="477" t="s">
        <v>9698</v>
      </c>
      <c r="L13" s="477" t="s">
        <v>4858</v>
      </c>
      <c r="M13" s="479" t="s">
        <v>4857</v>
      </c>
    </row>
    <row r="14" spans="1:13" ht="14.4" customHeight="1">
      <c r="A14" s="4" t="str" cm="1">
        <f t="array" ref="A14">_xlfn.IFS(
template_selected_display_language='Footnote (Taxonomy) Labels'!$B$1,'Footnote (Taxonomy) Labels'!$B14,
template_selected_display_language='Footnote (Taxonomy) Labels'!$C$1,'Footnote (Taxonomy) Labels'!$C14,
template_selected_display_language='Footnote (Taxonomy) Labels'!$D$1,'Footnote (Taxonomy) Labels'!$D14,
template_selected_display_language='Footnote (Taxonomy) Labels'!$E$1,'Footnote (Taxonomy) Labels'!$E14,
template_selected_display_language='Footnote (Taxonomy) Labels'!$F$1,'Footnote (Taxonomy) Labels'!$F14,
template_selected_display_language='Footnote (Taxonomy) Labels'!$G$1,'Footnote (Taxonomy) Labels'!$G14,
template_selected_display_language='Footnote (Taxonomy) Labels'!$H$1,'Footnote (Taxonomy) Labels'!$H14,
template_selected_display_language='Footnote (Taxonomy) Labels'!$I$1,'Footnote (Taxonomy) Labels'!$I14,
template_selected_display_language='Footnote (Taxonomy) Labels'!$J$1,'Footnote (Taxonomy) Labels'!$J14,
template_selected_display_language='Footnote (Taxonomy) Labels'!$K$1,'Footnote (Taxonomy) Labels'!$K14,
template_selected_display_language='Footnote (Taxonomy) Labels'!$L$1,'Footnote (Taxonomy) Labels'!$L14,
template_selected_display_language='Footnote (Taxonomy) Labels'!$M$1,'Footnote (Taxonomy) Labels'!$M14
)</f>
        <v>Employee counting methodology</v>
      </c>
      <c r="B14" s="484" t="s">
        <v>9699</v>
      </c>
      <c r="C14" s="477" t="s">
        <v>9700</v>
      </c>
      <c r="D14" s="477" t="s">
        <v>9701</v>
      </c>
      <c r="E14" s="477" t="s">
        <v>9702</v>
      </c>
      <c r="F14" s="477" t="s">
        <v>9703</v>
      </c>
      <c r="G14" s="477" t="s">
        <v>9704</v>
      </c>
      <c r="H14" s="477" t="s">
        <v>9705</v>
      </c>
      <c r="I14" s="477" t="s">
        <v>9706</v>
      </c>
      <c r="J14" s="477" t="s">
        <v>9707</v>
      </c>
      <c r="K14" s="477" t="s">
        <v>9708</v>
      </c>
      <c r="L14" s="477" t="s">
        <v>9709</v>
      </c>
      <c r="M14" s="479" t="s">
        <v>9710</v>
      </c>
    </row>
    <row r="15" spans="1:13" ht="14.4" customHeight="1">
      <c r="A15" s="4" t="str" cm="1">
        <f t="array" ref="A15">_xlfn.IFS(
template_selected_display_language='Footnote (Taxonomy) Labels'!$B$1,'Footnote (Taxonomy) Labels'!$B15,
template_selected_display_language='Footnote (Taxonomy) Labels'!$C$1,'Footnote (Taxonomy) Labels'!$C15,
template_selected_display_language='Footnote (Taxonomy) Labels'!$D$1,'Footnote (Taxonomy) Labels'!$D15,
template_selected_display_language='Footnote (Taxonomy) Labels'!$E$1,'Footnote (Taxonomy) Labels'!$E15,
template_selected_display_language='Footnote (Taxonomy) Labels'!$F$1,'Footnote (Taxonomy) Labels'!$F15,
template_selected_display_language='Footnote (Taxonomy) Labels'!$G$1,'Footnote (Taxonomy) Labels'!$G15,
template_selected_display_language='Footnote (Taxonomy) Labels'!$H$1,'Footnote (Taxonomy) Labels'!$H15,
template_selected_display_language='Footnote (Taxonomy) Labels'!$I$1,'Footnote (Taxonomy) Labels'!$I15,
template_selected_display_language='Footnote (Taxonomy) Labels'!$J$1,'Footnote (Taxonomy) Labels'!$J15,
template_selected_display_language='Footnote (Taxonomy) Labels'!$K$1,'Footnote (Taxonomy) Labels'!$K15,
template_selected_display_language='Footnote (Taxonomy) Labels'!$L$1,'Footnote (Taxonomy) Labels'!$L15,
template_selected_display_language='Footnote (Taxonomy) Labels'!$M$1,'Footnote (Taxonomy) Labels'!$M15
)</f>
        <v>Type of number of employees</v>
      </c>
      <c r="B15" s="484" t="s">
        <v>9711</v>
      </c>
      <c r="C15" s="477" t="s">
        <v>9712</v>
      </c>
      <c r="D15" s="477" t="s">
        <v>9713</v>
      </c>
      <c r="E15" s="477" t="s">
        <v>9714</v>
      </c>
      <c r="F15" s="477" t="s">
        <v>9715</v>
      </c>
      <c r="G15" s="477" t="s">
        <v>9716</v>
      </c>
      <c r="H15" s="477" t="s">
        <v>9717</v>
      </c>
      <c r="I15" s="477" t="s">
        <v>9718</v>
      </c>
      <c r="J15" s="477" t="s">
        <v>9719</v>
      </c>
      <c r="K15" s="477" t="s">
        <v>9720</v>
      </c>
      <c r="L15" s="477" t="s">
        <v>9721</v>
      </c>
      <c r="M15" s="479" t="s">
        <v>9722</v>
      </c>
    </row>
    <row r="16" spans="1:13" ht="14.4" customHeight="1">
      <c r="A16" s="4" t="str" cm="1">
        <f t="array" ref="A16">_xlfn.IFS(
template_selected_display_language='Footnote (Taxonomy) Labels'!$B$1,'Footnote (Taxonomy) Labels'!$B16,
template_selected_display_language='Footnote (Taxonomy) Labels'!$C$1,'Footnote (Taxonomy) Labels'!$C16,
template_selected_display_language='Footnote (Taxonomy) Labels'!$D$1,'Footnote (Taxonomy) Labels'!$D16,
template_selected_display_language='Footnote (Taxonomy) Labels'!$E$1,'Footnote (Taxonomy) Labels'!$E16,
template_selected_display_language='Footnote (Taxonomy) Labels'!$F$1,'Footnote (Taxonomy) Labels'!$F16,
template_selected_display_language='Footnote (Taxonomy) Labels'!$G$1,'Footnote (Taxonomy) Labels'!$G16,
template_selected_display_language='Footnote (Taxonomy) Labels'!$H$1,'Footnote (Taxonomy) Labels'!$H16,
template_selected_display_language='Footnote (Taxonomy) Labels'!$I$1,'Footnote (Taxonomy) Labels'!$I16,
template_selected_display_language='Footnote (Taxonomy) Labels'!$J$1,'Footnote (Taxonomy) Labels'!$J16,
template_selected_display_language='Footnote (Taxonomy) Labels'!$K$1,'Footnote (Taxonomy) Labels'!$K16,
template_selected_display_language='Footnote (Taxonomy) Labels'!$L$1,'Footnote (Taxonomy) Labels'!$L16,
template_selected_display_language='Footnote (Taxonomy) Labels'!$M$1,'Footnote (Taxonomy) Labels'!$M16
)</f>
        <v>Country of primary operations and location of significant assets</v>
      </c>
      <c r="B16" s="484" t="s">
        <v>9723</v>
      </c>
      <c r="C16" s="477" t="s">
        <v>4888</v>
      </c>
      <c r="D16" s="477" t="s">
        <v>9724</v>
      </c>
      <c r="E16" s="477" t="s">
        <v>9725</v>
      </c>
      <c r="F16" s="477" t="s">
        <v>4891</v>
      </c>
      <c r="G16" s="477" t="s">
        <v>9726</v>
      </c>
      <c r="H16" s="477" t="s">
        <v>4893</v>
      </c>
      <c r="I16" s="477" t="s">
        <v>9727</v>
      </c>
      <c r="J16" s="477" t="s">
        <v>4895</v>
      </c>
      <c r="K16" s="477" t="s">
        <v>9728</v>
      </c>
      <c r="L16" s="477" t="s">
        <v>9729</v>
      </c>
      <c r="M16" s="479" t="s">
        <v>9730</v>
      </c>
    </row>
    <row r="17" spans="1:13" ht="14.4" customHeight="1">
      <c r="A17" s="4" t="str" cm="1">
        <f t="array" ref="A17">_xlfn.IFS(
template_selected_display_language='Footnote (Taxonomy) Labels'!$B$1,'Footnote (Taxonomy) Labels'!$B17,
template_selected_display_language='Footnote (Taxonomy) Labels'!$C$1,'Footnote (Taxonomy) Labels'!$C17,
template_selected_display_language='Footnote (Taxonomy) Labels'!$D$1,'Footnote (Taxonomy) Labels'!$D17,
template_selected_display_language='Footnote (Taxonomy) Labels'!$E$1,'Footnote (Taxonomy) Labels'!$E17,
template_selected_display_language='Footnote (Taxonomy) Labels'!$F$1,'Footnote (Taxonomy) Labels'!$F17,
template_selected_display_language='Footnote (Taxonomy) Labels'!$G$1,'Footnote (Taxonomy) Labels'!$G17,
template_selected_display_language='Footnote (Taxonomy) Labels'!$H$1,'Footnote (Taxonomy) Labels'!$H17,
template_selected_display_language='Footnote (Taxonomy) Labels'!$I$1,'Footnote (Taxonomy) Labels'!$I17,
template_selected_display_language='Footnote (Taxonomy) Labels'!$J$1,'Footnote (Taxonomy) Labels'!$J17,
template_selected_display_language='Footnote (Taxonomy) Labels'!$K$1,'Footnote (Taxonomy) Labels'!$K17,
template_selected_display_language='Footnote (Taxonomy) Labels'!$L$1,'Footnote (Taxonomy) Labels'!$L17,
template_selected_display_language='Footnote (Taxonomy) Labels'!$M$1,'Footnote (Taxonomy) Labels'!$M17
)</f>
        <v>Description of sustainability-related certification(s) or label(s)</v>
      </c>
      <c r="B17" s="484" t="s">
        <v>9731</v>
      </c>
      <c r="C17" s="477" t="s">
        <v>9732</v>
      </c>
      <c r="D17" s="477" t="s">
        <v>9733</v>
      </c>
      <c r="E17" s="477" t="s">
        <v>9734</v>
      </c>
      <c r="F17" s="477" t="s">
        <v>9735</v>
      </c>
      <c r="G17" s="477" t="s">
        <v>9736</v>
      </c>
      <c r="H17" s="477" t="s">
        <v>9737</v>
      </c>
      <c r="I17" s="477" t="s">
        <v>9738</v>
      </c>
      <c r="J17" s="477" t="s">
        <v>9739</v>
      </c>
      <c r="K17" s="477" t="s">
        <v>9740</v>
      </c>
      <c r="L17" s="477" t="s">
        <v>9741</v>
      </c>
      <c r="M17" s="479" t="s">
        <v>9742</v>
      </c>
    </row>
    <row r="18" spans="1:13" ht="14.4" customHeight="1">
      <c r="A18" s="4" t="str" cm="1">
        <f t="array" ref="A18">_xlfn.IFS(
template_selected_display_language='Footnote (Taxonomy) Labels'!$B$1,'Footnote (Taxonomy) Labels'!$B18,
template_selected_display_language='Footnote (Taxonomy) Labels'!$C$1,'Footnote (Taxonomy) Labels'!$C18,
template_selected_display_language='Footnote (Taxonomy) Labels'!$D$1,'Footnote (Taxonomy) Labels'!$D18,
template_selected_display_language='Footnote (Taxonomy) Labels'!$E$1,'Footnote (Taxonomy) Labels'!$E18,
template_selected_display_language='Footnote (Taxonomy) Labels'!$F$1,'Footnote (Taxonomy) Labels'!$F18,
template_selected_display_language='Footnote (Taxonomy) Labels'!$G$1,'Footnote (Taxonomy) Labels'!$G18,
template_selected_display_language='Footnote (Taxonomy) Labels'!$H$1,'Footnote (Taxonomy) Labels'!$H18,
template_selected_display_language='Footnote (Taxonomy) Labels'!$I$1,'Footnote (Taxonomy) Labels'!$I18,
template_selected_display_language='Footnote (Taxonomy) Labels'!$J$1,'Footnote (Taxonomy) Labels'!$J18,
template_selected_display_language='Footnote (Taxonomy) Labels'!$K$1,'Footnote (Taxonomy) Labels'!$K18,
template_selected_display_language='Footnote (Taxonomy) Labels'!$L$1,'Footnote (Taxonomy) Labels'!$L18,
template_selected_display_language='Footnote (Taxonomy) Labels'!$M$1,'Footnote (Taxonomy) Labels'!$M18
)</f>
        <v>Name of the subsidiary</v>
      </c>
      <c r="B18" s="484" t="s">
        <v>9743</v>
      </c>
      <c r="C18" s="477" t="s">
        <v>9744</v>
      </c>
      <c r="D18" s="477" t="s">
        <v>9745</v>
      </c>
      <c r="E18" s="477" t="s">
        <v>9746</v>
      </c>
      <c r="F18" s="477" t="s">
        <v>9747</v>
      </c>
      <c r="G18" s="477" t="s">
        <v>9748</v>
      </c>
      <c r="H18" s="477" t="s">
        <v>9749</v>
      </c>
      <c r="I18" s="477" t="s">
        <v>9750</v>
      </c>
      <c r="J18" s="477" t="s">
        <v>9751</v>
      </c>
      <c r="K18" s="477" t="s">
        <v>9752</v>
      </c>
      <c r="L18" s="477" t="s">
        <v>9753</v>
      </c>
      <c r="M18" s="479" t="s">
        <v>9754</v>
      </c>
    </row>
    <row r="19" spans="1:13" ht="14.4" customHeight="1">
      <c r="A19" s="4" t="str" cm="1">
        <f t="array" ref="A19">_xlfn.IFS(
template_selected_display_language='Footnote (Taxonomy) Labels'!$B$1,'Footnote (Taxonomy) Labels'!$B19,
template_selected_display_language='Footnote (Taxonomy) Labels'!$C$1,'Footnote (Taxonomy) Labels'!$C19,
template_selected_display_language='Footnote (Taxonomy) Labels'!$D$1,'Footnote (Taxonomy) Labels'!$D19,
template_selected_display_language='Footnote (Taxonomy) Labels'!$E$1,'Footnote (Taxonomy) Labels'!$E19,
template_selected_display_language='Footnote (Taxonomy) Labels'!$F$1,'Footnote (Taxonomy) Labels'!$F19,
template_selected_display_language='Footnote (Taxonomy) Labels'!$G$1,'Footnote (Taxonomy) Labels'!$G19,
template_selected_display_language='Footnote (Taxonomy) Labels'!$H$1,'Footnote (Taxonomy) Labels'!$H19,
template_selected_display_language='Footnote (Taxonomy) Labels'!$I$1,'Footnote (Taxonomy) Labels'!$I19,
template_selected_display_language='Footnote (Taxonomy) Labels'!$J$1,'Footnote (Taxonomy) Labels'!$J19,
template_selected_display_language='Footnote (Taxonomy) Labels'!$K$1,'Footnote (Taxonomy) Labels'!$K19,
template_selected_display_language='Footnote (Taxonomy) Labels'!$L$1,'Footnote (Taxonomy) Labels'!$L19,
template_selected_display_language='Footnote (Taxonomy) Labels'!$M$1,'Footnote (Taxonomy) Labels'!$M19
)</f>
        <v>Registered address of the subsidiary</v>
      </c>
      <c r="B19" s="484" t="s">
        <v>9755</v>
      </c>
      <c r="C19" s="477" t="s">
        <v>9756</v>
      </c>
      <c r="D19" s="477" t="s">
        <v>9757</v>
      </c>
      <c r="E19" s="477" t="s">
        <v>9758</v>
      </c>
      <c r="F19" s="477" t="s">
        <v>9759</v>
      </c>
      <c r="G19" s="477" t="s">
        <v>9760</v>
      </c>
      <c r="H19" s="477" t="s">
        <v>9761</v>
      </c>
      <c r="I19" s="477" t="s">
        <v>9762</v>
      </c>
      <c r="J19" s="477" t="s">
        <v>9763</v>
      </c>
      <c r="K19" s="477" t="s">
        <v>9764</v>
      </c>
      <c r="L19" s="477" t="s">
        <v>9765</v>
      </c>
      <c r="M19" s="479" t="s">
        <v>9766</v>
      </c>
    </row>
    <row r="20" spans="1:13" ht="14.4" customHeight="1">
      <c r="A20" s="4" t="str" cm="1">
        <f t="array" ref="A20">_xlfn.IFS(
template_selected_display_language='Footnote (Taxonomy) Labels'!$B$1,'Footnote (Taxonomy) Labels'!$B20,
template_selected_display_language='Footnote (Taxonomy) Labels'!$C$1,'Footnote (Taxonomy) Labels'!$C20,
template_selected_display_language='Footnote (Taxonomy) Labels'!$D$1,'Footnote (Taxonomy) Labels'!$D20,
template_selected_display_language='Footnote (Taxonomy) Labels'!$E$1,'Footnote (Taxonomy) Labels'!$E20,
template_selected_display_language='Footnote (Taxonomy) Labels'!$F$1,'Footnote (Taxonomy) Labels'!$F20,
template_selected_display_language='Footnote (Taxonomy) Labels'!$G$1,'Footnote (Taxonomy) Labels'!$G20,
template_selected_display_language='Footnote (Taxonomy) Labels'!$H$1,'Footnote (Taxonomy) Labels'!$H20,
template_selected_display_language='Footnote (Taxonomy) Labels'!$I$1,'Footnote (Taxonomy) Labels'!$I20,
template_selected_display_language='Footnote (Taxonomy) Labels'!$J$1,'Footnote (Taxonomy) Labels'!$J20,
template_selected_display_language='Footnote (Taxonomy) Labels'!$K$1,'Footnote (Taxonomy) Labels'!$K20,
template_selected_display_language='Footnote (Taxonomy) Labels'!$L$1,'Footnote (Taxonomy) Labels'!$L20,
template_selected_display_language='Footnote (Taxonomy) Labels'!$M$1,'Footnote (Taxonomy) Labels'!$M20
)</f>
        <v>Address of site</v>
      </c>
      <c r="B20" s="484" t="s">
        <v>9767</v>
      </c>
      <c r="C20" s="477" t="s">
        <v>9768</v>
      </c>
      <c r="D20" s="477" t="s">
        <v>9769</v>
      </c>
      <c r="E20" s="477" t="s">
        <v>9770</v>
      </c>
      <c r="F20" s="477" t="s">
        <v>9771</v>
      </c>
      <c r="G20" s="477" t="s">
        <v>9772</v>
      </c>
      <c r="H20" s="477" t="s">
        <v>9773</v>
      </c>
      <c r="I20" s="477" t="s">
        <v>9774</v>
      </c>
      <c r="J20" s="477" t="s">
        <v>9775</v>
      </c>
      <c r="K20" s="477" t="s">
        <v>9776</v>
      </c>
      <c r="L20" s="477" t="s">
        <v>9777</v>
      </c>
      <c r="M20" s="479" t="s">
        <v>9778</v>
      </c>
    </row>
    <row r="21" spans="1:13" ht="14.4" customHeight="1">
      <c r="A21" s="4" t="str" cm="1">
        <f t="array" ref="A21">_xlfn.IFS(
template_selected_display_language='Footnote (Taxonomy) Labels'!$B$1,'Footnote (Taxonomy) Labels'!$B21,
template_selected_display_language='Footnote (Taxonomy) Labels'!$C$1,'Footnote (Taxonomy) Labels'!$C21,
template_selected_display_language='Footnote (Taxonomy) Labels'!$D$1,'Footnote (Taxonomy) Labels'!$D21,
template_selected_display_language='Footnote (Taxonomy) Labels'!$E$1,'Footnote (Taxonomy) Labels'!$E21,
template_selected_display_language='Footnote (Taxonomy) Labels'!$F$1,'Footnote (Taxonomy) Labels'!$F21,
template_selected_display_language='Footnote (Taxonomy) Labels'!$G$1,'Footnote (Taxonomy) Labels'!$G21,
template_selected_display_language='Footnote (Taxonomy) Labels'!$H$1,'Footnote (Taxonomy) Labels'!$H21,
template_selected_display_language='Footnote (Taxonomy) Labels'!$I$1,'Footnote (Taxonomy) Labels'!$I21,
template_selected_display_language='Footnote (Taxonomy) Labels'!$J$1,'Footnote (Taxonomy) Labels'!$J21,
template_selected_display_language='Footnote (Taxonomy) Labels'!$K$1,'Footnote (Taxonomy) Labels'!$K21,
template_selected_display_language='Footnote (Taxonomy) Labels'!$L$1,'Footnote (Taxonomy) Labels'!$L21,
template_selected_display_language='Footnote (Taxonomy) Labels'!$M$1,'Footnote (Taxonomy) Labels'!$M21
)</f>
        <v>Postal code of site</v>
      </c>
      <c r="B21" s="484" t="s">
        <v>9779</v>
      </c>
      <c r="C21" s="477" t="s">
        <v>9780</v>
      </c>
      <c r="D21" s="477" t="s">
        <v>9781</v>
      </c>
      <c r="E21" s="477" t="s">
        <v>9782</v>
      </c>
      <c r="F21" s="477" t="s">
        <v>9783</v>
      </c>
      <c r="G21" s="477" t="s">
        <v>9784</v>
      </c>
      <c r="H21" s="477" t="s">
        <v>9785</v>
      </c>
      <c r="I21" s="477" t="s">
        <v>9786</v>
      </c>
      <c r="J21" s="477" t="s">
        <v>9787</v>
      </c>
      <c r="K21" s="477" t="s">
        <v>9788</v>
      </c>
      <c r="L21" s="477" t="s">
        <v>9789</v>
      </c>
      <c r="M21" s="479" t="s">
        <v>9790</v>
      </c>
    </row>
    <row r="22" spans="1:13" ht="14.4" customHeight="1">
      <c r="A22" s="4" t="str" cm="1">
        <f t="array" ref="A22">_xlfn.IFS(
template_selected_display_language='Footnote (Taxonomy) Labels'!$B$1,'Footnote (Taxonomy) Labels'!$B22,
template_selected_display_language='Footnote (Taxonomy) Labels'!$C$1,'Footnote (Taxonomy) Labels'!$C22,
template_selected_display_language='Footnote (Taxonomy) Labels'!$D$1,'Footnote (Taxonomy) Labels'!$D22,
template_selected_display_language='Footnote (Taxonomy) Labels'!$E$1,'Footnote (Taxonomy) Labels'!$E22,
template_selected_display_language='Footnote (Taxonomy) Labels'!$F$1,'Footnote (Taxonomy) Labels'!$F22,
template_selected_display_language='Footnote (Taxonomy) Labels'!$G$1,'Footnote (Taxonomy) Labels'!$G22,
template_selected_display_language='Footnote (Taxonomy) Labels'!$H$1,'Footnote (Taxonomy) Labels'!$H22,
template_selected_display_language='Footnote (Taxonomy) Labels'!$I$1,'Footnote (Taxonomy) Labels'!$I22,
template_selected_display_language='Footnote (Taxonomy) Labels'!$J$1,'Footnote (Taxonomy) Labels'!$J22,
template_selected_display_language='Footnote (Taxonomy) Labels'!$K$1,'Footnote (Taxonomy) Labels'!$K22,
template_selected_display_language='Footnote (Taxonomy) Labels'!$L$1,'Footnote (Taxonomy) Labels'!$L22,
template_selected_display_language='Footnote (Taxonomy) Labels'!$M$1,'Footnote (Taxonomy) Labels'!$M22
)</f>
        <v>City of site</v>
      </c>
      <c r="B22" s="484" t="s">
        <v>9791</v>
      </c>
      <c r="C22" s="477" t="s">
        <v>9792</v>
      </c>
      <c r="D22" s="477" t="s">
        <v>9793</v>
      </c>
      <c r="E22" s="477" t="s">
        <v>9794</v>
      </c>
      <c r="F22" s="477" t="s">
        <v>9795</v>
      </c>
      <c r="G22" s="477" t="s">
        <v>9796</v>
      </c>
      <c r="H22" s="477" t="s">
        <v>9797</v>
      </c>
      <c r="I22" s="477" t="s">
        <v>9798</v>
      </c>
      <c r="J22" s="477" t="s">
        <v>9799</v>
      </c>
      <c r="K22" s="477" t="s">
        <v>9800</v>
      </c>
      <c r="L22" s="477" t="s">
        <v>9801</v>
      </c>
      <c r="M22" s="479" t="s">
        <v>9802</v>
      </c>
    </row>
    <row r="23" spans="1:13" ht="14.4" customHeight="1">
      <c r="A23" s="4" t="str" cm="1">
        <f t="array" ref="A23">_xlfn.IFS(
template_selected_display_language='Footnote (Taxonomy) Labels'!$B$1,'Footnote (Taxonomy) Labels'!$B23,
template_selected_display_language='Footnote (Taxonomy) Labels'!$C$1,'Footnote (Taxonomy) Labels'!$C23,
template_selected_display_language='Footnote (Taxonomy) Labels'!$D$1,'Footnote (Taxonomy) Labels'!$D23,
template_selected_display_language='Footnote (Taxonomy) Labels'!$E$1,'Footnote (Taxonomy) Labels'!$E23,
template_selected_display_language='Footnote (Taxonomy) Labels'!$F$1,'Footnote (Taxonomy) Labels'!$F23,
template_selected_display_language='Footnote (Taxonomy) Labels'!$G$1,'Footnote (Taxonomy) Labels'!$G23,
template_selected_display_language='Footnote (Taxonomy) Labels'!$H$1,'Footnote (Taxonomy) Labels'!$H23,
template_selected_display_language='Footnote (Taxonomy) Labels'!$I$1,'Footnote (Taxonomy) Labels'!$I23,
template_selected_display_language='Footnote (Taxonomy) Labels'!$J$1,'Footnote (Taxonomy) Labels'!$J23,
template_selected_display_language='Footnote (Taxonomy) Labels'!$K$1,'Footnote (Taxonomy) Labels'!$K23,
template_selected_display_language='Footnote (Taxonomy) Labels'!$L$1,'Footnote (Taxonomy) Labels'!$L23,
template_selected_display_language='Footnote (Taxonomy) Labels'!$M$1,'Footnote (Taxonomy) Labels'!$M23
)</f>
        <v>Country of site</v>
      </c>
      <c r="B23" s="484" t="s">
        <v>9803</v>
      </c>
      <c r="C23" s="477" t="s">
        <v>9804</v>
      </c>
      <c r="D23" s="477" t="s">
        <v>9805</v>
      </c>
      <c r="E23" s="477" t="s">
        <v>9806</v>
      </c>
      <c r="F23" s="477" t="s">
        <v>9807</v>
      </c>
      <c r="G23" s="477" t="s">
        <v>9808</v>
      </c>
      <c r="H23" s="477" t="s">
        <v>9809</v>
      </c>
      <c r="I23" s="477" t="s">
        <v>9810</v>
      </c>
      <c r="J23" s="477" t="s">
        <v>9811</v>
      </c>
      <c r="K23" s="477" t="s">
        <v>9812</v>
      </c>
      <c r="L23" s="477" t="s">
        <v>9813</v>
      </c>
      <c r="M23" s="479" t="s">
        <v>9814</v>
      </c>
    </row>
    <row r="24" spans="1:13" ht="14.4" customHeight="1">
      <c r="A24" s="4" t="str" cm="1">
        <f t="array" ref="A24">_xlfn.IFS(
template_selected_display_language='Footnote (Taxonomy) Labels'!$B$1,'Footnote (Taxonomy) Labels'!$B24,
template_selected_display_language='Footnote (Taxonomy) Labels'!$C$1,'Footnote (Taxonomy) Labels'!$C24,
template_selected_display_language='Footnote (Taxonomy) Labels'!$D$1,'Footnote (Taxonomy) Labels'!$D24,
template_selected_display_language='Footnote (Taxonomy) Labels'!$E$1,'Footnote (Taxonomy) Labels'!$E24,
template_selected_display_language='Footnote (Taxonomy) Labels'!$F$1,'Footnote (Taxonomy) Labels'!$F24,
template_selected_display_language='Footnote (Taxonomy) Labels'!$G$1,'Footnote (Taxonomy) Labels'!$G24,
template_selected_display_language='Footnote (Taxonomy) Labels'!$H$1,'Footnote (Taxonomy) Labels'!$H24,
template_selected_display_language='Footnote (Taxonomy) Labels'!$I$1,'Footnote (Taxonomy) Labels'!$I24,
template_selected_display_language='Footnote (Taxonomy) Labels'!$J$1,'Footnote (Taxonomy) Labels'!$J24,
template_selected_display_language='Footnote (Taxonomy) Labels'!$K$1,'Footnote (Taxonomy) Labels'!$K24,
template_selected_display_language='Footnote (Taxonomy) Labels'!$L$1,'Footnote (Taxonomy) Labels'!$L24,
template_selected_display_language='Footnote (Taxonomy) Labels'!$M$1,'Footnote (Taxonomy) Labels'!$M24
)</f>
        <v>GPS Location of site</v>
      </c>
      <c r="B24" s="484" t="s">
        <v>9815</v>
      </c>
      <c r="C24" s="477" t="s">
        <v>9816</v>
      </c>
      <c r="D24" s="477" t="s">
        <v>9817</v>
      </c>
      <c r="E24" s="477" t="s">
        <v>9818</v>
      </c>
      <c r="F24" s="477" t="s">
        <v>9819</v>
      </c>
      <c r="G24" s="477" t="s">
        <v>9820</v>
      </c>
      <c r="H24" s="477" t="s">
        <v>9821</v>
      </c>
      <c r="I24" s="477" t="s">
        <v>9822</v>
      </c>
      <c r="J24" s="477" t="s">
        <v>9823</v>
      </c>
      <c r="K24" s="477" t="s">
        <v>9824</v>
      </c>
      <c r="L24" s="477" t="s">
        <v>9825</v>
      </c>
      <c r="M24" s="479" t="s">
        <v>9826</v>
      </c>
    </row>
    <row r="25" spans="1:13" ht="14.4" customHeight="1">
      <c r="A25" s="4" t="str" cm="1">
        <f t="array" ref="A25">_xlfn.IFS(
template_selected_display_language='Footnote (Taxonomy) Labels'!$B$1,'Footnote (Taxonomy) Labels'!$B25,
template_selected_display_language='Footnote (Taxonomy) Labels'!$C$1,'Footnote (Taxonomy) Labels'!$C25,
template_selected_display_language='Footnote (Taxonomy) Labels'!$D$1,'Footnote (Taxonomy) Labels'!$D25,
template_selected_display_language='Footnote (Taxonomy) Labels'!$E$1,'Footnote (Taxonomy) Labels'!$E25,
template_selected_display_language='Footnote (Taxonomy) Labels'!$F$1,'Footnote (Taxonomy) Labels'!$F25,
template_selected_display_language='Footnote (Taxonomy) Labels'!$G$1,'Footnote (Taxonomy) Labels'!$G25,
template_selected_display_language='Footnote (Taxonomy) Labels'!$H$1,'Footnote (Taxonomy) Labels'!$H25,
template_selected_display_language='Footnote (Taxonomy) Labels'!$I$1,'Footnote (Taxonomy) Labels'!$I25,
template_selected_display_language='Footnote (Taxonomy) Labels'!$J$1,'Footnote (Taxonomy) Labels'!$J25,
template_selected_display_language='Footnote (Taxonomy) Labels'!$K$1,'Footnote (Taxonomy) Labels'!$K25,
template_selected_display_language='Footnote (Taxonomy) Labels'!$L$1,'Footnote (Taxonomy) Labels'!$L25,
template_selected_display_language='Footnote (Taxonomy) Labels'!$M$1,'Footnote (Taxonomy) Labels'!$M25
)</f>
        <v>Sustainability issues addressed by practice, policy and/or future initiative</v>
      </c>
      <c r="B25" s="484" t="s">
        <v>9827</v>
      </c>
      <c r="C25" s="477" t="s">
        <v>9828</v>
      </c>
      <c r="D25" s="477" t="s">
        <v>9829</v>
      </c>
      <c r="E25" s="477" t="s">
        <v>9830</v>
      </c>
      <c r="F25" s="477" t="s">
        <v>9831</v>
      </c>
      <c r="G25" s="477" t="s">
        <v>9832</v>
      </c>
      <c r="H25" s="477" t="s">
        <v>9833</v>
      </c>
      <c r="I25" s="477" t="s">
        <v>9834</v>
      </c>
      <c r="J25" s="477" t="s">
        <v>9835</v>
      </c>
      <c r="K25" s="477" t="s">
        <v>9836</v>
      </c>
      <c r="L25" s="477" t="s">
        <v>9837</v>
      </c>
      <c r="M25" s="479" t="s">
        <v>9838</v>
      </c>
    </row>
    <row r="26" spans="1:13" ht="14.4" customHeight="1">
      <c r="A26" s="4" t="str" cm="1">
        <f t="array" ref="A26">_xlfn.IFS(
template_selected_display_language='Footnote (Taxonomy) Labels'!$B$1,'Footnote (Taxonomy) Labels'!$B26,
template_selected_display_language='Footnote (Taxonomy) Labels'!$C$1,'Footnote (Taxonomy) Labels'!$C26,
template_selected_display_language='Footnote (Taxonomy) Labels'!$D$1,'Footnote (Taxonomy) Labels'!$D26,
template_selected_display_language='Footnote (Taxonomy) Labels'!$E$1,'Footnote (Taxonomy) Labels'!$E26,
template_selected_display_language='Footnote (Taxonomy) Labels'!$F$1,'Footnote (Taxonomy) Labels'!$F26,
template_selected_display_language='Footnote (Taxonomy) Labels'!$G$1,'Footnote (Taxonomy) Labels'!$G26,
template_selected_display_language='Footnote (Taxonomy) Labels'!$H$1,'Footnote (Taxonomy) Labels'!$H26,
template_selected_display_language='Footnote (Taxonomy) Labels'!$I$1,'Footnote (Taxonomy) Labels'!$I26,
template_selected_display_language='Footnote (Taxonomy) Labels'!$J$1,'Footnote (Taxonomy) Labels'!$J26,
template_selected_display_language='Footnote (Taxonomy) Labels'!$K$1,'Footnote (Taxonomy) Labels'!$K26,
template_selected_display_language='Footnote (Taxonomy) Labels'!$L$1,'Footnote (Taxonomy) Labels'!$L26,
template_selected_display_language='Footnote (Taxonomy) Labels'!$M$1,'Footnote (Taxonomy) Labels'!$M26
)</f>
        <v>Practice, policy and/or future initiative is publicly available</v>
      </c>
      <c r="B26" s="484" t="s">
        <v>9839</v>
      </c>
      <c r="C26" s="477" t="s">
        <v>9840</v>
      </c>
      <c r="D26" s="477" t="s">
        <v>9841</v>
      </c>
      <c r="E26" s="477" t="s">
        <v>9842</v>
      </c>
      <c r="F26" s="477" t="s">
        <v>9843</v>
      </c>
      <c r="G26" s="477" t="s">
        <v>9844</v>
      </c>
      <c r="H26" s="477" t="s">
        <v>9845</v>
      </c>
      <c r="I26" s="477" t="s">
        <v>9846</v>
      </c>
      <c r="J26" s="477" t="s">
        <v>9847</v>
      </c>
      <c r="K26" s="477" t="s">
        <v>9848</v>
      </c>
      <c r="L26" s="477" t="s">
        <v>9849</v>
      </c>
      <c r="M26" s="479" t="s">
        <v>9850</v>
      </c>
    </row>
    <row r="27" spans="1:13" ht="14.4" customHeight="1">
      <c r="A27" s="4" t="str" cm="1">
        <f t="array" ref="A27">_xlfn.IFS(
template_selected_display_language='Footnote (Taxonomy) Labels'!$B$1,'Footnote (Taxonomy) Labels'!$B27,
template_selected_display_language='Footnote (Taxonomy) Labels'!$C$1,'Footnote (Taxonomy) Labels'!$C27,
template_selected_display_language='Footnote (Taxonomy) Labels'!$D$1,'Footnote (Taxonomy) Labels'!$D27,
template_selected_display_language='Footnote (Taxonomy) Labels'!$E$1,'Footnote (Taxonomy) Labels'!$E27,
template_selected_display_language='Footnote (Taxonomy) Labels'!$F$1,'Footnote (Taxonomy) Labels'!$F27,
template_selected_display_language='Footnote (Taxonomy) Labels'!$G$1,'Footnote (Taxonomy) Labels'!$G27,
template_selected_display_language='Footnote (Taxonomy) Labels'!$H$1,'Footnote (Taxonomy) Labels'!$H27,
template_selected_display_language='Footnote (Taxonomy) Labels'!$I$1,'Footnote (Taxonomy) Labels'!$I27,
template_selected_display_language='Footnote (Taxonomy) Labels'!$J$1,'Footnote (Taxonomy) Labels'!$J27,
template_selected_display_language='Footnote (Taxonomy) Labels'!$K$1,'Footnote (Taxonomy) Labels'!$K27,
template_selected_display_language='Footnote (Taxonomy) Labels'!$L$1,'Footnote (Taxonomy) Labels'!$L27,
template_selected_display_language='Footnote (Taxonomy) Labels'!$M$1,'Footnote (Taxonomy) Labels'!$M27
)</f>
        <v>Undertaking has set a target which is related to a policy</v>
      </c>
      <c r="B27" s="484" t="s">
        <v>5116</v>
      </c>
      <c r="C27" s="477" t="s">
        <v>9851</v>
      </c>
      <c r="D27" s="477" t="s">
        <v>9852</v>
      </c>
      <c r="E27" s="477" t="s">
        <v>9853</v>
      </c>
      <c r="F27" s="477" t="s">
        <v>9854</v>
      </c>
      <c r="G27" s="477" t="s">
        <v>9855</v>
      </c>
      <c r="H27" s="477" t="s">
        <v>9856</v>
      </c>
      <c r="I27" s="477" t="s">
        <v>9857</v>
      </c>
      <c r="J27" s="477" t="s">
        <v>9858</v>
      </c>
      <c r="K27" s="477" t="s">
        <v>9859</v>
      </c>
      <c r="L27" s="477" t="s">
        <v>9860</v>
      </c>
      <c r="M27" s="479" t="s">
        <v>9861</v>
      </c>
    </row>
    <row r="28" spans="1:13" ht="14.4" customHeight="1">
      <c r="A28" s="4" t="str" cm="1">
        <f t="array" ref="A28">_xlfn.IFS(
template_selected_display_language='Footnote (Taxonomy) Labels'!$B$1,'Footnote (Taxonomy) Labels'!$B28,
template_selected_display_language='Footnote (Taxonomy) Labels'!$C$1,'Footnote (Taxonomy) Labels'!$C28,
template_selected_display_language='Footnote (Taxonomy) Labels'!$D$1,'Footnote (Taxonomy) Labels'!$D28,
template_selected_display_language='Footnote (Taxonomy) Labels'!$E$1,'Footnote (Taxonomy) Labels'!$E28,
template_selected_display_language='Footnote (Taxonomy) Labels'!$F$1,'Footnote (Taxonomy) Labels'!$F28,
template_selected_display_language='Footnote (Taxonomy) Labels'!$G$1,'Footnote (Taxonomy) Labels'!$G28,
template_selected_display_language='Footnote (Taxonomy) Labels'!$H$1,'Footnote (Taxonomy) Labels'!$H28,
template_selected_display_language='Footnote (Taxonomy) Labels'!$I$1,'Footnote (Taxonomy) Labels'!$I28,
template_selected_display_language='Footnote (Taxonomy) Labels'!$J$1,'Footnote (Taxonomy) Labels'!$J28,
template_selected_display_language='Footnote (Taxonomy) Labels'!$K$1,'Footnote (Taxonomy) Labels'!$K28,
template_selected_display_language='Footnote (Taxonomy) Labels'!$L$1,'Footnote (Taxonomy) Labels'!$L28,
template_selected_display_language='Footnote (Taxonomy) Labels'!$M$1,'Footnote (Taxonomy) Labels'!$M28
)</f>
        <v>Description of the effective participation of workers, users or other interested parties or communities in governance</v>
      </c>
      <c r="B28" s="484" t="s">
        <v>9862</v>
      </c>
      <c r="C28" s="477" t="s">
        <v>9863</v>
      </c>
      <c r="D28" s="477" t="s">
        <v>9864</v>
      </c>
      <c r="E28" s="477" t="s">
        <v>9865</v>
      </c>
      <c r="F28" s="477" t="s">
        <v>9866</v>
      </c>
      <c r="G28" s="477" t="s">
        <v>9867</v>
      </c>
      <c r="H28" s="477" t="s">
        <v>9868</v>
      </c>
      <c r="I28" s="477" t="s">
        <v>9869</v>
      </c>
      <c r="J28" s="477" t="s">
        <v>9870</v>
      </c>
      <c r="K28" s="477" t="s">
        <v>9871</v>
      </c>
      <c r="L28" s="477" t="s">
        <v>9872</v>
      </c>
      <c r="M28" s="479" t="s">
        <v>9873</v>
      </c>
    </row>
    <row r="29" spans="1:13" ht="14.4" customHeight="1">
      <c r="A29" s="4" t="str" cm="1">
        <f t="array" ref="A29">_xlfn.IFS(
template_selected_display_language='Footnote (Taxonomy) Labels'!$B$1,'Footnote (Taxonomy) Labels'!$B29,
template_selected_display_language='Footnote (Taxonomy) Labels'!$C$1,'Footnote (Taxonomy) Labels'!$C29,
template_selected_display_language='Footnote (Taxonomy) Labels'!$D$1,'Footnote (Taxonomy) Labels'!$D29,
template_selected_display_language='Footnote (Taxonomy) Labels'!$E$1,'Footnote (Taxonomy) Labels'!$E29,
template_selected_display_language='Footnote (Taxonomy) Labels'!$F$1,'Footnote (Taxonomy) Labels'!$F29,
template_selected_display_language='Footnote (Taxonomy) Labels'!$G$1,'Footnote (Taxonomy) Labels'!$G29,
template_selected_display_language='Footnote (Taxonomy) Labels'!$H$1,'Footnote (Taxonomy) Labels'!$H29,
template_selected_display_language='Footnote (Taxonomy) Labels'!$I$1,'Footnote (Taxonomy) Labels'!$I29,
template_selected_display_language='Footnote (Taxonomy) Labels'!$J$1,'Footnote (Taxonomy) Labels'!$J29,
template_selected_display_language='Footnote (Taxonomy) Labels'!$K$1,'Footnote (Taxonomy) Labels'!$K29,
template_selected_display_language='Footnote (Taxonomy) Labels'!$L$1,'Footnote (Taxonomy) Labels'!$L29,
template_selected_display_language='Footnote (Taxonomy) Labels'!$M$1,'Footnote (Taxonomy) Labels'!$M29
)</f>
        <v>Financial investment in the capital or assets of social economy entities</v>
      </c>
      <c r="B29" s="484" t="s">
        <v>9874</v>
      </c>
      <c r="C29" s="477" t="s">
        <v>9875</v>
      </c>
      <c r="D29" s="477" t="s">
        <v>9876</v>
      </c>
      <c r="E29" s="477" t="s">
        <v>9877</v>
      </c>
      <c r="F29" s="477" t="s">
        <v>9878</v>
      </c>
      <c r="G29" s="477" t="s">
        <v>9879</v>
      </c>
      <c r="H29" s="477" t="s">
        <v>9880</v>
      </c>
      <c r="I29" s="494"/>
      <c r="J29" s="477" t="s">
        <v>9881</v>
      </c>
      <c r="K29" s="477" t="s">
        <v>9882</v>
      </c>
      <c r="L29" s="477" t="s">
        <v>9883</v>
      </c>
      <c r="M29" s="479" t="s">
        <v>9884</v>
      </c>
    </row>
    <row r="30" spans="1:13" ht="14.4" customHeight="1">
      <c r="A30" s="4" t="str" cm="1">
        <f t="array" ref="A30">_xlfn.IFS(
template_selected_display_language='Footnote (Taxonomy) Labels'!$B$1,'Footnote (Taxonomy) Labels'!$B30,
template_selected_display_language='Footnote (Taxonomy) Labels'!$C$1,'Footnote (Taxonomy) Labels'!$C30,
template_selected_display_language='Footnote (Taxonomy) Labels'!$D$1,'Footnote (Taxonomy) Labels'!$D30,
template_selected_display_language='Footnote (Taxonomy) Labels'!$E$1,'Footnote (Taxonomy) Labels'!$E30,
template_selected_display_language='Footnote (Taxonomy) Labels'!$F$1,'Footnote (Taxonomy) Labels'!$F30,
template_selected_display_language='Footnote (Taxonomy) Labels'!$G$1,'Footnote (Taxonomy) Labels'!$G30,
template_selected_display_language='Footnote (Taxonomy) Labels'!$H$1,'Footnote (Taxonomy) Labels'!$H30,
template_selected_display_language='Footnote (Taxonomy) Labels'!$I$1,'Footnote (Taxonomy) Labels'!$I30,
template_selected_display_language='Footnote (Taxonomy) Labels'!$J$1,'Footnote (Taxonomy) Labels'!$J30,
template_selected_display_language='Footnote (Taxonomy) Labels'!$K$1,'Footnote (Taxonomy) Labels'!$K30,
template_selected_display_language='Footnote (Taxonomy) Labels'!$L$1,'Footnote (Taxonomy) Labels'!$L30,
template_selected_display_language='Footnote (Taxonomy) Labels'!$M$1,'Footnote (Taxonomy) Labels'!$M30
)</f>
        <v>Description of limits to the distribution of profits connected to the mutualistic nature or to the nature of the activities consisting in services of general economic interest (SGEI)</v>
      </c>
      <c r="B30" s="484" t="s">
        <v>9885</v>
      </c>
      <c r="C30" s="477" t="s">
        <v>9886</v>
      </c>
      <c r="D30" s="477" t="s">
        <v>9887</v>
      </c>
      <c r="E30" s="477" t="s">
        <v>9888</v>
      </c>
      <c r="F30" s="477" t="s">
        <v>9889</v>
      </c>
      <c r="G30" s="477" t="s">
        <v>9890</v>
      </c>
      <c r="H30" s="477" t="s">
        <v>9891</v>
      </c>
      <c r="I30" s="477" t="s">
        <v>9892</v>
      </c>
      <c r="J30" s="477" t="s">
        <v>9893</v>
      </c>
      <c r="K30" s="477" t="s">
        <v>9894</v>
      </c>
      <c r="L30" s="477" t="s">
        <v>9895</v>
      </c>
      <c r="M30" s="479" t="s">
        <v>9896</v>
      </c>
    </row>
    <row r="31" spans="1:13" ht="14.4" customHeight="1">
      <c r="A31" s="4" t="str" cm="1">
        <f t="array" ref="A31">_xlfn.IFS(
template_selected_display_language='Footnote (Taxonomy) Labels'!$B$1,'Footnote (Taxonomy) Labels'!$B31,
template_selected_display_language='Footnote (Taxonomy) Labels'!$C$1,'Footnote (Taxonomy) Labels'!$C31,
template_selected_display_language='Footnote (Taxonomy) Labels'!$D$1,'Footnote (Taxonomy) Labels'!$D31,
template_selected_display_language='Footnote (Taxonomy) Labels'!$E$1,'Footnote (Taxonomy) Labels'!$E31,
template_selected_display_language='Footnote (Taxonomy) Labels'!$F$1,'Footnote (Taxonomy) Labels'!$F31,
template_selected_display_language='Footnote (Taxonomy) Labels'!$G$1,'Footnote (Taxonomy) Labels'!$G31,
template_selected_display_language='Footnote (Taxonomy) Labels'!$H$1,'Footnote (Taxonomy) Labels'!$H31,
template_selected_display_language='Footnote (Taxonomy) Labels'!$I$1,'Footnote (Taxonomy) Labels'!$I31,
template_selected_display_language='Footnote (Taxonomy) Labels'!$J$1,'Footnote (Taxonomy) Labels'!$J31,
template_selected_display_language='Footnote (Taxonomy) Labels'!$K$1,'Footnote (Taxonomy) Labels'!$K31,
template_selected_display_language='Footnote (Taxonomy) Labels'!$L$1,'Footnote (Taxonomy) Labels'!$L31,
template_selected_display_language='Footnote (Taxonomy) Labels'!$M$1,'Footnote (Taxonomy) Labels'!$M31
)</f>
        <v>Total energy consumption</v>
      </c>
      <c r="B31" s="484" t="s">
        <v>9897</v>
      </c>
      <c r="C31" s="477" t="s">
        <v>5456</v>
      </c>
      <c r="D31" s="477" t="s">
        <v>9898</v>
      </c>
      <c r="E31" s="477" t="s">
        <v>9899</v>
      </c>
      <c r="F31" s="477" t="s">
        <v>5459</v>
      </c>
      <c r="G31" s="477" t="s">
        <v>9900</v>
      </c>
      <c r="H31" s="477" t="s">
        <v>9901</v>
      </c>
      <c r="I31" s="477" t="s">
        <v>5462</v>
      </c>
      <c r="J31" s="477" t="s">
        <v>5463</v>
      </c>
      <c r="K31" s="477" t="s">
        <v>9902</v>
      </c>
      <c r="L31" s="477" t="s">
        <v>5465</v>
      </c>
      <c r="M31" s="479" t="s">
        <v>5464</v>
      </c>
    </row>
    <row r="32" spans="1:13" ht="14.4" customHeight="1">
      <c r="A32" s="4" t="str" cm="1">
        <f t="array" ref="A32">_xlfn.IFS(
template_selected_display_language='Footnote (Taxonomy) Labels'!$B$1,'Footnote (Taxonomy) Labels'!$B32,
template_selected_display_language='Footnote (Taxonomy) Labels'!$C$1,'Footnote (Taxonomy) Labels'!$C32,
template_selected_display_language='Footnote (Taxonomy) Labels'!$D$1,'Footnote (Taxonomy) Labels'!$D32,
template_selected_display_language='Footnote (Taxonomy) Labels'!$E$1,'Footnote (Taxonomy) Labels'!$E32,
template_selected_display_language='Footnote (Taxonomy) Labels'!$F$1,'Footnote (Taxonomy) Labels'!$F32,
template_selected_display_language='Footnote (Taxonomy) Labels'!$G$1,'Footnote (Taxonomy) Labels'!$G32,
template_selected_display_language='Footnote (Taxonomy) Labels'!$H$1,'Footnote (Taxonomy) Labels'!$H32,
template_selected_display_language='Footnote (Taxonomy) Labels'!$I$1,'Footnote (Taxonomy) Labels'!$I32,
template_selected_display_language='Footnote (Taxonomy) Labels'!$J$1,'Footnote (Taxonomy) Labels'!$J32,
template_selected_display_language='Footnote (Taxonomy) Labels'!$K$1,'Footnote (Taxonomy) Labels'!$K32,
template_selected_display_language='Footnote (Taxonomy) Labels'!$L$1,'Footnote (Taxonomy) Labels'!$L32,
template_selected_display_language='Footnote (Taxonomy) Labels'!$M$1,'Footnote (Taxonomy) Labels'!$M32
)</f>
        <v>Energy consumption from electricity</v>
      </c>
      <c r="B32" s="484" t="s">
        <v>9903</v>
      </c>
      <c r="C32" s="477" t="s">
        <v>9904</v>
      </c>
      <c r="D32" s="477" t="s">
        <v>9905</v>
      </c>
      <c r="E32" s="477" t="s">
        <v>9906</v>
      </c>
      <c r="F32" s="477" t="s">
        <v>9907</v>
      </c>
      <c r="G32" s="477" t="s">
        <v>9908</v>
      </c>
      <c r="H32" s="477" t="s">
        <v>9909</v>
      </c>
      <c r="I32" s="477" t="s">
        <v>9910</v>
      </c>
      <c r="J32" s="477" t="s">
        <v>9911</v>
      </c>
      <c r="K32" s="477" t="s">
        <v>9912</v>
      </c>
      <c r="L32" s="477" t="s">
        <v>9913</v>
      </c>
      <c r="M32" s="479" t="s">
        <v>9914</v>
      </c>
    </row>
    <row r="33" spans="1:13" ht="14.4" customHeight="1">
      <c r="A33" s="4" t="str" cm="1">
        <f t="array" ref="A33">_xlfn.IFS(
template_selected_display_language='Footnote (Taxonomy) Labels'!$B$1,'Footnote (Taxonomy) Labels'!$B33,
template_selected_display_language='Footnote (Taxonomy) Labels'!$C$1,'Footnote (Taxonomy) Labels'!$C33,
template_selected_display_language='Footnote (Taxonomy) Labels'!$D$1,'Footnote (Taxonomy) Labels'!$D33,
template_selected_display_language='Footnote (Taxonomy) Labels'!$E$1,'Footnote (Taxonomy) Labels'!$E33,
template_selected_display_language='Footnote (Taxonomy) Labels'!$F$1,'Footnote (Taxonomy) Labels'!$F33,
template_selected_display_language='Footnote (Taxonomy) Labels'!$G$1,'Footnote (Taxonomy) Labels'!$G33,
template_selected_display_language='Footnote (Taxonomy) Labels'!$H$1,'Footnote (Taxonomy) Labels'!$H33,
template_selected_display_language='Footnote (Taxonomy) Labels'!$I$1,'Footnote (Taxonomy) Labels'!$I33,
template_selected_display_language='Footnote (Taxonomy) Labels'!$J$1,'Footnote (Taxonomy) Labels'!$J33,
template_selected_display_language='Footnote (Taxonomy) Labels'!$K$1,'Footnote (Taxonomy) Labels'!$K33,
template_selected_display_language='Footnote (Taxonomy) Labels'!$L$1,'Footnote (Taxonomy) Labels'!$L33,
template_selected_display_language='Footnote (Taxonomy) Labels'!$M$1,'Footnote (Taxonomy) Labels'!$M33
)</f>
        <v>Energy consumption from self-generated electricity</v>
      </c>
      <c r="B33" s="484" t="s">
        <v>9915</v>
      </c>
      <c r="C33" s="477" t="s">
        <v>9916</v>
      </c>
      <c r="D33" s="477" t="s">
        <v>9917</v>
      </c>
      <c r="E33" s="477" t="s">
        <v>9918</v>
      </c>
      <c r="F33" s="477" t="s">
        <v>9919</v>
      </c>
      <c r="G33" s="477" t="s">
        <v>9920</v>
      </c>
      <c r="H33" s="477" t="s">
        <v>9921</v>
      </c>
      <c r="I33" s="477" t="s">
        <v>9922</v>
      </c>
      <c r="J33" s="477" t="s">
        <v>9923</v>
      </c>
      <c r="K33" s="477" t="s">
        <v>9924</v>
      </c>
      <c r="L33" s="477" t="s">
        <v>9925</v>
      </c>
      <c r="M33" s="479" t="s">
        <v>9926</v>
      </c>
    </row>
    <row r="34" spans="1:13" ht="14.4" customHeight="1">
      <c r="A34" s="4" t="str" cm="1">
        <f t="array" ref="A34">_xlfn.IFS(
template_selected_display_language='Footnote (Taxonomy) Labels'!$B$1,'Footnote (Taxonomy) Labels'!$B34,
template_selected_display_language='Footnote (Taxonomy) Labels'!$C$1,'Footnote (Taxonomy) Labels'!$C34,
template_selected_display_language='Footnote (Taxonomy) Labels'!$D$1,'Footnote (Taxonomy) Labels'!$D34,
template_selected_display_language='Footnote (Taxonomy) Labels'!$E$1,'Footnote (Taxonomy) Labels'!$E34,
template_selected_display_language='Footnote (Taxonomy) Labels'!$F$1,'Footnote (Taxonomy) Labels'!$F34,
template_selected_display_language='Footnote (Taxonomy) Labels'!$G$1,'Footnote (Taxonomy) Labels'!$G34,
template_selected_display_language='Footnote (Taxonomy) Labels'!$H$1,'Footnote (Taxonomy) Labels'!$H34,
template_selected_display_language='Footnote (Taxonomy) Labels'!$I$1,'Footnote (Taxonomy) Labels'!$I34,
template_selected_display_language='Footnote (Taxonomy) Labels'!$J$1,'Footnote (Taxonomy) Labels'!$J34,
template_selected_display_language='Footnote (Taxonomy) Labels'!$K$1,'Footnote (Taxonomy) Labels'!$K34,
template_selected_display_language='Footnote (Taxonomy) Labels'!$L$1,'Footnote (Taxonomy) Labels'!$L34,
template_selected_display_language='Footnote (Taxonomy) Labels'!$M$1,'Footnote (Taxonomy) Labels'!$M34
)</f>
        <v>Energy consumption from fuels</v>
      </c>
      <c r="B34" s="484" t="s">
        <v>9927</v>
      </c>
      <c r="C34" s="477" t="s">
        <v>9928</v>
      </c>
      <c r="D34" s="477" t="s">
        <v>9929</v>
      </c>
      <c r="E34" s="477" t="s">
        <v>9930</v>
      </c>
      <c r="F34" s="477" t="s">
        <v>9931</v>
      </c>
      <c r="G34" s="477" t="s">
        <v>9932</v>
      </c>
      <c r="H34" s="477" t="s">
        <v>9933</v>
      </c>
      <c r="I34" s="477" t="s">
        <v>9934</v>
      </c>
      <c r="J34" s="477" t="s">
        <v>9935</v>
      </c>
      <c r="K34" s="477" t="s">
        <v>9936</v>
      </c>
      <c r="L34" s="477" t="s">
        <v>9937</v>
      </c>
      <c r="M34" s="479" t="s">
        <v>9938</v>
      </c>
    </row>
    <row r="35" spans="1:13" ht="14.4" customHeight="1">
      <c r="A35" s="4" t="str" cm="1">
        <f t="array" ref="A35">_xlfn.IFS(
template_selected_display_language='Footnote (Taxonomy) Labels'!$B$1,'Footnote (Taxonomy) Labels'!$B35,
template_selected_display_language='Footnote (Taxonomy) Labels'!$C$1,'Footnote (Taxonomy) Labels'!$C35,
template_selected_display_language='Footnote (Taxonomy) Labels'!$D$1,'Footnote (Taxonomy) Labels'!$D35,
template_selected_display_language='Footnote (Taxonomy) Labels'!$E$1,'Footnote (Taxonomy) Labels'!$E35,
template_selected_display_language='Footnote (Taxonomy) Labels'!$F$1,'Footnote (Taxonomy) Labels'!$F35,
template_selected_display_language='Footnote (Taxonomy) Labels'!$G$1,'Footnote (Taxonomy) Labels'!$G35,
template_selected_display_language='Footnote (Taxonomy) Labels'!$H$1,'Footnote (Taxonomy) Labels'!$H35,
template_selected_display_language='Footnote (Taxonomy) Labels'!$I$1,'Footnote (Taxonomy) Labels'!$I35,
template_selected_display_language='Footnote (Taxonomy) Labels'!$J$1,'Footnote (Taxonomy) Labels'!$J35,
template_selected_display_language='Footnote (Taxonomy) Labels'!$K$1,'Footnote (Taxonomy) Labels'!$K35,
template_selected_display_language='Footnote (Taxonomy) Labels'!$L$1,'Footnote (Taxonomy) Labels'!$L35,
template_selected_display_language='Footnote (Taxonomy) Labels'!$M$1,'Footnote (Taxonomy) Labels'!$M35
)</f>
        <v>Gross Scope 1 greenhouse gas emissions</v>
      </c>
      <c r="B35" s="484" t="s">
        <v>9939</v>
      </c>
      <c r="C35" s="477" t="s">
        <v>9940</v>
      </c>
      <c r="D35" s="477" t="s">
        <v>9941</v>
      </c>
      <c r="E35" s="477" t="s">
        <v>9942</v>
      </c>
      <c r="F35" s="477" t="s">
        <v>5662</v>
      </c>
      <c r="G35" s="477" t="s">
        <v>9943</v>
      </c>
      <c r="H35" s="477" t="s">
        <v>5664</v>
      </c>
      <c r="I35" s="477" t="s">
        <v>9944</v>
      </c>
      <c r="J35" s="477" t="s">
        <v>9945</v>
      </c>
      <c r="K35" s="477" t="s">
        <v>9946</v>
      </c>
      <c r="L35" s="477" t="s">
        <v>5668</v>
      </c>
      <c r="M35" s="479" t="s">
        <v>9947</v>
      </c>
    </row>
    <row r="36" spans="1:13" ht="14.4" customHeight="1">
      <c r="A36" s="4" t="str" cm="1">
        <f t="array" ref="A36">_xlfn.IFS(
template_selected_display_language='Footnote (Taxonomy) Labels'!$B$1,'Footnote (Taxonomy) Labels'!$B36,
template_selected_display_language='Footnote (Taxonomy) Labels'!$C$1,'Footnote (Taxonomy) Labels'!$C36,
template_selected_display_language='Footnote (Taxonomy) Labels'!$D$1,'Footnote (Taxonomy) Labels'!$D36,
template_selected_display_language='Footnote (Taxonomy) Labels'!$E$1,'Footnote (Taxonomy) Labels'!$E36,
template_selected_display_language='Footnote (Taxonomy) Labels'!$F$1,'Footnote (Taxonomy) Labels'!$F36,
template_selected_display_language='Footnote (Taxonomy) Labels'!$G$1,'Footnote (Taxonomy) Labels'!$G36,
template_selected_display_language='Footnote (Taxonomy) Labels'!$H$1,'Footnote (Taxonomy) Labels'!$H36,
template_selected_display_language='Footnote (Taxonomy) Labels'!$I$1,'Footnote (Taxonomy) Labels'!$I36,
template_selected_display_language='Footnote (Taxonomy) Labels'!$J$1,'Footnote (Taxonomy) Labels'!$J36,
template_selected_display_language='Footnote (Taxonomy) Labels'!$K$1,'Footnote (Taxonomy) Labels'!$K36,
template_selected_display_language='Footnote (Taxonomy) Labels'!$L$1,'Footnote (Taxonomy) Labels'!$L36,
template_selected_display_language='Footnote (Taxonomy) Labels'!$M$1,'Footnote (Taxonomy) Labels'!$M36
)</f>
        <v>Gross location-based Scope 2 greenhouse gas emissions</v>
      </c>
      <c r="B36" s="484" t="s">
        <v>9948</v>
      </c>
      <c r="C36" s="477" t="s">
        <v>9949</v>
      </c>
      <c r="D36" s="477" t="s">
        <v>9950</v>
      </c>
      <c r="E36" s="477" t="s">
        <v>9951</v>
      </c>
      <c r="F36" s="477" t="s">
        <v>5675</v>
      </c>
      <c r="G36" s="477" t="s">
        <v>9952</v>
      </c>
      <c r="H36" s="477" t="s">
        <v>9953</v>
      </c>
      <c r="I36" s="477" t="s">
        <v>9954</v>
      </c>
      <c r="J36" s="477" t="s">
        <v>5679</v>
      </c>
      <c r="K36" s="477" t="s">
        <v>9955</v>
      </c>
      <c r="L36" s="477" t="s">
        <v>9956</v>
      </c>
      <c r="M36" s="479" t="s">
        <v>9957</v>
      </c>
    </row>
    <row r="37" spans="1:13" ht="14.4" customHeight="1">
      <c r="A37" s="4" t="str" cm="1">
        <f t="array" ref="A37">_xlfn.IFS(
template_selected_display_language='Footnote (Taxonomy) Labels'!$B$1,'Footnote (Taxonomy) Labels'!$B37,
template_selected_display_language='Footnote (Taxonomy) Labels'!$C$1,'Footnote (Taxonomy) Labels'!$C37,
template_selected_display_language='Footnote (Taxonomy) Labels'!$D$1,'Footnote (Taxonomy) Labels'!$D37,
template_selected_display_language='Footnote (Taxonomy) Labels'!$E$1,'Footnote (Taxonomy) Labels'!$E37,
template_selected_display_language='Footnote (Taxonomy) Labels'!$F$1,'Footnote (Taxonomy) Labels'!$F37,
template_selected_display_language='Footnote (Taxonomy) Labels'!$G$1,'Footnote (Taxonomy) Labels'!$G37,
template_selected_display_language='Footnote (Taxonomy) Labels'!$H$1,'Footnote (Taxonomy) Labels'!$H37,
template_selected_display_language='Footnote (Taxonomy) Labels'!$I$1,'Footnote (Taxonomy) Labels'!$I37,
template_selected_display_language='Footnote (Taxonomy) Labels'!$J$1,'Footnote (Taxonomy) Labels'!$J37,
template_selected_display_language='Footnote (Taxonomy) Labels'!$K$1,'Footnote (Taxonomy) Labels'!$K37,
template_selected_display_language='Footnote (Taxonomy) Labels'!$L$1,'Footnote (Taxonomy) Labels'!$L37,
template_selected_display_language='Footnote (Taxonomy) Labels'!$M$1,'Footnote (Taxonomy) Labels'!$M37
)</f>
        <v>Gross market-based Scope 2 greenhouse gas emissions</v>
      </c>
      <c r="B37" s="484" t="s">
        <v>9958</v>
      </c>
      <c r="C37" s="477" t="s">
        <v>9959</v>
      </c>
      <c r="D37" s="477" t="s">
        <v>9960</v>
      </c>
      <c r="E37" s="477" t="s">
        <v>9961</v>
      </c>
      <c r="F37" s="477" t="s">
        <v>5688</v>
      </c>
      <c r="G37" s="477" t="s">
        <v>9962</v>
      </c>
      <c r="H37" s="477" t="s">
        <v>9963</v>
      </c>
      <c r="I37" s="477" t="s">
        <v>9964</v>
      </c>
      <c r="J37" s="477" t="s">
        <v>5692</v>
      </c>
      <c r="K37" s="477" t="s">
        <v>5695</v>
      </c>
      <c r="L37" s="477" t="s">
        <v>5694</v>
      </c>
      <c r="M37" s="479" t="s">
        <v>9965</v>
      </c>
    </row>
    <row r="38" spans="1:13" ht="14.4" customHeight="1">
      <c r="A38" s="4" t="str" cm="1">
        <f t="array" ref="A38">_xlfn.IFS(
template_selected_display_language='Footnote (Taxonomy) Labels'!$B$1,'Footnote (Taxonomy) Labels'!$B38,
template_selected_display_language='Footnote (Taxonomy) Labels'!$C$1,'Footnote (Taxonomy) Labels'!$C38,
template_selected_display_language='Footnote (Taxonomy) Labels'!$D$1,'Footnote (Taxonomy) Labels'!$D38,
template_selected_display_language='Footnote (Taxonomy) Labels'!$E$1,'Footnote (Taxonomy) Labels'!$E38,
template_selected_display_language='Footnote (Taxonomy) Labels'!$F$1,'Footnote (Taxonomy) Labels'!$F38,
template_selected_display_language='Footnote (Taxonomy) Labels'!$G$1,'Footnote (Taxonomy) Labels'!$G38,
template_selected_display_language='Footnote (Taxonomy) Labels'!$H$1,'Footnote (Taxonomy) Labels'!$H38,
template_selected_display_language='Footnote (Taxonomy) Labels'!$I$1,'Footnote (Taxonomy) Labels'!$I38,
template_selected_display_language='Footnote (Taxonomy) Labels'!$J$1,'Footnote (Taxonomy) Labels'!$J38,
template_selected_display_language='Footnote (Taxonomy) Labels'!$K$1,'Footnote (Taxonomy) Labels'!$K38,
template_selected_display_language='Footnote (Taxonomy) Labels'!$L$1,'Footnote (Taxonomy) Labels'!$L38,
template_selected_display_language='Footnote (Taxonomy) Labels'!$M$1,'Footnote (Taxonomy) Labels'!$M38
)</f>
        <v>Total (gross) location-based Scope 1 and Scope 2 GHG emissions</v>
      </c>
      <c r="B38" s="484" t="s">
        <v>9966</v>
      </c>
      <c r="C38" s="477" t="s">
        <v>9967</v>
      </c>
      <c r="D38" s="477" t="s">
        <v>9968</v>
      </c>
      <c r="E38" s="477" t="s">
        <v>9969</v>
      </c>
      <c r="F38" s="477" t="s">
        <v>9970</v>
      </c>
      <c r="G38" s="477" t="s">
        <v>9971</v>
      </c>
      <c r="H38" s="477" t="s">
        <v>9972</v>
      </c>
      <c r="I38" s="477" t="s">
        <v>9973</v>
      </c>
      <c r="J38" s="477" t="s">
        <v>9974</v>
      </c>
      <c r="K38" s="477" t="s">
        <v>9975</v>
      </c>
      <c r="L38" s="477" t="s">
        <v>9976</v>
      </c>
      <c r="M38" s="479" t="s">
        <v>9977</v>
      </c>
    </row>
    <row r="39" spans="1:13" ht="14.4" customHeight="1">
      <c r="A39" s="4" t="str" cm="1">
        <f t="array" ref="A39">_xlfn.IFS(
template_selected_display_language='Footnote (Taxonomy) Labels'!$B$1,'Footnote (Taxonomy) Labels'!$B39,
template_selected_display_language='Footnote (Taxonomy) Labels'!$C$1,'Footnote (Taxonomy) Labels'!$C39,
template_selected_display_language='Footnote (Taxonomy) Labels'!$D$1,'Footnote (Taxonomy) Labels'!$D39,
template_selected_display_language='Footnote (Taxonomy) Labels'!$E$1,'Footnote (Taxonomy) Labels'!$E39,
template_selected_display_language='Footnote (Taxonomy) Labels'!$F$1,'Footnote (Taxonomy) Labels'!$F39,
template_selected_display_language='Footnote (Taxonomy) Labels'!$G$1,'Footnote (Taxonomy) Labels'!$G39,
template_selected_display_language='Footnote (Taxonomy) Labels'!$H$1,'Footnote (Taxonomy) Labels'!$H39,
template_selected_display_language='Footnote (Taxonomy) Labels'!$I$1,'Footnote (Taxonomy) Labels'!$I39,
template_selected_display_language='Footnote (Taxonomy) Labels'!$J$1,'Footnote (Taxonomy) Labels'!$J39,
template_selected_display_language='Footnote (Taxonomy) Labels'!$K$1,'Footnote (Taxonomy) Labels'!$K39,
template_selected_display_language='Footnote (Taxonomy) Labels'!$L$1,'Footnote (Taxonomy) Labels'!$L39,
template_selected_display_language='Footnote (Taxonomy) Labels'!$M$1,'Footnote (Taxonomy) Labels'!$M39
)</f>
        <v>Total (gross) market-based Scope 1 and Scope 2 GHG emissions</v>
      </c>
      <c r="B39" s="484" t="s">
        <v>9978</v>
      </c>
      <c r="C39" s="477" t="s">
        <v>9979</v>
      </c>
      <c r="D39" s="477" t="s">
        <v>9980</v>
      </c>
      <c r="E39" s="477" t="s">
        <v>9981</v>
      </c>
      <c r="F39" s="477" t="s">
        <v>9982</v>
      </c>
      <c r="G39" s="477" t="s">
        <v>9983</v>
      </c>
      <c r="H39" s="477" t="s">
        <v>9984</v>
      </c>
      <c r="I39" s="477" t="s">
        <v>9985</v>
      </c>
      <c r="J39" s="477" t="s">
        <v>9986</v>
      </c>
      <c r="K39" s="477" t="s">
        <v>9987</v>
      </c>
      <c r="L39" s="477" t="s">
        <v>9988</v>
      </c>
      <c r="M39" s="479" t="s">
        <v>9989</v>
      </c>
    </row>
    <row r="40" spans="1:13" ht="14.4" customHeight="1">
      <c r="A40" s="4" t="str" cm="1">
        <f t="array" ref="A40">_xlfn.IFS(
template_selected_display_language='Footnote (Taxonomy) Labels'!$B$1,'Footnote (Taxonomy) Labels'!$B40,
template_selected_display_language='Footnote (Taxonomy) Labels'!$C$1,'Footnote (Taxonomy) Labels'!$C40,
template_selected_display_language='Footnote (Taxonomy) Labels'!$D$1,'Footnote (Taxonomy) Labels'!$D40,
template_selected_display_language='Footnote (Taxonomy) Labels'!$E$1,'Footnote (Taxonomy) Labels'!$E40,
template_selected_display_language='Footnote (Taxonomy) Labels'!$F$1,'Footnote (Taxonomy) Labels'!$F40,
template_selected_display_language='Footnote (Taxonomy) Labels'!$G$1,'Footnote (Taxonomy) Labels'!$G40,
template_selected_display_language='Footnote (Taxonomy) Labels'!$H$1,'Footnote (Taxonomy) Labels'!$H40,
template_selected_display_language='Footnote (Taxonomy) Labels'!$I$1,'Footnote (Taxonomy) Labels'!$I40,
template_selected_display_language='Footnote (Taxonomy) Labels'!$J$1,'Footnote (Taxonomy) Labels'!$J40,
template_selected_display_language='Footnote (Taxonomy) Labels'!$K$1,'Footnote (Taxonomy) Labels'!$K40,
template_selected_display_language='Footnote (Taxonomy) Labels'!$L$1,'Footnote (Taxonomy) Labels'!$L40,
template_selected_display_language='Footnote (Taxonomy) Labels'!$M$1,'Footnote (Taxonomy) Labels'!$M40
)</f>
        <v>Gross Scope 3 greenhouse gas emissions</v>
      </c>
      <c r="B40" s="484" t="s">
        <v>9990</v>
      </c>
      <c r="C40" s="477" t="s">
        <v>9991</v>
      </c>
      <c r="D40" s="477" t="s">
        <v>9992</v>
      </c>
      <c r="E40" s="477" t="s">
        <v>9993</v>
      </c>
      <c r="F40" s="477" t="s">
        <v>9994</v>
      </c>
      <c r="G40" s="477" t="s">
        <v>9995</v>
      </c>
      <c r="H40" s="477" t="s">
        <v>9996</v>
      </c>
      <c r="I40" s="477" t="s">
        <v>9997</v>
      </c>
      <c r="J40" s="477" t="s">
        <v>9998</v>
      </c>
      <c r="K40" s="477" t="s">
        <v>9999</v>
      </c>
      <c r="L40" s="477" t="s">
        <v>10000</v>
      </c>
      <c r="M40" s="479" t="s">
        <v>10001</v>
      </c>
    </row>
    <row r="41" spans="1:13" ht="14.4" customHeight="1">
      <c r="A41" s="4" t="str" cm="1">
        <f t="array" ref="A41">_xlfn.IFS(
template_selected_display_language='Footnote (Taxonomy) Labels'!$B$1,'Footnote (Taxonomy) Labels'!$B41,
template_selected_display_language='Footnote (Taxonomy) Labels'!$C$1,'Footnote (Taxonomy) Labels'!$C41,
template_selected_display_language='Footnote (Taxonomy) Labels'!$D$1,'Footnote (Taxonomy) Labels'!$D41,
template_selected_display_language='Footnote (Taxonomy) Labels'!$E$1,'Footnote (Taxonomy) Labels'!$E41,
template_selected_display_language='Footnote (Taxonomy) Labels'!$F$1,'Footnote (Taxonomy) Labels'!$F41,
template_selected_display_language='Footnote (Taxonomy) Labels'!$G$1,'Footnote (Taxonomy) Labels'!$G41,
template_selected_display_language='Footnote (Taxonomy) Labels'!$H$1,'Footnote (Taxonomy) Labels'!$H41,
template_selected_display_language='Footnote (Taxonomy) Labels'!$I$1,'Footnote (Taxonomy) Labels'!$I41,
template_selected_display_language='Footnote (Taxonomy) Labels'!$J$1,'Footnote (Taxonomy) Labels'!$J41,
template_selected_display_language='Footnote (Taxonomy) Labels'!$K$1,'Footnote (Taxonomy) Labels'!$K41,
template_selected_display_language='Footnote (Taxonomy) Labels'!$L$1,'Footnote (Taxonomy) Labels'!$L41,
template_selected_display_language='Footnote (Taxonomy) Labels'!$M$1,'Footnote (Taxonomy) Labels'!$M41
)</f>
        <v>Total (gross) location-based GHG emissions</v>
      </c>
      <c r="B41" s="484" t="s">
        <v>10002</v>
      </c>
      <c r="C41" s="477" t="s">
        <v>10003</v>
      </c>
      <c r="D41" s="477" t="s">
        <v>10004</v>
      </c>
      <c r="E41" s="477" t="s">
        <v>10005</v>
      </c>
      <c r="F41" s="477" t="s">
        <v>10006</v>
      </c>
      <c r="G41" s="477" t="s">
        <v>10007</v>
      </c>
      <c r="H41" s="477" t="s">
        <v>10008</v>
      </c>
      <c r="I41" s="477" t="s">
        <v>10009</v>
      </c>
      <c r="J41" s="477" t="s">
        <v>10010</v>
      </c>
      <c r="K41" s="477" t="s">
        <v>10011</v>
      </c>
      <c r="L41" s="477" t="s">
        <v>10012</v>
      </c>
      <c r="M41" s="479" t="s">
        <v>10013</v>
      </c>
    </row>
    <row r="42" spans="1:13" ht="14.4" customHeight="1">
      <c r="A42" s="4" t="str" cm="1">
        <f t="array" ref="A42">_xlfn.IFS(
template_selected_display_language='Footnote (Taxonomy) Labels'!$B$1,'Footnote (Taxonomy) Labels'!$B42,
template_selected_display_language='Footnote (Taxonomy) Labels'!$C$1,'Footnote (Taxonomy) Labels'!$C42,
template_selected_display_language='Footnote (Taxonomy) Labels'!$D$1,'Footnote (Taxonomy) Labels'!$D42,
template_selected_display_language='Footnote (Taxonomy) Labels'!$E$1,'Footnote (Taxonomy) Labels'!$E42,
template_selected_display_language='Footnote (Taxonomy) Labels'!$F$1,'Footnote (Taxonomy) Labels'!$F42,
template_selected_display_language='Footnote (Taxonomy) Labels'!$G$1,'Footnote (Taxonomy) Labels'!$G42,
template_selected_display_language='Footnote (Taxonomy) Labels'!$H$1,'Footnote (Taxonomy) Labels'!$H42,
template_selected_display_language='Footnote (Taxonomy) Labels'!$I$1,'Footnote (Taxonomy) Labels'!$I42,
template_selected_display_language='Footnote (Taxonomy) Labels'!$J$1,'Footnote (Taxonomy) Labels'!$J42,
template_selected_display_language='Footnote (Taxonomy) Labels'!$K$1,'Footnote (Taxonomy) Labels'!$K42,
template_selected_display_language='Footnote (Taxonomy) Labels'!$L$1,'Footnote (Taxonomy) Labels'!$L42,
template_selected_display_language='Footnote (Taxonomy) Labels'!$M$1,'Footnote (Taxonomy) Labels'!$M42
)</f>
        <v>Total (gross) market-based GHG emissions</v>
      </c>
      <c r="B42" s="484" t="s">
        <v>10014</v>
      </c>
      <c r="C42" s="477" t="s">
        <v>10015</v>
      </c>
      <c r="D42" s="477" t="s">
        <v>10016</v>
      </c>
      <c r="E42" s="477" t="s">
        <v>10017</v>
      </c>
      <c r="F42" s="477" t="s">
        <v>10018</v>
      </c>
      <c r="G42" s="477" t="s">
        <v>10019</v>
      </c>
      <c r="H42" s="477" t="s">
        <v>10020</v>
      </c>
      <c r="I42" s="477" t="s">
        <v>10021</v>
      </c>
      <c r="J42" s="477" t="s">
        <v>10022</v>
      </c>
      <c r="K42" s="477" t="s">
        <v>10023</v>
      </c>
      <c r="L42" s="477" t="s">
        <v>10024</v>
      </c>
      <c r="M42" s="479" t="s">
        <v>10025</v>
      </c>
    </row>
    <row r="43" spans="1:13" ht="14.4" customHeight="1">
      <c r="A43" s="4" t="str" cm="1">
        <f t="array" ref="A43">_xlfn.IFS(
template_selected_display_language='Footnote (Taxonomy) Labels'!$B$1,'Footnote (Taxonomy) Labels'!$B43,
template_selected_display_language='Footnote (Taxonomy) Labels'!$C$1,'Footnote (Taxonomy) Labels'!$C43,
template_selected_display_language='Footnote (Taxonomy) Labels'!$D$1,'Footnote (Taxonomy) Labels'!$D43,
template_selected_display_language='Footnote (Taxonomy) Labels'!$E$1,'Footnote (Taxonomy) Labels'!$E43,
template_selected_display_language='Footnote (Taxonomy) Labels'!$F$1,'Footnote (Taxonomy) Labels'!$F43,
template_selected_display_language='Footnote (Taxonomy) Labels'!$G$1,'Footnote (Taxonomy) Labels'!$G43,
template_selected_display_language='Footnote (Taxonomy) Labels'!$H$1,'Footnote (Taxonomy) Labels'!$H43,
template_selected_display_language='Footnote (Taxonomy) Labels'!$I$1,'Footnote (Taxonomy) Labels'!$I43,
template_selected_display_language='Footnote (Taxonomy) Labels'!$J$1,'Footnote (Taxonomy) Labels'!$J43,
template_selected_display_language='Footnote (Taxonomy) Labels'!$K$1,'Footnote (Taxonomy) Labels'!$K43,
template_selected_display_language='Footnote (Taxonomy) Labels'!$L$1,'Footnote (Taxonomy) Labels'!$L43,
template_selected_display_language='Footnote (Taxonomy) Labels'!$M$1,'Footnote (Taxonomy) Labels'!$M43
)</f>
        <v>Location-based Scope 1 and Scope 2 Greenhouse Gas Emissions intensity</v>
      </c>
      <c r="B43" s="484" t="s">
        <v>10026</v>
      </c>
      <c r="C43" s="477" t="s">
        <v>10027</v>
      </c>
      <c r="D43" s="477" t="s">
        <v>10028</v>
      </c>
      <c r="E43" s="477" t="s">
        <v>10029</v>
      </c>
      <c r="F43" s="477" t="s">
        <v>10030</v>
      </c>
      <c r="G43" s="477" t="s">
        <v>10031</v>
      </c>
      <c r="H43" s="477" t="s">
        <v>10032</v>
      </c>
      <c r="I43" s="477" t="s">
        <v>10033</v>
      </c>
      <c r="J43" s="477" t="s">
        <v>10034</v>
      </c>
      <c r="K43" s="477" t="s">
        <v>10035</v>
      </c>
      <c r="L43" s="477" t="s">
        <v>10036</v>
      </c>
      <c r="M43" s="479" t="s">
        <v>10037</v>
      </c>
    </row>
    <row r="44" spans="1:13" ht="14.4" customHeight="1">
      <c r="A44" s="4" t="str" cm="1">
        <f t="array" ref="A44">_xlfn.IFS(
template_selected_display_language='Footnote (Taxonomy) Labels'!$B$1,'Footnote (Taxonomy) Labels'!$B44,
template_selected_display_language='Footnote (Taxonomy) Labels'!$C$1,'Footnote (Taxonomy) Labels'!$C44,
template_selected_display_language='Footnote (Taxonomy) Labels'!$D$1,'Footnote (Taxonomy) Labels'!$D44,
template_selected_display_language='Footnote (Taxonomy) Labels'!$E$1,'Footnote (Taxonomy) Labels'!$E44,
template_selected_display_language='Footnote (Taxonomy) Labels'!$F$1,'Footnote (Taxonomy) Labels'!$F44,
template_selected_display_language='Footnote (Taxonomy) Labels'!$G$1,'Footnote (Taxonomy) Labels'!$G44,
template_selected_display_language='Footnote (Taxonomy) Labels'!$H$1,'Footnote (Taxonomy) Labels'!$H44,
template_selected_display_language='Footnote (Taxonomy) Labels'!$I$1,'Footnote (Taxonomy) Labels'!$I44,
template_selected_display_language='Footnote (Taxonomy) Labels'!$J$1,'Footnote (Taxonomy) Labels'!$J44,
template_selected_display_language='Footnote (Taxonomy) Labels'!$K$1,'Footnote (Taxonomy) Labels'!$K44,
template_selected_display_language='Footnote (Taxonomy) Labels'!$L$1,'Footnote (Taxonomy) Labels'!$L44,
template_selected_display_language='Footnote (Taxonomy) Labels'!$M$1,'Footnote (Taxonomy) Labels'!$M44
)</f>
        <v>Market-based Scope 1 and Scope 2 Greenhouse Gas Emissions intensity</v>
      </c>
      <c r="B44" s="484" t="s">
        <v>10038</v>
      </c>
      <c r="C44" s="477" t="s">
        <v>10039</v>
      </c>
      <c r="D44" s="477" t="s">
        <v>10040</v>
      </c>
      <c r="E44" s="477" t="s">
        <v>10041</v>
      </c>
      <c r="F44" s="477" t="s">
        <v>10042</v>
      </c>
      <c r="G44" s="477" t="s">
        <v>10043</v>
      </c>
      <c r="H44" s="477" t="s">
        <v>10044</v>
      </c>
      <c r="I44" s="477" t="s">
        <v>10045</v>
      </c>
      <c r="J44" s="477" t="s">
        <v>10046</v>
      </c>
      <c r="K44" s="477" t="s">
        <v>10047</v>
      </c>
      <c r="L44" s="477" t="s">
        <v>10048</v>
      </c>
      <c r="M44" s="479" t="s">
        <v>10049</v>
      </c>
    </row>
    <row r="45" spans="1:13" ht="14.4" customHeight="1">
      <c r="A45" s="4" t="str" cm="1">
        <f t="array" ref="A45">_xlfn.IFS(
template_selected_display_language='Footnote (Taxonomy) Labels'!$B$1,'Footnote (Taxonomy) Labels'!$B45,
template_selected_display_language='Footnote (Taxonomy) Labels'!$C$1,'Footnote (Taxonomy) Labels'!$C45,
template_selected_display_language='Footnote (Taxonomy) Labels'!$D$1,'Footnote (Taxonomy) Labels'!$D45,
template_selected_display_language='Footnote (Taxonomy) Labels'!$E$1,'Footnote (Taxonomy) Labels'!$E45,
template_selected_display_language='Footnote (Taxonomy) Labels'!$F$1,'Footnote (Taxonomy) Labels'!$F45,
template_selected_display_language='Footnote (Taxonomy) Labels'!$G$1,'Footnote (Taxonomy) Labels'!$G45,
template_selected_display_language='Footnote (Taxonomy) Labels'!$H$1,'Footnote (Taxonomy) Labels'!$H45,
template_selected_display_language='Footnote (Taxonomy) Labels'!$I$1,'Footnote (Taxonomy) Labels'!$I45,
template_selected_display_language='Footnote (Taxonomy) Labels'!$J$1,'Footnote (Taxonomy) Labels'!$J45,
template_selected_display_language='Footnote (Taxonomy) Labels'!$K$1,'Footnote (Taxonomy) Labels'!$K45,
template_selected_display_language='Footnote (Taxonomy) Labels'!$L$1,'Footnote (Taxonomy) Labels'!$L45,
template_selected_display_language='Footnote (Taxonomy) Labels'!$M$1,'Footnote (Taxonomy) Labels'!$M45
)</f>
        <v>Total location-based Greenhouse Gas Emissions intensity</v>
      </c>
      <c r="B45" s="484" t="s">
        <v>10050</v>
      </c>
      <c r="C45" s="477" t="s">
        <v>10051</v>
      </c>
      <c r="D45" s="477" t="s">
        <v>10052</v>
      </c>
      <c r="E45" s="477" t="s">
        <v>10053</v>
      </c>
      <c r="F45" s="477" t="s">
        <v>10054</v>
      </c>
      <c r="G45" s="477" t="s">
        <v>10055</v>
      </c>
      <c r="H45" s="477" t="s">
        <v>10056</v>
      </c>
      <c r="I45" s="477" t="s">
        <v>10057</v>
      </c>
      <c r="J45" s="477" t="s">
        <v>10058</v>
      </c>
      <c r="K45" s="477" t="s">
        <v>10059</v>
      </c>
      <c r="L45" s="477" t="s">
        <v>10060</v>
      </c>
      <c r="M45" s="479" t="s">
        <v>10061</v>
      </c>
    </row>
    <row r="46" spans="1:13" ht="14.4" customHeight="1">
      <c r="A46" s="4" t="str" cm="1">
        <f t="array" ref="A46">_xlfn.IFS(
template_selected_display_language='Footnote (Taxonomy) Labels'!$B$1,'Footnote (Taxonomy) Labels'!$B46,
template_selected_display_language='Footnote (Taxonomy) Labels'!$C$1,'Footnote (Taxonomy) Labels'!$C46,
template_selected_display_language='Footnote (Taxonomy) Labels'!$D$1,'Footnote (Taxonomy) Labels'!$D46,
template_selected_display_language='Footnote (Taxonomy) Labels'!$E$1,'Footnote (Taxonomy) Labels'!$E46,
template_selected_display_language='Footnote (Taxonomy) Labels'!$F$1,'Footnote (Taxonomy) Labels'!$F46,
template_selected_display_language='Footnote (Taxonomy) Labels'!$G$1,'Footnote (Taxonomy) Labels'!$G46,
template_selected_display_language='Footnote (Taxonomy) Labels'!$H$1,'Footnote (Taxonomy) Labels'!$H46,
template_selected_display_language='Footnote (Taxonomy) Labels'!$I$1,'Footnote (Taxonomy) Labels'!$I46,
template_selected_display_language='Footnote (Taxonomy) Labels'!$J$1,'Footnote (Taxonomy) Labels'!$J46,
template_selected_display_language='Footnote (Taxonomy) Labels'!$K$1,'Footnote (Taxonomy) Labels'!$K46,
template_selected_display_language='Footnote (Taxonomy) Labels'!$L$1,'Footnote (Taxonomy) Labels'!$L46,
template_selected_display_language='Footnote (Taxonomy) Labels'!$M$1,'Footnote (Taxonomy) Labels'!$M46
)</f>
        <v>Total market-based Greenhouse Gas Emissions intensity</v>
      </c>
      <c r="B46" s="484" t="s">
        <v>10062</v>
      </c>
      <c r="C46" s="477" t="s">
        <v>10063</v>
      </c>
      <c r="D46" s="477" t="s">
        <v>10064</v>
      </c>
      <c r="E46" s="477" t="s">
        <v>10065</v>
      </c>
      <c r="F46" s="477" t="s">
        <v>10066</v>
      </c>
      <c r="G46" s="477" t="s">
        <v>10067</v>
      </c>
      <c r="H46" s="477" t="s">
        <v>10068</v>
      </c>
      <c r="I46" s="477" t="s">
        <v>10069</v>
      </c>
      <c r="J46" s="477" t="s">
        <v>10070</v>
      </c>
      <c r="K46" s="477" t="s">
        <v>10071</v>
      </c>
      <c r="L46" s="477" t="s">
        <v>10072</v>
      </c>
      <c r="M46" s="479" t="s">
        <v>10073</v>
      </c>
    </row>
    <row r="47" spans="1:13" ht="14.4" customHeight="1">
      <c r="A47" s="4" t="str" cm="1">
        <f t="array" ref="A47">_xlfn.IFS(
template_selected_display_language='Footnote (Taxonomy) Labels'!$B$1,'Footnote (Taxonomy) Labels'!$B47,
template_selected_display_language='Footnote (Taxonomy) Labels'!$C$1,'Footnote (Taxonomy) Labels'!$C47,
template_selected_display_language='Footnote (Taxonomy) Labels'!$D$1,'Footnote (Taxonomy) Labels'!$D47,
template_selected_display_language='Footnote (Taxonomy) Labels'!$E$1,'Footnote (Taxonomy) Labels'!$E47,
template_selected_display_language='Footnote (Taxonomy) Labels'!$F$1,'Footnote (Taxonomy) Labels'!$F47,
template_selected_display_language='Footnote (Taxonomy) Labels'!$G$1,'Footnote (Taxonomy) Labels'!$G47,
template_selected_display_language='Footnote (Taxonomy) Labels'!$H$1,'Footnote (Taxonomy) Labels'!$H47,
template_selected_display_language='Footnote (Taxonomy) Labels'!$I$1,'Footnote (Taxonomy) Labels'!$I47,
template_selected_display_language='Footnote (Taxonomy) Labels'!$J$1,'Footnote (Taxonomy) Labels'!$J47,
template_selected_display_language='Footnote (Taxonomy) Labels'!$K$1,'Footnote (Taxonomy) Labels'!$K47,
template_selected_display_language='Footnote (Taxonomy) Labels'!$L$1,'Footnote (Taxonomy) Labels'!$L47,
template_selected_display_language='Footnote (Taxonomy) Labels'!$M$1,'Footnote (Taxonomy) Labels'!$M47
)</f>
        <v>Publicly available disclosure</v>
      </c>
      <c r="B47" s="484" t="s">
        <v>10074</v>
      </c>
      <c r="C47" s="477" t="s">
        <v>10075</v>
      </c>
      <c r="D47" s="477" t="s">
        <v>10076</v>
      </c>
      <c r="E47" s="477" t="s">
        <v>10077</v>
      </c>
      <c r="F47" s="477" t="s">
        <v>10078</v>
      </c>
      <c r="G47" s="477" t="s">
        <v>10079</v>
      </c>
      <c r="H47" s="477" t="s">
        <v>10080</v>
      </c>
      <c r="I47" s="477" t="s">
        <v>10081</v>
      </c>
      <c r="J47" s="477" t="s">
        <v>10082</v>
      </c>
      <c r="K47" s="477" t="s">
        <v>10083</v>
      </c>
      <c r="L47" s="477" t="s">
        <v>10084</v>
      </c>
      <c r="M47" s="479" t="s">
        <v>10085</v>
      </c>
    </row>
    <row r="48" spans="1:13" ht="14.4" customHeight="1">
      <c r="A48" s="4" t="str" cm="1">
        <f t="array" ref="A48">_xlfn.IFS(
template_selected_display_language='Footnote (Taxonomy) Labels'!$B$1,'Footnote (Taxonomy) Labels'!$B48,
template_selected_display_language='Footnote (Taxonomy) Labels'!$C$1,'Footnote (Taxonomy) Labels'!$C48,
template_selected_display_language='Footnote (Taxonomy) Labels'!$D$1,'Footnote (Taxonomy) Labels'!$D48,
template_selected_display_language='Footnote (Taxonomy) Labels'!$E$1,'Footnote (Taxonomy) Labels'!$E48,
template_selected_display_language='Footnote (Taxonomy) Labels'!$F$1,'Footnote (Taxonomy) Labels'!$F48,
template_selected_display_language='Footnote (Taxonomy) Labels'!$G$1,'Footnote (Taxonomy) Labels'!$G48,
template_selected_display_language='Footnote (Taxonomy) Labels'!$H$1,'Footnote (Taxonomy) Labels'!$H48,
template_selected_display_language='Footnote (Taxonomy) Labels'!$I$1,'Footnote (Taxonomy) Labels'!$I48,
template_selected_display_language='Footnote (Taxonomy) Labels'!$J$1,'Footnote (Taxonomy) Labels'!$J48,
template_selected_display_language='Footnote (Taxonomy) Labels'!$K$1,'Footnote (Taxonomy) Labels'!$K48,
template_selected_display_language='Footnote (Taxonomy) Labels'!$L$1,'Footnote (Taxonomy) Labels'!$L48,
template_selected_display_language='Footnote (Taxonomy) Labels'!$M$1,'Footnote (Taxonomy) Labels'!$M48
)</f>
        <v>URL or link to the publicly available disclosure</v>
      </c>
      <c r="B48" s="484" t="s">
        <v>10086</v>
      </c>
      <c r="C48" s="477" t="s">
        <v>10087</v>
      </c>
      <c r="D48" s="477" t="s">
        <v>10088</v>
      </c>
      <c r="E48" s="477" t="s">
        <v>10089</v>
      </c>
      <c r="F48" s="477" t="s">
        <v>10090</v>
      </c>
      <c r="G48" s="477" t="s">
        <v>10091</v>
      </c>
      <c r="H48" s="477" t="s">
        <v>10092</v>
      </c>
      <c r="I48" s="477" t="s">
        <v>10093</v>
      </c>
      <c r="J48" s="477" t="s">
        <v>10094</v>
      </c>
      <c r="K48" s="477" t="s">
        <v>10095</v>
      </c>
      <c r="L48" s="477" t="s">
        <v>10096</v>
      </c>
      <c r="M48" s="479" t="s">
        <v>10097</v>
      </c>
    </row>
    <row r="49" spans="1:13" ht="14.4" customHeight="1">
      <c r="A49" s="4" t="str" cm="1">
        <f t="array" ref="A49">_xlfn.IFS(
template_selected_display_language='Footnote (Taxonomy) Labels'!$B$1,'Footnote (Taxonomy) Labels'!$B49,
template_selected_display_language='Footnote (Taxonomy) Labels'!$C$1,'Footnote (Taxonomy) Labels'!$C49,
template_selected_display_language='Footnote (Taxonomy) Labels'!$D$1,'Footnote (Taxonomy) Labels'!$D49,
template_selected_display_language='Footnote (Taxonomy) Labels'!$E$1,'Footnote (Taxonomy) Labels'!$E49,
template_selected_display_language='Footnote (Taxonomy) Labels'!$F$1,'Footnote (Taxonomy) Labels'!$F49,
template_selected_display_language='Footnote (Taxonomy) Labels'!$G$1,'Footnote (Taxonomy) Labels'!$G49,
template_selected_display_language='Footnote (Taxonomy) Labels'!$H$1,'Footnote (Taxonomy) Labels'!$H49,
template_selected_display_language='Footnote (Taxonomy) Labels'!$I$1,'Footnote (Taxonomy) Labels'!$I49,
template_selected_display_language='Footnote (Taxonomy) Labels'!$J$1,'Footnote (Taxonomy) Labels'!$J49,
template_selected_display_language='Footnote (Taxonomy) Labels'!$K$1,'Footnote (Taxonomy) Labels'!$K49,
template_selected_display_language='Footnote (Taxonomy) Labels'!$L$1,'Footnote (Taxonomy) Labels'!$L49,
template_selected_display_language='Footnote (Taxonomy) Labels'!$M$1,'Footnote (Taxonomy) Labels'!$M49
)</f>
        <v>Amount of emission to air</v>
      </c>
      <c r="B49" s="484" t="s">
        <v>10098</v>
      </c>
      <c r="C49" s="477" t="s">
        <v>10099</v>
      </c>
      <c r="D49" s="477" t="s">
        <v>10100</v>
      </c>
      <c r="E49" s="477" t="s">
        <v>10101</v>
      </c>
      <c r="F49" s="477" t="s">
        <v>10102</v>
      </c>
      <c r="G49" s="477" t="s">
        <v>10103</v>
      </c>
      <c r="H49" s="477" t="s">
        <v>10104</v>
      </c>
      <c r="I49" s="477" t="s">
        <v>10105</v>
      </c>
      <c r="J49" s="477" t="s">
        <v>10106</v>
      </c>
      <c r="K49" s="477" t="s">
        <v>10107</v>
      </c>
      <c r="L49" s="477" t="s">
        <v>10108</v>
      </c>
      <c r="M49" s="479" t="s">
        <v>10109</v>
      </c>
    </row>
    <row r="50" spans="1:13" ht="14.4" customHeight="1">
      <c r="A50" s="4" t="str" cm="1">
        <f t="array" ref="A50">_xlfn.IFS(
template_selected_display_language='Footnote (Taxonomy) Labels'!$B$1,'Footnote (Taxonomy) Labels'!$B50,
template_selected_display_language='Footnote (Taxonomy) Labels'!$C$1,'Footnote (Taxonomy) Labels'!$C50,
template_selected_display_language='Footnote (Taxonomy) Labels'!$D$1,'Footnote (Taxonomy) Labels'!$D50,
template_selected_display_language='Footnote (Taxonomy) Labels'!$E$1,'Footnote (Taxonomy) Labels'!$E50,
template_selected_display_language='Footnote (Taxonomy) Labels'!$F$1,'Footnote (Taxonomy) Labels'!$F50,
template_selected_display_language='Footnote (Taxonomy) Labels'!$G$1,'Footnote (Taxonomy) Labels'!$G50,
template_selected_display_language='Footnote (Taxonomy) Labels'!$H$1,'Footnote (Taxonomy) Labels'!$H50,
template_selected_display_language='Footnote (Taxonomy) Labels'!$I$1,'Footnote (Taxonomy) Labels'!$I50,
template_selected_display_language='Footnote (Taxonomy) Labels'!$J$1,'Footnote (Taxonomy) Labels'!$J50,
template_selected_display_language='Footnote (Taxonomy) Labels'!$K$1,'Footnote (Taxonomy) Labels'!$K50,
template_selected_display_language='Footnote (Taxonomy) Labels'!$L$1,'Footnote (Taxonomy) Labels'!$L50,
template_selected_display_language='Footnote (Taxonomy) Labels'!$M$1,'Footnote (Taxonomy) Labels'!$M50
)</f>
        <v>Amount of emission to water</v>
      </c>
      <c r="B50" s="484" t="s">
        <v>10110</v>
      </c>
      <c r="C50" s="477" t="s">
        <v>10111</v>
      </c>
      <c r="D50" s="477" t="s">
        <v>10112</v>
      </c>
      <c r="E50" s="477" t="s">
        <v>10113</v>
      </c>
      <c r="F50" s="477" t="s">
        <v>10114</v>
      </c>
      <c r="G50" s="477" t="s">
        <v>10115</v>
      </c>
      <c r="H50" s="477" t="s">
        <v>10116</v>
      </c>
      <c r="I50" s="477" t="s">
        <v>10117</v>
      </c>
      <c r="J50" s="477" t="s">
        <v>10118</v>
      </c>
      <c r="K50" s="477" t="s">
        <v>10119</v>
      </c>
      <c r="L50" s="477" t="s">
        <v>10120</v>
      </c>
      <c r="M50" s="479" t="s">
        <v>10121</v>
      </c>
    </row>
    <row r="51" spans="1:13" ht="14.4" customHeight="1">
      <c r="A51" s="4" t="str" cm="1">
        <f t="array" ref="A51">_xlfn.IFS(
template_selected_display_language='Footnote (Taxonomy) Labels'!$B$1,'Footnote (Taxonomy) Labels'!$B51,
template_selected_display_language='Footnote (Taxonomy) Labels'!$C$1,'Footnote (Taxonomy) Labels'!$C51,
template_selected_display_language='Footnote (Taxonomy) Labels'!$D$1,'Footnote (Taxonomy) Labels'!$D51,
template_selected_display_language='Footnote (Taxonomy) Labels'!$E$1,'Footnote (Taxonomy) Labels'!$E51,
template_selected_display_language='Footnote (Taxonomy) Labels'!$F$1,'Footnote (Taxonomy) Labels'!$F51,
template_selected_display_language='Footnote (Taxonomy) Labels'!$G$1,'Footnote (Taxonomy) Labels'!$G51,
template_selected_display_language='Footnote (Taxonomy) Labels'!$H$1,'Footnote (Taxonomy) Labels'!$H51,
template_selected_display_language='Footnote (Taxonomy) Labels'!$I$1,'Footnote (Taxonomy) Labels'!$I51,
template_selected_display_language='Footnote (Taxonomy) Labels'!$J$1,'Footnote (Taxonomy) Labels'!$J51,
template_selected_display_language='Footnote (Taxonomy) Labels'!$K$1,'Footnote (Taxonomy) Labels'!$K51,
template_selected_display_language='Footnote (Taxonomy) Labels'!$L$1,'Footnote (Taxonomy) Labels'!$L51,
template_selected_display_language='Footnote (Taxonomy) Labels'!$M$1,'Footnote (Taxonomy) Labels'!$M51
)</f>
        <v>Amount of emission to soil</v>
      </c>
      <c r="B51" s="484" t="s">
        <v>10122</v>
      </c>
      <c r="C51" s="477" t="s">
        <v>10123</v>
      </c>
      <c r="D51" s="477" t="s">
        <v>10124</v>
      </c>
      <c r="E51" s="477" t="s">
        <v>10125</v>
      </c>
      <c r="F51" s="477" t="s">
        <v>10126</v>
      </c>
      <c r="G51" s="477" t="s">
        <v>10127</v>
      </c>
      <c r="H51" s="477" t="s">
        <v>10128</v>
      </c>
      <c r="I51" s="477" t="s">
        <v>10129</v>
      </c>
      <c r="J51" s="477" t="s">
        <v>10130</v>
      </c>
      <c r="K51" s="477" t="s">
        <v>10131</v>
      </c>
      <c r="L51" s="477" t="s">
        <v>10132</v>
      </c>
      <c r="M51" s="479" t="s">
        <v>10133</v>
      </c>
    </row>
    <row r="52" spans="1:13" ht="14.4" customHeight="1">
      <c r="A52" s="4" t="str" cm="1">
        <f t="array" ref="A52">_xlfn.IFS(
template_selected_display_language='Footnote (Taxonomy) Labels'!$B$1,'Footnote (Taxonomy) Labels'!$B52,
template_selected_display_language='Footnote (Taxonomy) Labels'!$C$1,'Footnote (Taxonomy) Labels'!$C52,
template_selected_display_language='Footnote (Taxonomy) Labels'!$D$1,'Footnote (Taxonomy) Labels'!$D52,
template_selected_display_language='Footnote (Taxonomy) Labels'!$E$1,'Footnote (Taxonomy) Labels'!$E52,
template_selected_display_language='Footnote (Taxonomy) Labels'!$F$1,'Footnote (Taxonomy) Labels'!$F52,
template_selected_display_language='Footnote (Taxonomy) Labels'!$G$1,'Footnote (Taxonomy) Labels'!$G52,
template_selected_display_language='Footnote (Taxonomy) Labels'!$H$1,'Footnote (Taxonomy) Labels'!$H52,
template_selected_display_language='Footnote (Taxonomy) Labels'!$I$1,'Footnote (Taxonomy) Labels'!$I52,
template_selected_display_language='Footnote (Taxonomy) Labels'!$J$1,'Footnote (Taxonomy) Labels'!$J52,
template_selected_display_language='Footnote (Taxonomy) Labels'!$K$1,'Footnote (Taxonomy) Labels'!$K52,
template_selected_display_language='Footnote (Taxonomy) Labels'!$L$1,'Footnote (Taxonomy) Labels'!$L52,
template_selected_display_language='Footnote (Taxonomy) Labels'!$M$1,'Footnote (Taxonomy) Labels'!$M52
)</f>
        <v>Area of site in biodiversity sensitive area</v>
      </c>
      <c r="B52" s="484" t="s">
        <v>10134</v>
      </c>
      <c r="C52" s="477" t="s">
        <v>10135</v>
      </c>
      <c r="D52" s="477" t="s">
        <v>10136</v>
      </c>
      <c r="E52" s="477" t="s">
        <v>10137</v>
      </c>
      <c r="F52" s="477" t="s">
        <v>10138</v>
      </c>
      <c r="G52" s="477" t="s">
        <v>10139</v>
      </c>
      <c r="H52" s="477" t="s">
        <v>10140</v>
      </c>
      <c r="I52" s="477" t="s">
        <v>10141</v>
      </c>
      <c r="J52" s="477" t="s">
        <v>10142</v>
      </c>
      <c r="K52" s="477" t="s">
        <v>10143</v>
      </c>
      <c r="L52" s="477" t="s">
        <v>10144</v>
      </c>
      <c r="M52" s="479" t="s">
        <v>10145</v>
      </c>
    </row>
    <row r="53" spans="1:13" ht="14.4" customHeight="1">
      <c r="A53" s="4" t="str" cm="1">
        <f t="array" ref="A53">_xlfn.IFS(
template_selected_display_language='Footnote (Taxonomy) Labels'!$B$1,'Footnote (Taxonomy) Labels'!$B53,
template_selected_display_language='Footnote (Taxonomy) Labels'!$C$1,'Footnote (Taxonomy) Labels'!$C53,
template_selected_display_language='Footnote (Taxonomy) Labels'!$D$1,'Footnote (Taxonomy) Labels'!$D53,
template_selected_display_language='Footnote (Taxonomy) Labels'!$E$1,'Footnote (Taxonomy) Labels'!$E53,
template_selected_display_language='Footnote (Taxonomy) Labels'!$F$1,'Footnote (Taxonomy) Labels'!$F53,
template_selected_display_language='Footnote (Taxonomy) Labels'!$G$1,'Footnote (Taxonomy) Labels'!$G53,
template_selected_display_language='Footnote (Taxonomy) Labels'!$H$1,'Footnote (Taxonomy) Labels'!$H53,
template_selected_display_language='Footnote (Taxonomy) Labels'!$I$1,'Footnote (Taxonomy) Labels'!$I53,
template_selected_display_language='Footnote (Taxonomy) Labels'!$J$1,'Footnote (Taxonomy) Labels'!$J53,
template_selected_display_language='Footnote (Taxonomy) Labels'!$K$1,'Footnote (Taxonomy) Labels'!$K53,
template_selected_display_language='Footnote (Taxonomy) Labels'!$L$1,'Footnote (Taxonomy) Labels'!$L53,
template_selected_display_language='Footnote (Taxonomy) Labels'!$M$1,'Footnote (Taxonomy) Labels'!$M53
)</f>
        <v>Site located in a biodiversity sensitive area</v>
      </c>
      <c r="B53" s="484" t="s">
        <v>6275</v>
      </c>
      <c r="C53" s="477" t="s">
        <v>10146</v>
      </c>
      <c r="D53" s="477" t="s">
        <v>6277</v>
      </c>
      <c r="E53" s="477" t="s">
        <v>6278</v>
      </c>
      <c r="F53" s="477" t="s">
        <v>10147</v>
      </c>
      <c r="G53" s="477" t="s">
        <v>10148</v>
      </c>
      <c r="H53" s="477" t="s">
        <v>6281</v>
      </c>
      <c r="I53" s="477" t="s">
        <v>6282</v>
      </c>
      <c r="J53" s="477" t="s">
        <v>10149</v>
      </c>
      <c r="K53" s="477" t="s">
        <v>10150</v>
      </c>
      <c r="L53" s="477" t="s">
        <v>10151</v>
      </c>
      <c r="M53" s="479" t="s">
        <v>10152</v>
      </c>
    </row>
    <row r="54" spans="1:13" ht="14.4" customHeight="1">
      <c r="A54" s="4" t="str" cm="1">
        <f t="array" ref="A54">_xlfn.IFS(
template_selected_display_language='Footnote (Taxonomy) Labels'!$B$1,'Footnote (Taxonomy) Labels'!$B54,
template_selected_display_language='Footnote (Taxonomy) Labels'!$C$1,'Footnote (Taxonomy) Labels'!$C54,
template_selected_display_language='Footnote (Taxonomy) Labels'!$D$1,'Footnote (Taxonomy) Labels'!$D54,
template_selected_display_language='Footnote (Taxonomy) Labels'!$E$1,'Footnote (Taxonomy) Labels'!$E54,
template_selected_display_language='Footnote (Taxonomy) Labels'!$F$1,'Footnote (Taxonomy) Labels'!$F54,
template_selected_display_language='Footnote (Taxonomy) Labels'!$G$1,'Footnote (Taxonomy) Labels'!$G54,
template_selected_display_language='Footnote (Taxonomy) Labels'!$H$1,'Footnote (Taxonomy) Labels'!$H54,
template_selected_display_language='Footnote (Taxonomy) Labels'!$I$1,'Footnote (Taxonomy) Labels'!$I54,
template_selected_display_language='Footnote (Taxonomy) Labels'!$J$1,'Footnote (Taxonomy) Labels'!$J54,
template_selected_display_language='Footnote (Taxonomy) Labels'!$K$1,'Footnote (Taxonomy) Labels'!$K54,
template_selected_display_language='Footnote (Taxonomy) Labels'!$L$1,'Footnote (Taxonomy) Labels'!$L54,
template_selected_display_language='Footnote (Taxonomy) Labels'!$M$1,'Footnote (Taxonomy) Labels'!$M54
)</f>
        <v>Site located near a biodiversity sensitive area</v>
      </c>
      <c r="B54" s="484" t="s">
        <v>6288</v>
      </c>
      <c r="C54" s="477" t="s">
        <v>10153</v>
      </c>
      <c r="D54" s="477" t="s">
        <v>6290</v>
      </c>
      <c r="E54" s="477" t="s">
        <v>6291</v>
      </c>
      <c r="F54" s="477" t="s">
        <v>10154</v>
      </c>
      <c r="G54" s="477" t="s">
        <v>10155</v>
      </c>
      <c r="H54" s="477" t="s">
        <v>6294</v>
      </c>
      <c r="I54" s="477" t="s">
        <v>10156</v>
      </c>
      <c r="J54" s="477" t="s">
        <v>10149</v>
      </c>
      <c r="K54" s="477" t="s">
        <v>10157</v>
      </c>
      <c r="L54" s="477" t="s">
        <v>10158</v>
      </c>
      <c r="M54" s="479" t="s">
        <v>10159</v>
      </c>
    </row>
    <row r="55" spans="1:13" ht="14.4" customHeight="1">
      <c r="A55" s="4" t="str" cm="1">
        <f t="array" ref="A55">_xlfn.IFS(
template_selected_display_language='Footnote (Taxonomy) Labels'!$B$1,'Footnote (Taxonomy) Labels'!$B55,
template_selected_display_language='Footnote (Taxonomy) Labels'!$C$1,'Footnote (Taxonomy) Labels'!$C55,
template_selected_display_language='Footnote (Taxonomy) Labels'!$D$1,'Footnote (Taxonomy) Labels'!$D55,
template_selected_display_language='Footnote (Taxonomy) Labels'!$E$1,'Footnote (Taxonomy) Labels'!$E55,
template_selected_display_language='Footnote (Taxonomy) Labels'!$F$1,'Footnote (Taxonomy) Labels'!$F55,
template_selected_display_language='Footnote (Taxonomy) Labels'!$G$1,'Footnote (Taxonomy) Labels'!$G55,
template_selected_display_language='Footnote (Taxonomy) Labels'!$H$1,'Footnote (Taxonomy) Labels'!$H55,
template_selected_display_language='Footnote (Taxonomy) Labels'!$I$1,'Footnote (Taxonomy) Labels'!$I55,
template_selected_display_language='Footnote (Taxonomy) Labels'!$J$1,'Footnote (Taxonomy) Labels'!$J55,
template_selected_display_language='Footnote (Taxonomy) Labels'!$K$1,'Footnote (Taxonomy) Labels'!$K55,
template_selected_display_language='Footnote (Taxonomy) Labels'!$L$1,'Footnote (Taxonomy) Labels'!$L55,
template_selected_display_language='Footnote (Taxonomy) Labels'!$M$1,'Footnote (Taxonomy) Labels'!$M55
)</f>
        <v>Total sealed area</v>
      </c>
      <c r="B55" s="484" t="s">
        <v>10160</v>
      </c>
      <c r="C55" s="477" t="s">
        <v>10161</v>
      </c>
      <c r="D55" s="477" t="s">
        <v>10162</v>
      </c>
      <c r="E55" s="477" t="s">
        <v>10163</v>
      </c>
      <c r="F55" s="477" t="s">
        <v>10164</v>
      </c>
      <c r="G55" s="477" t="s">
        <v>10165</v>
      </c>
      <c r="H55" s="477" t="s">
        <v>10166</v>
      </c>
      <c r="I55" s="477" t="s">
        <v>10167</v>
      </c>
      <c r="J55" s="477" t="s">
        <v>10168</v>
      </c>
      <c r="K55" s="477" t="s">
        <v>10169</v>
      </c>
      <c r="L55" s="477" t="s">
        <v>10170</v>
      </c>
      <c r="M55" s="479" t="s">
        <v>10171</v>
      </c>
    </row>
    <row r="56" spans="1:13" ht="14.4" customHeight="1">
      <c r="A56" s="4" t="str" cm="1">
        <f t="array" ref="A56">_xlfn.IFS(
template_selected_display_language='Footnote (Taxonomy) Labels'!$B$1,'Footnote (Taxonomy) Labels'!$B56,
template_selected_display_language='Footnote (Taxonomy) Labels'!$C$1,'Footnote (Taxonomy) Labels'!$C56,
template_selected_display_language='Footnote (Taxonomy) Labels'!$D$1,'Footnote (Taxonomy) Labels'!$D56,
template_selected_display_language='Footnote (Taxonomy) Labels'!$E$1,'Footnote (Taxonomy) Labels'!$E56,
template_selected_display_language='Footnote (Taxonomy) Labels'!$F$1,'Footnote (Taxonomy) Labels'!$F56,
template_selected_display_language='Footnote (Taxonomy) Labels'!$G$1,'Footnote (Taxonomy) Labels'!$G56,
template_selected_display_language='Footnote (Taxonomy) Labels'!$H$1,'Footnote (Taxonomy) Labels'!$H56,
template_selected_display_language='Footnote (Taxonomy) Labels'!$I$1,'Footnote (Taxonomy) Labels'!$I56,
template_selected_display_language='Footnote (Taxonomy) Labels'!$J$1,'Footnote (Taxonomy) Labels'!$J56,
template_selected_display_language='Footnote (Taxonomy) Labels'!$K$1,'Footnote (Taxonomy) Labels'!$K56,
template_selected_display_language='Footnote (Taxonomy) Labels'!$L$1,'Footnote (Taxonomy) Labels'!$L56,
template_selected_display_language='Footnote (Taxonomy) Labels'!$M$1,'Footnote (Taxonomy) Labels'!$M56
)</f>
        <v>Total nature oriented area on-site</v>
      </c>
      <c r="B56" s="484" t="s">
        <v>10172</v>
      </c>
      <c r="C56" s="477" t="s">
        <v>10173</v>
      </c>
      <c r="D56" s="477" t="s">
        <v>10174</v>
      </c>
      <c r="E56" s="477" t="s">
        <v>10175</v>
      </c>
      <c r="F56" s="477" t="s">
        <v>10176</v>
      </c>
      <c r="G56" s="477" t="s">
        <v>10177</v>
      </c>
      <c r="H56" s="477" t="s">
        <v>10178</v>
      </c>
      <c r="I56" s="477" t="s">
        <v>10179</v>
      </c>
      <c r="J56" s="477" t="s">
        <v>10180</v>
      </c>
      <c r="K56" s="477" t="s">
        <v>10181</v>
      </c>
      <c r="L56" s="477" t="s">
        <v>10182</v>
      </c>
      <c r="M56" s="479" t="s">
        <v>10183</v>
      </c>
    </row>
    <row r="57" spans="1:13" ht="14.4" customHeight="1">
      <c r="A57" s="4" t="str" cm="1">
        <f t="array" ref="A57">_xlfn.IFS(
template_selected_display_language='Footnote (Taxonomy) Labels'!$B$1,'Footnote (Taxonomy) Labels'!$B57,
template_selected_display_language='Footnote (Taxonomy) Labels'!$C$1,'Footnote (Taxonomy) Labels'!$C57,
template_selected_display_language='Footnote (Taxonomy) Labels'!$D$1,'Footnote (Taxonomy) Labels'!$D57,
template_selected_display_language='Footnote (Taxonomy) Labels'!$E$1,'Footnote (Taxonomy) Labels'!$E57,
template_selected_display_language='Footnote (Taxonomy) Labels'!$F$1,'Footnote (Taxonomy) Labels'!$F57,
template_selected_display_language='Footnote (Taxonomy) Labels'!$G$1,'Footnote (Taxonomy) Labels'!$G57,
template_selected_display_language='Footnote (Taxonomy) Labels'!$H$1,'Footnote (Taxonomy) Labels'!$H57,
template_selected_display_language='Footnote (Taxonomy) Labels'!$I$1,'Footnote (Taxonomy) Labels'!$I57,
template_selected_display_language='Footnote (Taxonomy) Labels'!$J$1,'Footnote (Taxonomy) Labels'!$J57,
template_selected_display_language='Footnote (Taxonomy) Labels'!$K$1,'Footnote (Taxonomy) Labels'!$K57,
template_selected_display_language='Footnote (Taxonomy) Labels'!$L$1,'Footnote (Taxonomy) Labels'!$L57,
template_selected_display_language='Footnote (Taxonomy) Labels'!$M$1,'Footnote (Taxonomy) Labels'!$M57
)</f>
        <v>Total nature oriented area off-site</v>
      </c>
      <c r="B57" s="484" t="s">
        <v>10184</v>
      </c>
      <c r="C57" s="477" t="s">
        <v>10185</v>
      </c>
      <c r="D57" s="477" t="s">
        <v>10186</v>
      </c>
      <c r="E57" s="477" t="s">
        <v>10187</v>
      </c>
      <c r="F57" s="477" t="s">
        <v>10188</v>
      </c>
      <c r="G57" s="477" t="s">
        <v>10189</v>
      </c>
      <c r="H57" s="477" t="s">
        <v>10190</v>
      </c>
      <c r="I57" s="477" t="s">
        <v>10191</v>
      </c>
      <c r="J57" s="477" t="s">
        <v>10192</v>
      </c>
      <c r="K57" s="477" t="s">
        <v>10193</v>
      </c>
      <c r="L57" s="477" t="s">
        <v>10194</v>
      </c>
      <c r="M57" s="479" t="s">
        <v>10195</v>
      </c>
    </row>
    <row r="58" spans="1:13" ht="14.4" customHeight="1">
      <c r="A58" s="4" t="str" cm="1">
        <f t="array" ref="A58">_xlfn.IFS(
template_selected_display_language='Footnote (Taxonomy) Labels'!$B$1,'Footnote (Taxonomy) Labels'!$B58,
template_selected_display_language='Footnote (Taxonomy) Labels'!$C$1,'Footnote (Taxonomy) Labels'!$C58,
template_selected_display_language='Footnote (Taxonomy) Labels'!$D$1,'Footnote (Taxonomy) Labels'!$D58,
template_selected_display_language='Footnote (Taxonomy) Labels'!$E$1,'Footnote (Taxonomy) Labels'!$E58,
template_selected_display_language='Footnote (Taxonomy) Labels'!$F$1,'Footnote (Taxonomy) Labels'!$F58,
template_selected_display_language='Footnote (Taxonomy) Labels'!$G$1,'Footnote (Taxonomy) Labels'!$G58,
template_selected_display_language='Footnote (Taxonomy) Labels'!$H$1,'Footnote (Taxonomy) Labels'!$H58,
template_selected_display_language='Footnote (Taxonomy) Labels'!$I$1,'Footnote (Taxonomy) Labels'!$I58,
template_selected_display_language='Footnote (Taxonomy) Labels'!$J$1,'Footnote (Taxonomy) Labels'!$J58,
template_selected_display_language='Footnote (Taxonomy) Labels'!$K$1,'Footnote (Taxonomy) Labels'!$K58,
template_selected_display_language='Footnote (Taxonomy) Labels'!$L$1,'Footnote (Taxonomy) Labels'!$L58,
template_selected_display_language='Footnote (Taxonomy) Labels'!$M$1,'Footnote (Taxonomy) Labels'!$M58
)</f>
        <v>Total use of land</v>
      </c>
      <c r="B58" s="484" t="s">
        <v>10196</v>
      </c>
      <c r="C58" s="477" t="s">
        <v>10197</v>
      </c>
      <c r="D58" s="477" t="s">
        <v>10198</v>
      </c>
      <c r="E58" s="477" t="s">
        <v>10199</v>
      </c>
      <c r="F58" s="477" t="s">
        <v>10200</v>
      </c>
      <c r="G58" s="477" t="s">
        <v>10201</v>
      </c>
      <c r="H58" s="477" t="s">
        <v>10202</v>
      </c>
      <c r="I58" s="477" t="s">
        <v>10203</v>
      </c>
      <c r="J58" s="477" t="s">
        <v>10204</v>
      </c>
      <c r="K58" s="477" t="s">
        <v>10205</v>
      </c>
      <c r="L58" s="477" t="s">
        <v>10206</v>
      </c>
      <c r="M58" s="479" t="s">
        <v>10207</v>
      </c>
    </row>
    <row r="59" spans="1:13" ht="14.4" customHeight="1">
      <c r="A59" s="4" t="str" cm="1">
        <f t="array" ref="A59">_xlfn.IFS(
template_selected_display_language='Footnote (Taxonomy) Labels'!$B$1,'Footnote (Taxonomy) Labels'!$B59,
template_selected_display_language='Footnote (Taxonomy) Labels'!$C$1,'Footnote (Taxonomy) Labels'!$C59,
template_selected_display_language='Footnote (Taxonomy) Labels'!$D$1,'Footnote (Taxonomy) Labels'!$D59,
template_selected_display_language='Footnote (Taxonomy) Labels'!$E$1,'Footnote (Taxonomy) Labels'!$E59,
template_selected_display_language='Footnote (Taxonomy) Labels'!$F$1,'Footnote (Taxonomy) Labels'!$F59,
template_selected_display_language='Footnote (Taxonomy) Labels'!$G$1,'Footnote (Taxonomy) Labels'!$G59,
template_selected_display_language='Footnote (Taxonomy) Labels'!$H$1,'Footnote (Taxonomy) Labels'!$H59,
template_selected_display_language='Footnote (Taxonomy) Labels'!$I$1,'Footnote (Taxonomy) Labels'!$I59,
template_selected_display_language='Footnote (Taxonomy) Labels'!$J$1,'Footnote (Taxonomy) Labels'!$J59,
template_selected_display_language='Footnote (Taxonomy) Labels'!$K$1,'Footnote (Taxonomy) Labels'!$K59,
template_selected_display_language='Footnote (Taxonomy) Labels'!$L$1,'Footnote (Taxonomy) Labels'!$L59,
template_selected_display_language='Footnote (Taxonomy) Labels'!$M$1,'Footnote (Taxonomy) Labels'!$M59
)</f>
        <v>Total amount of water withdrawn from all sites</v>
      </c>
      <c r="B59" s="484" t="s">
        <v>10208</v>
      </c>
      <c r="C59" s="477" t="s">
        <v>10209</v>
      </c>
      <c r="D59" s="477" t="s">
        <v>10210</v>
      </c>
      <c r="E59" s="477" t="s">
        <v>10211</v>
      </c>
      <c r="F59" s="477" t="s">
        <v>10212</v>
      </c>
      <c r="G59" s="477" t="s">
        <v>10213</v>
      </c>
      <c r="H59" s="477" t="s">
        <v>10214</v>
      </c>
      <c r="I59" s="477" t="s">
        <v>10215</v>
      </c>
      <c r="J59" s="477" t="s">
        <v>10216</v>
      </c>
      <c r="K59" s="477" t="s">
        <v>10217</v>
      </c>
      <c r="L59" s="477" t="s">
        <v>10218</v>
      </c>
      <c r="M59" s="479" t="s">
        <v>10219</v>
      </c>
    </row>
    <row r="60" spans="1:13" ht="14.4" customHeight="1">
      <c r="A60" s="4" t="str" cm="1">
        <f t="array" ref="A60">_xlfn.IFS(
template_selected_display_language='Footnote (Taxonomy) Labels'!$B$1,'Footnote (Taxonomy) Labels'!$B60,
template_selected_display_language='Footnote (Taxonomy) Labels'!$C$1,'Footnote (Taxonomy) Labels'!$C60,
template_selected_display_language='Footnote (Taxonomy) Labels'!$D$1,'Footnote (Taxonomy) Labels'!$D60,
template_selected_display_language='Footnote (Taxonomy) Labels'!$E$1,'Footnote (Taxonomy) Labels'!$E60,
template_selected_display_language='Footnote (Taxonomy) Labels'!$F$1,'Footnote (Taxonomy) Labels'!$F60,
template_selected_display_language='Footnote (Taxonomy) Labels'!$G$1,'Footnote (Taxonomy) Labels'!$G60,
template_selected_display_language='Footnote (Taxonomy) Labels'!$H$1,'Footnote (Taxonomy) Labels'!$H60,
template_selected_display_language='Footnote (Taxonomy) Labels'!$I$1,'Footnote (Taxonomy) Labels'!$I60,
template_selected_display_language='Footnote (Taxonomy) Labels'!$J$1,'Footnote (Taxonomy) Labels'!$J60,
template_selected_display_language='Footnote (Taxonomy) Labels'!$K$1,'Footnote (Taxonomy) Labels'!$K60,
template_selected_display_language='Footnote (Taxonomy) Labels'!$L$1,'Footnote (Taxonomy) Labels'!$L60,
template_selected_display_language='Footnote (Taxonomy) Labels'!$M$1,'Footnote (Taxonomy) Labels'!$M60
)</f>
        <v>Amount of water withdrawn at sites located in areas of high water-stress</v>
      </c>
      <c r="B60" s="484" t="s">
        <v>10220</v>
      </c>
      <c r="C60" s="477" t="s">
        <v>10221</v>
      </c>
      <c r="D60" s="477" t="s">
        <v>10222</v>
      </c>
      <c r="E60" s="477" t="s">
        <v>10223</v>
      </c>
      <c r="F60" s="477" t="s">
        <v>10224</v>
      </c>
      <c r="G60" s="477" t="s">
        <v>10225</v>
      </c>
      <c r="H60" s="477" t="s">
        <v>10226</v>
      </c>
      <c r="I60" s="477" t="s">
        <v>10227</v>
      </c>
      <c r="J60" s="477" t="s">
        <v>10228</v>
      </c>
      <c r="K60" s="477" t="s">
        <v>10229</v>
      </c>
      <c r="L60" s="477" t="s">
        <v>10230</v>
      </c>
      <c r="M60" s="479" t="s">
        <v>10231</v>
      </c>
    </row>
    <row r="61" spans="1:13" ht="14.4" customHeight="1">
      <c r="A61" s="4" t="str" cm="1">
        <f t="array" ref="A61">_xlfn.IFS(
template_selected_display_language='Footnote (Taxonomy) Labels'!$B$1,'Footnote (Taxonomy) Labels'!$B61,
template_selected_display_language='Footnote (Taxonomy) Labels'!$C$1,'Footnote (Taxonomy) Labels'!$C61,
template_selected_display_language='Footnote (Taxonomy) Labels'!$D$1,'Footnote (Taxonomy) Labels'!$D61,
template_selected_display_language='Footnote (Taxonomy) Labels'!$E$1,'Footnote (Taxonomy) Labels'!$E61,
template_selected_display_language='Footnote (Taxonomy) Labels'!$F$1,'Footnote (Taxonomy) Labels'!$F61,
template_selected_display_language='Footnote (Taxonomy) Labels'!$G$1,'Footnote (Taxonomy) Labels'!$G61,
template_selected_display_language='Footnote (Taxonomy) Labels'!$H$1,'Footnote (Taxonomy) Labels'!$H61,
template_selected_display_language='Footnote (Taxonomy) Labels'!$I$1,'Footnote (Taxonomy) Labels'!$I61,
template_selected_display_language='Footnote (Taxonomy) Labels'!$J$1,'Footnote (Taxonomy) Labels'!$J61,
template_selected_display_language='Footnote (Taxonomy) Labels'!$K$1,'Footnote (Taxonomy) Labels'!$K61,
template_selected_display_language='Footnote (Taxonomy) Labels'!$L$1,'Footnote (Taxonomy) Labels'!$L61,
template_selected_display_language='Footnote (Taxonomy) Labels'!$M$1,'Footnote (Taxonomy) Labels'!$M61
)</f>
        <v>Water discharge from undertaking production processes</v>
      </c>
      <c r="B61" s="484" t="s">
        <v>10232</v>
      </c>
      <c r="C61" s="477" t="s">
        <v>10233</v>
      </c>
      <c r="D61" s="477" t="s">
        <v>10234</v>
      </c>
      <c r="E61" s="477" t="s">
        <v>10235</v>
      </c>
      <c r="F61" s="477" t="s">
        <v>10236</v>
      </c>
      <c r="G61" s="477" t="s">
        <v>10237</v>
      </c>
      <c r="H61" s="477" t="s">
        <v>10238</v>
      </c>
      <c r="I61" s="477" t="s">
        <v>10239</v>
      </c>
      <c r="J61" s="477" t="s">
        <v>10240</v>
      </c>
      <c r="K61" s="477" t="s">
        <v>10241</v>
      </c>
      <c r="L61" s="477" t="s">
        <v>10242</v>
      </c>
      <c r="M61" s="479" t="s">
        <v>10243</v>
      </c>
    </row>
    <row r="62" spans="1:13" ht="14.4" customHeight="1">
      <c r="A62" s="4" t="str" cm="1">
        <f t="array" ref="A62">_xlfn.IFS(
template_selected_display_language='Footnote (Taxonomy) Labels'!$B$1,'Footnote (Taxonomy) Labels'!$B62,
template_selected_display_language='Footnote (Taxonomy) Labels'!$C$1,'Footnote (Taxonomy) Labels'!$C62,
template_selected_display_language='Footnote (Taxonomy) Labels'!$D$1,'Footnote (Taxonomy) Labels'!$D62,
template_selected_display_language='Footnote (Taxonomy) Labels'!$E$1,'Footnote (Taxonomy) Labels'!$E62,
template_selected_display_language='Footnote (Taxonomy) Labels'!$F$1,'Footnote (Taxonomy) Labels'!$F62,
template_selected_display_language='Footnote (Taxonomy) Labels'!$G$1,'Footnote (Taxonomy) Labels'!$G62,
template_selected_display_language='Footnote (Taxonomy) Labels'!$H$1,'Footnote (Taxonomy) Labels'!$H62,
template_selected_display_language='Footnote (Taxonomy) Labels'!$I$1,'Footnote (Taxonomy) Labels'!$I62,
template_selected_display_language='Footnote (Taxonomy) Labels'!$J$1,'Footnote (Taxonomy) Labels'!$J62,
template_selected_display_language='Footnote (Taxonomy) Labels'!$K$1,'Footnote (Taxonomy) Labels'!$K62,
template_selected_display_language='Footnote (Taxonomy) Labels'!$L$1,'Footnote (Taxonomy) Labels'!$L62,
template_selected_display_language='Footnote (Taxonomy) Labels'!$M$1,'Footnote (Taxonomy) Labels'!$M62
)</f>
        <v>Total water consumption</v>
      </c>
      <c r="B62" s="484" t="s">
        <v>10244</v>
      </c>
      <c r="C62" s="477" t="s">
        <v>10245</v>
      </c>
      <c r="D62" s="477" t="s">
        <v>10246</v>
      </c>
      <c r="E62" s="477" t="s">
        <v>10247</v>
      </c>
      <c r="F62" s="477" t="s">
        <v>10248</v>
      </c>
      <c r="G62" s="477" t="s">
        <v>10249</v>
      </c>
      <c r="H62" s="477" t="s">
        <v>10250</v>
      </c>
      <c r="I62" s="477" t="s">
        <v>10251</v>
      </c>
      <c r="J62" s="477" t="s">
        <v>10252</v>
      </c>
      <c r="K62" s="477" t="s">
        <v>10253</v>
      </c>
      <c r="L62" s="477" t="s">
        <v>10254</v>
      </c>
      <c r="M62" s="479" t="s">
        <v>10255</v>
      </c>
    </row>
    <row r="63" spans="1:13" ht="14.4" customHeight="1">
      <c r="A63" s="4" t="str" cm="1">
        <f t="array" ref="A63">_xlfn.IFS(
template_selected_display_language='Footnote (Taxonomy) Labels'!$B$1,'Footnote (Taxonomy) Labels'!$B63,
template_selected_display_language='Footnote (Taxonomy) Labels'!$C$1,'Footnote (Taxonomy) Labels'!$C63,
template_selected_display_language='Footnote (Taxonomy) Labels'!$D$1,'Footnote (Taxonomy) Labels'!$D63,
template_selected_display_language='Footnote (Taxonomy) Labels'!$E$1,'Footnote (Taxonomy) Labels'!$E63,
template_selected_display_language='Footnote (Taxonomy) Labels'!$F$1,'Footnote (Taxonomy) Labels'!$F63,
template_selected_display_language='Footnote (Taxonomy) Labels'!$G$1,'Footnote (Taxonomy) Labels'!$G63,
template_selected_display_language='Footnote (Taxonomy) Labels'!$H$1,'Footnote (Taxonomy) Labels'!$H63,
template_selected_display_language='Footnote (Taxonomy) Labels'!$I$1,'Footnote (Taxonomy) Labels'!$I63,
template_selected_display_language='Footnote (Taxonomy) Labels'!$J$1,'Footnote (Taxonomy) Labels'!$J63,
template_selected_display_language='Footnote (Taxonomy) Labels'!$K$1,'Footnote (Taxonomy) Labels'!$K63,
template_selected_display_language='Footnote (Taxonomy) Labels'!$L$1,'Footnote (Taxonomy) Labels'!$L63,
template_selected_display_language='Footnote (Taxonomy) Labels'!$M$1,'Footnote (Taxonomy) Labels'!$M63
)</f>
        <v>Undertaking applies circular economy principles</v>
      </c>
      <c r="B63" s="484" t="s">
        <v>6397</v>
      </c>
      <c r="C63" s="477" t="s">
        <v>10256</v>
      </c>
      <c r="D63" s="477" t="s">
        <v>10257</v>
      </c>
      <c r="E63" s="477" t="s">
        <v>6400</v>
      </c>
      <c r="F63" s="477" t="s">
        <v>10258</v>
      </c>
      <c r="G63" s="477" t="s">
        <v>6402</v>
      </c>
      <c r="H63" s="477" t="s">
        <v>6403</v>
      </c>
      <c r="I63" s="477" t="s">
        <v>6404</v>
      </c>
      <c r="J63" s="477" t="s">
        <v>6405</v>
      </c>
      <c r="K63" s="477" t="s">
        <v>10259</v>
      </c>
      <c r="L63" s="477" t="s">
        <v>6407</v>
      </c>
      <c r="M63" s="479" t="s">
        <v>6406</v>
      </c>
    </row>
    <row r="64" spans="1:13" ht="14.4" customHeight="1">
      <c r="A64" s="4" t="str" cm="1">
        <f t="array" ref="A64">_xlfn.IFS(
template_selected_display_language='Footnote (Taxonomy) Labels'!$B$1,'Footnote (Taxonomy) Labels'!$B64,
template_selected_display_language='Footnote (Taxonomy) Labels'!$C$1,'Footnote (Taxonomy) Labels'!$C64,
template_selected_display_language='Footnote (Taxonomy) Labels'!$D$1,'Footnote (Taxonomy) Labels'!$D64,
template_selected_display_language='Footnote (Taxonomy) Labels'!$E$1,'Footnote (Taxonomy) Labels'!$E64,
template_selected_display_language='Footnote (Taxonomy) Labels'!$F$1,'Footnote (Taxonomy) Labels'!$F64,
template_selected_display_language='Footnote (Taxonomy) Labels'!$G$1,'Footnote (Taxonomy) Labels'!$G64,
template_selected_display_language='Footnote (Taxonomy) Labels'!$H$1,'Footnote (Taxonomy) Labels'!$H64,
template_selected_display_language='Footnote (Taxonomy) Labels'!$I$1,'Footnote (Taxonomy) Labels'!$I64,
template_selected_display_language='Footnote (Taxonomy) Labels'!$J$1,'Footnote (Taxonomy) Labels'!$J64,
template_selected_display_language='Footnote (Taxonomy) Labels'!$K$1,'Footnote (Taxonomy) Labels'!$K64,
template_selected_display_language='Footnote (Taxonomy) Labels'!$L$1,'Footnote (Taxonomy) Labels'!$L64,
template_selected_display_language='Footnote (Taxonomy) Labels'!$M$1,'Footnote (Taxonomy) Labels'!$M64
)</f>
        <v>Description of how circular economy principles are applied</v>
      </c>
      <c r="B64" s="484" t="s">
        <v>10260</v>
      </c>
      <c r="C64" s="477" t="s">
        <v>10261</v>
      </c>
      <c r="D64" s="477" t="s">
        <v>10262</v>
      </c>
      <c r="E64" s="477" t="s">
        <v>10263</v>
      </c>
      <c r="F64" s="477" t="s">
        <v>10264</v>
      </c>
      <c r="G64" s="477" t="s">
        <v>10265</v>
      </c>
      <c r="H64" s="477" t="s">
        <v>10266</v>
      </c>
      <c r="I64" s="477" t="s">
        <v>10267</v>
      </c>
      <c r="J64" s="477" t="s">
        <v>10268</v>
      </c>
      <c r="K64" s="477" t="s">
        <v>10269</v>
      </c>
      <c r="L64" s="477" t="s">
        <v>10270</v>
      </c>
      <c r="M64" s="479" t="s">
        <v>10271</v>
      </c>
    </row>
    <row r="65" spans="1:13" ht="14.4" customHeight="1">
      <c r="A65" s="4" t="str" cm="1">
        <f t="array" ref="A65">_xlfn.IFS(
template_selected_display_language='Footnote (Taxonomy) Labels'!$B$1,'Footnote (Taxonomy) Labels'!$B65,
template_selected_display_language='Footnote (Taxonomy) Labels'!$C$1,'Footnote (Taxonomy) Labels'!$C65,
template_selected_display_language='Footnote (Taxonomy) Labels'!$D$1,'Footnote (Taxonomy) Labels'!$D65,
template_selected_display_language='Footnote (Taxonomy) Labels'!$E$1,'Footnote (Taxonomy) Labels'!$E65,
template_selected_display_language='Footnote (Taxonomy) Labels'!$F$1,'Footnote (Taxonomy) Labels'!$F65,
template_selected_display_language='Footnote (Taxonomy) Labels'!$G$1,'Footnote (Taxonomy) Labels'!$G65,
template_selected_display_language='Footnote (Taxonomy) Labels'!$H$1,'Footnote (Taxonomy) Labels'!$H65,
template_selected_display_language='Footnote (Taxonomy) Labels'!$I$1,'Footnote (Taxonomy) Labels'!$I65,
template_selected_display_language='Footnote (Taxonomy) Labels'!$J$1,'Footnote (Taxonomy) Labels'!$J65,
template_selected_display_language='Footnote (Taxonomy) Labels'!$K$1,'Footnote (Taxonomy) Labels'!$K65,
template_selected_display_language='Footnote (Taxonomy) Labels'!$L$1,'Footnote (Taxonomy) Labels'!$L65,
template_selected_display_language='Footnote (Taxonomy) Labels'!$M$1,'Footnote (Taxonomy) Labels'!$M65
)</f>
        <v>Waste diverted to recycle or reuse (volume)</v>
      </c>
      <c r="B65" s="484" t="s">
        <v>10272</v>
      </c>
      <c r="C65" s="477" t="s">
        <v>10273</v>
      </c>
      <c r="D65" s="477" t="s">
        <v>10274</v>
      </c>
      <c r="E65" s="477" t="s">
        <v>10275</v>
      </c>
      <c r="F65" s="477" t="s">
        <v>10276</v>
      </c>
      <c r="G65" s="477" t="s">
        <v>10277</v>
      </c>
      <c r="H65" s="477" t="s">
        <v>10278</v>
      </c>
      <c r="I65" s="477" t="s">
        <v>10279</v>
      </c>
      <c r="J65" s="477" t="s">
        <v>10280</v>
      </c>
      <c r="K65" s="477" t="s">
        <v>10281</v>
      </c>
      <c r="L65" s="477" t="s">
        <v>10282</v>
      </c>
      <c r="M65" s="479" t="s">
        <v>10283</v>
      </c>
    </row>
    <row r="66" spans="1:13" ht="14.4" customHeight="1">
      <c r="A66" s="4" t="str" cm="1">
        <f t="array" ref="A66">_xlfn.IFS(
template_selected_display_language='Footnote (Taxonomy) Labels'!$B$1,'Footnote (Taxonomy) Labels'!$B66,
template_selected_display_language='Footnote (Taxonomy) Labels'!$C$1,'Footnote (Taxonomy) Labels'!$C66,
template_selected_display_language='Footnote (Taxonomy) Labels'!$D$1,'Footnote (Taxonomy) Labels'!$D66,
template_selected_display_language='Footnote (Taxonomy) Labels'!$E$1,'Footnote (Taxonomy) Labels'!$E66,
template_selected_display_language='Footnote (Taxonomy) Labels'!$F$1,'Footnote (Taxonomy) Labels'!$F66,
template_selected_display_language='Footnote (Taxonomy) Labels'!$G$1,'Footnote (Taxonomy) Labels'!$G66,
template_selected_display_language='Footnote (Taxonomy) Labels'!$H$1,'Footnote (Taxonomy) Labels'!$H66,
template_selected_display_language='Footnote (Taxonomy) Labels'!$I$1,'Footnote (Taxonomy) Labels'!$I66,
template_selected_display_language='Footnote (Taxonomy) Labels'!$J$1,'Footnote (Taxonomy) Labels'!$J66,
template_selected_display_language='Footnote (Taxonomy) Labels'!$K$1,'Footnote (Taxonomy) Labels'!$K66,
template_selected_display_language='Footnote (Taxonomy) Labels'!$L$1,'Footnote (Taxonomy) Labels'!$L66,
template_selected_display_language='Footnote (Taxonomy) Labels'!$M$1,'Footnote (Taxonomy) Labels'!$M66
)</f>
        <v>Waste diverted to recycle or reuse (mass)</v>
      </c>
      <c r="B66" s="484" t="s">
        <v>10284</v>
      </c>
      <c r="C66" s="477" t="s">
        <v>10285</v>
      </c>
      <c r="D66" s="477" t="s">
        <v>10286</v>
      </c>
      <c r="E66" s="477" t="s">
        <v>10287</v>
      </c>
      <c r="F66" s="477" t="s">
        <v>10288</v>
      </c>
      <c r="G66" s="477" t="s">
        <v>10289</v>
      </c>
      <c r="H66" s="477" t="s">
        <v>10290</v>
      </c>
      <c r="I66" s="477" t="s">
        <v>10291</v>
      </c>
      <c r="J66" s="477" t="s">
        <v>10292</v>
      </c>
      <c r="K66" s="477" t="s">
        <v>10293</v>
      </c>
      <c r="L66" s="477" t="s">
        <v>10294</v>
      </c>
      <c r="M66" s="479" t="s">
        <v>10295</v>
      </c>
    </row>
    <row r="67" spans="1:13" ht="14.4" customHeight="1">
      <c r="A67" s="4" t="str" cm="1">
        <f t="array" ref="A67">_xlfn.IFS(
template_selected_display_language='Footnote (Taxonomy) Labels'!$B$1,'Footnote (Taxonomy) Labels'!$B67,
template_selected_display_language='Footnote (Taxonomy) Labels'!$C$1,'Footnote (Taxonomy) Labels'!$C67,
template_selected_display_language='Footnote (Taxonomy) Labels'!$D$1,'Footnote (Taxonomy) Labels'!$D67,
template_selected_display_language='Footnote (Taxonomy) Labels'!$E$1,'Footnote (Taxonomy) Labels'!$E67,
template_selected_display_language='Footnote (Taxonomy) Labels'!$F$1,'Footnote (Taxonomy) Labels'!$F67,
template_selected_display_language='Footnote (Taxonomy) Labels'!$G$1,'Footnote (Taxonomy) Labels'!$G67,
template_selected_display_language='Footnote (Taxonomy) Labels'!$H$1,'Footnote (Taxonomy) Labels'!$H67,
template_selected_display_language='Footnote (Taxonomy) Labels'!$I$1,'Footnote (Taxonomy) Labels'!$I67,
template_selected_display_language='Footnote (Taxonomy) Labels'!$J$1,'Footnote (Taxonomy) Labels'!$J67,
template_selected_display_language='Footnote (Taxonomy) Labels'!$K$1,'Footnote (Taxonomy) Labels'!$K67,
template_selected_display_language='Footnote (Taxonomy) Labels'!$L$1,'Footnote (Taxonomy) Labels'!$L67,
template_selected_display_language='Footnote (Taxonomy) Labels'!$M$1,'Footnote (Taxonomy) Labels'!$M67
)</f>
        <v>Waste directed to disposal (volume)</v>
      </c>
      <c r="B67" s="484" t="s">
        <v>10296</v>
      </c>
      <c r="C67" s="477" t="s">
        <v>10297</v>
      </c>
      <c r="D67" s="477" t="s">
        <v>10298</v>
      </c>
      <c r="E67" s="477" t="s">
        <v>10299</v>
      </c>
      <c r="F67" s="477" t="s">
        <v>10300</v>
      </c>
      <c r="G67" s="477" t="s">
        <v>10301</v>
      </c>
      <c r="H67" s="477" t="s">
        <v>10302</v>
      </c>
      <c r="I67" s="477" t="s">
        <v>10303</v>
      </c>
      <c r="J67" s="477" t="s">
        <v>10304</v>
      </c>
      <c r="K67" s="477" t="s">
        <v>10305</v>
      </c>
      <c r="L67" s="477" t="s">
        <v>10306</v>
      </c>
      <c r="M67" s="479" t="s">
        <v>10307</v>
      </c>
    </row>
    <row r="68" spans="1:13" ht="14.4" customHeight="1">
      <c r="A68" s="4" t="str" cm="1">
        <f t="array" ref="A68">_xlfn.IFS(
template_selected_display_language='Footnote (Taxonomy) Labels'!$B$1,'Footnote (Taxonomy) Labels'!$B68,
template_selected_display_language='Footnote (Taxonomy) Labels'!$C$1,'Footnote (Taxonomy) Labels'!$C68,
template_selected_display_language='Footnote (Taxonomy) Labels'!$D$1,'Footnote (Taxonomy) Labels'!$D68,
template_selected_display_language='Footnote (Taxonomy) Labels'!$E$1,'Footnote (Taxonomy) Labels'!$E68,
template_selected_display_language='Footnote (Taxonomy) Labels'!$F$1,'Footnote (Taxonomy) Labels'!$F68,
template_selected_display_language='Footnote (Taxonomy) Labels'!$G$1,'Footnote (Taxonomy) Labels'!$G68,
template_selected_display_language='Footnote (Taxonomy) Labels'!$H$1,'Footnote (Taxonomy) Labels'!$H68,
template_selected_display_language='Footnote (Taxonomy) Labels'!$I$1,'Footnote (Taxonomy) Labels'!$I68,
template_selected_display_language='Footnote (Taxonomy) Labels'!$J$1,'Footnote (Taxonomy) Labels'!$J68,
template_selected_display_language='Footnote (Taxonomy) Labels'!$K$1,'Footnote (Taxonomy) Labels'!$K68,
template_selected_display_language='Footnote (Taxonomy) Labels'!$L$1,'Footnote (Taxonomy) Labels'!$L68,
template_selected_display_language='Footnote (Taxonomy) Labels'!$M$1,'Footnote (Taxonomy) Labels'!$M68
)</f>
        <v>Waste directed to disposal (mass)</v>
      </c>
      <c r="B68" s="484" t="s">
        <v>10308</v>
      </c>
      <c r="C68" s="477" t="s">
        <v>10309</v>
      </c>
      <c r="D68" s="477" t="s">
        <v>10310</v>
      </c>
      <c r="E68" s="477" t="s">
        <v>10311</v>
      </c>
      <c r="F68" s="477" t="s">
        <v>10312</v>
      </c>
      <c r="G68" s="477" t="s">
        <v>10301</v>
      </c>
      <c r="H68" s="477" t="s">
        <v>10313</v>
      </c>
      <c r="I68" s="477" t="s">
        <v>10314</v>
      </c>
      <c r="J68" s="477" t="s">
        <v>10315</v>
      </c>
      <c r="K68" s="477" t="s">
        <v>10316</v>
      </c>
      <c r="L68" s="477" t="s">
        <v>10317</v>
      </c>
      <c r="M68" s="479" t="s">
        <v>10318</v>
      </c>
    </row>
    <row r="69" spans="1:13" ht="14.4" customHeight="1">
      <c r="A69" s="4" t="str" cm="1">
        <f t="array" ref="A69">_xlfn.IFS(
template_selected_display_language='Footnote (Taxonomy) Labels'!$B$1,'Footnote (Taxonomy) Labels'!$B69,
template_selected_display_language='Footnote (Taxonomy) Labels'!$C$1,'Footnote (Taxonomy) Labels'!$C69,
template_selected_display_language='Footnote (Taxonomy) Labels'!$D$1,'Footnote (Taxonomy) Labels'!$D69,
template_selected_display_language='Footnote (Taxonomy) Labels'!$E$1,'Footnote (Taxonomy) Labels'!$E69,
template_selected_display_language='Footnote (Taxonomy) Labels'!$F$1,'Footnote (Taxonomy) Labels'!$F69,
template_selected_display_language='Footnote (Taxonomy) Labels'!$G$1,'Footnote (Taxonomy) Labels'!$G69,
template_selected_display_language='Footnote (Taxonomy) Labels'!$H$1,'Footnote (Taxonomy) Labels'!$H69,
template_selected_display_language='Footnote (Taxonomy) Labels'!$I$1,'Footnote (Taxonomy) Labels'!$I69,
template_selected_display_language='Footnote (Taxonomy) Labels'!$J$1,'Footnote (Taxonomy) Labels'!$J69,
template_selected_display_language='Footnote (Taxonomy) Labels'!$K$1,'Footnote (Taxonomy) Labels'!$K69,
template_selected_display_language='Footnote (Taxonomy) Labels'!$L$1,'Footnote (Taxonomy) Labels'!$L69,
template_selected_display_language='Footnote (Taxonomy) Labels'!$M$1,'Footnote (Taxonomy) Labels'!$M69
)</f>
        <v>Total waste recycled, reused and directed to disposal (volume)</v>
      </c>
      <c r="B69" s="484" t="s">
        <v>10319</v>
      </c>
      <c r="C69" s="477" t="s">
        <v>10320</v>
      </c>
      <c r="D69" s="477" t="s">
        <v>10321</v>
      </c>
      <c r="E69" s="477" t="s">
        <v>10322</v>
      </c>
      <c r="F69" s="477" t="s">
        <v>10323</v>
      </c>
      <c r="G69" s="477" t="s">
        <v>10324</v>
      </c>
      <c r="H69" s="477" t="s">
        <v>10325</v>
      </c>
      <c r="I69" s="477" t="s">
        <v>10326</v>
      </c>
      <c r="J69" s="477" t="s">
        <v>10327</v>
      </c>
      <c r="K69" s="477" t="s">
        <v>10328</v>
      </c>
      <c r="L69" s="477" t="s">
        <v>10329</v>
      </c>
      <c r="M69" s="479" t="s">
        <v>10330</v>
      </c>
    </row>
    <row r="70" spans="1:13" ht="14.4" customHeight="1">
      <c r="A70" s="4" t="str" cm="1">
        <f t="array" ref="A70">_xlfn.IFS(
template_selected_display_language='Footnote (Taxonomy) Labels'!$B$1,'Footnote (Taxonomy) Labels'!$B70,
template_selected_display_language='Footnote (Taxonomy) Labels'!$C$1,'Footnote (Taxonomy) Labels'!$C70,
template_selected_display_language='Footnote (Taxonomy) Labels'!$D$1,'Footnote (Taxonomy) Labels'!$D70,
template_selected_display_language='Footnote (Taxonomy) Labels'!$E$1,'Footnote (Taxonomy) Labels'!$E70,
template_selected_display_language='Footnote (Taxonomy) Labels'!$F$1,'Footnote (Taxonomy) Labels'!$F70,
template_selected_display_language='Footnote (Taxonomy) Labels'!$G$1,'Footnote (Taxonomy) Labels'!$G70,
template_selected_display_language='Footnote (Taxonomy) Labels'!$H$1,'Footnote (Taxonomy) Labels'!$H70,
template_selected_display_language='Footnote (Taxonomy) Labels'!$I$1,'Footnote (Taxonomy) Labels'!$I70,
template_selected_display_language='Footnote (Taxonomy) Labels'!$J$1,'Footnote (Taxonomy) Labels'!$J70,
template_selected_display_language='Footnote (Taxonomy) Labels'!$K$1,'Footnote (Taxonomy) Labels'!$K70,
template_selected_display_language='Footnote (Taxonomy) Labels'!$L$1,'Footnote (Taxonomy) Labels'!$L70,
template_selected_display_language='Footnote (Taxonomy) Labels'!$M$1,'Footnote (Taxonomy) Labels'!$M70
)</f>
        <v>Total waste recycled, reused and directed to disposal (mass)</v>
      </c>
      <c r="B70" s="484" t="s">
        <v>10331</v>
      </c>
      <c r="C70" s="477" t="s">
        <v>10332</v>
      </c>
      <c r="D70" s="477" t="s">
        <v>10333</v>
      </c>
      <c r="E70" s="477" t="s">
        <v>10334</v>
      </c>
      <c r="F70" s="477" t="s">
        <v>10335</v>
      </c>
      <c r="G70" s="477" t="s">
        <v>10336</v>
      </c>
      <c r="H70" s="477" t="s">
        <v>10325</v>
      </c>
      <c r="I70" s="477" t="s">
        <v>10337</v>
      </c>
      <c r="J70" s="477" t="s">
        <v>10338</v>
      </c>
      <c r="K70" s="477" t="s">
        <v>10339</v>
      </c>
      <c r="L70" s="477" t="s">
        <v>10340</v>
      </c>
      <c r="M70" s="479" t="s">
        <v>10341</v>
      </c>
    </row>
    <row r="71" spans="1:13" ht="14.4" customHeight="1">
      <c r="A71" s="4" t="str" cm="1">
        <f t="array" ref="A71">_xlfn.IFS(
template_selected_display_language='Footnote (Taxonomy) Labels'!$B$1,'Footnote (Taxonomy) Labels'!$B71,
template_selected_display_language='Footnote (Taxonomy) Labels'!$C$1,'Footnote (Taxonomy) Labels'!$C71,
template_selected_display_language='Footnote (Taxonomy) Labels'!$D$1,'Footnote (Taxonomy) Labels'!$D71,
template_selected_display_language='Footnote (Taxonomy) Labels'!$E$1,'Footnote (Taxonomy) Labels'!$E71,
template_selected_display_language='Footnote (Taxonomy) Labels'!$F$1,'Footnote (Taxonomy) Labels'!$F71,
template_selected_display_language='Footnote (Taxonomy) Labels'!$G$1,'Footnote (Taxonomy) Labels'!$G71,
template_selected_display_language='Footnote (Taxonomy) Labels'!$H$1,'Footnote (Taxonomy) Labels'!$H71,
template_selected_display_language='Footnote (Taxonomy) Labels'!$I$1,'Footnote (Taxonomy) Labels'!$I71,
template_selected_display_language='Footnote (Taxonomy) Labels'!$J$1,'Footnote (Taxonomy) Labels'!$J71,
template_selected_display_language='Footnote (Taxonomy) Labels'!$K$1,'Footnote (Taxonomy) Labels'!$K71,
template_selected_display_language='Footnote (Taxonomy) Labels'!$L$1,'Footnote (Taxonomy) Labels'!$L71,
template_selected_display_language='Footnote (Taxonomy) Labels'!$M$1,'Footnote (Taxonomy) Labels'!$M71
)</f>
        <v>Total Hazardous waste generated (mass)</v>
      </c>
      <c r="B71" s="484" t="s">
        <v>6500</v>
      </c>
      <c r="C71" s="477" t="s">
        <v>10342</v>
      </c>
      <c r="D71" s="477" t="s">
        <v>10343</v>
      </c>
      <c r="E71" s="477" t="s">
        <v>6503</v>
      </c>
      <c r="F71" s="477" t="s">
        <v>10344</v>
      </c>
      <c r="G71" s="477" t="s">
        <v>10345</v>
      </c>
      <c r="H71" s="477" t="s">
        <v>6506</v>
      </c>
      <c r="I71" s="477" t="s">
        <v>10346</v>
      </c>
      <c r="J71" s="477" t="s">
        <v>6508</v>
      </c>
      <c r="K71" s="477" t="s">
        <v>10347</v>
      </c>
      <c r="L71" s="477" t="s">
        <v>6510</v>
      </c>
      <c r="M71" s="479" t="s">
        <v>10348</v>
      </c>
    </row>
    <row r="72" spans="1:13" ht="14.4" customHeight="1">
      <c r="A72" s="4" t="str" cm="1">
        <f t="array" ref="A72">_xlfn.IFS(
template_selected_display_language='Footnote (Taxonomy) Labels'!$B$1,'Footnote (Taxonomy) Labels'!$B72,
template_selected_display_language='Footnote (Taxonomy) Labels'!$C$1,'Footnote (Taxonomy) Labels'!$C72,
template_selected_display_language='Footnote (Taxonomy) Labels'!$D$1,'Footnote (Taxonomy) Labels'!$D72,
template_selected_display_language='Footnote (Taxonomy) Labels'!$E$1,'Footnote (Taxonomy) Labels'!$E72,
template_selected_display_language='Footnote (Taxonomy) Labels'!$F$1,'Footnote (Taxonomy) Labels'!$F72,
template_selected_display_language='Footnote (Taxonomy) Labels'!$G$1,'Footnote (Taxonomy) Labels'!$G72,
template_selected_display_language='Footnote (Taxonomy) Labels'!$H$1,'Footnote (Taxonomy) Labels'!$H72,
template_selected_display_language='Footnote (Taxonomy) Labels'!$I$1,'Footnote (Taxonomy) Labels'!$I72,
template_selected_display_language='Footnote (Taxonomy) Labels'!$J$1,'Footnote (Taxonomy) Labels'!$J72,
template_selected_display_language='Footnote (Taxonomy) Labels'!$K$1,'Footnote (Taxonomy) Labels'!$K72,
template_selected_display_language='Footnote (Taxonomy) Labels'!$L$1,'Footnote (Taxonomy) Labels'!$L72,
template_selected_display_language='Footnote (Taxonomy) Labels'!$M$1,'Footnote (Taxonomy) Labels'!$M72
)</f>
        <v>Total Non-Hazardous waste generated (mass)</v>
      </c>
      <c r="B72" s="484" t="s">
        <v>6526</v>
      </c>
      <c r="C72" s="477" t="s">
        <v>10349</v>
      </c>
      <c r="D72" s="477" t="s">
        <v>10350</v>
      </c>
      <c r="E72" s="477" t="s">
        <v>6529</v>
      </c>
      <c r="F72" s="477" t="s">
        <v>10351</v>
      </c>
      <c r="G72" s="477" t="s">
        <v>10352</v>
      </c>
      <c r="H72" s="477" t="s">
        <v>6532</v>
      </c>
      <c r="I72" s="477" t="s">
        <v>6533</v>
      </c>
      <c r="J72" s="477" t="s">
        <v>6534</v>
      </c>
      <c r="K72" s="477" t="s">
        <v>10353</v>
      </c>
      <c r="L72" s="477" t="s">
        <v>6536</v>
      </c>
      <c r="M72" s="479" t="s">
        <v>10354</v>
      </c>
    </row>
    <row r="73" spans="1:13" ht="14.4" customHeight="1">
      <c r="A73" s="4" t="str" cm="1">
        <f t="array" ref="A73">_xlfn.IFS(
template_selected_display_language='Footnote (Taxonomy) Labels'!$B$1,'Footnote (Taxonomy) Labels'!$B73,
template_selected_display_language='Footnote (Taxonomy) Labels'!$C$1,'Footnote (Taxonomy) Labels'!$C73,
template_selected_display_language='Footnote (Taxonomy) Labels'!$D$1,'Footnote (Taxonomy) Labels'!$D73,
template_selected_display_language='Footnote (Taxonomy) Labels'!$E$1,'Footnote (Taxonomy) Labels'!$E73,
template_selected_display_language='Footnote (Taxonomy) Labels'!$F$1,'Footnote (Taxonomy) Labels'!$F73,
template_selected_display_language='Footnote (Taxonomy) Labels'!$G$1,'Footnote (Taxonomy) Labels'!$G73,
template_selected_display_language='Footnote (Taxonomy) Labels'!$H$1,'Footnote (Taxonomy) Labels'!$H73,
template_selected_display_language='Footnote (Taxonomy) Labels'!$I$1,'Footnote (Taxonomy) Labels'!$I73,
template_selected_display_language='Footnote (Taxonomy) Labels'!$J$1,'Footnote (Taxonomy) Labels'!$J73,
template_selected_display_language='Footnote (Taxonomy) Labels'!$K$1,'Footnote (Taxonomy) Labels'!$K73,
template_selected_display_language='Footnote (Taxonomy) Labels'!$L$1,'Footnote (Taxonomy) Labels'!$L73,
template_selected_display_language='Footnote (Taxonomy) Labels'!$M$1,'Footnote (Taxonomy) Labels'!$M73
)</f>
        <v>Total waste generated (mass)</v>
      </c>
      <c r="B73" s="484" t="s">
        <v>6539</v>
      </c>
      <c r="C73" s="477" t="s">
        <v>10355</v>
      </c>
      <c r="D73" s="477" t="s">
        <v>10356</v>
      </c>
      <c r="E73" s="477" t="s">
        <v>6542</v>
      </c>
      <c r="F73" s="477" t="s">
        <v>10357</v>
      </c>
      <c r="G73" s="477" t="s">
        <v>10358</v>
      </c>
      <c r="H73" s="477" t="s">
        <v>6545</v>
      </c>
      <c r="I73" s="477" t="s">
        <v>10359</v>
      </c>
      <c r="J73" s="477" t="s">
        <v>10360</v>
      </c>
      <c r="K73" s="477" t="s">
        <v>6550</v>
      </c>
      <c r="L73" s="477" t="s">
        <v>10361</v>
      </c>
      <c r="M73" s="479" t="s">
        <v>10362</v>
      </c>
    </row>
    <row r="74" spans="1:13" ht="14.4" customHeight="1">
      <c r="A74" s="4" t="str" cm="1">
        <f t="array" ref="A74">_xlfn.IFS(
template_selected_display_language='Footnote (Taxonomy) Labels'!$B$1,'Footnote (Taxonomy) Labels'!$B74,
template_selected_display_language='Footnote (Taxonomy) Labels'!$C$1,'Footnote (Taxonomy) Labels'!$C74,
template_selected_display_language='Footnote (Taxonomy) Labels'!$D$1,'Footnote (Taxonomy) Labels'!$D74,
template_selected_display_language='Footnote (Taxonomy) Labels'!$E$1,'Footnote (Taxonomy) Labels'!$E74,
template_selected_display_language='Footnote (Taxonomy) Labels'!$F$1,'Footnote (Taxonomy) Labels'!$F74,
template_selected_display_language='Footnote (Taxonomy) Labels'!$G$1,'Footnote (Taxonomy) Labels'!$G74,
template_selected_display_language='Footnote (Taxonomy) Labels'!$H$1,'Footnote (Taxonomy) Labels'!$H74,
template_selected_display_language='Footnote (Taxonomy) Labels'!$I$1,'Footnote (Taxonomy) Labels'!$I74,
template_selected_display_language='Footnote (Taxonomy) Labels'!$J$1,'Footnote (Taxonomy) Labels'!$J74,
template_selected_display_language='Footnote (Taxonomy) Labels'!$K$1,'Footnote (Taxonomy) Labels'!$K74,
template_selected_display_language='Footnote (Taxonomy) Labels'!$L$1,'Footnote (Taxonomy) Labels'!$L74,
template_selected_display_language='Footnote (Taxonomy) Labels'!$M$1,'Footnote (Taxonomy) Labels'!$M74
)</f>
        <v>Total Hazardous waste generated (volume)</v>
      </c>
      <c r="B74" s="484" t="s">
        <v>6552</v>
      </c>
      <c r="C74" s="477" t="s">
        <v>10363</v>
      </c>
      <c r="D74" s="477" t="s">
        <v>10364</v>
      </c>
      <c r="E74" s="477" t="s">
        <v>6555</v>
      </c>
      <c r="F74" s="477" t="s">
        <v>6556</v>
      </c>
      <c r="G74" s="477" t="s">
        <v>10365</v>
      </c>
      <c r="H74" s="477" t="s">
        <v>6558</v>
      </c>
      <c r="I74" s="477" t="s">
        <v>10366</v>
      </c>
      <c r="J74" s="477" t="s">
        <v>6560</v>
      </c>
      <c r="K74" s="477" t="s">
        <v>10367</v>
      </c>
      <c r="L74" s="477" t="s">
        <v>6562</v>
      </c>
      <c r="M74" s="479" t="s">
        <v>10368</v>
      </c>
    </row>
    <row r="75" spans="1:13" ht="14.4" customHeight="1">
      <c r="A75" s="4" t="str" cm="1">
        <f t="array" ref="A75">_xlfn.IFS(
template_selected_display_language='Footnote (Taxonomy) Labels'!$B$1,'Footnote (Taxonomy) Labels'!$B75,
template_selected_display_language='Footnote (Taxonomy) Labels'!$C$1,'Footnote (Taxonomy) Labels'!$C75,
template_selected_display_language='Footnote (Taxonomy) Labels'!$D$1,'Footnote (Taxonomy) Labels'!$D75,
template_selected_display_language='Footnote (Taxonomy) Labels'!$E$1,'Footnote (Taxonomy) Labels'!$E75,
template_selected_display_language='Footnote (Taxonomy) Labels'!$F$1,'Footnote (Taxonomy) Labels'!$F75,
template_selected_display_language='Footnote (Taxonomy) Labels'!$G$1,'Footnote (Taxonomy) Labels'!$G75,
template_selected_display_language='Footnote (Taxonomy) Labels'!$H$1,'Footnote (Taxonomy) Labels'!$H75,
template_selected_display_language='Footnote (Taxonomy) Labels'!$I$1,'Footnote (Taxonomy) Labels'!$I75,
template_selected_display_language='Footnote (Taxonomy) Labels'!$J$1,'Footnote (Taxonomy) Labels'!$J75,
template_selected_display_language='Footnote (Taxonomy) Labels'!$K$1,'Footnote (Taxonomy) Labels'!$K75,
template_selected_display_language='Footnote (Taxonomy) Labels'!$L$1,'Footnote (Taxonomy) Labels'!$L75,
template_selected_display_language='Footnote (Taxonomy) Labels'!$M$1,'Footnote (Taxonomy) Labels'!$M75
)</f>
        <v>Total Non-Hazardous waste generated (volume)</v>
      </c>
      <c r="B75" s="484" t="s">
        <v>6577</v>
      </c>
      <c r="C75" s="477" t="s">
        <v>10369</v>
      </c>
      <c r="D75" s="477" t="s">
        <v>10370</v>
      </c>
      <c r="E75" s="477" t="s">
        <v>6580</v>
      </c>
      <c r="F75" s="477" t="s">
        <v>6581</v>
      </c>
      <c r="G75" s="477" t="s">
        <v>10371</v>
      </c>
      <c r="H75" s="477" t="s">
        <v>6583</v>
      </c>
      <c r="I75" s="477" t="s">
        <v>10372</v>
      </c>
      <c r="J75" s="477" t="s">
        <v>6585</v>
      </c>
      <c r="K75" s="477" t="s">
        <v>6588</v>
      </c>
      <c r="L75" s="477" t="s">
        <v>6587</v>
      </c>
      <c r="M75" s="479" t="s">
        <v>10373</v>
      </c>
    </row>
    <row r="76" spans="1:13" ht="14.4" customHeight="1">
      <c r="A76" s="4" t="str" cm="1">
        <f t="array" ref="A76">_xlfn.IFS(
template_selected_display_language='Footnote (Taxonomy) Labels'!$B$1,'Footnote (Taxonomy) Labels'!$B76,
template_selected_display_language='Footnote (Taxonomy) Labels'!$C$1,'Footnote (Taxonomy) Labels'!$C76,
template_selected_display_language='Footnote (Taxonomy) Labels'!$D$1,'Footnote (Taxonomy) Labels'!$D76,
template_selected_display_language='Footnote (Taxonomy) Labels'!$E$1,'Footnote (Taxonomy) Labels'!$E76,
template_selected_display_language='Footnote (Taxonomy) Labels'!$F$1,'Footnote (Taxonomy) Labels'!$F76,
template_selected_display_language='Footnote (Taxonomy) Labels'!$G$1,'Footnote (Taxonomy) Labels'!$G76,
template_selected_display_language='Footnote (Taxonomy) Labels'!$H$1,'Footnote (Taxonomy) Labels'!$H76,
template_selected_display_language='Footnote (Taxonomy) Labels'!$I$1,'Footnote (Taxonomy) Labels'!$I76,
template_selected_display_language='Footnote (Taxonomy) Labels'!$J$1,'Footnote (Taxonomy) Labels'!$J76,
template_selected_display_language='Footnote (Taxonomy) Labels'!$K$1,'Footnote (Taxonomy) Labels'!$K76,
template_selected_display_language='Footnote (Taxonomy) Labels'!$L$1,'Footnote (Taxonomy) Labels'!$L76,
template_selected_display_language='Footnote (Taxonomy) Labels'!$M$1,'Footnote (Taxonomy) Labels'!$M76
)</f>
        <v>Total waste generated (volume)</v>
      </c>
      <c r="B76" s="484" t="s">
        <v>6590</v>
      </c>
      <c r="C76" s="477" t="s">
        <v>10374</v>
      </c>
      <c r="D76" s="477" t="s">
        <v>10375</v>
      </c>
      <c r="E76" s="477" t="s">
        <v>6593</v>
      </c>
      <c r="F76" s="477" t="s">
        <v>6594</v>
      </c>
      <c r="G76" s="477" t="s">
        <v>10376</v>
      </c>
      <c r="H76" s="477" t="s">
        <v>6596</v>
      </c>
      <c r="I76" s="477" t="s">
        <v>6597</v>
      </c>
      <c r="J76" s="477" t="s">
        <v>10377</v>
      </c>
      <c r="K76" s="477" t="s">
        <v>10378</v>
      </c>
      <c r="L76" s="477" t="s">
        <v>10379</v>
      </c>
      <c r="M76" s="479" t="s">
        <v>10380</v>
      </c>
    </row>
    <row r="77" spans="1:13" ht="14.4" customHeight="1">
      <c r="A77" s="4" t="str" cm="1">
        <f t="array" ref="A77">_xlfn.IFS(
template_selected_display_language='Footnote (Taxonomy) Labels'!$B$1,'Footnote (Taxonomy) Labels'!$B77,
template_selected_display_language='Footnote (Taxonomy) Labels'!$C$1,'Footnote (Taxonomy) Labels'!$C77,
template_selected_display_language='Footnote (Taxonomy) Labels'!$D$1,'Footnote (Taxonomy) Labels'!$D77,
template_selected_display_language='Footnote (Taxonomy) Labels'!$E$1,'Footnote (Taxonomy) Labels'!$E77,
template_selected_display_language='Footnote (Taxonomy) Labels'!$F$1,'Footnote (Taxonomy) Labels'!$F77,
template_selected_display_language='Footnote (Taxonomy) Labels'!$G$1,'Footnote (Taxonomy) Labels'!$G77,
template_selected_display_language='Footnote (Taxonomy) Labels'!$H$1,'Footnote (Taxonomy) Labels'!$H77,
template_selected_display_language='Footnote (Taxonomy) Labels'!$I$1,'Footnote (Taxonomy) Labels'!$I77,
template_selected_display_language='Footnote (Taxonomy) Labels'!$J$1,'Footnote (Taxonomy) Labels'!$J77,
template_selected_display_language='Footnote (Taxonomy) Labels'!$K$1,'Footnote (Taxonomy) Labels'!$K77,
template_selected_display_language='Footnote (Taxonomy) Labels'!$L$1,'Footnote (Taxonomy) Labels'!$L77,
template_selected_display_language='Footnote (Taxonomy) Labels'!$M$1,'Footnote (Taxonomy) Labels'!$M77
)</f>
        <v>Name of the material used</v>
      </c>
      <c r="B77" s="484" t="s">
        <v>10381</v>
      </c>
      <c r="C77" s="477" t="s">
        <v>10382</v>
      </c>
      <c r="D77" s="477" t="s">
        <v>10383</v>
      </c>
      <c r="E77" s="477" t="s">
        <v>10384</v>
      </c>
      <c r="F77" s="477" t="s">
        <v>10385</v>
      </c>
      <c r="G77" s="477" t="s">
        <v>10386</v>
      </c>
      <c r="H77" s="477" t="s">
        <v>10387</v>
      </c>
      <c r="I77" s="477" t="s">
        <v>10388</v>
      </c>
      <c r="J77" s="477" t="s">
        <v>10389</v>
      </c>
      <c r="K77" s="477" t="s">
        <v>10390</v>
      </c>
      <c r="L77" s="477" t="s">
        <v>10391</v>
      </c>
      <c r="M77" s="479" t="s">
        <v>10392</v>
      </c>
    </row>
    <row r="78" spans="1:13" ht="14.4" customHeight="1">
      <c r="A78" s="4" t="str" cm="1">
        <f t="array" ref="A78">_xlfn.IFS(
template_selected_display_language='Footnote (Taxonomy) Labels'!$B$1,'Footnote (Taxonomy) Labels'!$B78,
template_selected_display_language='Footnote (Taxonomy) Labels'!$C$1,'Footnote (Taxonomy) Labels'!$C78,
template_selected_display_language='Footnote (Taxonomy) Labels'!$D$1,'Footnote (Taxonomy) Labels'!$D78,
template_selected_display_language='Footnote (Taxonomy) Labels'!$E$1,'Footnote (Taxonomy) Labels'!$E78,
template_selected_display_language='Footnote (Taxonomy) Labels'!$F$1,'Footnote (Taxonomy) Labels'!$F78,
template_selected_display_language='Footnote (Taxonomy) Labels'!$G$1,'Footnote (Taxonomy) Labels'!$G78,
template_selected_display_language='Footnote (Taxonomy) Labels'!$H$1,'Footnote (Taxonomy) Labels'!$H78,
template_selected_display_language='Footnote (Taxonomy) Labels'!$I$1,'Footnote (Taxonomy) Labels'!$I78,
template_selected_display_language='Footnote (Taxonomy) Labels'!$J$1,'Footnote (Taxonomy) Labels'!$J78,
template_selected_display_language='Footnote (Taxonomy) Labels'!$K$1,'Footnote (Taxonomy) Labels'!$K78,
template_selected_display_language='Footnote (Taxonomy) Labels'!$L$1,'Footnote (Taxonomy) Labels'!$L78,
template_selected_display_language='Footnote (Taxonomy) Labels'!$M$1,'Footnote (Taxonomy) Labels'!$M78
)</f>
        <v>Weight of material used</v>
      </c>
      <c r="B78" s="484" t="s">
        <v>10393</v>
      </c>
      <c r="C78" s="477" t="s">
        <v>10394</v>
      </c>
      <c r="D78" s="477" t="s">
        <v>10395</v>
      </c>
      <c r="E78" s="477" t="s">
        <v>10396</v>
      </c>
      <c r="F78" s="477" t="s">
        <v>10397</v>
      </c>
      <c r="G78" s="477" t="s">
        <v>10398</v>
      </c>
      <c r="H78" s="477" t="s">
        <v>10399</v>
      </c>
      <c r="I78" s="477" t="s">
        <v>10400</v>
      </c>
      <c r="J78" s="477" t="s">
        <v>10401</v>
      </c>
      <c r="K78" s="477" t="s">
        <v>10402</v>
      </c>
      <c r="L78" s="477" t="s">
        <v>10403</v>
      </c>
      <c r="M78" s="479" t="s">
        <v>10404</v>
      </c>
    </row>
    <row r="79" spans="1:13" ht="14.4" customHeight="1">
      <c r="A79" s="4" t="str" cm="1">
        <f t="array" ref="A79">_xlfn.IFS(
template_selected_display_language='Footnote (Taxonomy) Labels'!$B$1,'Footnote (Taxonomy) Labels'!$B79,
template_selected_display_language='Footnote (Taxonomy) Labels'!$C$1,'Footnote (Taxonomy) Labels'!$C79,
template_selected_display_language='Footnote (Taxonomy) Labels'!$D$1,'Footnote (Taxonomy) Labels'!$D79,
template_selected_display_language='Footnote (Taxonomy) Labels'!$E$1,'Footnote (Taxonomy) Labels'!$E79,
template_selected_display_language='Footnote (Taxonomy) Labels'!$F$1,'Footnote (Taxonomy) Labels'!$F79,
template_selected_display_language='Footnote (Taxonomy) Labels'!$G$1,'Footnote (Taxonomy) Labels'!$G79,
template_selected_display_language='Footnote (Taxonomy) Labels'!$H$1,'Footnote (Taxonomy) Labels'!$H79,
template_selected_display_language='Footnote (Taxonomy) Labels'!$I$1,'Footnote (Taxonomy) Labels'!$I79,
template_selected_display_language='Footnote (Taxonomy) Labels'!$J$1,'Footnote (Taxonomy) Labels'!$J79,
template_selected_display_language='Footnote (Taxonomy) Labels'!$K$1,'Footnote (Taxonomy) Labels'!$K79,
template_selected_display_language='Footnote (Taxonomy) Labels'!$L$1,'Footnote (Taxonomy) Labels'!$L79,
template_selected_display_language='Footnote (Taxonomy) Labels'!$M$1,'Footnote (Taxonomy) Labels'!$M79
)</f>
        <v>Volume of material used</v>
      </c>
      <c r="B79" s="484" t="s">
        <v>10405</v>
      </c>
      <c r="C79" s="477" t="s">
        <v>10406</v>
      </c>
      <c r="D79" s="477" t="s">
        <v>10407</v>
      </c>
      <c r="E79" s="477" t="s">
        <v>10408</v>
      </c>
      <c r="F79" s="477" t="s">
        <v>10409</v>
      </c>
      <c r="G79" s="477" t="s">
        <v>10410</v>
      </c>
      <c r="H79" s="477" t="s">
        <v>10411</v>
      </c>
      <c r="I79" s="477" t="s">
        <v>10412</v>
      </c>
      <c r="J79" s="477" t="s">
        <v>10413</v>
      </c>
      <c r="K79" s="477" t="s">
        <v>10414</v>
      </c>
      <c r="L79" s="477" t="s">
        <v>10415</v>
      </c>
      <c r="M79" s="479" t="s">
        <v>10416</v>
      </c>
    </row>
    <row r="80" spans="1:13" ht="14.4" customHeight="1">
      <c r="A80" s="4" t="str" cm="1">
        <f t="array" ref="A80">_xlfn.IFS(
template_selected_display_language='Footnote (Taxonomy) Labels'!$B$1,'Footnote (Taxonomy) Labels'!$B80,
template_selected_display_language='Footnote (Taxonomy) Labels'!$C$1,'Footnote (Taxonomy) Labels'!$C80,
template_selected_display_language='Footnote (Taxonomy) Labels'!$D$1,'Footnote (Taxonomy) Labels'!$D80,
template_selected_display_language='Footnote (Taxonomy) Labels'!$E$1,'Footnote (Taxonomy) Labels'!$E80,
template_selected_display_language='Footnote (Taxonomy) Labels'!$F$1,'Footnote (Taxonomy) Labels'!$F80,
template_selected_display_language='Footnote (Taxonomy) Labels'!$G$1,'Footnote (Taxonomy) Labels'!$G80,
template_selected_display_language='Footnote (Taxonomy) Labels'!$H$1,'Footnote (Taxonomy) Labels'!$H80,
template_selected_display_language='Footnote (Taxonomy) Labels'!$I$1,'Footnote (Taxonomy) Labels'!$I80,
template_selected_display_language='Footnote (Taxonomy) Labels'!$J$1,'Footnote (Taxonomy) Labels'!$J80,
template_selected_display_language='Footnote (Taxonomy) Labels'!$K$1,'Footnote (Taxonomy) Labels'!$K80,
template_selected_display_language='Footnote (Taxonomy) Labels'!$L$1,'Footnote (Taxonomy) Labels'!$L80,
template_selected_display_language='Footnote (Taxonomy) Labels'!$M$1,'Footnote (Taxonomy) Labels'!$M80
)</f>
        <v>Total weight of material used</v>
      </c>
      <c r="B80" s="484" t="s">
        <v>10417</v>
      </c>
      <c r="C80" s="477" t="s">
        <v>10418</v>
      </c>
      <c r="D80" s="477" t="s">
        <v>10419</v>
      </c>
      <c r="E80" s="477" t="s">
        <v>10420</v>
      </c>
      <c r="F80" s="477" t="s">
        <v>10421</v>
      </c>
      <c r="G80" s="477" t="s">
        <v>10422</v>
      </c>
      <c r="H80" s="477" t="s">
        <v>10423</v>
      </c>
      <c r="I80" s="477" t="s">
        <v>10424</v>
      </c>
      <c r="J80" s="477" t="s">
        <v>10425</v>
      </c>
      <c r="K80" s="477" t="s">
        <v>10426</v>
      </c>
      <c r="L80" s="477" t="s">
        <v>10427</v>
      </c>
      <c r="M80" s="479" t="s">
        <v>10428</v>
      </c>
    </row>
    <row r="81" spans="1:13" ht="14.4" customHeight="1">
      <c r="A81" s="4" t="str" cm="1">
        <f t="array" ref="A81">_xlfn.IFS(
template_selected_display_language='Footnote (Taxonomy) Labels'!$B$1,'Footnote (Taxonomy) Labels'!$B81,
template_selected_display_language='Footnote (Taxonomy) Labels'!$C$1,'Footnote (Taxonomy) Labels'!$C81,
template_selected_display_language='Footnote (Taxonomy) Labels'!$D$1,'Footnote (Taxonomy) Labels'!$D81,
template_selected_display_language='Footnote (Taxonomy) Labels'!$E$1,'Footnote (Taxonomy) Labels'!$E81,
template_selected_display_language='Footnote (Taxonomy) Labels'!$F$1,'Footnote (Taxonomy) Labels'!$F81,
template_selected_display_language='Footnote (Taxonomy) Labels'!$G$1,'Footnote (Taxonomy) Labels'!$G81,
template_selected_display_language='Footnote (Taxonomy) Labels'!$H$1,'Footnote (Taxonomy) Labels'!$H81,
template_selected_display_language='Footnote (Taxonomy) Labels'!$I$1,'Footnote (Taxonomy) Labels'!$I81,
template_selected_display_language='Footnote (Taxonomy) Labels'!$J$1,'Footnote (Taxonomy) Labels'!$J81,
template_selected_display_language='Footnote (Taxonomy) Labels'!$K$1,'Footnote (Taxonomy) Labels'!$K81,
template_selected_display_language='Footnote (Taxonomy) Labels'!$L$1,'Footnote (Taxonomy) Labels'!$L81,
template_selected_display_language='Footnote (Taxonomy) Labels'!$M$1,'Footnote (Taxonomy) Labels'!$M81
)</f>
        <v>Total volume of material used</v>
      </c>
      <c r="B81" s="484" t="s">
        <v>10429</v>
      </c>
      <c r="C81" s="477" t="s">
        <v>10430</v>
      </c>
      <c r="D81" s="477" t="s">
        <v>10431</v>
      </c>
      <c r="E81" s="477" t="s">
        <v>10432</v>
      </c>
      <c r="F81" s="477" t="s">
        <v>10433</v>
      </c>
      <c r="G81" s="477" t="s">
        <v>10434</v>
      </c>
      <c r="H81" s="477" t="s">
        <v>10435</v>
      </c>
      <c r="I81" s="477" t="s">
        <v>10436</v>
      </c>
      <c r="J81" s="477" t="s">
        <v>10437</v>
      </c>
      <c r="K81" s="477" t="s">
        <v>10438</v>
      </c>
      <c r="L81" s="477" t="s">
        <v>10439</v>
      </c>
      <c r="M81" s="479" t="s">
        <v>10440</v>
      </c>
    </row>
    <row r="82" spans="1:13" ht="14.4" customHeight="1">
      <c r="A82" s="4" t="str" cm="1">
        <f t="array" ref="A82">_xlfn.IFS(
template_selected_display_language='Footnote (Taxonomy) Labels'!$B$1,'Footnote (Taxonomy) Labels'!$B82,
template_selected_display_language='Footnote (Taxonomy) Labels'!$C$1,'Footnote (Taxonomy) Labels'!$C82,
template_selected_display_language='Footnote (Taxonomy) Labels'!$D$1,'Footnote (Taxonomy) Labels'!$D82,
template_selected_display_language='Footnote (Taxonomy) Labels'!$E$1,'Footnote (Taxonomy) Labels'!$E82,
template_selected_display_language='Footnote (Taxonomy) Labels'!$F$1,'Footnote (Taxonomy) Labels'!$F82,
template_selected_display_language='Footnote (Taxonomy) Labels'!$G$1,'Footnote (Taxonomy) Labels'!$G82,
template_selected_display_language='Footnote (Taxonomy) Labels'!$H$1,'Footnote (Taxonomy) Labels'!$H82,
template_selected_display_language='Footnote (Taxonomy) Labels'!$I$1,'Footnote (Taxonomy) Labels'!$I82,
template_selected_display_language='Footnote (Taxonomy) Labels'!$J$1,'Footnote (Taxonomy) Labels'!$J82,
template_selected_display_language='Footnote (Taxonomy) Labels'!$K$1,'Footnote (Taxonomy) Labels'!$K82,
template_selected_display_language='Footnote (Taxonomy) Labels'!$L$1,'Footnote (Taxonomy) Labels'!$L82,
template_selected_display_language='Footnote (Taxonomy) Labels'!$M$1,'Footnote (Taxonomy) Labels'!$M82
)</f>
        <v>Number of permanent contact employees</v>
      </c>
      <c r="B82" s="484" t="s">
        <v>10441</v>
      </c>
      <c r="C82" s="477" t="s">
        <v>10442</v>
      </c>
      <c r="D82" s="477" t="s">
        <v>10443</v>
      </c>
      <c r="E82" s="477" t="s">
        <v>10444</v>
      </c>
      <c r="F82" s="477" t="s">
        <v>10445</v>
      </c>
      <c r="G82" s="477" t="s">
        <v>10446</v>
      </c>
      <c r="H82" s="477" t="s">
        <v>10447</v>
      </c>
      <c r="I82" s="477" t="s">
        <v>10448</v>
      </c>
      <c r="J82" s="477" t="s">
        <v>10449</v>
      </c>
      <c r="K82" s="477" t="s">
        <v>10450</v>
      </c>
      <c r="L82" s="477" t="s">
        <v>10451</v>
      </c>
      <c r="M82" s="479" t="s">
        <v>10452</v>
      </c>
    </row>
    <row r="83" spans="1:13" ht="14.4" customHeight="1">
      <c r="A83" s="4" t="str" cm="1">
        <f t="array" ref="A83">_xlfn.IFS(
template_selected_display_language='Footnote (Taxonomy) Labels'!$B$1,'Footnote (Taxonomy) Labels'!$B83,
template_selected_display_language='Footnote (Taxonomy) Labels'!$C$1,'Footnote (Taxonomy) Labels'!$C83,
template_selected_display_language='Footnote (Taxonomy) Labels'!$D$1,'Footnote (Taxonomy) Labels'!$D83,
template_selected_display_language='Footnote (Taxonomy) Labels'!$E$1,'Footnote (Taxonomy) Labels'!$E83,
template_selected_display_language='Footnote (Taxonomy) Labels'!$F$1,'Footnote (Taxonomy) Labels'!$F83,
template_selected_display_language='Footnote (Taxonomy) Labels'!$G$1,'Footnote (Taxonomy) Labels'!$G83,
template_selected_display_language='Footnote (Taxonomy) Labels'!$H$1,'Footnote (Taxonomy) Labels'!$H83,
template_selected_display_language='Footnote (Taxonomy) Labels'!$I$1,'Footnote (Taxonomy) Labels'!$I83,
template_selected_display_language='Footnote (Taxonomy) Labels'!$J$1,'Footnote (Taxonomy) Labels'!$J83,
template_selected_display_language='Footnote (Taxonomy) Labels'!$K$1,'Footnote (Taxonomy) Labels'!$K83,
template_selected_display_language='Footnote (Taxonomy) Labels'!$L$1,'Footnote (Taxonomy) Labels'!$L83,
template_selected_display_language='Footnote (Taxonomy) Labels'!$M$1,'Footnote (Taxonomy) Labels'!$M83
)</f>
        <v>Number of temporary contract employees</v>
      </c>
      <c r="B83" s="484" t="s">
        <v>10453</v>
      </c>
      <c r="C83" s="477" t="s">
        <v>10454</v>
      </c>
      <c r="D83" s="477" t="s">
        <v>10455</v>
      </c>
      <c r="E83" s="477" t="s">
        <v>10456</v>
      </c>
      <c r="F83" s="477" t="s">
        <v>10457</v>
      </c>
      <c r="G83" s="477" t="s">
        <v>10458</v>
      </c>
      <c r="H83" s="477" t="s">
        <v>10459</v>
      </c>
      <c r="I83" s="477" t="s">
        <v>10460</v>
      </c>
      <c r="J83" s="477" t="s">
        <v>10461</v>
      </c>
      <c r="K83" s="477" t="s">
        <v>10462</v>
      </c>
      <c r="L83" s="477" t="s">
        <v>10463</v>
      </c>
      <c r="M83" s="479" t="s">
        <v>10464</v>
      </c>
    </row>
    <row r="84" spans="1:13" ht="14.4" customHeight="1">
      <c r="A84" s="4" t="str" cm="1">
        <f t="array" ref="A84">_xlfn.IFS(
template_selected_display_language='Footnote (Taxonomy) Labels'!$B$1,'Footnote (Taxonomy) Labels'!$B84,
template_selected_display_language='Footnote (Taxonomy) Labels'!$C$1,'Footnote (Taxonomy) Labels'!$C84,
template_selected_display_language='Footnote (Taxonomy) Labels'!$D$1,'Footnote (Taxonomy) Labels'!$D84,
template_selected_display_language='Footnote (Taxonomy) Labels'!$E$1,'Footnote (Taxonomy) Labels'!$E84,
template_selected_display_language='Footnote (Taxonomy) Labels'!$F$1,'Footnote (Taxonomy) Labels'!$F84,
template_selected_display_language='Footnote (Taxonomy) Labels'!$G$1,'Footnote (Taxonomy) Labels'!$G84,
template_selected_display_language='Footnote (Taxonomy) Labels'!$H$1,'Footnote (Taxonomy) Labels'!$H84,
template_selected_display_language='Footnote (Taxonomy) Labels'!$I$1,'Footnote (Taxonomy) Labels'!$I84,
template_selected_display_language='Footnote (Taxonomy) Labels'!$J$1,'Footnote (Taxonomy) Labels'!$J84,
template_selected_display_language='Footnote (Taxonomy) Labels'!$K$1,'Footnote (Taxonomy) Labels'!$K84,
template_selected_display_language='Footnote (Taxonomy) Labels'!$L$1,'Footnote (Taxonomy) Labels'!$L84,
template_selected_display_language='Footnote (Taxonomy) Labels'!$M$1,'Footnote (Taxonomy) Labels'!$M84
)</f>
        <v>Number of male employees</v>
      </c>
      <c r="B84" s="484" t="s">
        <v>10465</v>
      </c>
      <c r="C84" s="477" t="s">
        <v>10466</v>
      </c>
      <c r="D84" s="477" t="s">
        <v>10467</v>
      </c>
      <c r="E84" s="477" t="s">
        <v>10468</v>
      </c>
      <c r="F84" s="477" t="s">
        <v>10469</v>
      </c>
      <c r="G84" s="477" t="s">
        <v>10470</v>
      </c>
      <c r="H84" s="477" t="s">
        <v>10471</v>
      </c>
      <c r="I84" s="477" t="s">
        <v>10472</v>
      </c>
      <c r="J84" s="477" t="s">
        <v>10473</v>
      </c>
      <c r="K84" s="477" t="s">
        <v>10474</v>
      </c>
      <c r="L84" s="477" t="s">
        <v>10475</v>
      </c>
      <c r="M84" s="479" t="s">
        <v>10476</v>
      </c>
    </row>
    <row r="85" spans="1:13" ht="14.4" customHeight="1">
      <c r="A85" s="4" t="str" cm="1">
        <f t="array" ref="A85">_xlfn.IFS(
template_selected_display_language='Footnote (Taxonomy) Labels'!$B$1,'Footnote (Taxonomy) Labels'!$B85,
template_selected_display_language='Footnote (Taxonomy) Labels'!$C$1,'Footnote (Taxonomy) Labels'!$C85,
template_selected_display_language='Footnote (Taxonomy) Labels'!$D$1,'Footnote (Taxonomy) Labels'!$D85,
template_selected_display_language='Footnote (Taxonomy) Labels'!$E$1,'Footnote (Taxonomy) Labels'!$E85,
template_selected_display_language='Footnote (Taxonomy) Labels'!$F$1,'Footnote (Taxonomy) Labels'!$F85,
template_selected_display_language='Footnote (Taxonomy) Labels'!$G$1,'Footnote (Taxonomy) Labels'!$G85,
template_selected_display_language='Footnote (Taxonomy) Labels'!$H$1,'Footnote (Taxonomy) Labels'!$H85,
template_selected_display_language='Footnote (Taxonomy) Labels'!$I$1,'Footnote (Taxonomy) Labels'!$I85,
template_selected_display_language='Footnote (Taxonomy) Labels'!$J$1,'Footnote (Taxonomy) Labels'!$J85,
template_selected_display_language='Footnote (Taxonomy) Labels'!$K$1,'Footnote (Taxonomy) Labels'!$K85,
template_selected_display_language='Footnote (Taxonomy) Labels'!$L$1,'Footnote (Taxonomy) Labels'!$L85,
template_selected_display_language='Footnote (Taxonomy) Labels'!$M$1,'Footnote (Taxonomy) Labels'!$M85
)</f>
        <v>Number of female employees</v>
      </c>
      <c r="B85" s="484" t="s">
        <v>10477</v>
      </c>
      <c r="C85" s="477" t="s">
        <v>10478</v>
      </c>
      <c r="D85" s="477" t="s">
        <v>10479</v>
      </c>
      <c r="E85" s="477" t="s">
        <v>10480</v>
      </c>
      <c r="F85" s="477" t="s">
        <v>10481</v>
      </c>
      <c r="G85" s="477" t="s">
        <v>10482</v>
      </c>
      <c r="H85" s="477" t="s">
        <v>10483</v>
      </c>
      <c r="I85" s="477" t="s">
        <v>10484</v>
      </c>
      <c r="J85" s="477" t="s">
        <v>10485</v>
      </c>
      <c r="K85" s="477" t="s">
        <v>10486</v>
      </c>
      <c r="L85" s="477" t="s">
        <v>10487</v>
      </c>
      <c r="M85" s="479" t="s">
        <v>10488</v>
      </c>
    </row>
    <row r="86" spans="1:13" ht="14.4" customHeight="1">
      <c r="A86" s="4" t="str" cm="1">
        <f t="array" ref="A86">_xlfn.IFS(
template_selected_display_language='Footnote (Taxonomy) Labels'!$B$1,'Footnote (Taxonomy) Labels'!$B86,
template_selected_display_language='Footnote (Taxonomy) Labels'!$C$1,'Footnote (Taxonomy) Labels'!$C86,
template_selected_display_language='Footnote (Taxonomy) Labels'!$D$1,'Footnote (Taxonomy) Labels'!$D86,
template_selected_display_language='Footnote (Taxonomy) Labels'!$E$1,'Footnote (Taxonomy) Labels'!$E86,
template_selected_display_language='Footnote (Taxonomy) Labels'!$F$1,'Footnote (Taxonomy) Labels'!$F86,
template_selected_display_language='Footnote (Taxonomy) Labels'!$G$1,'Footnote (Taxonomy) Labels'!$G86,
template_selected_display_language='Footnote (Taxonomy) Labels'!$H$1,'Footnote (Taxonomy) Labels'!$H86,
template_selected_display_language='Footnote (Taxonomy) Labels'!$I$1,'Footnote (Taxonomy) Labels'!$I86,
template_selected_display_language='Footnote (Taxonomy) Labels'!$J$1,'Footnote (Taxonomy) Labels'!$J86,
template_selected_display_language='Footnote (Taxonomy) Labels'!$K$1,'Footnote (Taxonomy) Labels'!$K86,
template_selected_display_language='Footnote (Taxonomy) Labels'!$L$1,'Footnote (Taxonomy) Labels'!$L86,
template_selected_display_language='Footnote (Taxonomy) Labels'!$M$1,'Footnote (Taxonomy) Labels'!$M86
)</f>
        <v>Number of other gender employees</v>
      </c>
      <c r="B86" s="484" t="s">
        <v>10489</v>
      </c>
      <c r="C86" s="477" t="s">
        <v>10490</v>
      </c>
      <c r="D86" s="477" t="s">
        <v>10491</v>
      </c>
      <c r="E86" s="477" t="s">
        <v>10492</v>
      </c>
      <c r="F86" s="477" t="s">
        <v>10493</v>
      </c>
      <c r="G86" s="477" t="s">
        <v>10494</v>
      </c>
      <c r="H86" s="477" t="s">
        <v>10495</v>
      </c>
      <c r="I86" s="477" t="s">
        <v>10496</v>
      </c>
      <c r="J86" s="477" t="s">
        <v>10497</v>
      </c>
      <c r="K86" s="477" t="s">
        <v>10498</v>
      </c>
      <c r="L86" s="477" t="s">
        <v>10499</v>
      </c>
      <c r="M86" s="479" t="s">
        <v>10500</v>
      </c>
    </row>
    <row r="87" spans="1:13" ht="14.4" customHeight="1">
      <c r="A87" s="4" t="str" cm="1">
        <f t="array" ref="A87">_xlfn.IFS(
template_selected_display_language='Footnote (Taxonomy) Labels'!$B$1,'Footnote (Taxonomy) Labels'!$B87,
template_selected_display_language='Footnote (Taxonomy) Labels'!$C$1,'Footnote (Taxonomy) Labels'!$C87,
template_selected_display_language='Footnote (Taxonomy) Labels'!$D$1,'Footnote (Taxonomy) Labels'!$D87,
template_selected_display_language='Footnote (Taxonomy) Labels'!$E$1,'Footnote (Taxonomy) Labels'!$E87,
template_selected_display_language='Footnote (Taxonomy) Labels'!$F$1,'Footnote (Taxonomy) Labels'!$F87,
template_selected_display_language='Footnote (Taxonomy) Labels'!$G$1,'Footnote (Taxonomy) Labels'!$G87,
template_selected_display_language='Footnote (Taxonomy) Labels'!$H$1,'Footnote (Taxonomy) Labels'!$H87,
template_selected_display_language='Footnote (Taxonomy) Labels'!$I$1,'Footnote (Taxonomy) Labels'!$I87,
template_selected_display_language='Footnote (Taxonomy) Labels'!$J$1,'Footnote (Taxonomy) Labels'!$J87,
template_selected_display_language='Footnote (Taxonomy) Labels'!$K$1,'Footnote (Taxonomy) Labels'!$K87,
template_selected_display_language='Footnote (Taxonomy) Labels'!$L$1,'Footnote (Taxonomy) Labels'!$L87,
template_selected_display_language='Footnote (Taxonomy) Labels'!$M$1,'Footnote (Taxonomy) Labels'!$M87
)</f>
        <v>Number of non-reported gender employees</v>
      </c>
      <c r="B87" s="484" t="s">
        <v>10501</v>
      </c>
      <c r="C87" s="477" t="s">
        <v>10502</v>
      </c>
      <c r="D87" s="477" t="s">
        <v>10503</v>
      </c>
      <c r="E87" s="477" t="s">
        <v>10504</v>
      </c>
      <c r="F87" s="477" t="s">
        <v>10505</v>
      </c>
      <c r="G87" s="477" t="s">
        <v>10506</v>
      </c>
      <c r="H87" s="477" t="s">
        <v>10507</v>
      </c>
      <c r="I87" s="477" t="s">
        <v>10508</v>
      </c>
      <c r="J87" s="477" t="s">
        <v>10509</v>
      </c>
      <c r="K87" s="477" t="s">
        <v>10510</v>
      </c>
      <c r="L87" s="477" t="s">
        <v>10511</v>
      </c>
      <c r="M87" s="479" t="s">
        <v>10512</v>
      </c>
    </row>
    <row r="88" spans="1:13" ht="14.4" customHeight="1">
      <c r="A88" s="4" t="str" cm="1">
        <f t="array" ref="A88">_xlfn.IFS(
template_selected_display_language='Footnote (Taxonomy) Labels'!$B$1,'Footnote (Taxonomy) Labels'!$B88,
template_selected_display_language='Footnote (Taxonomy) Labels'!$C$1,'Footnote (Taxonomy) Labels'!$C88,
template_selected_display_language='Footnote (Taxonomy) Labels'!$D$1,'Footnote (Taxonomy) Labels'!$D88,
template_selected_display_language='Footnote (Taxonomy) Labels'!$E$1,'Footnote (Taxonomy) Labels'!$E88,
template_selected_display_language='Footnote (Taxonomy) Labels'!$F$1,'Footnote (Taxonomy) Labels'!$F88,
template_selected_display_language='Footnote (Taxonomy) Labels'!$G$1,'Footnote (Taxonomy) Labels'!$G88,
template_selected_display_language='Footnote (Taxonomy) Labels'!$H$1,'Footnote (Taxonomy) Labels'!$H88,
template_selected_display_language='Footnote (Taxonomy) Labels'!$I$1,'Footnote (Taxonomy) Labels'!$I88,
template_selected_display_language='Footnote (Taxonomy) Labels'!$J$1,'Footnote (Taxonomy) Labels'!$J88,
template_selected_display_language='Footnote (Taxonomy) Labels'!$K$1,'Footnote (Taxonomy) Labels'!$K88,
template_selected_display_language='Footnote (Taxonomy) Labels'!$L$1,'Footnote (Taxonomy) Labels'!$L88,
template_selected_display_language='Footnote (Taxonomy) Labels'!$M$1,'Footnote (Taxonomy) Labels'!$M88
)</f>
        <v xml:space="preserve">Number of employees for country of employment contract </v>
      </c>
      <c r="B88" s="484" t="s">
        <v>10513</v>
      </c>
      <c r="C88" s="477" t="s">
        <v>10514</v>
      </c>
      <c r="D88" s="477" t="s">
        <v>10515</v>
      </c>
      <c r="E88" s="477" t="s">
        <v>10516</v>
      </c>
      <c r="F88" s="477" t="s">
        <v>10517</v>
      </c>
      <c r="G88" s="477" t="s">
        <v>10518</v>
      </c>
      <c r="H88" s="477" t="s">
        <v>10519</v>
      </c>
      <c r="I88" s="477" t="s">
        <v>10520</v>
      </c>
      <c r="J88" s="477" t="s">
        <v>10521</v>
      </c>
      <c r="K88" s="477" t="s">
        <v>10522</v>
      </c>
      <c r="L88" s="477" t="s">
        <v>10523</v>
      </c>
      <c r="M88" s="479" t="s">
        <v>10524</v>
      </c>
    </row>
    <row r="89" spans="1:13" ht="14.4" customHeight="1">
      <c r="A89" s="4" t="str" cm="1">
        <f t="array" ref="A89">_xlfn.IFS(
template_selected_display_language='Footnote (Taxonomy) Labels'!$B$1,'Footnote (Taxonomy) Labels'!$B89,
template_selected_display_language='Footnote (Taxonomy) Labels'!$C$1,'Footnote (Taxonomy) Labels'!$C89,
template_selected_display_language='Footnote (Taxonomy) Labels'!$D$1,'Footnote (Taxonomy) Labels'!$D89,
template_selected_display_language='Footnote (Taxonomy) Labels'!$E$1,'Footnote (Taxonomy) Labels'!$E89,
template_selected_display_language='Footnote (Taxonomy) Labels'!$F$1,'Footnote (Taxonomy) Labels'!$F89,
template_selected_display_language='Footnote (Taxonomy) Labels'!$G$1,'Footnote (Taxonomy) Labels'!$G89,
template_selected_display_language='Footnote (Taxonomy) Labels'!$H$1,'Footnote (Taxonomy) Labels'!$H89,
template_selected_display_language='Footnote (Taxonomy) Labels'!$I$1,'Footnote (Taxonomy) Labels'!$I89,
template_selected_display_language='Footnote (Taxonomy) Labels'!$J$1,'Footnote (Taxonomy) Labels'!$J89,
template_selected_display_language='Footnote (Taxonomy) Labels'!$K$1,'Footnote (Taxonomy) Labels'!$K89,
template_selected_display_language='Footnote (Taxonomy) Labels'!$L$1,'Footnote (Taxonomy) Labels'!$L89,
template_selected_display_language='Footnote (Taxonomy) Labels'!$M$1,'Footnote (Taxonomy) Labels'!$M89
)</f>
        <v>Employee turnover rate</v>
      </c>
      <c r="B89" s="484" t="s">
        <v>10525</v>
      </c>
      <c r="C89" s="477" t="s">
        <v>10526</v>
      </c>
      <c r="D89" s="477" t="s">
        <v>10527</v>
      </c>
      <c r="E89" s="477" t="s">
        <v>10528</v>
      </c>
      <c r="F89" s="477" t="s">
        <v>10529</v>
      </c>
      <c r="G89" s="477" t="s">
        <v>10530</v>
      </c>
      <c r="H89" s="477" t="s">
        <v>10531</v>
      </c>
      <c r="I89" s="477" t="s">
        <v>10532</v>
      </c>
      <c r="J89" s="477" t="s">
        <v>10533</v>
      </c>
      <c r="K89" s="477" t="s">
        <v>10534</v>
      </c>
      <c r="L89" s="477" t="s">
        <v>10535</v>
      </c>
      <c r="M89" s="479" t="s">
        <v>10536</v>
      </c>
    </row>
    <row r="90" spans="1:13" ht="14.4" customHeight="1">
      <c r="A90" s="4" t="str" cm="1">
        <f t="array" ref="A90">_xlfn.IFS(
template_selected_display_language='Footnote (Taxonomy) Labels'!$B$1,'Footnote (Taxonomy) Labels'!$B90,
template_selected_display_language='Footnote (Taxonomy) Labels'!$C$1,'Footnote (Taxonomy) Labels'!$C90,
template_selected_display_language='Footnote (Taxonomy) Labels'!$D$1,'Footnote (Taxonomy) Labels'!$D90,
template_selected_display_language='Footnote (Taxonomy) Labels'!$E$1,'Footnote (Taxonomy) Labels'!$E90,
template_selected_display_language='Footnote (Taxonomy) Labels'!$F$1,'Footnote (Taxonomy) Labels'!$F90,
template_selected_display_language='Footnote (Taxonomy) Labels'!$G$1,'Footnote (Taxonomy) Labels'!$G90,
template_selected_display_language='Footnote (Taxonomy) Labels'!$H$1,'Footnote (Taxonomy) Labels'!$H90,
template_selected_display_language='Footnote (Taxonomy) Labels'!$I$1,'Footnote (Taxonomy) Labels'!$I90,
template_selected_display_language='Footnote (Taxonomy) Labels'!$J$1,'Footnote (Taxonomy) Labels'!$J90,
template_selected_display_language='Footnote (Taxonomy) Labels'!$K$1,'Footnote (Taxonomy) Labels'!$K90,
template_selected_display_language='Footnote (Taxonomy) Labels'!$L$1,'Footnote (Taxonomy) Labels'!$L90,
template_selected_display_language='Footnote (Taxonomy) Labels'!$M$1,'Footnote (Taxonomy) Labels'!$M90
)</f>
        <v>Number of recordable work related accidents in the reporting period</v>
      </c>
      <c r="B90" s="484" t="s">
        <v>10537</v>
      </c>
      <c r="C90" s="477" t="s">
        <v>10538</v>
      </c>
      <c r="D90" s="477" t="s">
        <v>10539</v>
      </c>
      <c r="E90" s="477" t="s">
        <v>7034</v>
      </c>
      <c r="F90" s="477" t="s">
        <v>7035</v>
      </c>
      <c r="G90" s="477" t="s">
        <v>10540</v>
      </c>
      <c r="H90" s="477" t="s">
        <v>7037</v>
      </c>
      <c r="I90" s="477" t="s">
        <v>10541</v>
      </c>
      <c r="J90" s="477" t="s">
        <v>7039</v>
      </c>
      <c r="K90" s="477" t="s">
        <v>10542</v>
      </c>
      <c r="L90" s="477" t="s">
        <v>10543</v>
      </c>
      <c r="M90" s="479" t="s">
        <v>10544</v>
      </c>
    </row>
    <row r="91" spans="1:13" ht="14.4" customHeight="1">
      <c r="A91" s="4" t="str" cm="1">
        <f t="array" ref="A91">_xlfn.IFS(
template_selected_display_language='Footnote (Taxonomy) Labels'!$B$1,'Footnote (Taxonomy) Labels'!$B91,
template_selected_display_language='Footnote (Taxonomy) Labels'!$C$1,'Footnote (Taxonomy) Labels'!$C91,
template_selected_display_language='Footnote (Taxonomy) Labels'!$D$1,'Footnote (Taxonomy) Labels'!$D91,
template_selected_display_language='Footnote (Taxonomy) Labels'!$E$1,'Footnote (Taxonomy) Labels'!$E91,
template_selected_display_language='Footnote (Taxonomy) Labels'!$F$1,'Footnote (Taxonomy) Labels'!$F91,
template_selected_display_language='Footnote (Taxonomy) Labels'!$G$1,'Footnote (Taxonomy) Labels'!$G91,
template_selected_display_language='Footnote (Taxonomy) Labels'!$H$1,'Footnote (Taxonomy) Labels'!$H91,
template_selected_display_language='Footnote (Taxonomy) Labels'!$I$1,'Footnote (Taxonomy) Labels'!$I91,
template_selected_display_language='Footnote (Taxonomy) Labels'!$J$1,'Footnote (Taxonomy) Labels'!$J91,
template_selected_display_language='Footnote (Taxonomy) Labels'!$K$1,'Footnote (Taxonomy) Labels'!$K91,
template_selected_display_language='Footnote (Taxonomy) Labels'!$L$1,'Footnote (Taxonomy) Labels'!$L91,
template_selected_display_language='Footnote (Taxonomy) Labels'!$M$1,'Footnote (Taxonomy) Labels'!$M91
)</f>
        <v>Rate of recordable work related accidents in the reporting period</v>
      </c>
      <c r="B91" s="484" t="s">
        <v>10545</v>
      </c>
      <c r="C91" s="477" t="s">
        <v>10546</v>
      </c>
      <c r="D91" s="477" t="s">
        <v>10547</v>
      </c>
      <c r="E91" s="477" t="s">
        <v>7099</v>
      </c>
      <c r="F91" s="477" t="s">
        <v>7100</v>
      </c>
      <c r="G91" s="477" t="s">
        <v>10548</v>
      </c>
      <c r="H91" s="477" t="s">
        <v>10549</v>
      </c>
      <c r="I91" s="477" t="s">
        <v>7103</v>
      </c>
      <c r="J91" s="477" t="s">
        <v>7104</v>
      </c>
      <c r="K91" s="477" t="s">
        <v>7107</v>
      </c>
      <c r="L91" s="477" t="s">
        <v>10550</v>
      </c>
      <c r="M91" s="479" t="s">
        <v>10551</v>
      </c>
    </row>
    <row r="92" spans="1:13" ht="14.4" customHeight="1">
      <c r="A92" s="4" t="str" cm="1">
        <f t="array" ref="A92">_xlfn.IFS(
template_selected_display_language='Footnote (Taxonomy) Labels'!$B$1,'Footnote (Taxonomy) Labels'!$B92,
template_selected_display_language='Footnote (Taxonomy) Labels'!$C$1,'Footnote (Taxonomy) Labels'!$C92,
template_selected_display_language='Footnote (Taxonomy) Labels'!$D$1,'Footnote (Taxonomy) Labels'!$D92,
template_selected_display_language='Footnote (Taxonomy) Labels'!$E$1,'Footnote (Taxonomy) Labels'!$E92,
template_selected_display_language='Footnote (Taxonomy) Labels'!$F$1,'Footnote (Taxonomy) Labels'!$F92,
template_selected_display_language='Footnote (Taxonomy) Labels'!$G$1,'Footnote (Taxonomy) Labels'!$G92,
template_selected_display_language='Footnote (Taxonomy) Labels'!$H$1,'Footnote (Taxonomy) Labels'!$H92,
template_selected_display_language='Footnote (Taxonomy) Labels'!$I$1,'Footnote (Taxonomy) Labels'!$I92,
template_selected_display_language='Footnote (Taxonomy) Labels'!$J$1,'Footnote (Taxonomy) Labels'!$J92,
template_selected_display_language='Footnote (Taxonomy) Labels'!$K$1,'Footnote (Taxonomy) Labels'!$K92,
template_selected_display_language='Footnote (Taxonomy) Labels'!$L$1,'Footnote (Taxonomy) Labels'!$L92,
template_selected_display_language='Footnote (Taxonomy) Labels'!$M$1,'Footnote (Taxonomy) Labels'!$M92
)</f>
        <v>Number of fatalities as a result of work-related injuries and work-related ill health</v>
      </c>
      <c r="B92" s="484" t="s">
        <v>9396</v>
      </c>
      <c r="C92" s="477" t="s">
        <v>10552</v>
      </c>
      <c r="D92" s="477" t="s">
        <v>10553</v>
      </c>
      <c r="E92" s="477" t="s">
        <v>10554</v>
      </c>
      <c r="F92" s="477" t="s">
        <v>7113</v>
      </c>
      <c r="G92" s="477" t="s">
        <v>10555</v>
      </c>
      <c r="H92" s="477" t="s">
        <v>7115</v>
      </c>
      <c r="I92" s="477" t="s">
        <v>7116</v>
      </c>
      <c r="J92" s="477" t="s">
        <v>7117</v>
      </c>
      <c r="K92" s="477" t="s">
        <v>10556</v>
      </c>
      <c r="L92" s="477" t="s">
        <v>10557</v>
      </c>
      <c r="M92" s="479" t="s">
        <v>7118</v>
      </c>
    </row>
    <row r="93" spans="1:13" ht="14.4" customHeight="1">
      <c r="A93" s="4" t="str" cm="1">
        <f t="array" ref="A93">_xlfn.IFS(
template_selected_display_language='Footnote (Taxonomy) Labels'!$B$1,'Footnote (Taxonomy) Labels'!$B93,
template_selected_display_language='Footnote (Taxonomy) Labels'!$C$1,'Footnote (Taxonomy) Labels'!$C93,
template_selected_display_language='Footnote (Taxonomy) Labels'!$D$1,'Footnote (Taxonomy) Labels'!$D93,
template_selected_display_language='Footnote (Taxonomy) Labels'!$E$1,'Footnote (Taxonomy) Labels'!$E93,
template_selected_display_language='Footnote (Taxonomy) Labels'!$F$1,'Footnote (Taxonomy) Labels'!$F93,
template_selected_display_language='Footnote (Taxonomy) Labels'!$G$1,'Footnote (Taxonomy) Labels'!$G93,
template_selected_display_language='Footnote (Taxonomy) Labels'!$H$1,'Footnote (Taxonomy) Labels'!$H93,
template_selected_display_language='Footnote (Taxonomy) Labels'!$I$1,'Footnote (Taxonomy) Labels'!$I93,
template_selected_display_language='Footnote (Taxonomy) Labels'!$J$1,'Footnote (Taxonomy) Labels'!$J93,
template_selected_display_language='Footnote (Taxonomy) Labels'!$K$1,'Footnote (Taxonomy) Labels'!$K93,
template_selected_display_language='Footnote (Taxonomy) Labels'!$L$1,'Footnote (Taxonomy) Labels'!$L93,
template_selected_display_language='Footnote (Taxonomy) Labels'!$M$1,'Footnote (Taxonomy) Labels'!$M93
)</f>
        <v>Employees receive pay equal or above minimum wage determined by national law or collective bargaining agreement</v>
      </c>
      <c r="B93" s="484" t="s">
        <v>10558</v>
      </c>
      <c r="C93" s="477" t="s">
        <v>10559</v>
      </c>
      <c r="D93" s="477" t="s">
        <v>10560</v>
      </c>
      <c r="E93" s="477" t="s">
        <v>10561</v>
      </c>
      <c r="F93" s="477" t="s">
        <v>10562</v>
      </c>
      <c r="G93" s="477" t="s">
        <v>10563</v>
      </c>
      <c r="H93" s="477" t="s">
        <v>10564</v>
      </c>
      <c r="I93" s="477" t="s">
        <v>10565</v>
      </c>
      <c r="J93" s="477" t="s">
        <v>10566</v>
      </c>
      <c r="K93" s="477" t="s">
        <v>10567</v>
      </c>
      <c r="L93" s="477" t="s">
        <v>10568</v>
      </c>
      <c r="M93" s="479" t="s">
        <v>10569</v>
      </c>
    </row>
    <row r="94" spans="1:13" ht="14.4" customHeight="1">
      <c r="A94" s="4" t="str" cm="1">
        <f t="array" ref="A94">_xlfn.IFS(
template_selected_display_language='Footnote (Taxonomy) Labels'!$B$1,'Footnote (Taxonomy) Labels'!$B94,
template_selected_display_language='Footnote (Taxonomy) Labels'!$C$1,'Footnote (Taxonomy) Labels'!$C94,
template_selected_display_language='Footnote (Taxonomy) Labels'!$D$1,'Footnote (Taxonomy) Labels'!$D94,
template_selected_display_language='Footnote (Taxonomy) Labels'!$E$1,'Footnote (Taxonomy) Labels'!$E94,
template_selected_display_language='Footnote (Taxonomy) Labels'!$F$1,'Footnote (Taxonomy) Labels'!$F94,
template_selected_display_language='Footnote (Taxonomy) Labels'!$G$1,'Footnote (Taxonomy) Labels'!$G94,
template_selected_display_language='Footnote (Taxonomy) Labels'!$H$1,'Footnote (Taxonomy) Labels'!$H94,
template_selected_display_language='Footnote (Taxonomy) Labels'!$I$1,'Footnote (Taxonomy) Labels'!$I94,
template_selected_display_language='Footnote (Taxonomy) Labels'!$J$1,'Footnote (Taxonomy) Labels'!$J94,
template_selected_display_language='Footnote (Taxonomy) Labels'!$K$1,'Footnote (Taxonomy) Labels'!$K94,
template_selected_display_language='Footnote (Taxonomy) Labels'!$L$1,'Footnote (Taxonomy) Labels'!$L94,
template_selected_display_language='Footnote (Taxonomy) Labels'!$M$1,'Footnote (Taxonomy) Labels'!$M94
)</f>
        <v>Percentage gap in pay between female and male employees</v>
      </c>
      <c r="B94" s="484" t="s">
        <v>10570</v>
      </c>
      <c r="C94" s="477" t="s">
        <v>10571</v>
      </c>
      <c r="D94" s="477" t="s">
        <v>10572</v>
      </c>
      <c r="E94" s="477" t="s">
        <v>10573</v>
      </c>
      <c r="F94" s="477" t="s">
        <v>7191</v>
      </c>
      <c r="G94" s="477" t="s">
        <v>10574</v>
      </c>
      <c r="H94" s="477" t="s">
        <v>10575</v>
      </c>
      <c r="I94" s="477" t="s">
        <v>10576</v>
      </c>
      <c r="J94" s="477" t="s">
        <v>10577</v>
      </c>
      <c r="K94" s="477" t="s">
        <v>10578</v>
      </c>
      <c r="L94" s="477" t="s">
        <v>10579</v>
      </c>
      <c r="M94" s="479" t="s">
        <v>10580</v>
      </c>
    </row>
    <row r="95" spans="1:13" ht="14.4" customHeight="1">
      <c r="A95" s="4" t="str" cm="1">
        <f t="array" ref="A95">_xlfn.IFS(
template_selected_display_language='Footnote (Taxonomy) Labels'!$B$1,'Footnote (Taxonomy) Labels'!$B95,
template_selected_display_language='Footnote (Taxonomy) Labels'!$C$1,'Footnote (Taxonomy) Labels'!$C95,
template_selected_display_language='Footnote (Taxonomy) Labels'!$D$1,'Footnote (Taxonomy) Labels'!$D95,
template_selected_display_language='Footnote (Taxonomy) Labels'!$E$1,'Footnote (Taxonomy) Labels'!$E95,
template_selected_display_language='Footnote (Taxonomy) Labels'!$F$1,'Footnote (Taxonomy) Labels'!$F95,
template_selected_display_language='Footnote (Taxonomy) Labels'!$G$1,'Footnote (Taxonomy) Labels'!$G95,
template_selected_display_language='Footnote (Taxonomy) Labels'!$H$1,'Footnote (Taxonomy) Labels'!$H95,
template_selected_display_language='Footnote (Taxonomy) Labels'!$I$1,'Footnote (Taxonomy) Labels'!$I95,
template_selected_display_language='Footnote (Taxonomy) Labels'!$J$1,'Footnote (Taxonomy) Labels'!$J95,
template_selected_display_language='Footnote (Taxonomy) Labels'!$K$1,'Footnote (Taxonomy) Labels'!$K95,
template_selected_display_language='Footnote (Taxonomy) Labels'!$L$1,'Footnote (Taxonomy) Labels'!$L95,
template_selected_display_language='Footnote (Taxonomy) Labels'!$M$1,'Footnote (Taxonomy) Labels'!$M95
)</f>
        <v>Percentage of employees covered by collective bargaining agreements</v>
      </c>
      <c r="B95" s="484" t="s">
        <v>10581</v>
      </c>
      <c r="C95" s="477" t="s">
        <v>10582</v>
      </c>
      <c r="D95" s="477" t="s">
        <v>10583</v>
      </c>
      <c r="E95" s="477" t="s">
        <v>10584</v>
      </c>
      <c r="F95" s="477" t="s">
        <v>10585</v>
      </c>
      <c r="G95" s="477" t="s">
        <v>10586</v>
      </c>
      <c r="H95" s="477" t="s">
        <v>10587</v>
      </c>
      <c r="I95" s="477" t="s">
        <v>10588</v>
      </c>
      <c r="J95" s="477" t="s">
        <v>10589</v>
      </c>
      <c r="K95" s="477" t="s">
        <v>10590</v>
      </c>
      <c r="L95" s="477" t="s">
        <v>10591</v>
      </c>
      <c r="M95" s="479" t="s">
        <v>10592</v>
      </c>
    </row>
    <row r="96" spans="1:13" ht="14.4" customHeight="1">
      <c r="A96" s="4" t="str" cm="1">
        <f t="array" ref="A96">_xlfn.IFS(
template_selected_display_language='Footnote (Taxonomy) Labels'!$B$1,'Footnote (Taxonomy) Labels'!$B96,
template_selected_display_language='Footnote (Taxonomy) Labels'!$C$1,'Footnote (Taxonomy) Labels'!$C96,
template_selected_display_language='Footnote (Taxonomy) Labels'!$D$1,'Footnote (Taxonomy) Labels'!$D96,
template_selected_display_language='Footnote (Taxonomy) Labels'!$E$1,'Footnote (Taxonomy) Labels'!$E96,
template_selected_display_language='Footnote (Taxonomy) Labels'!$F$1,'Footnote (Taxonomy) Labels'!$F96,
template_selected_display_language='Footnote (Taxonomy) Labels'!$G$1,'Footnote (Taxonomy) Labels'!$G96,
template_selected_display_language='Footnote (Taxonomy) Labels'!$H$1,'Footnote (Taxonomy) Labels'!$H96,
template_selected_display_language='Footnote (Taxonomy) Labels'!$I$1,'Footnote (Taxonomy) Labels'!$I96,
template_selected_display_language='Footnote (Taxonomy) Labels'!$J$1,'Footnote (Taxonomy) Labels'!$J96,
template_selected_display_language='Footnote (Taxonomy) Labels'!$K$1,'Footnote (Taxonomy) Labels'!$K96,
template_selected_display_language='Footnote (Taxonomy) Labels'!$L$1,'Footnote (Taxonomy) Labels'!$L96,
template_selected_display_language='Footnote (Taxonomy) Labels'!$M$1,'Footnote (Taxonomy) Labels'!$M96
)</f>
        <v>Average number of annual training hours per male employee</v>
      </c>
      <c r="B96" s="484" t="s">
        <v>10593</v>
      </c>
      <c r="C96" s="477" t="s">
        <v>10594</v>
      </c>
      <c r="D96" s="477" t="s">
        <v>10595</v>
      </c>
      <c r="E96" s="477" t="s">
        <v>10596</v>
      </c>
      <c r="F96" s="477" t="s">
        <v>10597</v>
      </c>
      <c r="G96" s="477" t="s">
        <v>10598</v>
      </c>
      <c r="H96" s="477" t="s">
        <v>10599</v>
      </c>
      <c r="I96" s="477" t="s">
        <v>10600</v>
      </c>
      <c r="J96" s="477" t="s">
        <v>10601</v>
      </c>
      <c r="K96" s="477" t="s">
        <v>10602</v>
      </c>
      <c r="L96" s="477" t="s">
        <v>10603</v>
      </c>
      <c r="M96" s="479" t="s">
        <v>10604</v>
      </c>
    </row>
    <row r="97" spans="1:13" ht="14.4" customHeight="1">
      <c r="A97" s="4" t="str" cm="1">
        <f t="array" ref="A97">_xlfn.IFS(
template_selected_display_language='Footnote (Taxonomy) Labels'!$B$1,'Footnote (Taxonomy) Labels'!$B97,
template_selected_display_language='Footnote (Taxonomy) Labels'!$C$1,'Footnote (Taxonomy) Labels'!$C97,
template_selected_display_language='Footnote (Taxonomy) Labels'!$D$1,'Footnote (Taxonomy) Labels'!$D97,
template_selected_display_language='Footnote (Taxonomy) Labels'!$E$1,'Footnote (Taxonomy) Labels'!$E97,
template_selected_display_language='Footnote (Taxonomy) Labels'!$F$1,'Footnote (Taxonomy) Labels'!$F97,
template_selected_display_language='Footnote (Taxonomy) Labels'!$G$1,'Footnote (Taxonomy) Labels'!$G97,
template_selected_display_language='Footnote (Taxonomy) Labels'!$H$1,'Footnote (Taxonomy) Labels'!$H97,
template_selected_display_language='Footnote (Taxonomy) Labels'!$I$1,'Footnote (Taxonomy) Labels'!$I97,
template_selected_display_language='Footnote (Taxonomy) Labels'!$J$1,'Footnote (Taxonomy) Labels'!$J97,
template_selected_display_language='Footnote (Taxonomy) Labels'!$K$1,'Footnote (Taxonomy) Labels'!$K97,
template_selected_display_language='Footnote (Taxonomy) Labels'!$L$1,'Footnote (Taxonomy) Labels'!$L97,
template_selected_display_language='Footnote (Taxonomy) Labels'!$M$1,'Footnote (Taxonomy) Labels'!$M97
)</f>
        <v>Average number of annual training hours per female employee</v>
      </c>
      <c r="B97" s="484" t="s">
        <v>10605</v>
      </c>
      <c r="C97" s="477" t="s">
        <v>10606</v>
      </c>
      <c r="D97" s="477" t="s">
        <v>10607</v>
      </c>
      <c r="E97" s="477" t="s">
        <v>10608</v>
      </c>
      <c r="F97" s="477" t="s">
        <v>10609</v>
      </c>
      <c r="G97" s="477" t="s">
        <v>10610</v>
      </c>
      <c r="H97" s="477" t="s">
        <v>10611</v>
      </c>
      <c r="I97" s="477" t="s">
        <v>10612</v>
      </c>
      <c r="J97" s="477" t="s">
        <v>10613</v>
      </c>
      <c r="K97" s="477" t="s">
        <v>10614</v>
      </c>
      <c r="L97" s="477" t="s">
        <v>10615</v>
      </c>
      <c r="M97" s="479" t="s">
        <v>10616</v>
      </c>
    </row>
    <row r="98" spans="1:13" ht="14.4" customHeight="1">
      <c r="A98" s="4" t="str" cm="1">
        <f t="array" ref="A98">_xlfn.IFS(
template_selected_display_language='Footnote (Taxonomy) Labels'!$B$1,'Footnote (Taxonomy) Labels'!$B98,
template_selected_display_language='Footnote (Taxonomy) Labels'!$C$1,'Footnote (Taxonomy) Labels'!$C98,
template_selected_display_language='Footnote (Taxonomy) Labels'!$D$1,'Footnote (Taxonomy) Labels'!$D98,
template_selected_display_language='Footnote (Taxonomy) Labels'!$E$1,'Footnote (Taxonomy) Labels'!$E98,
template_selected_display_language='Footnote (Taxonomy) Labels'!$F$1,'Footnote (Taxonomy) Labels'!$F98,
template_selected_display_language='Footnote (Taxonomy) Labels'!$G$1,'Footnote (Taxonomy) Labels'!$G98,
template_selected_display_language='Footnote (Taxonomy) Labels'!$H$1,'Footnote (Taxonomy) Labels'!$H98,
template_selected_display_language='Footnote (Taxonomy) Labels'!$I$1,'Footnote (Taxonomy) Labels'!$I98,
template_selected_display_language='Footnote (Taxonomy) Labels'!$J$1,'Footnote (Taxonomy) Labels'!$J98,
template_selected_display_language='Footnote (Taxonomy) Labels'!$K$1,'Footnote (Taxonomy) Labels'!$K98,
template_selected_display_language='Footnote (Taxonomy) Labels'!$L$1,'Footnote (Taxonomy) Labels'!$L98,
template_selected_display_language='Footnote (Taxonomy) Labels'!$M$1,'Footnote (Taxonomy) Labels'!$M98
)</f>
        <v>Average number of annual training hours per other gender employee</v>
      </c>
      <c r="B98" s="484" t="s">
        <v>10617</v>
      </c>
      <c r="C98" s="477" t="s">
        <v>10618</v>
      </c>
      <c r="D98" s="477" t="s">
        <v>10619</v>
      </c>
      <c r="E98" s="477" t="s">
        <v>10620</v>
      </c>
      <c r="F98" s="477" t="s">
        <v>10621</v>
      </c>
      <c r="G98" s="477" t="s">
        <v>10622</v>
      </c>
      <c r="H98" s="477" t="s">
        <v>10623</v>
      </c>
      <c r="I98" s="477" t="s">
        <v>10624</v>
      </c>
      <c r="J98" s="477" t="s">
        <v>10625</v>
      </c>
      <c r="K98" s="477" t="s">
        <v>10626</v>
      </c>
      <c r="L98" s="477" t="s">
        <v>10627</v>
      </c>
      <c r="M98" s="479" t="s">
        <v>10628</v>
      </c>
    </row>
    <row r="99" spans="1:13" ht="14.4" customHeight="1">
      <c r="A99" s="4" t="str" cm="1">
        <f t="array" ref="A99">_xlfn.IFS(
template_selected_display_language='Footnote (Taxonomy) Labels'!$B$1,'Footnote (Taxonomy) Labels'!$B99,
template_selected_display_language='Footnote (Taxonomy) Labels'!$C$1,'Footnote (Taxonomy) Labels'!$C99,
template_selected_display_language='Footnote (Taxonomy) Labels'!$D$1,'Footnote (Taxonomy) Labels'!$D99,
template_selected_display_language='Footnote (Taxonomy) Labels'!$E$1,'Footnote (Taxonomy) Labels'!$E99,
template_selected_display_language='Footnote (Taxonomy) Labels'!$F$1,'Footnote (Taxonomy) Labels'!$F99,
template_selected_display_language='Footnote (Taxonomy) Labels'!$G$1,'Footnote (Taxonomy) Labels'!$G99,
template_selected_display_language='Footnote (Taxonomy) Labels'!$H$1,'Footnote (Taxonomy) Labels'!$H99,
template_selected_display_language='Footnote (Taxonomy) Labels'!$I$1,'Footnote (Taxonomy) Labels'!$I99,
template_selected_display_language='Footnote (Taxonomy) Labels'!$J$1,'Footnote (Taxonomy) Labels'!$J99,
template_selected_display_language='Footnote (Taxonomy) Labels'!$K$1,'Footnote (Taxonomy) Labels'!$K99,
template_selected_display_language='Footnote (Taxonomy) Labels'!$L$1,'Footnote (Taxonomy) Labels'!$L99,
template_selected_display_language='Footnote (Taxonomy) Labels'!$M$1,'Footnote (Taxonomy) Labels'!$M99
)</f>
        <v>Average number of annual training hours per non-reported gender employee</v>
      </c>
      <c r="B99" s="484" t="s">
        <v>10629</v>
      </c>
      <c r="C99" s="477" t="s">
        <v>10630</v>
      </c>
      <c r="D99" s="477" t="s">
        <v>10631</v>
      </c>
      <c r="E99" s="477" t="s">
        <v>10632</v>
      </c>
      <c r="F99" s="477" t="s">
        <v>10633</v>
      </c>
      <c r="G99" s="477" t="s">
        <v>10634</v>
      </c>
      <c r="H99" s="477" t="s">
        <v>10635</v>
      </c>
      <c r="I99" s="477" t="s">
        <v>10636</v>
      </c>
      <c r="J99" s="477" t="s">
        <v>10637</v>
      </c>
      <c r="K99" s="477" t="s">
        <v>10638</v>
      </c>
      <c r="L99" s="477" t="s">
        <v>10639</v>
      </c>
      <c r="M99" s="479" t="s">
        <v>10640</v>
      </c>
    </row>
    <row r="100" spans="1:13" ht="14.4" customHeight="1">
      <c r="A100" s="4" t="str" cm="1">
        <f t="array" ref="A100">_xlfn.IFS(
template_selected_display_language='Footnote (Taxonomy) Labels'!$B$1,'Footnote (Taxonomy) Labels'!$B100,
template_selected_display_language='Footnote (Taxonomy) Labels'!$C$1,'Footnote (Taxonomy) Labels'!$C100,
template_selected_display_language='Footnote (Taxonomy) Labels'!$D$1,'Footnote (Taxonomy) Labels'!$D100,
template_selected_display_language='Footnote (Taxonomy) Labels'!$E$1,'Footnote (Taxonomy) Labels'!$E100,
template_selected_display_language='Footnote (Taxonomy) Labels'!$F$1,'Footnote (Taxonomy) Labels'!$F100,
template_selected_display_language='Footnote (Taxonomy) Labels'!$G$1,'Footnote (Taxonomy) Labels'!$G100,
template_selected_display_language='Footnote (Taxonomy) Labels'!$H$1,'Footnote (Taxonomy) Labels'!$H100,
template_selected_display_language='Footnote (Taxonomy) Labels'!$I$1,'Footnote (Taxonomy) Labels'!$I100,
template_selected_display_language='Footnote (Taxonomy) Labels'!$J$1,'Footnote (Taxonomy) Labels'!$J100,
template_selected_display_language='Footnote (Taxonomy) Labels'!$K$1,'Footnote (Taxonomy) Labels'!$K100,
template_selected_display_language='Footnote (Taxonomy) Labels'!$L$1,'Footnote (Taxonomy) Labels'!$L100,
template_selected_display_language='Footnote (Taxonomy) Labels'!$M$1,'Footnote (Taxonomy) Labels'!$M100
)</f>
        <v>Total number of convictions for the violation of anti-corruption and anti-bribery laws</v>
      </c>
      <c r="B100" s="484" t="s">
        <v>10641</v>
      </c>
      <c r="C100" s="477" t="s">
        <v>10642</v>
      </c>
      <c r="D100" s="477" t="s">
        <v>10643</v>
      </c>
      <c r="E100" s="477" t="s">
        <v>7666</v>
      </c>
      <c r="F100" s="477" t="s">
        <v>7667</v>
      </c>
      <c r="G100" s="477" t="s">
        <v>10644</v>
      </c>
      <c r="H100" s="477" t="s">
        <v>10645</v>
      </c>
      <c r="I100" s="477" t="s">
        <v>10646</v>
      </c>
      <c r="J100" s="477" t="s">
        <v>10647</v>
      </c>
      <c r="K100" s="477" t="s">
        <v>7674</v>
      </c>
      <c r="L100" s="477" t="s">
        <v>10648</v>
      </c>
      <c r="M100" s="479" t="s">
        <v>7672</v>
      </c>
    </row>
    <row r="101" spans="1:13" ht="14.4" customHeight="1">
      <c r="A101" s="4" t="str" cm="1">
        <f t="array" ref="A101">_xlfn.IFS(
template_selected_display_language='Footnote (Taxonomy) Labels'!$B$1,'Footnote (Taxonomy) Labels'!$B101,
template_selected_display_language='Footnote (Taxonomy) Labels'!$C$1,'Footnote (Taxonomy) Labels'!$C101,
template_selected_display_language='Footnote (Taxonomy) Labels'!$D$1,'Footnote (Taxonomy) Labels'!$D101,
template_selected_display_language='Footnote (Taxonomy) Labels'!$E$1,'Footnote (Taxonomy) Labels'!$E101,
template_selected_display_language='Footnote (Taxonomy) Labels'!$F$1,'Footnote (Taxonomy) Labels'!$F101,
template_selected_display_language='Footnote (Taxonomy) Labels'!$G$1,'Footnote (Taxonomy) Labels'!$G101,
template_selected_display_language='Footnote (Taxonomy) Labels'!$H$1,'Footnote (Taxonomy) Labels'!$H101,
template_selected_display_language='Footnote (Taxonomy) Labels'!$I$1,'Footnote (Taxonomy) Labels'!$I101,
template_selected_display_language='Footnote (Taxonomy) Labels'!$J$1,'Footnote (Taxonomy) Labels'!$J101,
template_selected_display_language='Footnote (Taxonomy) Labels'!$K$1,'Footnote (Taxonomy) Labels'!$K101,
template_selected_display_language='Footnote (Taxonomy) Labels'!$L$1,'Footnote (Taxonomy) Labels'!$L101,
template_selected_display_language='Footnote (Taxonomy) Labels'!$M$1,'Footnote (Taxonomy) Labels'!$M101
)</f>
        <v>Total amount of fines for the violation of anticorruption and antibribery laws</v>
      </c>
      <c r="B101" s="484" t="s">
        <v>10649</v>
      </c>
      <c r="C101" s="477" t="s">
        <v>7677</v>
      </c>
      <c r="D101" s="477" t="s">
        <v>10650</v>
      </c>
      <c r="E101" s="477" t="s">
        <v>7679</v>
      </c>
      <c r="F101" s="477" t="s">
        <v>7680</v>
      </c>
      <c r="G101" s="477" t="s">
        <v>10651</v>
      </c>
      <c r="H101" s="477" t="s">
        <v>10652</v>
      </c>
      <c r="I101" s="477" t="s">
        <v>10653</v>
      </c>
      <c r="J101" s="477" t="s">
        <v>7684</v>
      </c>
      <c r="K101" s="477" t="s">
        <v>10654</v>
      </c>
      <c r="L101" s="477" t="s">
        <v>10655</v>
      </c>
      <c r="M101" s="479" t="s">
        <v>10656</v>
      </c>
    </row>
    <row r="102" spans="1:13" ht="14.4" customHeight="1">
      <c r="A102" s="4" t="str" cm="1">
        <f t="array" ref="A102">_xlfn.IFS(
template_selected_display_language='Footnote (Taxonomy) Labels'!$B$1,'Footnote (Taxonomy) Labels'!$B102,
template_selected_display_language='Footnote (Taxonomy) Labels'!$C$1,'Footnote (Taxonomy) Labels'!$C102,
template_selected_display_language='Footnote (Taxonomy) Labels'!$D$1,'Footnote (Taxonomy) Labels'!$D102,
template_selected_display_language='Footnote (Taxonomy) Labels'!$E$1,'Footnote (Taxonomy) Labels'!$E102,
template_selected_display_language='Footnote (Taxonomy) Labels'!$F$1,'Footnote (Taxonomy) Labels'!$F102,
template_selected_display_language='Footnote (Taxonomy) Labels'!$G$1,'Footnote (Taxonomy) Labels'!$G102,
template_selected_display_language='Footnote (Taxonomy) Labels'!$H$1,'Footnote (Taxonomy) Labels'!$H102,
template_selected_display_language='Footnote (Taxonomy) Labels'!$I$1,'Footnote (Taxonomy) Labels'!$I102,
template_selected_display_language='Footnote (Taxonomy) Labels'!$J$1,'Footnote (Taxonomy) Labels'!$J102,
template_selected_display_language='Footnote (Taxonomy) Labels'!$K$1,'Footnote (Taxonomy) Labels'!$K102,
template_selected_display_language='Footnote (Taxonomy) Labels'!$L$1,'Footnote (Taxonomy) Labels'!$L102,
template_selected_display_language='Footnote (Taxonomy) Labels'!$M$1,'Footnote (Taxonomy) Labels'!$M102
)</f>
        <v>Description of significant groups of products and/or services offered</v>
      </c>
      <c r="B102" s="484" t="s">
        <v>10657</v>
      </c>
      <c r="C102" s="477" t="s">
        <v>10658</v>
      </c>
      <c r="D102" s="477" t="s">
        <v>5361</v>
      </c>
      <c r="E102" s="477" t="s">
        <v>5362</v>
      </c>
      <c r="F102" s="477" t="s">
        <v>5363</v>
      </c>
      <c r="G102" s="477" t="s">
        <v>10659</v>
      </c>
      <c r="H102" s="477" t="s">
        <v>5365</v>
      </c>
      <c r="I102" s="477" t="s">
        <v>10660</v>
      </c>
      <c r="J102" s="477" t="s">
        <v>5367</v>
      </c>
      <c r="K102" s="477" t="s">
        <v>10661</v>
      </c>
      <c r="L102" s="477" t="s">
        <v>10662</v>
      </c>
      <c r="M102" s="479" t="s">
        <v>5368</v>
      </c>
    </row>
    <row r="103" spans="1:13" ht="14.4" customHeight="1">
      <c r="A103" s="4" t="str" cm="1">
        <f t="array" ref="A103">_xlfn.IFS(
template_selected_display_language='Footnote (Taxonomy) Labels'!$B$1,'Footnote (Taxonomy) Labels'!$B103,
template_selected_display_language='Footnote (Taxonomy) Labels'!$C$1,'Footnote (Taxonomy) Labels'!$C103,
template_selected_display_language='Footnote (Taxonomy) Labels'!$D$1,'Footnote (Taxonomy) Labels'!$D103,
template_selected_display_language='Footnote (Taxonomy) Labels'!$E$1,'Footnote (Taxonomy) Labels'!$E103,
template_selected_display_language='Footnote (Taxonomy) Labels'!$F$1,'Footnote (Taxonomy) Labels'!$F103,
template_selected_display_language='Footnote (Taxonomy) Labels'!$G$1,'Footnote (Taxonomy) Labels'!$G103,
template_selected_display_language='Footnote (Taxonomy) Labels'!$H$1,'Footnote (Taxonomy) Labels'!$H103,
template_selected_display_language='Footnote (Taxonomy) Labels'!$I$1,'Footnote (Taxonomy) Labels'!$I103,
template_selected_display_language='Footnote (Taxonomy) Labels'!$J$1,'Footnote (Taxonomy) Labels'!$J103,
template_selected_display_language='Footnote (Taxonomy) Labels'!$K$1,'Footnote (Taxonomy) Labels'!$K103,
template_selected_display_language='Footnote (Taxonomy) Labels'!$L$1,'Footnote (Taxonomy) Labels'!$L103,
template_selected_display_language='Footnote (Taxonomy) Labels'!$M$1,'Footnote (Taxonomy) Labels'!$M103
)</f>
        <v>Description of significant market(s) the undertaking operates in</v>
      </c>
      <c r="B103" s="484" t="s">
        <v>10663</v>
      </c>
      <c r="C103" s="477" t="s">
        <v>10664</v>
      </c>
      <c r="D103" s="477" t="s">
        <v>10665</v>
      </c>
      <c r="E103" s="477" t="s">
        <v>10666</v>
      </c>
      <c r="F103" s="477" t="s">
        <v>10667</v>
      </c>
      <c r="G103" s="477" t="s">
        <v>10668</v>
      </c>
      <c r="H103" s="477" t="s">
        <v>10669</v>
      </c>
      <c r="I103" s="477" t="s">
        <v>10670</v>
      </c>
      <c r="J103" s="477" t="s">
        <v>10671</v>
      </c>
      <c r="K103" s="477" t="s">
        <v>10672</v>
      </c>
      <c r="L103" s="477" t="s">
        <v>10673</v>
      </c>
      <c r="M103" s="479" t="s">
        <v>10674</v>
      </c>
    </row>
    <row r="104" spans="1:13" ht="14.4" customHeight="1">
      <c r="A104" s="4" t="str" cm="1">
        <f t="array" ref="A104">_xlfn.IFS(
template_selected_display_language='Footnote (Taxonomy) Labels'!$B$1,'Footnote (Taxonomy) Labels'!$B104,
template_selected_display_language='Footnote (Taxonomy) Labels'!$C$1,'Footnote (Taxonomy) Labels'!$C104,
template_selected_display_language='Footnote (Taxonomy) Labels'!$D$1,'Footnote (Taxonomy) Labels'!$D104,
template_selected_display_language='Footnote (Taxonomy) Labels'!$E$1,'Footnote (Taxonomy) Labels'!$E104,
template_selected_display_language='Footnote (Taxonomy) Labels'!$F$1,'Footnote (Taxonomy) Labels'!$F104,
template_selected_display_language='Footnote (Taxonomy) Labels'!$G$1,'Footnote (Taxonomy) Labels'!$G104,
template_selected_display_language='Footnote (Taxonomy) Labels'!$H$1,'Footnote (Taxonomy) Labels'!$H104,
template_selected_display_language='Footnote (Taxonomy) Labels'!$I$1,'Footnote (Taxonomy) Labels'!$I104,
template_selected_display_language='Footnote (Taxonomy) Labels'!$J$1,'Footnote (Taxonomy) Labels'!$J104,
template_selected_display_language='Footnote (Taxonomy) Labels'!$K$1,'Footnote (Taxonomy) Labels'!$K104,
template_selected_display_language='Footnote (Taxonomy) Labels'!$L$1,'Footnote (Taxonomy) Labels'!$L104,
template_selected_display_language='Footnote (Taxonomy) Labels'!$M$1,'Footnote (Taxonomy) Labels'!$M104
)</f>
        <v>Description of main business relationships (e.g. key suppliers, customers distribution channels)</v>
      </c>
      <c r="B104" s="484" t="s">
        <v>10675</v>
      </c>
      <c r="C104" s="477" t="s">
        <v>5386</v>
      </c>
      <c r="D104" s="477" t="s">
        <v>10676</v>
      </c>
      <c r="E104" s="477" t="s">
        <v>10677</v>
      </c>
      <c r="F104" s="477" t="s">
        <v>10678</v>
      </c>
      <c r="G104" s="477" t="s">
        <v>5390</v>
      </c>
      <c r="H104" s="477" t="s">
        <v>5391</v>
      </c>
      <c r="I104" s="477" t="s">
        <v>10679</v>
      </c>
      <c r="J104" s="477" t="s">
        <v>5393</v>
      </c>
      <c r="K104" s="477" t="s">
        <v>10680</v>
      </c>
      <c r="L104" s="477" t="s">
        <v>10681</v>
      </c>
      <c r="M104" s="479" t="s">
        <v>5394</v>
      </c>
    </row>
    <row r="105" spans="1:13" ht="14.4" customHeight="1">
      <c r="A105" s="4" t="str" cm="1">
        <f t="array" ref="A105">_xlfn.IFS(
template_selected_display_language='Footnote (Taxonomy) Labels'!$B$1,'Footnote (Taxonomy) Labels'!$B105,
template_selected_display_language='Footnote (Taxonomy) Labels'!$C$1,'Footnote (Taxonomy) Labels'!$C105,
template_selected_display_language='Footnote (Taxonomy) Labels'!$D$1,'Footnote (Taxonomy) Labels'!$D105,
template_selected_display_language='Footnote (Taxonomy) Labels'!$E$1,'Footnote (Taxonomy) Labels'!$E105,
template_selected_display_language='Footnote (Taxonomy) Labels'!$F$1,'Footnote (Taxonomy) Labels'!$F105,
template_selected_display_language='Footnote (Taxonomy) Labels'!$G$1,'Footnote (Taxonomy) Labels'!$G105,
template_selected_display_language='Footnote (Taxonomy) Labels'!$H$1,'Footnote (Taxonomy) Labels'!$H105,
template_selected_display_language='Footnote (Taxonomy) Labels'!$I$1,'Footnote (Taxonomy) Labels'!$I105,
template_selected_display_language='Footnote (Taxonomy) Labels'!$J$1,'Footnote (Taxonomy) Labels'!$J105,
template_selected_display_language='Footnote (Taxonomy) Labels'!$K$1,'Footnote (Taxonomy) Labels'!$K105,
template_selected_display_language='Footnote (Taxonomy) Labels'!$L$1,'Footnote (Taxonomy) Labels'!$L105,
template_selected_display_language='Footnote (Taxonomy) Labels'!$M$1,'Footnote (Taxonomy) Labels'!$M105
)</f>
        <v>Description of key elements of strategy that relates to or affects sustainability issues</v>
      </c>
      <c r="B105" s="484" t="s">
        <v>10682</v>
      </c>
      <c r="C105" s="477" t="s">
        <v>5405</v>
      </c>
      <c r="D105" s="477" t="s">
        <v>10683</v>
      </c>
      <c r="E105" s="477" t="s">
        <v>5407</v>
      </c>
      <c r="F105" s="477" t="s">
        <v>5408</v>
      </c>
      <c r="G105" s="477" t="s">
        <v>10684</v>
      </c>
      <c r="H105" s="477" t="s">
        <v>10685</v>
      </c>
      <c r="I105" s="477" t="s">
        <v>10686</v>
      </c>
      <c r="J105" s="477" t="s">
        <v>10687</v>
      </c>
      <c r="K105" s="477" t="s">
        <v>10688</v>
      </c>
      <c r="L105" s="477" t="s">
        <v>10689</v>
      </c>
      <c r="M105" s="479" t="s">
        <v>10690</v>
      </c>
    </row>
    <row r="106" spans="1:13" ht="14.4" customHeight="1">
      <c r="A106" s="4" t="str" cm="1">
        <f t="array" ref="A106">_xlfn.IFS(
template_selected_display_language='Footnote (Taxonomy) Labels'!$B$1,'Footnote (Taxonomy) Labels'!$B106,
template_selected_display_language='Footnote (Taxonomy) Labels'!$C$1,'Footnote (Taxonomy) Labels'!$C106,
template_selected_display_language='Footnote (Taxonomy) Labels'!$D$1,'Footnote (Taxonomy) Labels'!$D106,
template_selected_display_language='Footnote (Taxonomy) Labels'!$E$1,'Footnote (Taxonomy) Labels'!$E106,
template_selected_display_language='Footnote (Taxonomy) Labels'!$F$1,'Footnote (Taxonomy) Labels'!$F106,
template_selected_display_language='Footnote (Taxonomy) Labels'!$G$1,'Footnote (Taxonomy) Labels'!$G106,
template_selected_display_language='Footnote (Taxonomy) Labels'!$H$1,'Footnote (Taxonomy) Labels'!$H106,
template_selected_display_language='Footnote (Taxonomy) Labels'!$I$1,'Footnote (Taxonomy) Labels'!$I106,
template_selected_display_language='Footnote (Taxonomy) Labels'!$J$1,'Footnote (Taxonomy) Labels'!$J106,
template_selected_display_language='Footnote (Taxonomy) Labels'!$K$1,'Footnote (Taxonomy) Labels'!$K106,
template_selected_display_language='Footnote (Taxonomy) Labels'!$L$1,'Footnote (Taxonomy) Labels'!$L106,
template_selected_display_language='Footnote (Taxonomy) Labels'!$M$1,'Footnote (Taxonomy) Labels'!$M106
)</f>
        <v>Description of practices, policies and/or future initiatives</v>
      </c>
      <c r="B106" s="484" t="s">
        <v>10691</v>
      </c>
      <c r="C106" s="477" t="s">
        <v>10692</v>
      </c>
      <c r="D106" s="477" t="s">
        <v>10693</v>
      </c>
      <c r="E106" s="477" t="s">
        <v>10694</v>
      </c>
      <c r="F106" s="477" t="s">
        <v>10695</v>
      </c>
      <c r="G106" s="477" t="s">
        <v>10696</v>
      </c>
      <c r="H106" s="477" t="s">
        <v>10697</v>
      </c>
      <c r="I106" s="477" t="s">
        <v>10698</v>
      </c>
      <c r="J106" s="477" t="s">
        <v>10699</v>
      </c>
      <c r="K106" s="477" t="s">
        <v>10700</v>
      </c>
      <c r="L106" s="477" t="s">
        <v>10701</v>
      </c>
      <c r="M106" s="479" t="s">
        <v>10702</v>
      </c>
    </row>
    <row r="107" spans="1:13" ht="14.4" customHeight="1">
      <c r="A107" s="4" t="str" cm="1">
        <f t="array" ref="A107">_xlfn.IFS(
template_selected_display_language='Footnote (Taxonomy) Labels'!$B$1,'Footnote (Taxonomy) Labels'!$B107,
template_selected_display_language='Footnote (Taxonomy) Labels'!$C$1,'Footnote (Taxonomy) Labels'!$C107,
template_selected_display_language='Footnote (Taxonomy) Labels'!$D$1,'Footnote (Taxonomy) Labels'!$D107,
template_selected_display_language='Footnote (Taxonomy) Labels'!$E$1,'Footnote (Taxonomy) Labels'!$E107,
template_selected_display_language='Footnote (Taxonomy) Labels'!$F$1,'Footnote (Taxonomy) Labels'!$F107,
template_selected_display_language='Footnote (Taxonomy) Labels'!$G$1,'Footnote (Taxonomy) Labels'!$G107,
template_selected_display_language='Footnote (Taxonomy) Labels'!$H$1,'Footnote (Taxonomy) Labels'!$H107,
template_selected_display_language='Footnote (Taxonomy) Labels'!$I$1,'Footnote (Taxonomy) Labels'!$I107,
template_selected_display_language='Footnote (Taxonomy) Labels'!$J$1,'Footnote (Taxonomy) Labels'!$J107,
template_selected_display_language='Footnote (Taxonomy) Labels'!$K$1,'Footnote (Taxonomy) Labels'!$K107,
template_selected_display_language='Footnote (Taxonomy) Labels'!$L$1,'Footnote (Taxonomy) Labels'!$L107,
template_selected_display_language='Footnote (Taxonomy) Labels'!$M$1,'Footnote (Taxonomy) Labels'!$M107
)</f>
        <v>Most senior level within its employees that is accountable for policies</v>
      </c>
      <c r="B107" s="484" t="s">
        <v>10703</v>
      </c>
      <c r="C107" s="477" t="s">
        <v>10704</v>
      </c>
      <c r="D107" s="477" t="s">
        <v>10705</v>
      </c>
      <c r="E107" s="477" t="s">
        <v>10706</v>
      </c>
      <c r="F107" s="477" t="s">
        <v>10707</v>
      </c>
      <c r="G107" s="477" t="s">
        <v>10708</v>
      </c>
      <c r="H107" s="477" t="s">
        <v>10709</v>
      </c>
      <c r="I107" s="477" t="s">
        <v>10710</v>
      </c>
      <c r="J107" s="477" t="s">
        <v>10711</v>
      </c>
      <c r="K107" s="477" t="s">
        <v>10712</v>
      </c>
      <c r="L107" s="477" t="s">
        <v>10713</v>
      </c>
      <c r="M107" s="479" t="s">
        <v>10714</v>
      </c>
    </row>
    <row r="108" spans="1:13" ht="14.4" customHeight="1">
      <c r="A108" s="4" t="str" cm="1">
        <f t="array" ref="A108">_xlfn.IFS(
template_selected_display_language='Footnote (Taxonomy) Labels'!$B$1,'Footnote (Taxonomy) Labels'!$B108,
template_selected_display_language='Footnote (Taxonomy) Labels'!$C$1,'Footnote (Taxonomy) Labels'!$C108,
template_selected_display_language='Footnote (Taxonomy) Labels'!$D$1,'Footnote (Taxonomy) Labels'!$D108,
template_selected_display_language='Footnote (Taxonomy) Labels'!$E$1,'Footnote (Taxonomy) Labels'!$E108,
template_selected_display_language='Footnote (Taxonomy) Labels'!$F$1,'Footnote (Taxonomy) Labels'!$F108,
template_selected_display_language='Footnote (Taxonomy) Labels'!$G$1,'Footnote (Taxonomy) Labels'!$G108,
template_selected_display_language='Footnote (Taxonomy) Labels'!$H$1,'Footnote (Taxonomy) Labels'!$H108,
template_selected_display_language='Footnote (Taxonomy) Labels'!$I$1,'Footnote (Taxonomy) Labels'!$I108,
template_selected_display_language='Footnote (Taxonomy) Labels'!$J$1,'Footnote (Taxonomy) Labels'!$J108,
template_selected_display_language='Footnote (Taxonomy) Labels'!$K$1,'Footnote (Taxonomy) Labels'!$K108,
template_selected_display_language='Footnote (Taxonomy) Labels'!$L$1,'Footnote (Taxonomy) Labels'!$L108,
template_selected_display_language='Footnote (Taxonomy) Labels'!$M$1,'Footnote (Taxonomy) Labels'!$M108
)</f>
        <v>Description of the target of practices, policies or future initiatives</v>
      </c>
      <c r="B108" s="484" t="s">
        <v>10715</v>
      </c>
      <c r="C108" s="477" t="s">
        <v>10716</v>
      </c>
      <c r="D108" s="477" t="s">
        <v>10717</v>
      </c>
      <c r="E108" s="477" t="s">
        <v>10718</v>
      </c>
      <c r="F108" s="477" t="s">
        <v>10719</v>
      </c>
      <c r="G108" s="477" t="s">
        <v>10720</v>
      </c>
      <c r="H108" s="477" t="s">
        <v>10721</v>
      </c>
      <c r="I108" s="477" t="s">
        <v>10722</v>
      </c>
      <c r="J108" s="477" t="s">
        <v>10723</v>
      </c>
      <c r="K108" s="477" t="s">
        <v>10724</v>
      </c>
      <c r="L108" s="477" t="s">
        <v>10725</v>
      </c>
      <c r="M108" s="479" t="s">
        <v>10726</v>
      </c>
    </row>
    <row r="109" spans="1:13" ht="14.4" customHeight="1">
      <c r="A109" s="4" t="str" cm="1">
        <f t="array" ref="A109">_xlfn.IFS(
template_selected_display_language='Footnote (Taxonomy) Labels'!$B$1,'Footnote (Taxonomy) Labels'!$B109,
template_selected_display_language='Footnote (Taxonomy) Labels'!$C$1,'Footnote (Taxonomy) Labels'!$C109,
template_selected_display_language='Footnote (Taxonomy) Labels'!$D$1,'Footnote (Taxonomy) Labels'!$D109,
template_selected_display_language='Footnote (Taxonomy) Labels'!$E$1,'Footnote (Taxonomy) Labels'!$E109,
template_selected_display_language='Footnote (Taxonomy) Labels'!$F$1,'Footnote (Taxonomy) Labels'!$F109,
template_selected_display_language='Footnote (Taxonomy) Labels'!$G$1,'Footnote (Taxonomy) Labels'!$G109,
template_selected_display_language='Footnote (Taxonomy) Labels'!$H$1,'Footnote (Taxonomy) Labels'!$H109,
template_selected_display_language='Footnote (Taxonomy) Labels'!$I$1,'Footnote (Taxonomy) Labels'!$I109,
template_selected_display_language='Footnote (Taxonomy) Labels'!$J$1,'Footnote (Taxonomy) Labels'!$J109,
template_selected_display_language='Footnote (Taxonomy) Labels'!$K$1,'Footnote (Taxonomy) Labels'!$K109,
template_selected_display_language='Footnote (Taxonomy) Labels'!$L$1,'Footnote (Taxonomy) Labels'!$L109,
template_selected_display_language='Footnote (Taxonomy) Labels'!$M$1,'Footnote (Taxonomy) Labels'!$M109
)</f>
        <v>Greenhouse gas emission reduction target base year</v>
      </c>
      <c r="B109" s="484" t="s">
        <v>10727</v>
      </c>
      <c r="C109" s="477" t="s">
        <v>10728</v>
      </c>
      <c r="D109" s="477" t="s">
        <v>10729</v>
      </c>
      <c r="E109" s="477" t="s">
        <v>10730</v>
      </c>
      <c r="F109" s="477" t="s">
        <v>10731</v>
      </c>
      <c r="G109" s="477" t="s">
        <v>10732</v>
      </c>
      <c r="H109" s="477" t="s">
        <v>10733</v>
      </c>
      <c r="I109" s="477" t="s">
        <v>10734</v>
      </c>
      <c r="J109" s="477" t="s">
        <v>10735</v>
      </c>
      <c r="K109" s="477" t="s">
        <v>10736</v>
      </c>
      <c r="L109" s="477" t="s">
        <v>10737</v>
      </c>
      <c r="M109" s="479" t="s">
        <v>10738</v>
      </c>
    </row>
    <row r="110" spans="1:13" ht="14.4" customHeight="1">
      <c r="A110" s="4" t="str" cm="1">
        <f t="array" ref="A110">_xlfn.IFS(
template_selected_display_language='Footnote (Taxonomy) Labels'!$B$1,'Footnote (Taxonomy) Labels'!$B110,
template_selected_display_language='Footnote (Taxonomy) Labels'!$C$1,'Footnote (Taxonomy) Labels'!$C110,
template_selected_display_language='Footnote (Taxonomy) Labels'!$D$1,'Footnote (Taxonomy) Labels'!$D110,
template_selected_display_language='Footnote (Taxonomy) Labels'!$E$1,'Footnote (Taxonomy) Labels'!$E110,
template_selected_display_language='Footnote (Taxonomy) Labels'!$F$1,'Footnote (Taxonomy) Labels'!$F110,
template_selected_display_language='Footnote (Taxonomy) Labels'!$G$1,'Footnote (Taxonomy) Labels'!$G110,
template_selected_display_language='Footnote (Taxonomy) Labels'!$H$1,'Footnote (Taxonomy) Labels'!$H110,
template_selected_display_language='Footnote (Taxonomy) Labels'!$I$1,'Footnote (Taxonomy) Labels'!$I110,
template_selected_display_language='Footnote (Taxonomy) Labels'!$J$1,'Footnote (Taxonomy) Labels'!$J110,
template_selected_display_language='Footnote (Taxonomy) Labels'!$K$1,'Footnote (Taxonomy) Labels'!$K110,
template_selected_display_language='Footnote (Taxonomy) Labels'!$L$1,'Footnote (Taxonomy) Labels'!$L110,
template_selected_display_language='Footnote (Taxonomy) Labels'!$M$1,'Footnote (Taxonomy) Labels'!$M110
)</f>
        <v>Greenhouse gas emission reduction target year</v>
      </c>
      <c r="B110" s="484" t="s">
        <v>10739</v>
      </c>
      <c r="C110" s="477" t="s">
        <v>10740</v>
      </c>
      <c r="D110" s="477" t="s">
        <v>10741</v>
      </c>
      <c r="E110" s="477" t="s">
        <v>10742</v>
      </c>
      <c r="F110" s="477" t="s">
        <v>10743</v>
      </c>
      <c r="G110" s="477" t="s">
        <v>10744</v>
      </c>
      <c r="H110" s="477" t="s">
        <v>10745</v>
      </c>
      <c r="I110" s="477" t="s">
        <v>10746</v>
      </c>
      <c r="J110" s="477" t="s">
        <v>10747</v>
      </c>
      <c r="K110" s="477" t="s">
        <v>10748</v>
      </c>
      <c r="L110" s="477" t="s">
        <v>10749</v>
      </c>
      <c r="M110" s="479" t="s">
        <v>10750</v>
      </c>
    </row>
    <row r="111" spans="1:13" ht="14.4" customHeight="1">
      <c r="A111" s="4" t="str" cm="1">
        <f t="array" ref="A111">_xlfn.IFS(
template_selected_display_language='Footnote (Taxonomy) Labels'!$B$1,'Footnote (Taxonomy) Labels'!$B111,
template_selected_display_language='Footnote (Taxonomy) Labels'!$C$1,'Footnote (Taxonomy) Labels'!$C111,
template_selected_display_language='Footnote (Taxonomy) Labels'!$D$1,'Footnote (Taxonomy) Labels'!$D111,
template_selected_display_language='Footnote (Taxonomy) Labels'!$E$1,'Footnote (Taxonomy) Labels'!$E111,
template_selected_display_language='Footnote (Taxonomy) Labels'!$F$1,'Footnote (Taxonomy) Labels'!$F111,
template_selected_display_language='Footnote (Taxonomy) Labels'!$G$1,'Footnote (Taxonomy) Labels'!$G111,
template_selected_display_language='Footnote (Taxonomy) Labels'!$H$1,'Footnote (Taxonomy) Labels'!$H111,
template_selected_display_language='Footnote (Taxonomy) Labels'!$I$1,'Footnote (Taxonomy) Labels'!$I111,
template_selected_display_language='Footnote (Taxonomy) Labels'!$J$1,'Footnote (Taxonomy) Labels'!$J111,
template_selected_display_language='Footnote (Taxonomy) Labels'!$K$1,'Footnote (Taxonomy) Labels'!$K111,
template_selected_display_language='Footnote (Taxonomy) Labels'!$L$1,'Footnote (Taxonomy) Labels'!$L111,
template_selected_display_language='Footnote (Taxonomy) Labels'!$M$1,'Footnote (Taxonomy) Labels'!$M111
)</f>
        <v>Disclosure of list of main actions the entity seeks in order to achieve its targets</v>
      </c>
      <c r="B111" s="484" t="s">
        <v>10751</v>
      </c>
      <c r="C111" s="477" t="s">
        <v>10752</v>
      </c>
      <c r="D111" s="477" t="s">
        <v>10753</v>
      </c>
      <c r="E111" s="477" t="s">
        <v>10754</v>
      </c>
      <c r="F111" s="477" t="s">
        <v>10755</v>
      </c>
      <c r="G111" s="477" t="s">
        <v>10756</v>
      </c>
      <c r="H111" s="477" t="s">
        <v>10757</v>
      </c>
      <c r="I111" s="477" t="s">
        <v>10758</v>
      </c>
      <c r="J111" s="477" t="s">
        <v>10759</v>
      </c>
      <c r="K111" s="477" t="s">
        <v>10760</v>
      </c>
      <c r="L111" s="477" t="s">
        <v>10761</v>
      </c>
      <c r="M111" s="479" t="s">
        <v>10762</v>
      </c>
    </row>
    <row r="112" spans="1:13" ht="14.4" customHeight="1">
      <c r="A112" s="4" t="str" cm="1">
        <f t="array" ref="A112">_xlfn.IFS(
template_selected_display_language='Footnote (Taxonomy) Labels'!$B$1,'Footnote (Taxonomy) Labels'!$B112,
template_selected_display_language='Footnote (Taxonomy) Labels'!$C$1,'Footnote (Taxonomy) Labels'!$C112,
template_selected_display_language='Footnote (Taxonomy) Labels'!$D$1,'Footnote (Taxonomy) Labels'!$D112,
template_selected_display_language='Footnote (Taxonomy) Labels'!$E$1,'Footnote (Taxonomy) Labels'!$E112,
template_selected_display_language='Footnote (Taxonomy) Labels'!$F$1,'Footnote (Taxonomy) Labels'!$F112,
template_selected_display_language='Footnote (Taxonomy) Labels'!$G$1,'Footnote (Taxonomy) Labels'!$G112,
template_selected_display_language='Footnote (Taxonomy) Labels'!$H$1,'Footnote (Taxonomy) Labels'!$H112,
template_selected_display_language='Footnote (Taxonomy) Labels'!$I$1,'Footnote (Taxonomy) Labels'!$I112,
template_selected_display_language='Footnote (Taxonomy) Labels'!$J$1,'Footnote (Taxonomy) Labels'!$J112,
template_selected_display_language='Footnote (Taxonomy) Labels'!$K$1,'Footnote (Taxonomy) Labels'!$K112,
template_selected_display_language='Footnote (Taxonomy) Labels'!$L$1,'Footnote (Taxonomy) Labels'!$L112,
template_selected_display_language='Footnote (Taxonomy) Labels'!$M$1,'Footnote (Taxonomy) Labels'!$M112
)</f>
        <v>Description of a transition plan for climate change mitigation, including an explanation of how it is contributing to reduce GHG emissions</v>
      </c>
      <c r="B112" s="484" t="s">
        <v>10763</v>
      </c>
      <c r="C112" s="477" t="s">
        <v>10764</v>
      </c>
      <c r="D112" s="477" t="s">
        <v>10765</v>
      </c>
      <c r="E112" s="477" t="s">
        <v>10766</v>
      </c>
      <c r="F112" s="477" t="s">
        <v>6014</v>
      </c>
      <c r="G112" s="477" t="s">
        <v>10767</v>
      </c>
      <c r="H112" s="477" t="s">
        <v>10768</v>
      </c>
      <c r="I112" s="477" t="s">
        <v>10769</v>
      </c>
      <c r="J112" s="477" t="s">
        <v>10770</v>
      </c>
      <c r="K112" s="477" t="s">
        <v>10771</v>
      </c>
      <c r="L112" s="477" t="s">
        <v>10772</v>
      </c>
      <c r="M112" s="479" t="s">
        <v>10773</v>
      </c>
    </row>
    <row r="113" spans="1:13" ht="14.4" customHeight="1">
      <c r="A113" s="4" t="str" cm="1">
        <f t="array" ref="A113">_xlfn.IFS(
template_selected_display_language='Footnote (Taxonomy) Labels'!$B$1,'Footnote (Taxonomy) Labels'!$B113,
template_selected_display_language='Footnote (Taxonomy) Labels'!$C$1,'Footnote (Taxonomy) Labels'!$C113,
template_selected_display_language='Footnote (Taxonomy) Labels'!$D$1,'Footnote (Taxonomy) Labels'!$D113,
template_selected_display_language='Footnote (Taxonomy) Labels'!$E$1,'Footnote (Taxonomy) Labels'!$E113,
template_selected_display_language='Footnote (Taxonomy) Labels'!$F$1,'Footnote (Taxonomy) Labels'!$F113,
template_selected_display_language='Footnote (Taxonomy) Labels'!$G$1,'Footnote (Taxonomy) Labels'!$G113,
template_selected_display_language='Footnote (Taxonomy) Labels'!$H$1,'Footnote (Taxonomy) Labels'!$H113,
template_selected_display_language='Footnote (Taxonomy) Labels'!$I$1,'Footnote (Taxonomy) Labels'!$I113,
template_selected_display_language='Footnote (Taxonomy) Labels'!$J$1,'Footnote (Taxonomy) Labels'!$J113,
template_selected_display_language='Footnote (Taxonomy) Labels'!$K$1,'Footnote (Taxonomy) Labels'!$K113,
template_selected_display_language='Footnote (Taxonomy) Labels'!$L$1,'Footnote (Taxonomy) Labels'!$L113,
template_selected_display_language='Footnote (Taxonomy) Labels'!$M$1,'Footnote (Taxonomy) Labels'!$M113
)</f>
        <v>Date of adoption of transition plan for undertaking not having adopted transition plan yet</v>
      </c>
      <c r="B113" s="484" t="s">
        <v>10774</v>
      </c>
      <c r="C113" s="477" t="s">
        <v>10775</v>
      </c>
      <c r="D113" s="477" t="s">
        <v>10776</v>
      </c>
      <c r="E113" s="477" t="s">
        <v>10777</v>
      </c>
      <c r="F113" s="477" t="s">
        <v>10778</v>
      </c>
      <c r="G113" s="477" t="s">
        <v>10779</v>
      </c>
      <c r="H113" s="477" t="s">
        <v>10780</v>
      </c>
      <c r="I113" s="477" t="s">
        <v>10781</v>
      </c>
      <c r="J113" s="477" t="s">
        <v>10782</v>
      </c>
      <c r="K113" s="477" t="s">
        <v>10783</v>
      </c>
      <c r="L113" s="477" t="s">
        <v>10784</v>
      </c>
      <c r="M113" s="479" t="s">
        <v>10785</v>
      </c>
    </row>
    <row r="114" spans="1:13" ht="14.4" customHeight="1">
      <c r="A114" s="4" t="str" cm="1">
        <f t="array" ref="A114">_xlfn.IFS(
template_selected_display_language='Footnote (Taxonomy) Labels'!$B$1,'Footnote (Taxonomy) Labels'!$B114,
template_selected_display_language='Footnote (Taxonomy) Labels'!$C$1,'Footnote (Taxonomy) Labels'!$C114,
template_selected_display_language='Footnote (Taxonomy) Labels'!$D$1,'Footnote (Taxonomy) Labels'!$D114,
template_selected_display_language='Footnote (Taxonomy) Labels'!$E$1,'Footnote (Taxonomy) Labels'!$E114,
template_selected_display_language='Footnote (Taxonomy) Labels'!$F$1,'Footnote (Taxonomy) Labels'!$F114,
template_selected_display_language='Footnote (Taxonomy) Labels'!$G$1,'Footnote (Taxonomy) Labels'!$G114,
template_selected_display_language='Footnote (Taxonomy) Labels'!$H$1,'Footnote (Taxonomy) Labels'!$H114,
template_selected_display_language='Footnote (Taxonomy) Labels'!$I$1,'Footnote (Taxonomy) Labels'!$I114,
template_selected_display_language='Footnote (Taxonomy) Labels'!$J$1,'Footnote (Taxonomy) Labels'!$J114,
template_selected_display_language='Footnote (Taxonomy) Labels'!$K$1,'Footnote (Taxonomy) Labels'!$K114,
template_selected_display_language='Footnote (Taxonomy) Labels'!$L$1,'Footnote (Taxonomy) Labels'!$L114,
template_selected_display_language='Footnote (Taxonomy) Labels'!$M$1,'Footnote (Taxonomy) Labels'!$M114
)</f>
        <v>Description of climate-related hazards and climate-related transition events</v>
      </c>
      <c r="B114" s="484" t="s">
        <v>6730</v>
      </c>
      <c r="C114" s="477" t="s">
        <v>6731</v>
      </c>
      <c r="D114" s="477" t="s">
        <v>10786</v>
      </c>
      <c r="E114" s="477" t="s">
        <v>10787</v>
      </c>
      <c r="F114" s="477" t="s">
        <v>10788</v>
      </c>
      <c r="G114" s="477" t="s">
        <v>10789</v>
      </c>
      <c r="H114" s="477" t="s">
        <v>6736</v>
      </c>
      <c r="I114" s="477" t="s">
        <v>10790</v>
      </c>
      <c r="J114" s="477" t="s">
        <v>10791</v>
      </c>
      <c r="K114" s="477" t="s">
        <v>10792</v>
      </c>
      <c r="L114" s="477" t="s">
        <v>10793</v>
      </c>
      <c r="M114" s="479" t="s">
        <v>10794</v>
      </c>
    </row>
    <row r="115" spans="1:13" ht="14.4" customHeight="1">
      <c r="A115" s="4" t="str" cm="1">
        <f t="array" ref="A115">_xlfn.IFS(
template_selected_display_language='Footnote (Taxonomy) Labels'!$B$1,'Footnote (Taxonomy) Labels'!$B115,
template_selected_display_language='Footnote (Taxonomy) Labels'!$C$1,'Footnote (Taxonomy) Labels'!$C115,
template_selected_display_language='Footnote (Taxonomy) Labels'!$D$1,'Footnote (Taxonomy) Labels'!$D115,
template_selected_display_language='Footnote (Taxonomy) Labels'!$E$1,'Footnote (Taxonomy) Labels'!$E115,
template_selected_display_language='Footnote (Taxonomy) Labels'!$F$1,'Footnote (Taxonomy) Labels'!$F115,
template_selected_display_language='Footnote (Taxonomy) Labels'!$G$1,'Footnote (Taxonomy) Labels'!$G115,
template_selected_display_language='Footnote (Taxonomy) Labels'!$H$1,'Footnote (Taxonomy) Labels'!$H115,
template_selected_display_language='Footnote (Taxonomy) Labels'!$I$1,'Footnote (Taxonomy) Labels'!$I115,
template_selected_display_language='Footnote (Taxonomy) Labels'!$J$1,'Footnote (Taxonomy) Labels'!$J115,
template_selected_display_language='Footnote (Taxonomy) Labels'!$K$1,'Footnote (Taxonomy) Labels'!$K115,
template_selected_display_language='Footnote (Taxonomy) Labels'!$L$1,'Footnote (Taxonomy) Labels'!$L115,
template_selected_display_language='Footnote (Taxonomy) Labels'!$M$1,'Footnote (Taxonomy) Labels'!$M115
)</f>
        <v>Disclosure of how it has assessed the exposure and sensitivity of its assets, activities and value chain to these hazards and transition events</v>
      </c>
      <c r="B115" s="484" t="s">
        <v>10795</v>
      </c>
      <c r="C115" s="477" t="s">
        <v>6744</v>
      </c>
      <c r="D115" s="477" t="s">
        <v>10796</v>
      </c>
      <c r="E115" s="477" t="s">
        <v>6746</v>
      </c>
      <c r="F115" s="477" t="s">
        <v>10797</v>
      </c>
      <c r="G115" s="477" t="s">
        <v>10798</v>
      </c>
      <c r="H115" s="477" t="s">
        <v>10799</v>
      </c>
      <c r="I115" s="477" t="s">
        <v>10800</v>
      </c>
      <c r="J115" s="477" t="s">
        <v>6751</v>
      </c>
      <c r="K115" s="477" t="s">
        <v>10801</v>
      </c>
      <c r="L115" s="477" t="s">
        <v>10802</v>
      </c>
      <c r="M115" s="479" t="s">
        <v>6752</v>
      </c>
    </row>
    <row r="116" spans="1:13" ht="14.4" customHeight="1">
      <c r="A116" s="4" t="str" cm="1">
        <f t="array" ref="A116">_xlfn.IFS(
template_selected_display_language='Footnote (Taxonomy) Labels'!$B$1,'Footnote (Taxonomy) Labels'!$B116,
template_selected_display_language='Footnote (Taxonomy) Labels'!$C$1,'Footnote (Taxonomy) Labels'!$C116,
template_selected_display_language='Footnote (Taxonomy) Labels'!$D$1,'Footnote (Taxonomy) Labels'!$D116,
template_selected_display_language='Footnote (Taxonomy) Labels'!$E$1,'Footnote (Taxonomy) Labels'!$E116,
template_selected_display_language='Footnote (Taxonomy) Labels'!$F$1,'Footnote (Taxonomy) Labels'!$F116,
template_selected_display_language='Footnote (Taxonomy) Labels'!$G$1,'Footnote (Taxonomy) Labels'!$G116,
template_selected_display_language='Footnote (Taxonomy) Labels'!$H$1,'Footnote (Taxonomy) Labels'!$H116,
template_selected_display_language='Footnote (Taxonomy) Labels'!$I$1,'Footnote (Taxonomy) Labels'!$I116,
template_selected_display_language='Footnote (Taxonomy) Labels'!$J$1,'Footnote (Taxonomy) Labels'!$J116,
template_selected_display_language='Footnote (Taxonomy) Labels'!$K$1,'Footnote (Taxonomy) Labels'!$K116,
template_selected_display_language='Footnote (Taxonomy) Labels'!$L$1,'Footnote (Taxonomy) Labels'!$L116,
template_selected_display_language='Footnote (Taxonomy) Labels'!$M$1,'Footnote (Taxonomy) Labels'!$M116
)</f>
        <v>Time horizons of any climate-related hazards and transition events identified</v>
      </c>
      <c r="B116" s="484" t="s">
        <v>6756</v>
      </c>
      <c r="C116" s="477" t="s">
        <v>10803</v>
      </c>
      <c r="D116" s="477" t="s">
        <v>10804</v>
      </c>
      <c r="E116" s="477" t="s">
        <v>6759</v>
      </c>
      <c r="F116" s="477" t="s">
        <v>6760</v>
      </c>
      <c r="G116" s="477" t="s">
        <v>10805</v>
      </c>
      <c r="H116" s="477" t="s">
        <v>10806</v>
      </c>
      <c r="I116" s="477" t="s">
        <v>10807</v>
      </c>
      <c r="J116" s="477" t="s">
        <v>6764</v>
      </c>
      <c r="K116" s="477" t="s">
        <v>10808</v>
      </c>
      <c r="L116" s="477" t="s">
        <v>10809</v>
      </c>
      <c r="M116" s="479" t="s">
        <v>6765</v>
      </c>
    </row>
    <row r="117" spans="1:13" ht="14.4" customHeight="1">
      <c r="A117" s="4" t="str" cm="1">
        <f t="array" ref="A117">_xlfn.IFS(
template_selected_display_language='Footnote (Taxonomy) Labels'!$B$1,'Footnote (Taxonomy) Labels'!$B117,
template_selected_display_language='Footnote (Taxonomy) Labels'!$C$1,'Footnote (Taxonomy) Labels'!$C117,
template_selected_display_language='Footnote (Taxonomy) Labels'!$D$1,'Footnote (Taxonomy) Labels'!$D117,
template_selected_display_language='Footnote (Taxonomy) Labels'!$E$1,'Footnote (Taxonomy) Labels'!$E117,
template_selected_display_language='Footnote (Taxonomy) Labels'!$F$1,'Footnote (Taxonomy) Labels'!$F117,
template_selected_display_language='Footnote (Taxonomy) Labels'!$G$1,'Footnote (Taxonomy) Labels'!$G117,
template_selected_display_language='Footnote (Taxonomy) Labels'!$H$1,'Footnote (Taxonomy) Labels'!$H117,
template_selected_display_language='Footnote (Taxonomy) Labels'!$I$1,'Footnote (Taxonomy) Labels'!$I117,
template_selected_display_language='Footnote (Taxonomy) Labels'!$J$1,'Footnote (Taxonomy) Labels'!$J117,
template_selected_display_language='Footnote (Taxonomy) Labels'!$K$1,'Footnote (Taxonomy) Labels'!$K117,
template_selected_display_language='Footnote (Taxonomy) Labels'!$L$1,'Footnote (Taxonomy) Labels'!$L117,
template_selected_display_language='Footnote (Taxonomy) Labels'!$M$1,'Footnote (Taxonomy) Labels'!$M117
)</f>
        <v>Disclosure of whether it has undertaken climate change adaptation actions for any climate related hazards and transition events</v>
      </c>
      <c r="B117" s="484" t="s">
        <v>10810</v>
      </c>
      <c r="C117" s="477" t="s">
        <v>10811</v>
      </c>
      <c r="D117" s="477" t="s">
        <v>10812</v>
      </c>
      <c r="E117" s="477" t="s">
        <v>6772</v>
      </c>
      <c r="F117" s="477" t="s">
        <v>6773</v>
      </c>
      <c r="G117" s="477" t="s">
        <v>10813</v>
      </c>
      <c r="H117" s="477" t="s">
        <v>6775</v>
      </c>
      <c r="I117" s="477" t="s">
        <v>10814</v>
      </c>
      <c r="J117" s="477" t="s">
        <v>6777</v>
      </c>
      <c r="K117" s="477" t="s">
        <v>10815</v>
      </c>
      <c r="L117" s="477" t="s">
        <v>10816</v>
      </c>
      <c r="M117" s="479" t="s">
        <v>10817</v>
      </c>
    </row>
    <row r="118" spans="1:13" ht="14.4" customHeight="1">
      <c r="A118" s="4" t="str" cm="1">
        <f t="array" ref="A118">_xlfn.IFS(
template_selected_display_language='Footnote (Taxonomy) Labels'!$B$1,'Footnote (Taxonomy) Labels'!$B118,
template_selected_display_language='Footnote (Taxonomy) Labels'!$C$1,'Footnote (Taxonomy) Labels'!$C118,
template_selected_display_language='Footnote (Taxonomy) Labels'!$D$1,'Footnote (Taxonomy) Labels'!$D118,
template_selected_display_language='Footnote (Taxonomy) Labels'!$E$1,'Footnote (Taxonomy) Labels'!$E118,
template_selected_display_language='Footnote (Taxonomy) Labels'!$F$1,'Footnote (Taxonomy) Labels'!$F118,
template_selected_display_language='Footnote (Taxonomy) Labels'!$G$1,'Footnote (Taxonomy) Labels'!$G118,
template_selected_display_language='Footnote (Taxonomy) Labels'!$H$1,'Footnote (Taxonomy) Labels'!$H118,
template_selected_display_language='Footnote (Taxonomy) Labels'!$I$1,'Footnote (Taxonomy) Labels'!$I118,
template_selected_display_language='Footnote (Taxonomy) Labels'!$J$1,'Footnote (Taxonomy) Labels'!$J118,
template_selected_display_language='Footnote (Taxonomy) Labels'!$K$1,'Footnote (Taxonomy) Labels'!$K118,
template_selected_display_language='Footnote (Taxonomy) Labels'!$L$1,'Footnote (Taxonomy) Labels'!$L118,
template_selected_display_language='Footnote (Taxonomy) Labels'!$M$1,'Footnote (Taxonomy) Labels'!$M118
)</f>
        <v>Potential adverse effects of climate risks that may affect its financial performance or business operations in the short-, medium- or long-term, indicating whether it assesses the risks to be high, medium or low</v>
      </c>
      <c r="B118" s="484" t="s">
        <v>10818</v>
      </c>
      <c r="C118" s="477" t="s">
        <v>10819</v>
      </c>
      <c r="D118" s="477" t="s">
        <v>10820</v>
      </c>
      <c r="E118" s="477" t="s">
        <v>6785</v>
      </c>
      <c r="F118" s="477" t="s">
        <v>10821</v>
      </c>
      <c r="G118" s="477" t="s">
        <v>10822</v>
      </c>
      <c r="H118" s="477" t="s">
        <v>6788</v>
      </c>
      <c r="I118" s="477" t="s">
        <v>10823</v>
      </c>
      <c r="J118" s="477" t="s">
        <v>6790</v>
      </c>
      <c r="K118" s="477" t="s">
        <v>10824</v>
      </c>
      <c r="L118" s="477" t="s">
        <v>10825</v>
      </c>
      <c r="M118" s="479" t="s">
        <v>10826</v>
      </c>
    </row>
    <row r="119" spans="1:13" ht="14.4" customHeight="1">
      <c r="A119" s="4" t="str" cm="1">
        <f t="array" ref="A119">_xlfn.IFS(
template_selected_display_language='Footnote (Taxonomy) Labels'!$B$1,'Footnote (Taxonomy) Labels'!$B119,
template_selected_display_language='Footnote (Taxonomy) Labels'!$C$1,'Footnote (Taxonomy) Labels'!$C119,
template_selected_display_language='Footnote (Taxonomy) Labels'!$D$1,'Footnote (Taxonomy) Labels'!$D119,
template_selected_display_language='Footnote (Taxonomy) Labels'!$E$1,'Footnote (Taxonomy) Labels'!$E119,
template_selected_display_language='Footnote (Taxonomy) Labels'!$F$1,'Footnote (Taxonomy) Labels'!$F119,
template_selected_display_language='Footnote (Taxonomy) Labels'!$G$1,'Footnote (Taxonomy) Labels'!$G119,
template_selected_display_language='Footnote (Taxonomy) Labels'!$H$1,'Footnote (Taxonomy) Labels'!$H119,
template_selected_display_language='Footnote (Taxonomy) Labels'!$I$1,'Footnote (Taxonomy) Labels'!$I119,
template_selected_display_language='Footnote (Taxonomy) Labels'!$J$1,'Footnote (Taxonomy) Labels'!$J119,
template_selected_display_language='Footnote (Taxonomy) Labels'!$K$1,'Footnote (Taxonomy) Labels'!$K119,
template_selected_display_language='Footnote (Taxonomy) Labels'!$L$1,'Footnote (Taxonomy) Labels'!$L119,
template_selected_display_language='Footnote (Taxonomy) Labels'!$M$1,'Footnote (Taxonomy) Labels'!$M119
)</f>
        <v>Female-to-male ratio at management level for the reporting period</v>
      </c>
      <c r="B119" s="484" t="s">
        <v>7364</v>
      </c>
      <c r="C119" s="477" t="s">
        <v>7365</v>
      </c>
      <c r="D119" s="477" t="s">
        <v>10827</v>
      </c>
      <c r="E119" s="477" t="s">
        <v>10828</v>
      </c>
      <c r="F119" s="477" t="s">
        <v>7368</v>
      </c>
      <c r="G119" s="477" t="s">
        <v>10829</v>
      </c>
      <c r="H119" s="477" t="s">
        <v>7370</v>
      </c>
      <c r="I119" s="477" t="s">
        <v>10830</v>
      </c>
      <c r="J119" s="477" t="s">
        <v>7372</v>
      </c>
      <c r="K119" s="477" t="s">
        <v>10831</v>
      </c>
      <c r="L119" s="477" t="s">
        <v>10832</v>
      </c>
      <c r="M119" s="479" t="s">
        <v>10833</v>
      </c>
    </row>
    <row r="120" spans="1:13" ht="14.4" customHeight="1">
      <c r="A120" s="4" t="str" cm="1">
        <f t="array" ref="A120">_xlfn.IFS(
template_selected_display_language='Footnote (Taxonomy) Labels'!$B$1,'Footnote (Taxonomy) Labels'!$B120,
template_selected_display_language='Footnote (Taxonomy) Labels'!$C$1,'Footnote (Taxonomy) Labels'!$C120,
template_selected_display_language='Footnote (Taxonomy) Labels'!$D$1,'Footnote (Taxonomy) Labels'!$D120,
template_selected_display_language='Footnote (Taxonomy) Labels'!$E$1,'Footnote (Taxonomy) Labels'!$E120,
template_selected_display_language='Footnote (Taxonomy) Labels'!$F$1,'Footnote (Taxonomy) Labels'!$F120,
template_selected_display_language='Footnote (Taxonomy) Labels'!$G$1,'Footnote (Taxonomy) Labels'!$G120,
template_selected_display_language='Footnote (Taxonomy) Labels'!$H$1,'Footnote (Taxonomy) Labels'!$H120,
template_selected_display_language='Footnote (Taxonomy) Labels'!$I$1,'Footnote (Taxonomy) Labels'!$I120,
template_selected_display_language='Footnote (Taxonomy) Labels'!$J$1,'Footnote (Taxonomy) Labels'!$J120,
template_selected_display_language='Footnote (Taxonomy) Labels'!$K$1,'Footnote (Taxonomy) Labels'!$K120,
template_selected_display_language='Footnote (Taxonomy) Labels'!$L$1,'Footnote (Taxonomy) Labels'!$L120,
template_selected_display_language='Footnote (Taxonomy) Labels'!$M$1,'Footnote (Taxonomy) Labels'!$M120
)</f>
        <v>Total number of self-employed workers without personnel that are working exclusively for the undertaking</v>
      </c>
      <c r="B120" s="484" t="s">
        <v>10834</v>
      </c>
      <c r="C120" s="477" t="s">
        <v>10835</v>
      </c>
      <c r="D120" s="477" t="s">
        <v>10836</v>
      </c>
      <c r="E120" s="477" t="s">
        <v>10837</v>
      </c>
      <c r="F120" s="477" t="s">
        <v>10838</v>
      </c>
      <c r="G120" s="477" t="s">
        <v>10839</v>
      </c>
      <c r="H120" s="477" t="s">
        <v>7383</v>
      </c>
      <c r="I120" s="477" t="s">
        <v>7384</v>
      </c>
      <c r="J120" s="477" t="s">
        <v>7385</v>
      </c>
      <c r="K120" s="477" t="s">
        <v>10840</v>
      </c>
      <c r="L120" s="477" t="s">
        <v>10841</v>
      </c>
      <c r="M120" s="479" t="s">
        <v>10842</v>
      </c>
    </row>
    <row r="121" spans="1:13" ht="14.4" customHeight="1">
      <c r="A121" s="4" t="str" cm="1">
        <f t="array" ref="A121">_xlfn.IFS(
template_selected_display_language='Footnote (Taxonomy) Labels'!$B$1,'Footnote (Taxonomy) Labels'!$B121,
template_selected_display_language='Footnote (Taxonomy) Labels'!$C$1,'Footnote (Taxonomy) Labels'!$C121,
template_selected_display_language='Footnote (Taxonomy) Labels'!$D$1,'Footnote (Taxonomy) Labels'!$D121,
template_selected_display_language='Footnote (Taxonomy) Labels'!$E$1,'Footnote (Taxonomy) Labels'!$E121,
template_selected_display_language='Footnote (Taxonomy) Labels'!$F$1,'Footnote (Taxonomy) Labels'!$F121,
template_selected_display_language='Footnote (Taxonomy) Labels'!$G$1,'Footnote (Taxonomy) Labels'!$G121,
template_selected_display_language='Footnote (Taxonomy) Labels'!$H$1,'Footnote (Taxonomy) Labels'!$H121,
template_selected_display_language='Footnote (Taxonomy) Labels'!$I$1,'Footnote (Taxonomy) Labels'!$I121,
template_selected_display_language='Footnote (Taxonomy) Labels'!$J$1,'Footnote (Taxonomy) Labels'!$J121,
template_selected_display_language='Footnote (Taxonomy) Labels'!$K$1,'Footnote (Taxonomy) Labels'!$K121,
template_selected_display_language='Footnote (Taxonomy) Labels'!$L$1,'Footnote (Taxonomy) Labels'!$L121,
template_selected_display_language='Footnote (Taxonomy) Labels'!$M$1,'Footnote (Taxonomy) Labels'!$M121
)</f>
        <v>Total number of temporary-workers provided by undertakings primarily engaged in employment activities</v>
      </c>
      <c r="B121" s="484" t="s">
        <v>10843</v>
      </c>
      <c r="C121" s="477" t="s">
        <v>7391</v>
      </c>
      <c r="D121" s="477" t="s">
        <v>10844</v>
      </c>
      <c r="E121" s="477" t="s">
        <v>10845</v>
      </c>
      <c r="F121" s="477" t="s">
        <v>10846</v>
      </c>
      <c r="G121" s="477" t="s">
        <v>10847</v>
      </c>
      <c r="H121" s="477" t="s">
        <v>7396</v>
      </c>
      <c r="I121" s="477" t="s">
        <v>7397</v>
      </c>
      <c r="J121" s="477" t="s">
        <v>7398</v>
      </c>
      <c r="K121" s="477" t="s">
        <v>7401</v>
      </c>
      <c r="L121" s="477" t="s">
        <v>10848</v>
      </c>
      <c r="M121" s="479" t="s">
        <v>10849</v>
      </c>
    </row>
    <row r="122" spans="1:13" ht="14.4" customHeight="1">
      <c r="A122" s="4" t="str" cm="1">
        <f t="array" ref="A122">_xlfn.IFS(
template_selected_display_language='Footnote (Taxonomy) Labels'!$B$1,'Footnote (Taxonomy) Labels'!$B122,
template_selected_display_language='Footnote (Taxonomy) Labels'!$C$1,'Footnote (Taxonomy) Labels'!$C122,
template_selected_display_language='Footnote (Taxonomy) Labels'!$D$1,'Footnote (Taxonomy) Labels'!$D122,
template_selected_display_language='Footnote (Taxonomy) Labels'!$E$1,'Footnote (Taxonomy) Labels'!$E122,
template_selected_display_language='Footnote (Taxonomy) Labels'!$F$1,'Footnote (Taxonomy) Labels'!$F122,
template_selected_display_language='Footnote (Taxonomy) Labels'!$G$1,'Footnote (Taxonomy) Labels'!$G122,
template_selected_display_language='Footnote (Taxonomy) Labels'!$H$1,'Footnote (Taxonomy) Labels'!$H122,
template_selected_display_language='Footnote (Taxonomy) Labels'!$I$1,'Footnote (Taxonomy) Labels'!$I122,
template_selected_display_language='Footnote (Taxonomy) Labels'!$J$1,'Footnote (Taxonomy) Labels'!$J122,
template_selected_display_language='Footnote (Taxonomy) Labels'!$K$1,'Footnote (Taxonomy) Labels'!$K122,
template_selected_display_language='Footnote (Taxonomy) Labels'!$L$1,'Footnote (Taxonomy) Labels'!$L122,
template_selected_display_language='Footnote (Taxonomy) Labels'!$M$1,'Footnote (Taxonomy) Labels'!$M122
)</f>
        <v>Undertaking has a code of conduct or human rights policy for its own workforce</v>
      </c>
      <c r="B122" s="484" t="s">
        <v>10850</v>
      </c>
      <c r="C122" s="477" t="s">
        <v>10851</v>
      </c>
      <c r="D122" s="477" t="s">
        <v>10852</v>
      </c>
      <c r="E122" s="477" t="s">
        <v>10853</v>
      </c>
      <c r="F122" s="477" t="s">
        <v>10854</v>
      </c>
      <c r="G122" s="477" t="s">
        <v>10855</v>
      </c>
      <c r="H122" s="477" t="s">
        <v>7419</v>
      </c>
      <c r="I122" s="477" t="s">
        <v>10856</v>
      </c>
      <c r="J122" s="477" t="s">
        <v>10857</v>
      </c>
      <c r="K122" s="477" t="s">
        <v>7424</v>
      </c>
      <c r="L122" s="477" t="s">
        <v>10858</v>
      </c>
      <c r="M122" s="479" t="s">
        <v>10859</v>
      </c>
    </row>
    <row r="123" spans="1:13" ht="14.4" customHeight="1">
      <c r="A123" s="4" t="str" cm="1">
        <f t="array" ref="A123">_xlfn.IFS(
template_selected_display_language='Footnote (Taxonomy) Labels'!$B$1,'Footnote (Taxonomy) Labels'!$B123,
template_selected_display_language='Footnote (Taxonomy) Labels'!$C$1,'Footnote (Taxonomy) Labels'!$C123,
template_selected_display_language='Footnote (Taxonomy) Labels'!$D$1,'Footnote (Taxonomy) Labels'!$D123,
template_selected_display_language='Footnote (Taxonomy) Labels'!$E$1,'Footnote (Taxonomy) Labels'!$E123,
template_selected_display_language='Footnote (Taxonomy) Labels'!$F$1,'Footnote (Taxonomy) Labels'!$F123,
template_selected_display_language='Footnote (Taxonomy) Labels'!$G$1,'Footnote (Taxonomy) Labels'!$G123,
template_selected_display_language='Footnote (Taxonomy) Labels'!$H$1,'Footnote (Taxonomy) Labels'!$H123,
template_selected_display_language='Footnote (Taxonomy) Labels'!$I$1,'Footnote (Taxonomy) Labels'!$I123,
template_selected_display_language='Footnote (Taxonomy) Labels'!$J$1,'Footnote (Taxonomy) Labels'!$J123,
template_selected_display_language='Footnote (Taxonomy) Labels'!$K$1,'Footnote (Taxonomy) Labels'!$K123,
template_selected_display_language='Footnote (Taxonomy) Labels'!$L$1,'Footnote (Taxonomy) Labels'!$L123,
template_selected_display_language='Footnote (Taxonomy) Labels'!$M$1,'Footnote (Taxonomy) Labels'!$M123
)</f>
        <v>Type of content covered by the code of conduct or human rights policy for its own workforce</v>
      </c>
      <c r="B123" s="484" t="s">
        <v>10860</v>
      </c>
      <c r="C123" s="477" t="s">
        <v>10861</v>
      </c>
      <c r="D123" s="477" t="s">
        <v>10862</v>
      </c>
      <c r="E123" s="477" t="s">
        <v>10863</v>
      </c>
      <c r="F123" s="477" t="s">
        <v>10864</v>
      </c>
      <c r="G123" s="477" t="s">
        <v>10865</v>
      </c>
      <c r="H123" s="477" t="s">
        <v>10866</v>
      </c>
      <c r="I123" s="477" t="s">
        <v>10867</v>
      </c>
      <c r="J123" s="477" t="s">
        <v>10868</v>
      </c>
      <c r="K123" s="477" t="s">
        <v>10869</v>
      </c>
      <c r="L123" s="477" t="s">
        <v>10870</v>
      </c>
      <c r="M123" s="479" t="s">
        <v>10871</v>
      </c>
    </row>
    <row r="124" spans="1:13" ht="14.4" customHeight="1">
      <c r="A124" s="4" t="str" cm="1">
        <f t="array" ref="A124">_xlfn.IFS(
template_selected_display_language='Footnote (Taxonomy) Labels'!$B$1,'Footnote (Taxonomy) Labels'!$B124,
template_selected_display_language='Footnote (Taxonomy) Labels'!$C$1,'Footnote (Taxonomy) Labels'!$C124,
template_selected_display_language='Footnote (Taxonomy) Labels'!$D$1,'Footnote (Taxonomy) Labels'!$D124,
template_selected_display_language='Footnote (Taxonomy) Labels'!$E$1,'Footnote (Taxonomy) Labels'!$E124,
template_selected_display_language='Footnote (Taxonomy) Labels'!$F$1,'Footnote (Taxonomy) Labels'!$F124,
template_selected_display_language='Footnote (Taxonomy) Labels'!$G$1,'Footnote (Taxonomy) Labels'!$G124,
template_selected_display_language='Footnote (Taxonomy) Labels'!$H$1,'Footnote (Taxonomy) Labels'!$H124,
template_selected_display_language='Footnote (Taxonomy) Labels'!$I$1,'Footnote (Taxonomy) Labels'!$I124,
template_selected_display_language='Footnote (Taxonomy) Labels'!$J$1,'Footnote (Taxonomy) Labels'!$J124,
template_selected_display_language='Footnote (Taxonomy) Labels'!$K$1,'Footnote (Taxonomy) Labels'!$K124,
template_selected_display_language='Footnote (Taxonomy) Labels'!$L$1,'Footnote (Taxonomy) Labels'!$L124,
template_selected_display_language='Footnote (Taxonomy) Labels'!$M$1,'Footnote (Taxonomy) Labels'!$M124
)</f>
        <v>Specification other types of content covered by the code of conduct or human rights policy</v>
      </c>
      <c r="B124" s="484" t="s">
        <v>10872</v>
      </c>
      <c r="C124" s="477" t="s">
        <v>10873</v>
      </c>
      <c r="D124" s="477" t="s">
        <v>10874</v>
      </c>
      <c r="E124" s="477" t="s">
        <v>10875</v>
      </c>
      <c r="F124" s="477" t="s">
        <v>10876</v>
      </c>
      <c r="G124" s="477" t="s">
        <v>10877</v>
      </c>
      <c r="H124" s="477" t="s">
        <v>10878</v>
      </c>
      <c r="I124" s="477" t="s">
        <v>10879</v>
      </c>
      <c r="J124" s="477" t="s">
        <v>10880</v>
      </c>
      <c r="K124" s="477" t="s">
        <v>10881</v>
      </c>
      <c r="L124" s="477" t="s">
        <v>10882</v>
      </c>
      <c r="M124" s="479" t="s">
        <v>10883</v>
      </c>
    </row>
    <row r="125" spans="1:13" ht="14.4" customHeight="1">
      <c r="A125" s="4" t="str" cm="1">
        <f t="array" ref="A125">_xlfn.IFS(
template_selected_display_language='Footnote (Taxonomy) Labels'!$B$1,'Footnote (Taxonomy) Labels'!$B125,
template_selected_display_language='Footnote (Taxonomy) Labels'!$C$1,'Footnote (Taxonomy) Labels'!$C125,
template_selected_display_language='Footnote (Taxonomy) Labels'!$D$1,'Footnote (Taxonomy) Labels'!$D125,
template_selected_display_language='Footnote (Taxonomy) Labels'!$E$1,'Footnote (Taxonomy) Labels'!$E125,
template_selected_display_language='Footnote (Taxonomy) Labels'!$F$1,'Footnote (Taxonomy) Labels'!$F125,
template_selected_display_language='Footnote (Taxonomy) Labels'!$G$1,'Footnote (Taxonomy) Labels'!$G125,
template_selected_display_language='Footnote (Taxonomy) Labels'!$H$1,'Footnote (Taxonomy) Labels'!$H125,
template_selected_display_language='Footnote (Taxonomy) Labels'!$I$1,'Footnote (Taxonomy) Labels'!$I125,
template_selected_display_language='Footnote (Taxonomy) Labels'!$J$1,'Footnote (Taxonomy) Labels'!$J125,
template_selected_display_language='Footnote (Taxonomy) Labels'!$K$1,'Footnote (Taxonomy) Labels'!$K125,
template_selected_display_language='Footnote (Taxonomy) Labels'!$L$1,'Footnote (Taxonomy) Labels'!$L125,
template_selected_display_language='Footnote (Taxonomy) Labels'!$M$1,'Footnote (Taxonomy) Labels'!$M125
)</f>
        <v>Undertaking has a complaint handling mechanism for its own workforce</v>
      </c>
      <c r="B125" s="484" t="s">
        <v>10884</v>
      </c>
      <c r="C125" s="477" t="s">
        <v>10885</v>
      </c>
      <c r="D125" s="477" t="s">
        <v>10886</v>
      </c>
      <c r="E125" s="477" t="s">
        <v>10887</v>
      </c>
      <c r="F125" s="477" t="s">
        <v>10888</v>
      </c>
      <c r="G125" s="477" t="s">
        <v>10889</v>
      </c>
      <c r="H125" s="477" t="s">
        <v>7534</v>
      </c>
      <c r="I125" s="477" t="s">
        <v>10890</v>
      </c>
      <c r="J125" s="477" t="s">
        <v>10891</v>
      </c>
      <c r="K125" s="477" t="s">
        <v>7539</v>
      </c>
      <c r="L125" s="477" t="s">
        <v>10892</v>
      </c>
      <c r="M125" s="479" t="s">
        <v>10893</v>
      </c>
    </row>
    <row r="126" spans="1:13" ht="14.4" customHeight="1">
      <c r="A126" s="4" t="str" cm="1">
        <f t="array" ref="A126">_xlfn.IFS(
template_selected_display_language='Footnote (Taxonomy) Labels'!$B$1,'Footnote (Taxonomy) Labels'!$B126,
template_selected_display_language='Footnote (Taxonomy) Labels'!$C$1,'Footnote (Taxonomy) Labels'!$C126,
template_selected_display_language='Footnote (Taxonomy) Labels'!$D$1,'Footnote (Taxonomy) Labels'!$D126,
template_selected_display_language='Footnote (Taxonomy) Labels'!$E$1,'Footnote (Taxonomy) Labels'!$E126,
template_selected_display_language='Footnote (Taxonomy) Labels'!$F$1,'Footnote (Taxonomy) Labels'!$F126,
template_selected_display_language='Footnote (Taxonomy) Labels'!$G$1,'Footnote (Taxonomy) Labels'!$G126,
template_selected_display_language='Footnote (Taxonomy) Labels'!$H$1,'Footnote (Taxonomy) Labels'!$H126,
template_selected_display_language='Footnote (Taxonomy) Labels'!$I$1,'Footnote (Taxonomy) Labels'!$I126,
template_selected_display_language='Footnote (Taxonomy) Labels'!$J$1,'Footnote (Taxonomy) Labels'!$J126,
template_selected_display_language='Footnote (Taxonomy) Labels'!$K$1,'Footnote (Taxonomy) Labels'!$K126,
template_selected_display_language='Footnote (Taxonomy) Labels'!$L$1,'Footnote (Taxonomy) Labels'!$L126,
template_selected_display_language='Footnote (Taxonomy) Labels'!$M$1,'Footnote (Taxonomy) Labels'!$M126
)</f>
        <v>Undertaking has confirmed human rights incidents in its own workforce</v>
      </c>
      <c r="B126" s="484" t="s">
        <v>10894</v>
      </c>
      <c r="C126" s="477" t="s">
        <v>10895</v>
      </c>
      <c r="D126" s="477" t="s">
        <v>10896</v>
      </c>
      <c r="E126" s="477" t="s">
        <v>10897</v>
      </c>
      <c r="F126" s="477" t="s">
        <v>10898</v>
      </c>
      <c r="G126" s="477" t="s">
        <v>10899</v>
      </c>
      <c r="H126" s="477" t="s">
        <v>10900</v>
      </c>
      <c r="I126" s="477" t="s">
        <v>10901</v>
      </c>
      <c r="J126" s="477" t="s">
        <v>10902</v>
      </c>
      <c r="K126" s="477" t="s">
        <v>10903</v>
      </c>
      <c r="L126" s="477" t="s">
        <v>10904</v>
      </c>
      <c r="M126" s="479" t="s">
        <v>10905</v>
      </c>
    </row>
    <row r="127" spans="1:13" ht="14.4" customHeight="1">
      <c r="A127" s="4" t="str" cm="1">
        <f t="array" ref="A127">_xlfn.IFS(
template_selected_display_language='Footnote (Taxonomy) Labels'!$B$1,'Footnote (Taxonomy) Labels'!$B127,
template_selected_display_language='Footnote (Taxonomy) Labels'!$C$1,'Footnote (Taxonomy) Labels'!$C127,
template_selected_display_language='Footnote (Taxonomy) Labels'!$D$1,'Footnote (Taxonomy) Labels'!$D127,
template_selected_display_language='Footnote (Taxonomy) Labels'!$E$1,'Footnote (Taxonomy) Labels'!$E127,
template_selected_display_language='Footnote (Taxonomy) Labels'!$F$1,'Footnote (Taxonomy) Labels'!$F127,
template_selected_display_language='Footnote (Taxonomy) Labels'!$G$1,'Footnote (Taxonomy) Labels'!$G127,
template_selected_display_language='Footnote (Taxonomy) Labels'!$H$1,'Footnote (Taxonomy) Labels'!$H127,
template_selected_display_language='Footnote (Taxonomy) Labels'!$I$1,'Footnote (Taxonomy) Labels'!$I127,
template_selected_display_language='Footnote (Taxonomy) Labels'!$J$1,'Footnote (Taxonomy) Labels'!$J127,
template_selected_display_language='Footnote (Taxonomy) Labels'!$K$1,'Footnote (Taxonomy) Labels'!$K127,
template_selected_display_language='Footnote (Taxonomy) Labels'!$L$1,'Footnote (Taxonomy) Labels'!$L127,
template_selected_display_language='Footnote (Taxonomy) Labels'!$M$1,'Footnote (Taxonomy) Labels'!$M127
)</f>
        <v>Type of human right related to the confirmed incident</v>
      </c>
      <c r="B127" s="484" t="s">
        <v>10906</v>
      </c>
      <c r="C127" s="477" t="s">
        <v>10907</v>
      </c>
      <c r="D127" s="477" t="s">
        <v>10908</v>
      </c>
      <c r="E127" s="477" t="s">
        <v>10909</v>
      </c>
      <c r="F127" s="477" t="s">
        <v>10910</v>
      </c>
      <c r="G127" s="477" t="s">
        <v>10911</v>
      </c>
      <c r="H127" s="477" t="s">
        <v>10912</v>
      </c>
      <c r="I127" s="477" t="s">
        <v>10913</v>
      </c>
      <c r="J127" s="477" t="s">
        <v>10914</v>
      </c>
      <c r="K127" s="477" t="s">
        <v>10915</v>
      </c>
      <c r="L127" s="477" t="s">
        <v>10916</v>
      </c>
      <c r="M127" s="479" t="s">
        <v>10917</v>
      </c>
    </row>
    <row r="128" spans="1:13" ht="14.4" customHeight="1">
      <c r="A128" s="4" t="str" cm="1">
        <f t="array" ref="A128">_xlfn.IFS(
template_selected_display_language='Footnote (Taxonomy) Labels'!$B$1,'Footnote (Taxonomy) Labels'!$B128,
template_selected_display_language='Footnote (Taxonomy) Labels'!$C$1,'Footnote (Taxonomy) Labels'!$C128,
template_selected_display_language='Footnote (Taxonomy) Labels'!$D$1,'Footnote (Taxonomy) Labels'!$D128,
template_selected_display_language='Footnote (Taxonomy) Labels'!$E$1,'Footnote (Taxonomy) Labels'!$E128,
template_selected_display_language='Footnote (Taxonomy) Labels'!$F$1,'Footnote (Taxonomy) Labels'!$F128,
template_selected_display_language='Footnote (Taxonomy) Labels'!$G$1,'Footnote (Taxonomy) Labels'!$G128,
template_selected_display_language='Footnote (Taxonomy) Labels'!$H$1,'Footnote (Taxonomy) Labels'!$H128,
template_selected_display_language='Footnote (Taxonomy) Labels'!$I$1,'Footnote (Taxonomy) Labels'!$I128,
template_selected_display_language='Footnote (Taxonomy) Labels'!$J$1,'Footnote (Taxonomy) Labels'!$J128,
template_selected_display_language='Footnote (Taxonomy) Labels'!$K$1,'Footnote (Taxonomy) Labels'!$K128,
template_selected_display_language='Footnote (Taxonomy) Labels'!$L$1,'Footnote (Taxonomy) Labels'!$L128,
template_selected_display_language='Footnote (Taxonomy) Labels'!$M$1,'Footnote (Taxonomy) Labels'!$M128
)</f>
        <v>Specification of other human rights related to the confirmed incident</v>
      </c>
      <c r="B128" s="484" t="s">
        <v>10918</v>
      </c>
      <c r="C128" s="477" t="s">
        <v>10919</v>
      </c>
      <c r="D128" s="477" t="s">
        <v>10920</v>
      </c>
      <c r="E128" s="477" t="s">
        <v>10921</v>
      </c>
      <c r="F128" s="477" t="s">
        <v>10922</v>
      </c>
      <c r="G128" s="477" t="s">
        <v>10923</v>
      </c>
      <c r="H128" s="477" t="s">
        <v>10924</v>
      </c>
      <c r="I128" s="477" t="s">
        <v>10925</v>
      </c>
      <c r="J128" s="477" t="s">
        <v>10926</v>
      </c>
      <c r="K128" s="477" t="s">
        <v>10927</v>
      </c>
      <c r="L128" s="477" t="s">
        <v>10928</v>
      </c>
      <c r="M128" s="479" t="s">
        <v>10929</v>
      </c>
    </row>
    <row r="129" spans="1:13" ht="14.4" customHeight="1">
      <c r="A129" s="4" t="str" cm="1">
        <f t="array" ref="A129">_xlfn.IFS(
template_selected_display_language='Footnote (Taxonomy) Labels'!$B$1,'Footnote (Taxonomy) Labels'!$B129,
template_selected_display_language='Footnote (Taxonomy) Labels'!$C$1,'Footnote (Taxonomy) Labels'!$C129,
template_selected_display_language='Footnote (Taxonomy) Labels'!$D$1,'Footnote (Taxonomy) Labels'!$D129,
template_selected_display_language='Footnote (Taxonomy) Labels'!$E$1,'Footnote (Taxonomy) Labels'!$E129,
template_selected_display_language='Footnote (Taxonomy) Labels'!$F$1,'Footnote (Taxonomy) Labels'!$F129,
template_selected_display_language='Footnote (Taxonomy) Labels'!$G$1,'Footnote (Taxonomy) Labels'!$G129,
template_selected_display_language='Footnote (Taxonomy) Labels'!$H$1,'Footnote (Taxonomy) Labels'!$H129,
template_selected_display_language='Footnote (Taxonomy) Labels'!$I$1,'Footnote (Taxonomy) Labels'!$I129,
template_selected_display_language='Footnote (Taxonomy) Labels'!$J$1,'Footnote (Taxonomy) Labels'!$J129,
template_selected_display_language='Footnote (Taxonomy) Labels'!$K$1,'Footnote (Taxonomy) Labels'!$K129,
template_selected_display_language='Footnote (Taxonomy) Labels'!$L$1,'Footnote (Taxonomy) Labels'!$L129,
template_selected_display_language='Footnote (Taxonomy) Labels'!$M$1,'Footnote (Taxonomy) Labels'!$M129
)</f>
        <v>Description of actions take to address the confirmed incidents</v>
      </c>
      <c r="B129" s="484" t="s">
        <v>10930</v>
      </c>
      <c r="C129" s="477" t="s">
        <v>10931</v>
      </c>
      <c r="D129" s="477" t="s">
        <v>10932</v>
      </c>
      <c r="E129" s="477" t="s">
        <v>7592</v>
      </c>
      <c r="F129" s="477" t="s">
        <v>7593</v>
      </c>
      <c r="G129" s="477" t="s">
        <v>10933</v>
      </c>
      <c r="H129" s="477" t="s">
        <v>7595</v>
      </c>
      <c r="I129" s="477" t="s">
        <v>10934</v>
      </c>
      <c r="J129" s="477" t="s">
        <v>10935</v>
      </c>
      <c r="K129" s="477" t="s">
        <v>10936</v>
      </c>
      <c r="L129" s="477" t="s">
        <v>7599</v>
      </c>
      <c r="M129" s="479" t="s">
        <v>7598</v>
      </c>
    </row>
    <row r="130" spans="1:13" ht="14.4" customHeight="1">
      <c r="A130" s="4" t="str" cm="1">
        <f t="array" ref="A130">_xlfn.IFS(
template_selected_display_language='Footnote (Taxonomy) Labels'!$B$1,'Footnote (Taxonomy) Labels'!$B130,
template_selected_display_language='Footnote (Taxonomy) Labels'!$C$1,'Footnote (Taxonomy) Labels'!$C130,
template_selected_display_language='Footnote (Taxonomy) Labels'!$D$1,'Footnote (Taxonomy) Labels'!$D130,
template_selected_display_language='Footnote (Taxonomy) Labels'!$E$1,'Footnote (Taxonomy) Labels'!$E130,
template_selected_display_language='Footnote (Taxonomy) Labels'!$F$1,'Footnote (Taxonomy) Labels'!$F130,
template_selected_display_language='Footnote (Taxonomy) Labels'!$G$1,'Footnote (Taxonomy) Labels'!$G130,
template_selected_display_language='Footnote (Taxonomy) Labels'!$H$1,'Footnote (Taxonomy) Labels'!$H130,
template_selected_display_language='Footnote (Taxonomy) Labels'!$I$1,'Footnote (Taxonomy) Labels'!$I130,
template_selected_display_language='Footnote (Taxonomy) Labels'!$J$1,'Footnote (Taxonomy) Labels'!$J130,
template_selected_display_language='Footnote (Taxonomy) Labels'!$K$1,'Footnote (Taxonomy) Labels'!$K130,
template_selected_display_language='Footnote (Taxonomy) Labels'!$L$1,'Footnote (Taxonomy) Labels'!$L130,
template_selected_display_language='Footnote (Taxonomy) Labels'!$M$1,'Footnote (Taxonomy) Labels'!$M130
)</f>
        <v>Undertaking aware of any confirmed incidents involving workers in the value chain, affected communities, consumers and end-users</v>
      </c>
      <c r="B130" s="484" t="s">
        <v>10937</v>
      </c>
      <c r="C130" s="477" t="s">
        <v>10938</v>
      </c>
      <c r="D130" s="477" t="s">
        <v>10939</v>
      </c>
      <c r="E130" s="477" t="s">
        <v>10940</v>
      </c>
      <c r="F130" s="477" t="s">
        <v>10941</v>
      </c>
      <c r="G130" s="477" t="s">
        <v>10942</v>
      </c>
      <c r="H130" s="477" t="s">
        <v>10943</v>
      </c>
      <c r="I130" s="477" t="s">
        <v>10944</v>
      </c>
      <c r="J130" s="477" t="s">
        <v>10945</v>
      </c>
      <c r="K130" s="477" t="s">
        <v>10946</v>
      </c>
      <c r="L130" s="477" t="s">
        <v>10947</v>
      </c>
      <c r="M130" s="479" t="s">
        <v>10948</v>
      </c>
    </row>
    <row r="131" spans="1:13" ht="14.4" customHeight="1">
      <c r="A131" s="4" t="str" cm="1">
        <f t="array" ref="A131">_xlfn.IFS(
template_selected_display_language='Footnote (Taxonomy) Labels'!$B$1,'Footnote (Taxonomy) Labels'!$B131,
template_selected_display_language='Footnote (Taxonomy) Labels'!$C$1,'Footnote (Taxonomy) Labels'!$C131,
template_selected_display_language='Footnote (Taxonomy) Labels'!$D$1,'Footnote (Taxonomy) Labels'!$D131,
template_selected_display_language='Footnote (Taxonomy) Labels'!$E$1,'Footnote (Taxonomy) Labels'!$E131,
template_selected_display_language='Footnote (Taxonomy) Labels'!$F$1,'Footnote (Taxonomy) Labels'!$F131,
template_selected_display_language='Footnote (Taxonomy) Labels'!$G$1,'Footnote (Taxonomy) Labels'!$G131,
template_selected_display_language='Footnote (Taxonomy) Labels'!$H$1,'Footnote (Taxonomy) Labels'!$H131,
template_selected_display_language='Footnote (Taxonomy) Labels'!$I$1,'Footnote (Taxonomy) Labels'!$I131,
template_selected_display_language='Footnote (Taxonomy) Labels'!$J$1,'Footnote (Taxonomy) Labels'!$J131,
template_selected_display_language='Footnote (Taxonomy) Labels'!$K$1,'Footnote (Taxonomy) Labels'!$K131,
template_selected_display_language='Footnote (Taxonomy) Labels'!$L$1,'Footnote (Taxonomy) Labels'!$L131,
template_selected_display_language='Footnote (Taxonomy) Labels'!$M$1,'Footnote (Taxonomy) Labels'!$M131
)</f>
        <v>Specification of any confirmed incident involving workers in the value chain, affected communities, consumers and end-users</v>
      </c>
      <c r="B131" s="484" t="s">
        <v>10949</v>
      </c>
      <c r="C131" s="477" t="s">
        <v>10950</v>
      </c>
      <c r="D131" s="477" t="s">
        <v>10951</v>
      </c>
      <c r="E131" s="477" t="s">
        <v>10952</v>
      </c>
      <c r="F131" s="477" t="s">
        <v>7619</v>
      </c>
      <c r="G131" s="477" t="s">
        <v>10953</v>
      </c>
      <c r="H131" s="477" t="s">
        <v>10954</v>
      </c>
      <c r="I131" s="477" t="s">
        <v>10955</v>
      </c>
      <c r="J131" s="477" t="s">
        <v>7623</v>
      </c>
      <c r="K131" s="477" t="s">
        <v>7626</v>
      </c>
      <c r="L131" s="477" t="s">
        <v>10956</v>
      </c>
      <c r="M131" s="479" t="s">
        <v>10957</v>
      </c>
    </row>
    <row r="132" spans="1:13" ht="14.4" customHeight="1">
      <c r="A132" s="4" t="str" cm="1">
        <f t="array" ref="A132">_xlfn.IFS(
template_selected_display_language='Footnote (Taxonomy) Labels'!$B$1,'Footnote (Taxonomy) Labels'!$B132,
template_selected_display_language='Footnote (Taxonomy) Labels'!$C$1,'Footnote (Taxonomy) Labels'!$C132,
template_selected_display_language='Footnote (Taxonomy) Labels'!$D$1,'Footnote (Taxonomy) Labels'!$D132,
template_selected_display_language='Footnote (Taxonomy) Labels'!$E$1,'Footnote (Taxonomy) Labels'!$E132,
template_selected_display_language='Footnote (Taxonomy) Labels'!$F$1,'Footnote (Taxonomy) Labels'!$F132,
template_selected_display_language='Footnote (Taxonomy) Labels'!$G$1,'Footnote (Taxonomy) Labels'!$G132,
template_selected_display_language='Footnote (Taxonomy) Labels'!$H$1,'Footnote (Taxonomy) Labels'!$H132,
template_selected_display_language='Footnote (Taxonomy) Labels'!$I$1,'Footnote (Taxonomy) Labels'!$I132,
template_selected_display_language='Footnote (Taxonomy) Labels'!$J$1,'Footnote (Taxonomy) Labels'!$J132,
template_selected_display_language='Footnote (Taxonomy) Labels'!$K$1,'Footnote (Taxonomy) Labels'!$K132,
template_selected_display_language='Footnote (Taxonomy) Labels'!$L$1,'Footnote (Taxonomy) Labels'!$L132,
template_selected_display_language='Footnote (Taxonomy) Labels'!$M$1,'Footnote (Taxonomy) Labels'!$M132
)</f>
        <v xml:space="preserve">Revenue derived from controversial weapons (anti-personnel mines, cluster munitions, chemical weapons and biological weapons) </v>
      </c>
      <c r="B132" s="484" t="s">
        <v>10958</v>
      </c>
      <c r="C132" s="477" t="s">
        <v>10959</v>
      </c>
      <c r="D132" s="477" t="s">
        <v>10960</v>
      </c>
      <c r="E132" s="477" t="s">
        <v>7729</v>
      </c>
      <c r="F132" s="477" t="s">
        <v>7730</v>
      </c>
      <c r="G132" s="477" t="s">
        <v>10961</v>
      </c>
      <c r="H132" s="477" t="s">
        <v>7732</v>
      </c>
      <c r="I132" s="477" t="s">
        <v>10962</v>
      </c>
      <c r="J132" s="477" t="s">
        <v>7734</v>
      </c>
      <c r="K132" s="477" t="s">
        <v>7737</v>
      </c>
      <c r="L132" s="477" t="s">
        <v>7736</v>
      </c>
      <c r="M132" s="479" t="s">
        <v>10963</v>
      </c>
    </row>
    <row r="133" spans="1:13" ht="14.4" customHeight="1">
      <c r="A133" s="4" t="str" cm="1">
        <f t="array" ref="A133">_xlfn.IFS(
template_selected_display_language='Footnote (Taxonomy) Labels'!$B$1,'Footnote (Taxonomy) Labels'!$B133,
template_selected_display_language='Footnote (Taxonomy) Labels'!$C$1,'Footnote (Taxonomy) Labels'!$C133,
template_selected_display_language='Footnote (Taxonomy) Labels'!$D$1,'Footnote (Taxonomy) Labels'!$D133,
template_selected_display_language='Footnote (Taxonomy) Labels'!$E$1,'Footnote (Taxonomy) Labels'!$E133,
template_selected_display_language='Footnote (Taxonomy) Labels'!$F$1,'Footnote (Taxonomy) Labels'!$F133,
template_selected_display_language='Footnote (Taxonomy) Labels'!$G$1,'Footnote (Taxonomy) Labels'!$G133,
template_selected_display_language='Footnote (Taxonomy) Labels'!$H$1,'Footnote (Taxonomy) Labels'!$H133,
template_selected_display_language='Footnote (Taxonomy) Labels'!$I$1,'Footnote (Taxonomy) Labels'!$I133,
template_selected_display_language='Footnote (Taxonomy) Labels'!$J$1,'Footnote (Taxonomy) Labels'!$J133,
template_selected_display_language='Footnote (Taxonomy) Labels'!$K$1,'Footnote (Taxonomy) Labels'!$K133,
template_selected_display_language='Footnote (Taxonomy) Labels'!$L$1,'Footnote (Taxonomy) Labels'!$L133,
template_selected_display_language='Footnote (Taxonomy) Labels'!$M$1,'Footnote (Taxonomy) Labels'!$M133
)</f>
        <v>Revenue derived from cultivation and production of tobacco</v>
      </c>
      <c r="B133" s="484" t="s">
        <v>7739</v>
      </c>
      <c r="C133" s="477" t="s">
        <v>7740</v>
      </c>
      <c r="D133" s="477" t="s">
        <v>10964</v>
      </c>
      <c r="E133" s="477" t="s">
        <v>7742</v>
      </c>
      <c r="F133" s="477" t="s">
        <v>7743</v>
      </c>
      <c r="G133" s="477" t="s">
        <v>10965</v>
      </c>
      <c r="H133" s="477" t="s">
        <v>10966</v>
      </c>
      <c r="I133" s="477" t="s">
        <v>10967</v>
      </c>
      <c r="J133" s="477" t="s">
        <v>7747</v>
      </c>
      <c r="K133" s="477" t="s">
        <v>10968</v>
      </c>
      <c r="L133" s="477" t="s">
        <v>7749</v>
      </c>
      <c r="M133" s="479" t="s">
        <v>7748</v>
      </c>
    </row>
    <row r="134" spans="1:13" ht="14.4" customHeight="1">
      <c r="A134" s="4" t="str" cm="1">
        <f t="array" ref="A134">_xlfn.IFS(
template_selected_display_language='Footnote (Taxonomy) Labels'!$B$1,'Footnote (Taxonomy) Labels'!$B134,
template_selected_display_language='Footnote (Taxonomy) Labels'!$C$1,'Footnote (Taxonomy) Labels'!$C134,
template_selected_display_language='Footnote (Taxonomy) Labels'!$D$1,'Footnote (Taxonomy) Labels'!$D134,
template_selected_display_language='Footnote (Taxonomy) Labels'!$E$1,'Footnote (Taxonomy) Labels'!$E134,
template_selected_display_language='Footnote (Taxonomy) Labels'!$F$1,'Footnote (Taxonomy) Labels'!$F134,
template_selected_display_language='Footnote (Taxonomy) Labels'!$G$1,'Footnote (Taxonomy) Labels'!$G134,
template_selected_display_language='Footnote (Taxonomy) Labels'!$H$1,'Footnote (Taxonomy) Labels'!$H134,
template_selected_display_language='Footnote (Taxonomy) Labels'!$I$1,'Footnote (Taxonomy) Labels'!$I134,
template_selected_display_language='Footnote (Taxonomy) Labels'!$J$1,'Footnote (Taxonomy) Labels'!$J134,
template_selected_display_language='Footnote (Taxonomy) Labels'!$K$1,'Footnote (Taxonomy) Labels'!$K134,
template_selected_display_language='Footnote (Taxonomy) Labels'!$L$1,'Footnote (Taxonomy) Labels'!$L134,
template_selected_display_language='Footnote (Taxonomy) Labels'!$M$1,'Footnote (Taxonomy) Labels'!$M134
)</f>
        <v>Total revenues derived from fossil (fuel, coal and gas) sector</v>
      </c>
      <c r="B134" s="484" t="s">
        <v>10969</v>
      </c>
      <c r="C134" s="477" t="s">
        <v>10970</v>
      </c>
      <c r="D134" s="477" t="s">
        <v>10971</v>
      </c>
      <c r="E134" s="477" t="s">
        <v>10972</v>
      </c>
      <c r="F134" s="477" t="s">
        <v>10973</v>
      </c>
      <c r="G134" s="477" t="s">
        <v>10974</v>
      </c>
      <c r="H134" s="477" t="s">
        <v>10975</v>
      </c>
      <c r="I134" s="477" t="s">
        <v>10976</v>
      </c>
      <c r="J134" s="477" t="s">
        <v>10977</v>
      </c>
      <c r="K134" s="477" t="s">
        <v>10978</v>
      </c>
      <c r="L134" s="477" t="s">
        <v>10979</v>
      </c>
      <c r="M134" s="479" t="s">
        <v>10980</v>
      </c>
    </row>
    <row r="135" spans="1:13" ht="14.4" customHeight="1">
      <c r="A135" s="4" t="str" cm="1">
        <f t="array" ref="A135">_xlfn.IFS(
template_selected_display_language='Footnote (Taxonomy) Labels'!$B$1,'Footnote (Taxonomy) Labels'!$B135,
template_selected_display_language='Footnote (Taxonomy) Labels'!$C$1,'Footnote (Taxonomy) Labels'!$C135,
template_selected_display_language='Footnote (Taxonomy) Labels'!$D$1,'Footnote (Taxonomy) Labels'!$D135,
template_selected_display_language='Footnote (Taxonomy) Labels'!$E$1,'Footnote (Taxonomy) Labels'!$E135,
template_selected_display_language='Footnote (Taxonomy) Labels'!$F$1,'Footnote (Taxonomy) Labels'!$F135,
template_selected_display_language='Footnote (Taxonomy) Labels'!$G$1,'Footnote (Taxonomy) Labels'!$G135,
template_selected_display_language='Footnote (Taxonomy) Labels'!$H$1,'Footnote (Taxonomy) Labels'!$H135,
template_selected_display_language='Footnote (Taxonomy) Labels'!$I$1,'Footnote (Taxonomy) Labels'!$I135,
template_selected_display_language='Footnote (Taxonomy) Labels'!$J$1,'Footnote (Taxonomy) Labels'!$J135,
template_selected_display_language='Footnote (Taxonomy) Labels'!$K$1,'Footnote (Taxonomy) Labels'!$K135,
template_selected_display_language='Footnote (Taxonomy) Labels'!$L$1,'Footnote (Taxonomy) Labels'!$L135,
template_selected_display_language='Footnote (Taxonomy) Labels'!$M$1,'Footnote (Taxonomy) Labels'!$M135
)</f>
        <v>Revenue derived from coal</v>
      </c>
      <c r="B135" s="484" t="s">
        <v>7752</v>
      </c>
      <c r="C135" s="477" t="s">
        <v>10981</v>
      </c>
      <c r="D135" s="477" t="s">
        <v>7754</v>
      </c>
      <c r="E135" s="477" t="s">
        <v>7755</v>
      </c>
      <c r="F135" s="477" t="s">
        <v>7756</v>
      </c>
      <c r="G135" s="477" t="s">
        <v>10982</v>
      </c>
      <c r="H135" s="477" t="s">
        <v>7758</v>
      </c>
      <c r="I135" s="477" t="s">
        <v>10983</v>
      </c>
      <c r="J135" s="477" t="s">
        <v>7760</v>
      </c>
      <c r="K135" s="477" t="s">
        <v>7763</v>
      </c>
      <c r="L135" s="477" t="s">
        <v>7762</v>
      </c>
      <c r="M135" s="479" t="s">
        <v>10984</v>
      </c>
    </row>
    <row r="136" spans="1:13" ht="14.4" customHeight="1">
      <c r="A136" s="4" t="str" cm="1">
        <f t="array" ref="A136">_xlfn.IFS(
template_selected_display_language='Footnote (Taxonomy) Labels'!$B$1,'Footnote (Taxonomy) Labels'!$B136,
template_selected_display_language='Footnote (Taxonomy) Labels'!$C$1,'Footnote (Taxonomy) Labels'!$C136,
template_selected_display_language='Footnote (Taxonomy) Labels'!$D$1,'Footnote (Taxonomy) Labels'!$D136,
template_selected_display_language='Footnote (Taxonomy) Labels'!$E$1,'Footnote (Taxonomy) Labels'!$E136,
template_selected_display_language='Footnote (Taxonomy) Labels'!$F$1,'Footnote (Taxonomy) Labels'!$F136,
template_selected_display_language='Footnote (Taxonomy) Labels'!$G$1,'Footnote (Taxonomy) Labels'!$G136,
template_selected_display_language='Footnote (Taxonomy) Labels'!$H$1,'Footnote (Taxonomy) Labels'!$H136,
template_selected_display_language='Footnote (Taxonomy) Labels'!$I$1,'Footnote (Taxonomy) Labels'!$I136,
template_selected_display_language='Footnote (Taxonomy) Labels'!$J$1,'Footnote (Taxonomy) Labels'!$J136,
template_selected_display_language='Footnote (Taxonomy) Labels'!$K$1,'Footnote (Taxonomy) Labels'!$K136,
template_selected_display_language='Footnote (Taxonomy) Labels'!$L$1,'Footnote (Taxonomy) Labels'!$L136,
template_selected_display_language='Footnote (Taxonomy) Labels'!$M$1,'Footnote (Taxonomy) Labels'!$M136
)</f>
        <v>Revenue derived from oil</v>
      </c>
      <c r="B136" s="484" t="s">
        <v>7765</v>
      </c>
      <c r="C136" s="477" t="s">
        <v>10985</v>
      </c>
      <c r="D136" s="477" t="s">
        <v>7767</v>
      </c>
      <c r="E136" s="477" t="s">
        <v>7768</v>
      </c>
      <c r="F136" s="477" t="s">
        <v>7769</v>
      </c>
      <c r="G136" s="477" t="s">
        <v>10986</v>
      </c>
      <c r="H136" s="477" t="s">
        <v>7771</v>
      </c>
      <c r="I136" s="477" t="s">
        <v>7772</v>
      </c>
      <c r="J136" s="477" t="s">
        <v>7773</v>
      </c>
      <c r="K136" s="477" t="s">
        <v>7776</v>
      </c>
      <c r="L136" s="477" t="s">
        <v>7775</v>
      </c>
      <c r="M136" s="479" t="s">
        <v>10987</v>
      </c>
    </row>
    <row r="137" spans="1:13" ht="14.4" customHeight="1">
      <c r="A137" s="4" t="str" cm="1">
        <f t="array" ref="A137">_xlfn.IFS(
template_selected_display_language='Footnote (Taxonomy) Labels'!$B$1,'Footnote (Taxonomy) Labels'!$B137,
template_selected_display_language='Footnote (Taxonomy) Labels'!$C$1,'Footnote (Taxonomy) Labels'!$C137,
template_selected_display_language='Footnote (Taxonomy) Labels'!$D$1,'Footnote (Taxonomy) Labels'!$D137,
template_selected_display_language='Footnote (Taxonomy) Labels'!$E$1,'Footnote (Taxonomy) Labels'!$E137,
template_selected_display_language='Footnote (Taxonomy) Labels'!$F$1,'Footnote (Taxonomy) Labels'!$F137,
template_selected_display_language='Footnote (Taxonomy) Labels'!$G$1,'Footnote (Taxonomy) Labels'!$G137,
template_selected_display_language='Footnote (Taxonomy) Labels'!$H$1,'Footnote (Taxonomy) Labels'!$H137,
template_selected_display_language='Footnote (Taxonomy) Labels'!$I$1,'Footnote (Taxonomy) Labels'!$I137,
template_selected_display_language='Footnote (Taxonomy) Labels'!$J$1,'Footnote (Taxonomy) Labels'!$J137,
template_selected_display_language='Footnote (Taxonomy) Labels'!$K$1,'Footnote (Taxonomy) Labels'!$K137,
template_selected_display_language='Footnote (Taxonomy) Labels'!$L$1,'Footnote (Taxonomy) Labels'!$L137,
template_selected_display_language='Footnote (Taxonomy) Labels'!$M$1,'Footnote (Taxonomy) Labels'!$M137
)</f>
        <v>Revenue derived from gas</v>
      </c>
      <c r="B137" s="484" t="s">
        <v>7778</v>
      </c>
      <c r="C137" s="477" t="s">
        <v>10988</v>
      </c>
      <c r="D137" s="477" t="s">
        <v>10989</v>
      </c>
      <c r="E137" s="477" t="s">
        <v>7781</v>
      </c>
      <c r="F137" s="477" t="s">
        <v>7782</v>
      </c>
      <c r="G137" s="477" t="s">
        <v>10990</v>
      </c>
      <c r="H137" s="477" t="s">
        <v>7784</v>
      </c>
      <c r="I137" s="477" t="s">
        <v>7785</v>
      </c>
      <c r="J137" s="477" t="s">
        <v>7786</v>
      </c>
      <c r="K137" s="477" t="s">
        <v>7789</v>
      </c>
      <c r="L137" s="477" t="s">
        <v>7788</v>
      </c>
      <c r="M137" s="479" t="s">
        <v>10991</v>
      </c>
    </row>
    <row r="138" spans="1:13" ht="14.4" customHeight="1">
      <c r="A138" s="4" t="str" cm="1">
        <f t="array" ref="A138">_xlfn.IFS(
template_selected_display_language='Footnote (Taxonomy) Labels'!$B$1,'Footnote (Taxonomy) Labels'!$B138,
template_selected_display_language='Footnote (Taxonomy) Labels'!$C$1,'Footnote (Taxonomy) Labels'!$C138,
template_selected_display_language='Footnote (Taxonomy) Labels'!$D$1,'Footnote (Taxonomy) Labels'!$D138,
template_selected_display_language='Footnote (Taxonomy) Labels'!$E$1,'Footnote (Taxonomy) Labels'!$E138,
template_selected_display_language='Footnote (Taxonomy) Labels'!$F$1,'Footnote (Taxonomy) Labels'!$F138,
template_selected_display_language='Footnote (Taxonomy) Labels'!$G$1,'Footnote (Taxonomy) Labels'!$G138,
template_selected_display_language='Footnote (Taxonomy) Labels'!$H$1,'Footnote (Taxonomy) Labels'!$H138,
template_selected_display_language='Footnote (Taxonomy) Labels'!$I$1,'Footnote (Taxonomy) Labels'!$I138,
template_selected_display_language='Footnote (Taxonomy) Labels'!$J$1,'Footnote (Taxonomy) Labels'!$J138,
template_selected_display_language='Footnote (Taxonomy) Labels'!$K$1,'Footnote (Taxonomy) Labels'!$K138,
template_selected_display_language='Footnote (Taxonomy) Labels'!$L$1,'Footnote (Taxonomy) Labels'!$L138,
template_selected_display_language='Footnote (Taxonomy) Labels'!$M$1,'Footnote (Taxonomy) Labels'!$M138
)</f>
        <v>Revenue derived from chemical production</v>
      </c>
      <c r="B138" s="484" t="s">
        <v>10992</v>
      </c>
      <c r="C138" s="477" t="s">
        <v>10993</v>
      </c>
      <c r="D138" s="477" t="s">
        <v>10994</v>
      </c>
      <c r="E138" s="477" t="s">
        <v>7807</v>
      </c>
      <c r="F138" s="477" t="s">
        <v>7808</v>
      </c>
      <c r="G138" s="477" t="s">
        <v>7809</v>
      </c>
      <c r="H138" s="477" t="s">
        <v>7810</v>
      </c>
      <c r="I138" s="477" t="s">
        <v>7811</v>
      </c>
      <c r="J138" s="477" t="s">
        <v>7812</v>
      </c>
      <c r="K138" s="477" t="s">
        <v>10995</v>
      </c>
      <c r="L138" s="477" t="s">
        <v>10996</v>
      </c>
      <c r="M138" s="479" t="s">
        <v>10997</v>
      </c>
    </row>
    <row r="139" spans="1:13" ht="14.4" customHeight="1">
      <c r="A139" s="4" t="str" cm="1">
        <f t="array" ref="A139">_xlfn.IFS(
template_selected_display_language='Footnote (Taxonomy) Labels'!$B$1,'Footnote (Taxonomy) Labels'!$B139,
template_selected_display_language='Footnote (Taxonomy) Labels'!$C$1,'Footnote (Taxonomy) Labels'!$C139,
template_selected_display_language='Footnote (Taxonomy) Labels'!$D$1,'Footnote (Taxonomy) Labels'!$D139,
template_selected_display_language='Footnote (Taxonomy) Labels'!$E$1,'Footnote (Taxonomy) Labels'!$E139,
template_selected_display_language='Footnote (Taxonomy) Labels'!$F$1,'Footnote (Taxonomy) Labels'!$F139,
template_selected_display_language='Footnote (Taxonomy) Labels'!$G$1,'Footnote (Taxonomy) Labels'!$G139,
template_selected_display_language='Footnote (Taxonomy) Labels'!$H$1,'Footnote (Taxonomy) Labels'!$H139,
template_selected_display_language='Footnote (Taxonomy) Labels'!$I$1,'Footnote (Taxonomy) Labels'!$I139,
template_selected_display_language='Footnote (Taxonomy) Labels'!$J$1,'Footnote (Taxonomy) Labels'!$J139,
template_selected_display_language='Footnote (Taxonomy) Labels'!$K$1,'Footnote (Taxonomy) Labels'!$K139,
template_selected_display_language='Footnote (Taxonomy) Labels'!$L$1,'Footnote (Taxonomy) Labels'!$L139,
template_selected_display_language='Footnote (Taxonomy) Labels'!$M$1,'Footnote (Taxonomy) Labels'!$M139
)</f>
        <v xml:space="preserve">Undertakings are excluded from any EU reference benchmarks that are aligned with the Paris Agreement </v>
      </c>
      <c r="B139" s="484" t="s">
        <v>10998</v>
      </c>
      <c r="C139" s="477" t="s">
        <v>10999</v>
      </c>
      <c r="D139" s="477" t="s">
        <v>11000</v>
      </c>
      <c r="E139" s="477" t="s">
        <v>11001</v>
      </c>
      <c r="F139" s="477" t="s">
        <v>11002</v>
      </c>
      <c r="G139" s="477" t="s">
        <v>11003</v>
      </c>
      <c r="H139" s="477" t="s">
        <v>11004</v>
      </c>
      <c r="I139" s="477" t="s">
        <v>11005</v>
      </c>
      <c r="J139" s="477" t="s">
        <v>11006</v>
      </c>
      <c r="K139" s="477" t="s">
        <v>11007</v>
      </c>
      <c r="L139" s="477" t="s">
        <v>11008</v>
      </c>
      <c r="M139" s="479" t="s">
        <v>11009</v>
      </c>
    </row>
    <row r="140" spans="1:13" ht="14.4" customHeight="1">
      <c r="A140" s="4" t="str" cm="1">
        <f t="array" ref="A140">_xlfn.IFS(
template_selected_display_language='Footnote (Taxonomy) Labels'!$B$1,'Footnote (Taxonomy) Labels'!$B140,
template_selected_display_language='Footnote (Taxonomy) Labels'!$C$1,'Footnote (Taxonomy) Labels'!$C140,
template_selected_display_language='Footnote (Taxonomy) Labels'!$D$1,'Footnote (Taxonomy) Labels'!$D140,
template_selected_display_language='Footnote (Taxonomy) Labels'!$E$1,'Footnote (Taxonomy) Labels'!$E140,
template_selected_display_language='Footnote (Taxonomy) Labels'!$F$1,'Footnote (Taxonomy) Labels'!$F140,
template_selected_display_language='Footnote (Taxonomy) Labels'!$G$1,'Footnote (Taxonomy) Labels'!$G140,
template_selected_display_language='Footnote (Taxonomy) Labels'!$H$1,'Footnote (Taxonomy) Labels'!$H140,
template_selected_display_language='Footnote (Taxonomy) Labels'!$I$1,'Footnote (Taxonomy) Labels'!$I140,
template_selected_display_language='Footnote (Taxonomy) Labels'!$J$1,'Footnote (Taxonomy) Labels'!$J140,
template_selected_display_language='Footnote (Taxonomy) Labels'!$K$1,'Footnote (Taxonomy) Labels'!$K140,
template_selected_display_language='Footnote (Taxonomy) Labels'!$L$1,'Footnote (Taxonomy) Labels'!$L140,
template_selected_display_language='Footnote (Taxonomy) Labels'!$M$1,'Footnote (Taxonomy) Labels'!$M140
)</f>
        <v>Gender diversity ratio in governance body</v>
      </c>
      <c r="B140" s="484" t="s">
        <v>7878</v>
      </c>
      <c r="C140" s="477" t="s">
        <v>11010</v>
      </c>
      <c r="D140" s="477" t="s">
        <v>11011</v>
      </c>
      <c r="E140" s="477" t="s">
        <v>11012</v>
      </c>
      <c r="F140" s="477" t="s">
        <v>11013</v>
      </c>
      <c r="G140" s="477" t="s">
        <v>11014</v>
      </c>
      <c r="H140" s="477" t="s">
        <v>7833</v>
      </c>
      <c r="I140" s="477" t="s">
        <v>11015</v>
      </c>
      <c r="J140" s="477" t="s">
        <v>7885</v>
      </c>
      <c r="K140" s="477" t="s">
        <v>7888</v>
      </c>
      <c r="L140" s="477" t="s">
        <v>11016</v>
      </c>
      <c r="M140" s="479" t="s">
        <v>7886</v>
      </c>
    </row>
    <row r="141" spans="1:13" ht="14.4" customHeight="1">
      <c r="A141" s="4" t="str" cm="1">
        <f t="array" ref="A141">_xlfn.IFS(
template_selected_display_language='Footnote (Taxonomy) Labels'!$B$1,'Footnote (Taxonomy) Labels'!$B141,
template_selected_display_language='Footnote (Taxonomy) Labels'!$C$1,'Footnote (Taxonomy) Labels'!$C141,
template_selected_display_language='Footnote (Taxonomy) Labels'!$D$1,'Footnote (Taxonomy) Labels'!$D141,
template_selected_display_language='Footnote (Taxonomy) Labels'!$E$1,'Footnote (Taxonomy) Labels'!$E141,
template_selected_display_language='Footnote (Taxonomy) Labels'!$F$1,'Footnote (Taxonomy) Labels'!$F141,
template_selected_display_language='Footnote (Taxonomy) Labels'!$G$1,'Footnote (Taxonomy) Labels'!$G141,
template_selected_display_language='Footnote (Taxonomy) Labels'!$H$1,'Footnote (Taxonomy) Labels'!$H141,
template_selected_display_language='Footnote (Taxonomy) Labels'!$I$1,'Footnote (Taxonomy) Labels'!$I141,
template_selected_display_language='Footnote (Taxonomy) Labels'!$J$1,'Footnote (Taxonomy) Labels'!$J141,
template_selected_display_language='Footnote (Taxonomy) Labels'!$K$1,'Footnote (Taxonomy) Labels'!$K141,
template_selected_display_language='Footnote (Taxonomy) Labels'!$L$1,'Footnote (Taxonomy) Labels'!$L141,
template_selected_display_language='Footnote (Taxonomy) Labels'!$M$1,'Footnote (Taxonomy) Labels'!$M141
)</f>
        <v>Disclosure of any other general and/or entity specific information</v>
      </c>
      <c r="B141" s="484" t="s">
        <v>6834</v>
      </c>
      <c r="C141" s="477" t="s">
        <v>11017</v>
      </c>
      <c r="D141" s="477" t="s">
        <v>11018</v>
      </c>
      <c r="E141" s="477" t="s">
        <v>11019</v>
      </c>
      <c r="F141" s="477" t="s">
        <v>11020</v>
      </c>
      <c r="G141" s="477" t="s">
        <v>11021</v>
      </c>
      <c r="H141" s="477" t="s">
        <v>11022</v>
      </c>
      <c r="I141" s="477" t="s">
        <v>11023</v>
      </c>
      <c r="J141" s="477" t="s">
        <v>11024</v>
      </c>
      <c r="K141" s="477" t="s">
        <v>6845</v>
      </c>
      <c r="L141" s="477" t="s">
        <v>11025</v>
      </c>
      <c r="M141" s="479" t="s">
        <v>11026</v>
      </c>
    </row>
    <row r="142" spans="1:13" ht="14.4" customHeight="1">
      <c r="A142" s="4" t="str" cm="1">
        <f t="array" ref="A142">_xlfn.IFS(
template_selected_display_language='Footnote (Taxonomy) Labels'!$B$1,'Footnote (Taxonomy) Labels'!$B142,
template_selected_display_language='Footnote (Taxonomy) Labels'!$C$1,'Footnote (Taxonomy) Labels'!$C142,
template_selected_display_language='Footnote (Taxonomy) Labels'!$D$1,'Footnote (Taxonomy) Labels'!$D142,
template_selected_display_language='Footnote (Taxonomy) Labels'!$E$1,'Footnote (Taxonomy) Labels'!$E142,
template_selected_display_language='Footnote (Taxonomy) Labels'!$F$1,'Footnote (Taxonomy) Labels'!$F142,
template_selected_display_language='Footnote (Taxonomy) Labels'!$G$1,'Footnote (Taxonomy) Labels'!$G142,
template_selected_display_language='Footnote (Taxonomy) Labels'!$H$1,'Footnote (Taxonomy) Labels'!$H142,
template_selected_display_language='Footnote (Taxonomy) Labels'!$I$1,'Footnote (Taxonomy) Labels'!$I142,
template_selected_display_language='Footnote (Taxonomy) Labels'!$J$1,'Footnote (Taxonomy) Labels'!$J142,
template_selected_display_language='Footnote (Taxonomy) Labels'!$K$1,'Footnote (Taxonomy) Labels'!$K142,
template_selected_display_language='Footnote (Taxonomy) Labels'!$L$1,'Footnote (Taxonomy) Labels'!$L142,
template_selected_display_language='Footnote (Taxonomy) Labels'!$M$1,'Footnote (Taxonomy) Labels'!$M142
)</f>
        <v>Disclosure of any other environmental and or/entity specific environmental disclosures</v>
      </c>
      <c r="B142" s="484" t="s">
        <v>11027</v>
      </c>
      <c r="C142" s="477" t="s">
        <v>6796</v>
      </c>
      <c r="D142" s="477" t="s">
        <v>11028</v>
      </c>
      <c r="E142" s="477" t="s">
        <v>6798</v>
      </c>
      <c r="F142" s="477" t="s">
        <v>6799</v>
      </c>
      <c r="G142" s="477" t="s">
        <v>11029</v>
      </c>
      <c r="H142" s="477" t="s">
        <v>6801</v>
      </c>
      <c r="I142" s="477" t="s">
        <v>6802</v>
      </c>
      <c r="J142" s="477" t="s">
        <v>6803</v>
      </c>
      <c r="K142" s="477" t="s">
        <v>6806</v>
      </c>
      <c r="L142" s="477" t="s">
        <v>11030</v>
      </c>
      <c r="M142" s="479" t="s">
        <v>6804</v>
      </c>
    </row>
    <row r="143" spans="1:13" ht="14.4" customHeight="1">
      <c r="A143" s="4" t="str" cm="1">
        <f t="array" ref="A143">_xlfn.IFS(
template_selected_display_language='Footnote (Taxonomy) Labels'!$B$1,'Footnote (Taxonomy) Labels'!$B143,
template_selected_display_language='Footnote (Taxonomy) Labels'!$C$1,'Footnote (Taxonomy) Labels'!$C143,
template_selected_display_language='Footnote (Taxonomy) Labels'!$D$1,'Footnote (Taxonomy) Labels'!$D143,
template_selected_display_language='Footnote (Taxonomy) Labels'!$E$1,'Footnote (Taxonomy) Labels'!$E143,
template_selected_display_language='Footnote (Taxonomy) Labels'!$F$1,'Footnote (Taxonomy) Labels'!$F143,
template_selected_display_language='Footnote (Taxonomy) Labels'!$G$1,'Footnote (Taxonomy) Labels'!$G143,
template_selected_display_language='Footnote (Taxonomy) Labels'!$H$1,'Footnote (Taxonomy) Labels'!$H143,
template_selected_display_language='Footnote (Taxonomy) Labels'!$I$1,'Footnote (Taxonomy) Labels'!$I143,
template_selected_display_language='Footnote (Taxonomy) Labels'!$J$1,'Footnote (Taxonomy) Labels'!$J143,
template_selected_display_language='Footnote (Taxonomy) Labels'!$K$1,'Footnote (Taxonomy) Labels'!$K143,
template_selected_display_language='Footnote (Taxonomy) Labels'!$L$1,'Footnote (Taxonomy) Labels'!$L143,
template_selected_display_language='Footnote (Taxonomy) Labels'!$M$1,'Footnote (Taxonomy) Labels'!$M143
)</f>
        <v>Disclosure of any other social and or/entity specific social disclosures</v>
      </c>
      <c r="B143" s="484" t="s">
        <v>11031</v>
      </c>
      <c r="C143" s="477" t="s">
        <v>11032</v>
      </c>
      <c r="D143" s="477" t="s">
        <v>11033</v>
      </c>
      <c r="E143" s="477" t="s">
        <v>7631</v>
      </c>
      <c r="F143" s="477" t="s">
        <v>7632</v>
      </c>
      <c r="G143" s="477" t="s">
        <v>7633</v>
      </c>
      <c r="H143" s="477" t="s">
        <v>7634</v>
      </c>
      <c r="I143" s="477" t="s">
        <v>7635</v>
      </c>
      <c r="J143" s="477" t="s">
        <v>7636</v>
      </c>
      <c r="K143" s="477" t="s">
        <v>7639</v>
      </c>
      <c r="L143" s="477" t="s">
        <v>11034</v>
      </c>
      <c r="M143" s="479" t="s">
        <v>7637</v>
      </c>
    </row>
    <row r="144" spans="1:13" ht="14.4" customHeight="1" thickBot="1">
      <c r="A144" s="5" t="str" cm="1">
        <f t="array" ref="A144">_xlfn.IFS(
template_selected_display_language='Footnote (Taxonomy) Labels'!$B$1,'Footnote (Taxonomy) Labels'!$B144,
template_selected_display_language='Footnote (Taxonomy) Labels'!$C$1,'Footnote (Taxonomy) Labels'!$C144,
template_selected_display_language='Footnote (Taxonomy) Labels'!$D$1,'Footnote (Taxonomy) Labels'!$D144,
template_selected_display_language='Footnote (Taxonomy) Labels'!$E$1,'Footnote (Taxonomy) Labels'!$E144,
template_selected_display_language='Footnote (Taxonomy) Labels'!$F$1,'Footnote (Taxonomy) Labels'!$F144,
template_selected_display_language='Footnote (Taxonomy) Labels'!$G$1,'Footnote (Taxonomy) Labels'!$G144,
template_selected_display_language='Footnote (Taxonomy) Labels'!$H$1,'Footnote (Taxonomy) Labels'!$H144,
template_selected_display_language='Footnote (Taxonomy) Labels'!$I$1,'Footnote (Taxonomy) Labels'!$I144,
template_selected_display_language='Footnote (Taxonomy) Labels'!$J$1,'Footnote (Taxonomy) Labels'!$J144,
template_selected_display_language='Footnote (Taxonomy) Labels'!$K$1,'Footnote (Taxonomy) Labels'!$K144,
template_selected_display_language='Footnote (Taxonomy) Labels'!$L$1,'Footnote (Taxonomy) Labels'!$L144,
template_selected_display_language='Footnote (Taxonomy) Labels'!$M$1,'Footnote (Taxonomy) Labels'!$M144
)</f>
        <v>Disclosure of any other governance and or/entity specific governance disclosures</v>
      </c>
      <c r="B144" s="485" t="s">
        <v>11035</v>
      </c>
      <c r="C144" s="480" t="s">
        <v>7891</v>
      </c>
      <c r="D144" s="480" t="s">
        <v>7892</v>
      </c>
      <c r="E144" s="480" t="s">
        <v>7893</v>
      </c>
      <c r="F144" s="480" t="s">
        <v>7894</v>
      </c>
      <c r="G144" s="480" t="s">
        <v>7895</v>
      </c>
      <c r="H144" s="480" t="s">
        <v>7896</v>
      </c>
      <c r="I144" s="480" t="s">
        <v>7897</v>
      </c>
      <c r="J144" s="480" t="s">
        <v>7898</v>
      </c>
      <c r="K144" s="480" t="s">
        <v>7901</v>
      </c>
      <c r="L144" s="480" t="s">
        <v>11036</v>
      </c>
      <c r="M144" s="481" t="s">
        <v>7899</v>
      </c>
    </row>
  </sheetData>
  <sheetProtection algorithmName="SHA-512" hashValue="tCdsy/gFC5oHKk/WfwCCzlzKt4TsGFO0iyH7lYZyjKU1MhQIVvjX0MyreKOsKqxmQMc1vhj0VmLthYwxMJC0Ow==" saltValue="QEu4dJHstVrC/miEyJu7xw=="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http://purl.org/dc/dcmitype/"/>
    <ds:schemaRef ds:uri="03dbcffb-d0ee-4b89-b5e3-7c232fa0562c"/>
    <ds:schemaRef ds:uri="http://purl.org/dc/elements/1.1/"/>
    <ds:schemaRef ds:uri="http://schemas.microsoft.com/office/2006/documentManagement/types"/>
    <ds:schemaRef ds:uri="http://schemas.microsoft.com/office/infopath/2007/PartnerControls"/>
    <ds:schemaRef ds:uri="http://www.w3.org/XML/1998/namespace"/>
    <ds:schemaRef ds:uri="http://schemas.openxmlformats.org/package/2006/metadata/core-properties"/>
    <ds:schemaRef ds:uri="1daca54f-5fb0-46da-90de-dff88369e459"/>
    <ds:schemaRef ds:uri="http://schemas.microsoft.com/office/2006/metadata/properties"/>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830</vt:i4>
      </vt:variant>
    </vt:vector>
  </HeadingPairs>
  <TitlesOfParts>
    <vt:vector size="847" baseType="lpstr">
      <vt:lpstr>Language Selection</vt:lpstr>
      <vt:lpstr>Introduction</vt:lpstr>
      <vt:lpstr>Table of Contents &amp; Validation</vt:lpstr>
      <vt:lpstr>General Information</vt:lpstr>
      <vt:lpstr>Environmental Disclosures</vt:lpstr>
      <vt:lpstr>Social Disclosures</vt:lpstr>
      <vt:lpstr>Governance Disclosures</vt:lpstr>
      <vt:lpstr>Footnotes</vt:lpstr>
      <vt:lpstr>Fuel Converter</vt:lpstr>
      <vt:lpstr>Fuel Conversion Parameters</vt:lpstr>
      <vt:lpstr>Unit Of Measurement Converter</vt:lpstr>
      <vt:lpstr>Enumeration Lists</vt:lpstr>
      <vt:lpstr>Translations</vt:lpstr>
      <vt:lpstr>Changes</vt:lpstr>
      <vt:lpstr>Technical Sheet</vt:lpstr>
      <vt:lpstr>Licence</vt:lpstr>
      <vt:lpstr>Footnote (Taxonomy) Labels</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AmountOfOtherPollutantEmissionTable</vt:lpstr>
      <vt:lpstr>AmountOfOtherPollutantEmissionToAir</vt:lpstr>
      <vt:lpstr>AmountOfOtherPollutantEmissionToSoil</vt:lpstr>
      <vt:lpstr>AmountOfOtherPollutantEmissionToWater</vt:lpstr>
      <vt:lpstr>AmountOfWaterConsumedAtSitesLocatedInAreasWithWaterStress</vt:lpstr>
      <vt:lpstr>Assets</vt:lpstr>
      <vt:lpstr>AverageNumberOfAnnualTrainingHoursPerEmployee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enum_list_mass_volume</vt:lpstr>
      <vt:lpstr>enum_list_options</vt:lpstr>
      <vt:lpstr>enum_list_true_false</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EstimatedAbsoluteGreenhouseGasEmissionsTable</vt:lpstr>
      <vt:lpstr>ExplicitStatementOfCompliance</vt:lpstr>
      <vt:lpstr>FemaleToMaleRatioAtManagementLevelForTheReportingPeriod</vt:lpstr>
      <vt:lpstr>FinancialInvestmentInTheCapitalOrAssetsOfSocialEconomyEntities</vt:lpstr>
      <vt:lpstr>footnote_ref_concept</vt:lpstr>
      <vt:lpstr>footnote_ref_dimension</vt:lpstr>
      <vt:lpstr>footnote_table</vt:lpstr>
      <vt:lpstr>footnote_text</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IdentifierOfSiteTypedAxis</vt:lpstr>
      <vt:lpstr>IdentifierOfSiteTypedAxis_SitesInBiodiversitySensitiveAreasTable</vt:lpstr>
      <vt:lpstr>IdentifierOfSubsidiaryTypedAxis</vt:lpstr>
      <vt:lpstr>IntroductionAndOrEntitySpecificInformation</vt:lpstr>
      <vt:lpstr>LinkToPreviousReportContainingDisclosuresThatRemainUnchanged</vt:lpstr>
      <vt:lpstr>ListOfDisclosuresForWhichNoChangesAreReportedComparedToThePreviousPeriodReporting</vt:lpstr>
      <vt:lpstr>ListOfOmittedDisclosures</vt:lpstr>
      <vt:lpstr>ListOfSitesTable</vt:lpstr>
      <vt:lpstr>ListOfSubsidiaryTable</vt:lpstr>
      <vt:lpstr>MostSeniorLevelInTheUndertakingAccountableForImplementationOfPracticesPoliciesAndFutureInitiatives</vt:lpstr>
      <vt:lpstr>NaceSectorClassificationCodes</vt:lpstr>
      <vt:lpstr>NameOfBiodiversitySensitiveArea</vt:lpstr>
      <vt:lpstr>NameOfMaterialUsed</vt:lpstr>
      <vt:lpstr>NameOfOtherPollutantTypedAxis</vt:lpstr>
      <vt:lpstr>NameOfTheSubsidiary</vt:lpstr>
      <vt:lpstr>NumberOfEmployees</vt:lpstr>
      <vt:lpstr>NumberOfEmployeesForCountryOfEmploymentContract</vt:lpstr>
      <vt:lpstr>NumberOfEmployeesForCountryOfEmploymentContractTable</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PercentageOfWasteDivertedToPreparationForReuseMass</vt:lpstr>
      <vt:lpstr>PercentageOfWasteDivertedToPreparationForReuseVolume</vt:lpstr>
      <vt:lpstr>PercentageOfWasteDivertedToRecyclingMass</vt:lpstr>
      <vt:lpstr>PercentageOfWasteDivertedToRecyclingVolume</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RevenueDerivedFromCultivationAndProductionOfTobacco</vt:lpstr>
      <vt:lpstr>RevenueDerivedFromGas</vt:lpstr>
      <vt:lpstr>RevenueDerivedFromOil</vt:lpstr>
      <vt:lpstr>RevenueDerivedFromTheProhibitedWeaponsIndustryAntiPersonnelMinesClusterMunitionsChemicalWeaponsAndBiologicalWeapons</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StatusOfImplementationOfATransitionPlanInRelationToClimateChangeMitigation</vt:lpstr>
      <vt:lpstr>SumOfFatalitiesAsAResultOfRecordableWorkRelatedAccidentsAndRecordableWorkRelatedIllHealth</vt:lpstr>
      <vt:lpstr>SustainabilityIssueAddressedByPracticePolicyAndOrFutureInitiative</vt:lpstr>
      <vt:lpstr>TargetYearMember</vt:lpstr>
      <vt:lpstr>template_b1_basis_for_preparation</vt:lpstr>
      <vt:lpstr>template_b1_disclosure_of_sustainability_related_certifications_or_labels</vt:lpstr>
      <vt:lpstr>template_b1_list_of_sites</vt:lpstr>
      <vt:lpstr>template_b1_list_of_subsidiaries</vt:lpstr>
      <vt:lpstr>template_b1_other_undertakings_general_information</vt:lpstr>
      <vt:lpstr>template_b10_workforce_number_of_training</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template_b3_total_energy_consumption_in_MWh</vt:lpstr>
      <vt:lpstr>template_b4_pollution_of_air_water_and_soil</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template_b8_workforce_general_characteristics_type_of_contract</vt:lpstr>
      <vt:lpstr>template_b9_workforce_health_and_safety</vt:lpstr>
      <vt:lpstr>template_box_for_customizable_docx_files_for_narrative_disclosures</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template_c8_revenues_from_certain_sectors</vt:lpstr>
      <vt:lpstr>template_c9_gender_diversity_ratio_in_the_governance_body</vt:lpstr>
      <vt:lpstr>template_checkbox_b1_certifications_or_labels</vt:lpstr>
      <vt:lpstr>template_checkbox_b1_certifications_or_labels_docx</vt:lpstr>
      <vt:lpstr>template_checkbox_b1_list_of_sites</vt:lpstr>
      <vt:lpstr>template_checkbox_b1_list_of_subsidiaries</vt:lpstr>
      <vt:lpstr>template_checkbox_b1_other_undertakings_information</vt:lpstr>
      <vt:lpstr>template_checkbox_b10_number_annual_training_hours_per_employee</vt:lpstr>
      <vt:lpstr>template_checkbox_b10_remuneration_and_collective_bargaining</vt:lpstr>
      <vt:lpstr>template_checkbox_b11_convitions_and_fines_for_corruption_and_bribery</vt:lpstr>
      <vt:lpstr>template_checkbox_b2_cooperative_specific_disclosures</vt:lpstr>
      <vt:lpstr>template_checkbox_b2_practices_policies_and_future_initiatives</vt:lpstr>
      <vt:lpstr>template_checkbox_b3_breakdown_of_energy_consumption</vt:lpstr>
      <vt:lpstr>template_checkbox_b3_estimated_ghg_emissions</vt:lpstr>
      <vt:lpstr>template_checkbox_b3_total_energy_consumption</vt:lpstr>
      <vt:lpstr>template_checkbox_b4_pollution_of_air_water_and_soil</vt:lpstr>
      <vt:lpstr>template_checkbox_b5_sites_in_biodiversity_sensitive_areas</vt:lpstr>
      <vt:lpstr>template_checkbox_b6_water_consumption</vt:lpstr>
      <vt:lpstr>template_checkbox_b6_water_withdrawal</vt:lpstr>
      <vt:lpstr>template_checkbox_b7_annual_mass_flow_of_materials</vt:lpstr>
      <vt:lpstr>template_checkbox_b7_description_of_circular_economy_principles</vt:lpstr>
      <vt:lpstr>template_checkbox_b7_description_of_circular_economy_principles_docx</vt:lpstr>
      <vt:lpstr>template_checkbox_b7_waste_generated</vt:lpstr>
      <vt:lpstr>template_checkbox_b8_country_of_employment</vt:lpstr>
      <vt:lpstr>template_checkbox_b8_gender</vt:lpstr>
      <vt:lpstr>template_checkbox_b8_type_of_contract</vt:lpstr>
      <vt:lpstr>template_checkbox_b9_health_and_safety</vt:lpstr>
      <vt:lpstr>template_checkbox_c1_strategy_business_model_and_sustainability_initiatives</vt:lpstr>
      <vt:lpstr>template_checkbox_c1_strategy_business_model_and_sustainability_initiatives_docx</vt:lpstr>
      <vt:lpstr>template_checkbox_c2_description_of_practices_policies_and_future_initiatives</vt:lpstr>
      <vt:lpstr>template_checkbox_c2_description_of_practices_policies_and_future_initiatives_docx</vt:lpstr>
      <vt:lpstr>template_checkbox_c3_ghg_reduction_targets</vt:lpstr>
      <vt:lpstr>template_checkbox_c3_list_of_main_actions_to_achieve_targets</vt:lpstr>
      <vt:lpstr>template_checkbox_c3_list_of_main_actions_to_achieve_targets_docx</vt:lpstr>
      <vt:lpstr>template_checkbox_c3_transition_plan</vt:lpstr>
      <vt:lpstr>template_checkbox_c3_transition_plan_docx</vt:lpstr>
      <vt:lpstr>template_checkbox_c4_climate_risks</vt:lpstr>
      <vt:lpstr>template_checkbox_c4_climate_risks_docx</vt:lpstr>
      <vt:lpstr>template_checkbox_c5_additional_workforce_characteristics</vt:lpstr>
      <vt:lpstr>template_checkbox_c6_additional_own_workforce_information</vt:lpstr>
      <vt:lpstr>template_checkbox_c6_additional_own_workforce_information_docx</vt:lpstr>
      <vt:lpstr>template_checkbox_c7_severe_negative_human_rights_incidents</vt:lpstr>
      <vt:lpstr>template_checkbox_c7_severe_negative_human_rights_incidents_docx</vt:lpstr>
      <vt:lpstr>template_checkbox_c8_revenues_from_certain_activities</vt:lpstr>
      <vt:lpstr>template_checkbox_c9_gender_diversity_ratio</vt:lpstr>
      <vt:lpstr>template_checkbox_entity_specific_environmental_disclosures</vt:lpstr>
      <vt:lpstr>template_checkbox_entity_specific_environmental_disclosures_docx</vt:lpstr>
      <vt:lpstr>template_checkbox_entity_specific_governance_disclosures</vt:lpstr>
      <vt:lpstr>template_checkbox_entity_specific_governance_disclosures_docx</vt:lpstr>
      <vt:lpstr>template_checkbox_entity_specific_social_disclosures</vt:lpstr>
      <vt:lpstr>template_checkbox_entity_specific_social_disclosures_docx</vt:lpstr>
      <vt:lpstr>template_checkbox_introduction</vt:lpstr>
      <vt:lpstr>template_checkbox_introduction_docx</vt:lpstr>
      <vt:lpstr>template_classified_or_sensitive_information</vt:lpstr>
      <vt:lpstr>template_currency</vt:lpstr>
      <vt:lpstr>template_disclaimer_cover_page</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template_external_values</vt:lpstr>
      <vt:lpstr>template_filling_sensitive_checkboxes</vt:lpstr>
      <vt:lpstr>template_footnote_expansion_button</vt:lpstr>
      <vt:lpstr>template_footnote_labels_taxonomy</vt:lpstr>
      <vt:lpstr>template_footnote_technical_name</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template_label_1_purchased_goods_and_services</vt:lpstr>
      <vt:lpstr>template_label_10_further_notes_can_be_found_below</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template_label_2_find_more_information_on_the_actual_disclosure_requirements_in_the_voluntary_standard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template_label_amount</vt:lpstr>
      <vt:lpstr>template_label_amount_in</vt:lpstr>
      <vt:lpstr>template_label_amount_of_water_consumed_at_sites_located_in_areas_with_water_stress</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template_label_b1_other_undertakings_general_information</vt:lpstr>
      <vt:lpstr>template_label_b10_workforce_remuneration_collective_bargaining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template_label_b3_estimated_absolute_greenhouse_gas_emissions</vt:lpstr>
      <vt:lpstr>template_label_b3_total_energy_consumption</vt:lpstr>
      <vt:lpstr>template_label_b4_pollution_of_air_water_and_soil</vt:lpstr>
      <vt:lpstr>template_label_b4_pollution_of_air_water_and_soil_validation</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template_label_basis_for_reporting</vt:lpstr>
      <vt:lpstr>template_label_below_are_specified_all_the_units_of_measurement_conversions_of_each_table</vt:lpstr>
      <vt:lpstr>template_label_biodiversity_and_ecosystems</vt:lpstr>
      <vt:lpstr>template_label_bold_omitted_information</vt:lpstr>
      <vt:lpstr>template_label_business_conduct</vt:lpstr>
      <vt:lpstr>template_label_buttons_footnotes</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template_label_c7_human_rights_incidents</vt:lpstr>
      <vt:lpstr>template_label_c7_human_rights_incidents_validation</vt:lpstr>
      <vt:lpstr>template_label_c8_revenues_from_certain_activities_validation</vt:lpstr>
      <vt:lpstr>template_label_c8_revenues_from_certain_sectors</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template_label_choice_between_100_or_500_full_time_workers</vt:lpstr>
      <vt:lpstr>template_label_circular_economy_and_resource_use</vt:lpstr>
      <vt:lpstr>template_label_city</vt:lpstr>
      <vt:lpstr>template_label_classified_or_sensitive_information</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template_label_country</vt:lpstr>
      <vt:lpstr>template_label_country_of_employment_contract</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template_label_density_kg_over_l</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template_label_disclosure_of_any_other_general_and_or_entity_specific_information_on_the_reporting_period</vt:lpstr>
      <vt:lpstr>template_label_disclosure_of_any_other_governance_and_or_entity_specific_governance_disclosures</vt:lpstr>
      <vt:lpstr>template_label_disclosure_of_any_other_social_and_or_entity_specific_social_disclosures</vt:lpstr>
      <vt:lpstr>template_label_disclosure_of_how_it_has_assessed_the_exposure_and_sensitivity_of_its_assets</vt:lpstr>
      <vt:lpstr>template_label_disclosure_of_whether_it_has_undertaken_climate_change_adaptation_actions</vt:lpstr>
      <vt:lpstr>template_label_disclosure_part_of_vs_guidance</vt:lpstr>
      <vt:lpstr>template_label_disclosure_selection</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template_label_female</vt:lpstr>
      <vt:lpstr>template_label_female_to_male_ratio_at_management_level_for_the_reporting_period</vt:lpstr>
      <vt:lpstr>template_label_financial_investment_in_the_capital_or_assets_of_social_economy_entities</vt:lpstr>
      <vt:lpstr>template_label_footnote_id</vt:lpstr>
      <vt:lpstr>template_label_footnote_instructions</vt:lpstr>
      <vt:lpstr>template_label_footnote_text</vt:lpstr>
      <vt:lpstr>template_label_for_further_information_contact_email</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template_label_general_and_or_entity_specific_disclosures</vt:lpstr>
      <vt:lpstr>template_label_general_information_validation</vt:lpstr>
      <vt:lpstr>template_label_general_principles</vt:lpstr>
      <vt:lpstr>template_label_geolocalisation_warning</vt:lpstr>
      <vt:lpstr>template_label_GHG_calculator</vt:lpstr>
      <vt:lpstr>template_label_governance_disclosures_validation</vt:lpstr>
      <vt:lpstr>template_label_gps_coordinates</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template_label_indicates_that_the_datapoint_often_a_condition_will_not_be_included_in_the_vs_and_digital_xbrl_report</vt:lpstr>
      <vt:lpstr>template_label_indicates_that_the_disclosure_is_from_the_general_principles_of_the_vs</vt:lpstr>
      <vt:lpstr>template_label_indicates_that_the_disclosure_is_from_the_vs_basic_module</vt:lpstr>
      <vt:lpstr>template_label_indicates_that_the_disclosure_is_from_the_vs_comprehensive_module</vt:lpstr>
      <vt:lpstr>template_label_indicates_that_the_undertaking_has_omitted_the_data_entry_as_it_is_deemed_to_be_classified_or_sensitive_information</vt:lpstr>
      <vt:lpstr>template_label_information_on_previous_reporting_period</vt:lpstr>
      <vt:lpstr>template_label_information_on_previous_reporting_period_validation</vt:lpstr>
      <vt:lpstr>template_label_information_on_sensitive_information_before_converting</vt:lpstr>
      <vt:lpstr>template_label_information_on_the_report_necessary_for_xbrl</vt:lpstr>
      <vt:lpstr>template_label_information_on_the_report_necessary_for_xbrl_validation</vt:lpstr>
      <vt:lpstr>template_label_introduction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template_label_limits_to_the_distribution_of_profits</vt:lpstr>
      <vt:lpstr>template_label_link_to_previous_report_containing_disclosures_that_remain_unchanged</vt:lpstr>
      <vt:lpstr>template_label_liquid_warning</vt:lpstr>
      <vt:lpstr>template_label_list_of_omitted_disclosures</vt:lpstr>
      <vt:lpstr>template_label_lists_can_be_expanded_using_the_plus_button_on_the_left</vt:lpstr>
      <vt:lpstr>template_label_main_title_of_report_text</vt:lpstr>
      <vt:lpstr>template_label_male</vt:lpstr>
      <vt:lpstr>template_label_mass</vt:lpstr>
      <vt:lpstr>template_label_mass_gaseous_fuels</vt:lpstr>
      <vt:lpstr>template_label_mass_liquid_fuels</vt:lpstr>
      <vt:lpstr>template_label_mass_to_volume</vt:lpstr>
      <vt:lpstr>template_label_mass_to_volume_instruction</vt:lpstr>
      <vt:lpstr>template_label_mass_volume</vt:lpstr>
      <vt:lpstr>template_label_microenterprise_validation</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template_label_name_of_biodiversity_sensitive_area</vt:lpstr>
      <vt:lpstr>template_label_name_of_the_key_material</vt:lpstr>
      <vt:lpstr>template_label_name_of_the_reporting_entity</vt:lpstr>
      <vt:lpstr>template_label_no_value_can_be_entered_in_the_cell</vt:lpstr>
      <vt:lpstr>template_label_non_renewable</vt:lpstr>
      <vt:lpstr>template_label_none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template_label_other_pollutants</vt:lpstr>
      <vt:lpstr>template_label_other_pollutants_message</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template_label_percentage_gap_in_pay_between_the_undertakings_female_and_male_employees</vt:lpstr>
      <vt:lpstr>template_label_percentage_gap_in_pay_condition_of_applicability</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template_label_pollutant</vt:lpstr>
      <vt:lpstr>template_label_pollution</vt:lpstr>
      <vt:lpstr>template_label_postal_code</vt:lpstr>
      <vt:lpstr>template_label_potential_adverse_effects_of_climate_risks</vt:lpstr>
      <vt:lpstr>template_label_proportion_of_waste_diverted_to_preparation_for_reuse</vt:lpstr>
      <vt:lpstr>template_label_proportion_of_waste_diverted_to_recycling</vt:lpstr>
      <vt:lpstr>template_label_publication_date</vt:lpstr>
      <vt:lpstr>template_label_rate_of_recordable_work_related_accidents_in_the_reporting_period</vt:lpstr>
      <vt:lpstr>template_label_rate_per_100_or_500_full_time_workers_over_a_yearly_timeframe</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template_label_required_to_report_to_competent_authorities_by_EU_or_national_law_its_emissions_to_pollutants</vt:lpstr>
      <vt:lpstr>template_label_revenue_derived_from_chemicals_production</vt:lpstr>
      <vt:lpstr>template_label_revenue_derived_from_coal</vt:lpstr>
      <vt:lpstr>template_label_revenue_derived_from_cultivation_and_production_of_tobacco</vt:lpstr>
      <vt:lpstr>template_label_revenue_derived_from_gas</vt:lpstr>
      <vt:lpstr>template_label_revenue_derived_from_oil</vt:lpstr>
      <vt:lpstr>template_label_revenue_derived_from_the_prohibited_weapons_industry</vt:lpstr>
      <vt:lpstr>template_label_row_id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template_label_statement_of_compliance</vt:lpstr>
      <vt:lpstr>template_label_status_of_implementation_of_a_transition_plan_in_relation_to_climate_change_mitigation</vt:lpstr>
      <vt:lpstr>template_label_steps_to_follow_for_the_mass_table</vt:lpstr>
      <vt:lpstr>template_label_subject_to_legal_restrictions_sum_of_fatalities_as_a_result_of_recordable_work_related_accidents_and_recordable_work_related_ill_health</vt:lpstr>
      <vt:lpstr>template_label_subtitle_of_report</vt:lpstr>
      <vt:lpstr>template_label_subtitle_of_report_text</vt:lpstr>
      <vt:lpstr>template_label_supporting_guidance_c2</vt:lpstr>
      <vt:lpstr>template_label_supporting_guidance_c3</vt:lpstr>
      <vt:lpstr>template_label_supporting_guidance_c7</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template_label_total_hazardous_waste_generated_mass</vt:lpstr>
      <vt:lpstr>template_label_total_hazardous_waste_generated_volume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template_label_total_number_of_employees_in_headcount</vt:lpstr>
      <vt:lpstr>template_label_total_number_of_hours_worked_in_a_year_by_all_employees_in_the_reporting_period</vt:lpstr>
      <vt:lpstr>template_label_total_number_of_training_hours_offered_to_and_completed_by_employees</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template_label_total_waste_generated_mass</vt:lpstr>
      <vt:lpstr>template_label_total_waste_generated_percent</vt:lpstr>
      <vt:lpstr>template_label_total_waste_generated_volume</vt:lpstr>
      <vt:lpstr>template_label_total_waste_percentage_preparation_mass</vt:lpstr>
      <vt:lpstr>template_label_total_waste_percentage_preparation_volume</vt:lpstr>
      <vt:lpstr>template_label_total_waste_percentage_recycling_mass</vt:lpstr>
      <vt:lpstr>template_label_total_waste_percentage_recycling_volume</vt:lpstr>
      <vt:lpstr>template_label_total_water_consumption</vt:lpstr>
      <vt:lpstr>template_label_transfer_the_total_results_to_the_b3_fuel_energy_consumption_reporting_cell</vt:lpstr>
      <vt:lpstr>template_label_turnover_in</vt:lpstr>
      <vt:lpstr>template_label_type_of_contract</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template_label_validation_classified_or_sensitive_information</vt:lpstr>
      <vt:lpstr>template_label_validation_missing_value_error_value_inconsistency_invalid_url</vt:lpstr>
      <vt:lpstr>template_label_validation_missing_value_error_velue_inconsistency_invalid_url</vt:lpstr>
      <vt:lpstr>template_label_validation_ok</vt:lpstr>
      <vt:lpstr>template_label_value_inconsistency</vt:lpstr>
      <vt:lpstr>template_label_version</vt:lpstr>
      <vt:lpstr>template_label_volume</vt:lpstr>
      <vt:lpstr>template_label_vs_digital_template</vt:lpstr>
      <vt:lpstr>template_label_warning_microsoft_excel</vt:lpstr>
      <vt:lpstr>template_label_warning_total_energy_consumption_amount</vt:lpstr>
      <vt:lpstr>template_label_warning_values_greater_than_zero</vt:lpstr>
      <vt:lpstr>template_label_water_and_marine_resources</vt:lpstr>
      <vt:lpstr>template_label_water_discharge_from_undertaking_production_processes</vt:lpstr>
      <vt:lpstr>template_label_weight_or_volume_of_waste_generated</vt:lpstr>
      <vt:lpstr>template_label_workers_in_the_value_chain</vt:lpstr>
      <vt:lpstr>template_label_XBRL_facts_in_report</vt:lpstr>
      <vt:lpstr>template_label_year</vt:lpstr>
      <vt:lpstr>template_label_year_date</vt:lpstr>
      <vt:lpstr>template_language_selection</vt:lpstr>
      <vt:lpstr>template_narrative_content_provided_as_external_docx_file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template_vs_digital_template_sample</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TotalMassOfMaterialUsed</vt:lpstr>
      <vt:lpstr>TotalMassOfMaterialUsed_unit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TotalVolumeOfMaterialUsed</vt:lpstr>
      <vt:lpstr>TotalVolumeOfMaterialUsed_unit</vt:lpstr>
      <vt:lpstr>TotalWasteGeneratedMass</vt:lpstr>
      <vt:lpstr>TotalWasteGeneratedMass_unit</vt:lpstr>
      <vt:lpstr>TotalWasteGeneratedVolume</vt:lpstr>
      <vt:lpstr>TotalWasteGeneratedVolume_unit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UndertakingsLegalForm</vt:lpstr>
      <vt:lpstr>URLOrLinkToThePubliclyAvailableDisclosure</vt:lpstr>
      <vt:lpstr>VolumeOfMaterialUsed</vt:lpstr>
      <vt:lpstr>VolumeOfMaterialUsed_unit</vt:lpstr>
      <vt:lpstr>WasteGeneratedMass</vt:lpstr>
      <vt:lpstr>WasteGeneratedMass_unit</vt:lpstr>
      <vt:lpstr>WasteGeneratedTable</vt:lpstr>
      <vt:lpstr>WasteGeneratedVolume</vt:lpstr>
      <vt:lpstr>WasteGeneratedVolume_unit</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Stuart Rowan</cp:lastModifiedBy>
  <cp:revision/>
  <dcterms:created xsi:type="dcterms:W3CDTF">2025-01-13T10:12:12Z</dcterms:created>
  <dcterms:modified xsi:type="dcterms:W3CDTF">2026-10-29T17:04:12Z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