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src/migration_tool/data/"/>
    </mc:Choice>
  </mc:AlternateContent>
  <xr:revisionPtr revIDLastSave="41" documentId="13_ncr:1_{DFB08B2C-8FA1-4743-80B2-80B04376109E}" xr6:coauthVersionLast="47" xr6:coauthVersionMax="47" xr10:uidLastSave="{D8481475-BCBB-4668-AA4E-296A102EA5A9}"/>
  <bookViews>
    <workbookView xWindow="-108" yWindow="-108" windowWidth="23256" windowHeight="13896" tabRatio="672" xr2:uid="{2424E359-BB1A-4C61-AEBD-805991FC6353}"/>
  </bookViews>
  <sheets>
    <sheet name="Language Selection" sheetId="19"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ootnotes" sheetId="21" r:id="rId8"/>
    <sheet name="Fuel Converter" sheetId="8" r:id="rId9"/>
    <sheet name="Fuel Conversion Parameters" sheetId="15" r:id="rId10"/>
    <sheet name="Unit Of Measurement Converter" sheetId="9" r:id="rId11"/>
    <sheet name="Enumeration Lists" sheetId="6" r:id="rId12"/>
    <sheet name="Translations" sheetId="17" r:id="rId13"/>
    <sheet name="Changes" sheetId="22" r:id="rId14"/>
    <sheet name="Technical Sheet" sheetId="11" r:id="rId15"/>
    <sheet name="Licence" sheetId="14" r:id="rId16"/>
    <sheet name="Footnote (Taxonomy) Labels" sheetId="18" state="hidden" r:id="rId17"/>
  </sheets>
  <definedNames>
    <definedName name="_xlnm._FilterDatabase" localSheetId="13" hidden="1">Changes!$A$1:$F$123</definedName>
    <definedName name="_xlnm._FilterDatabase" localSheetId="12" hidden="1">Translations!$A$1:$N$476</definedName>
    <definedName name="AddressOfSite">'General Information'!$D$402:$D$501</definedName>
    <definedName name="AmountOfEmissionsTable">'Environmental Disclosures'!$D$74:$K$173</definedName>
    <definedName name="AmountOfEmissionToAir">'Environmental Disclosures'!$G$74:$I$173</definedName>
    <definedName name="AmountOfEmissionToAir_unit">'Environmental Disclosures'!$C$72</definedName>
    <definedName name="AmountOfEmissionToSoil">'Environmental Disclosures'!$K$74:$K$173</definedName>
    <definedName name="AmountOfEmissionToSoil_unit">'Environmental Disclosures'!$C$72</definedName>
    <definedName name="AmountOfEmissionToWater">'Environmental Disclosures'!$J$74:$J$173</definedName>
    <definedName name="AmountOfEmissionToWater_unit">'Environmental Disclosures'!$C$72</definedName>
    <definedName name="AmountOfWaterConsumedAtSitesLocatedInAreasWithWaterStress">'Environmental Disclosures'!$D$293</definedName>
    <definedName name="AreaOfSiteInBiodiversitySensitiveArea">'Environmental Disclosures'!$G$180:$I$279</definedName>
    <definedName name="Assets">'General Information'!$E$278</definedName>
    <definedName name="AverageNumberOfAnnualTrainingHoursPerEmployee">'Social Disclosures'!$D$154</definedName>
    <definedName name="BaselineYearMember">'Environmental Disclosures'!$G$21</definedName>
    <definedName name="BasisForPreparation">'General Information'!$E$125</definedName>
    <definedName name="BasisForReporting">'General Information'!$E$175</definedName>
    <definedName name="BreakdownOfAnnualMassFlowOfRelevantMaterialsUsedByTheUndertakingHypercube">'Environmental Disclosures'!$C$421:$I$520</definedName>
    <definedName name="BreakdownOfEnergyConsumptionAxis">'Environmental Disclosures'!$C$12:$F$14</definedName>
    <definedName name="BreakdownOfEnergyConsumptionTable">'Environmental Disclosures'!$G$12:$K$14</definedName>
    <definedName name="CityOfSite">'General Information'!$F$402:$F$501</definedName>
    <definedName name="CountryOfEmploymentContractAxis">'Social Disclosures'!$C$29:$D$128</definedName>
    <definedName name="CountryOfPrimaryOperationsAndLocationOfSignificantAssets">'General Information'!$E$283</definedName>
    <definedName name="CountryOfSite">'General Information'!$G$402:$G$501</definedName>
    <definedName name="DateOfAdoptionOfTransitionPlanForUndertakingNotHavingAdoptedTransitionPlanYet">'Environmental Disclosures'!$D$62</definedName>
    <definedName name="DescriptionOfActionsTakeToAddressTheConfirmedIncidents">'Social Disclosures'!$D$188</definedName>
    <definedName name="DescriptionOfATargetRelatedToAPolicy">'General Information'!$E$518</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Disclosures'!$E$526</definedName>
    <definedName name="DescriptionOfHowCircularEconomyPrinciplesAreApplied">'Environmental Disclosures'!$D$299</definedName>
    <definedName name="DescriptionOfKeyElementsOfStrategyThatRelatesToOrAffectsSustainabilityIssues">'General Information'!$E$527</definedName>
    <definedName name="DescriptionOfLimitsToTheDistributionOfProfitsConnectedToTheMutualisticNatureOrToTheNatureOfTheActivitiesConsistingInServicesOfGeneralEconomicInterestSGEI">'General Information'!$D$514</definedName>
    <definedName name="DescriptionOfMainBusinessRelationships">'General Information'!$E$525</definedName>
    <definedName name="DescriptionOfPracticesPoliciesAndOrFutureInitiatives">'General Information'!$E$517</definedName>
    <definedName name="DescriptionOfSignificantGroupsOfProductsAndOrServicesOffered">'General Information'!$E$523</definedName>
    <definedName name="DescriptionOfSignificantMarketsTheUndertakingOperatesIn">'General Information'!$E$524</definedName>
    <definedName name="DescriptionOfSustainabilityRelatedCertificationsOrLabels">'General Information'!$E$393</definedName>
    <definedName name="DescriptionOfTheEffectiveParticipationOfWorkersUsersOrOtherInterestedPartiesOrCommunitiesInGovernance">'General Information'!$D$512</definedName>
    <definedName name="DisclosureOfAnyOtherEnvironmentalAndOrEntitySpecificEnvironmentalDisclosures">'Environmental Disclosures'!$C$534</definedName>
    <definedName name="DisclosureOfAnyOtherGeneralAndOrEntitySpecificInformation">'General Information'!$C$17</definedName>
    <definedName name="DisclosureOfAnyOtherGovernanceAndOrEntitySpecificGovernanceDisclosures">'Governance Disclosures'!$C$30</definedName>
    <definedName name="DisclosureOfAnyOtherSocialAndOrEntitySpecificSocialDisclosures">'Social Disclosures'!$C$196</definedName>
    <definedName name="DisclosureOfHowItHasAssessedTheExposureAndSensitivityOfItsAssetsActivitiesAndValueChainToTheseHazardsAndTransitionEvents">'Environmental Disclosures'!$E$527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Disclosures'!$E$529</definedName>
    <definedName name="EmployeeCountingMethodology">'General Information'!$E$281</definedName>
    <definedName name="EmployeesReceivePayEqualOrAboveMinimumWageDeterminedByNationalLawOrCollectiveAgreement">'Social Disclosures'!$D$142</definedName>
    <definedName name="EmployeeTurnoverRate">'Social Disclosures'!$D$160</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mass_volume">'Enumeration Lists'!$AE$2:$AE$3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Lists'!$B$2:$B$398</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Lists'!$Q$2:$Q$28</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ExplicitStatementOfCompliance">'General Information'!$E$126</definedName>
    <definedName name="FemaleToMaleRatioAtManagementLevelForTheReportingPeriod">'Social Disclosures'!$D$163</definedName>
    <definedName name="FinancialInvestmentInTheCapitalOrAssetsOfSocialEconomyEntities">'General Information'!$D$513</definedName>
    <definedName name="footnote_ref_concept">Footnotes!$D$4:$D$1523</definedName>
    <definedName name="footnote_ref_dimension">Footnotes!$C$4:$C$1523</definedName>
    <definedName name="footnote_table">Footnotes!$B$4:$D$1523</definedName>
    <definedName name="footnote_text">Footnotes!$B$4:$B$1523</definedName>
    <definedName name="GenderDiversityRatioInGovernanceBody">'Governance Disclosures'!$H$25</definedName>
    <definedName name="GPSLocationOfSite">'General Information'!$H$402:$H$501</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Disclosures'!$C$421:$C$520</definedName>
    <definedName name="IdentifierOfSitesInBiodiversitySensitiveAreasTypedAxis">'Environmental Disclosures'!$C$180:$C$279</definedName>
    <definedName name="IdentifierOfSiteTypedAxis">'General Information'!$C$402:$C$501</definedName>
    <definedName name="IdentifierOfSubsidiaryTypedAxis">'General Information'!$C$288:$C$387</definedName>
    <definedName name="LinkToPreviousReportContainingDisclosuresThatRemainUnchanged">'General Information'!$E$122</definedName>
    <definedName name="ListOfDisclosuresForWhichNoChangesAreReportedComparedToThePreviousPeriodReporting">'General Information'!$E$22:$E$121</definedName>
    <definedName name="ListOfOmittedDisclosures">'General Information'!$E$127:$E$172</definedName>
    <definedName name="ListOfSitesTable">'General Information'!$C$402:$H$501</definedName>
    <definedName name="ListOfSubsidiaryTable">'General Information'!$C$288:$E$387</definedName>
    <definedName name="MostSeniorLevelInTheUndertakingAccountableForImplementationOfPracticesPoliciesAndFutureInitiatives">'General Information'!$E$519</definedName>
    <definedName name="NaceSectorClassificationCodes">'General Information'!$E$178:$E$277</definedName>
    <definedName name="NameOfMaterialUsed">'Environmental Disclosures'!$D$421:$F$520</definedName>
    <definedName name="NameOfTheSubsidiary">'General Information'!$D$288:$D$387</definedName>
    <definedName name="NumberOfEmployees">'General Information'!$E$280</definedName>
    <definedName name="NumberOfEmployeesForCountryOfEmploymentContract">'Social Disclosures'!$E$29:$H$128</definedName>
    <definedName name="NumberOfEmployeesForCountryOfEmploymentContractTable">'Social Disclosures'!$C$29:$H$128</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Disclosures'!$D$133</definedName>
    <definedName name="NumberOfTemporaryContractEmployees">'Social Disclosures'!$D$11</definedName>
    <definedName name="OtherUndertakingsLegalForm">'General Information'!$E$177</definedName>
    <definedName name="PercentageGapInPayBetweenFemaleAndMaleEmployees">'Social Disclosures'!$D$146</definedName>
    <definedName name="PercentageOfEmployeesCoveredByCollectiveBargainingAgreements">'Social Disclosures'!$D$148</definedName>
    <definedName name="PercentageOfWasteDivertedToPreparationForReuse">'Environmental Disclosures'!$L$305:$L$404</definedName>
    <definedName name="PercentageOfWasteDivertedToRecycling">'Environmental Disclosures'!$K$305:$K$404</definedName>
    <definedName name="PostalCodeOfSite">'General Information'!$E$402:$E$501</definedName>
    <definedName name="PotentialAdverseEffectsOfClimateRisksThatMayAffectItsFinancialPerformanceOrBusinessOperationsInTheShortMediumOrLongTermIndicatingWhetherItAssessesTheRisksToBeHighMediumOrLow">'Environmental Disclosures'!$E$530</definedName>
    <definedName name="PracticePolicyAndOrFutureInitiativeIsPubliclyAvailable">'General Information'!$N$508</definedName>
    <definedName name="PubliclyAvailableDisclosure">'Environmental Disclosures'!$G$69</definedName>
    <definedName name="RateOfRecordableWorkRelatedAccidentsInTheReportingPeriod">'Social Disclosures'!$D$138</definedName>
    <definedName name="RegisteredAddressOfTheSubsidiary">'General Information'!$E$288:$E$387</definedName>
    <definedName name="ReportContainsDisclosuresFromThePreviousReportingPeriodThatRemainUnchanged">'General Information'!$E$21</definedName>
    <definedName name="RevenueDerivedFromChemicalProduction">'Governance Disclosures'!$H$18</definedName>
    <definedName name="RevenueDerivedFromCoal">'Governance Disclosures'!$H$14</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RevenueDerivedFromTheProhibitedWeaponsIndustryAntiPersonnelMinesClusterMunitionsChemicalWeaponsAndBiologicalWeapons">'Governance Disclosures'!$H$12</definedName>
    <definedName name="SiteLocatedInABiodiversitySensitiveArea">'Environmental Disclosures'!$J$180:$J$279</definedName>
    <definedName name="SiteLocatedNearABiodiversitySensitiveArea">'Environmental Disclosures'!$K$180:$K$279</definedName>
    <definedName name="SitesInBiodiversitySensitiveAreasTable">'Environmental Disclosures'!$C$180:$K$279</definedName>
    <definedName name="SpecificationOfAnyConfirmedIncidentInvolvingWorkersInTheValueChainAffectedCommunitiesConsumersAndEndUsers">'Social Disclosures'!$D$190</definedName>
    <definedName name="SpecificationOfOtherHumanRightsRelatedToTheConfirmedIncident">'Social Disclosures'!$D$187</definedName>
    <definedName name="SpecificationOfOtherTypesOfContentCoveredByTheCodeOfConductOrHumanRightsPolicy">'Social Disclosures'!$D$176</definedName>
    <definedName name="SumOfFatalitiesAsAResultOfRecordableWorkRelatedAccidentsAndRecordableWorkRelatedIllHealth">'Social Disclosures'!$D$139</definedName>
    <definedName name="SustainabilityIssueAddressedByPracticePolicyAndOrFutureInitiative">'General Information'!$D$508:$M$508</definedName>
    <definedName name="TargetYearMember">'Environmental Disclosures'!$J$21</definedName>
    <definedName name="template_b1_basis_for_preparation">'General Information'!$C$124</definedName>
    <definedName name="template_b1_disclosure_of_sustainability_related_certifications_or_labels">'General Information'!$C$389</definedName>
    <definedName name="template_b1_list_of_sites">'General Information'!$C$395</definedName>
    <definedName name="template_b1_list_of_subsidiaries">'General Information'!$C$285</definedName>
    <definedName name="template_b1_other_undertakings_general_information">'General Information'!$C$174</definedName>
    <definedName name="template_b10_workforce_number_of_training">'Social Disclosures'!$C$150</definedName>
    <definedName name="template_b10_workforce_remuneration_collective_bargaining_and_training">'Social Disclosures'!$C$141</definedName>
    <definedName name="template_b11_convictions_and_fines_for_corruption_and_bribery">'Governance Disclosures'!$C$2</definedName>
    <definedName name="template_b2_cooperative_specific_disclosures">'General Information'!$C$510</definedName>
    <definedName name="template_b2_practices_policies_and_future_initiatives_for_transitioning_towards_a_more_sustainable_economy">'General Information'!$C$503</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total_energy_consumption_in_MWh">'Environmental Disclosures'!$C$2</definedName>
    <definedName name="template_b4_pollution_of_air_water_and_soil">'Environmental Disclosures'!$C$65</definedName>
    <definedName name="template_b5_sites_in_biodiversity_sensitive_areas">'Environmental Disclosures'!$C$175</definedName>
    <definedName name="template_b6_water_consumption">'Environmental Disclosures'!$C$287</definedName>
    <definedName name="template_b6_water_withdrawal">'Environmental Disclosures'!$C$282</definedName>
    <definedName name="template_b7_annual_mass_flow_of_relevant_materials_used">'Environmental Disclosures'!$C$416</definedName>
    <definedName name="template_b7_description_of_circular_economy_principles">'Environmental Disclosures'!$C$295</definedName>
    <definedName name="template_b7_waste_generated">'Environmental Disclosures'!$C$301</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ype_of_contract">'Social Disclosures'!$C$6</definedName>
    <definedName name="template_b9_workforce_health_and_safety">'Social Disclosures'!$C$132</definedName>
    <definedName name="template_box_for_customizable_docx_files_for_narrative_disclosures">Translations!$B$55</definedName>
    <definedName name="template_c1_strategy_business_model_and_sustainability">'General Information'!$C$522</definedName>
    <definedName name="template_c2_description_of_practices_policies_and_future_initiatives_for_transitioning_towards_a_more_sustainable_economy">'General Information'!$C$516</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Disclosures'!$C$524</definedName>
    <definedName name="template_c5_additional_general_workforce_characteristics">'Social Disclosures'!$C$156</definedName>
    <definedName name="template_c6_additional_own_workforce_information_human_rights_policies_and_processes">'Social Disclosures'!$C$167</definedName>
    <definedName name="template_c7_severe_negative_human_rights_incidents">'Social Disclosures'!$C$179</definedName>
    <definedName name="template_c8_revenues_from_certain_sectors">'Governance Disclosures'!$C$9</definedName>
    <definedName name="template_c9_gender_diversity_ratio_in_the_governance_body">'Governance Disclosures'!$C$21</definedName>
    <definedName name="template_checkbox_b1_certifications_or_labels">'Table of Contents &amp; Validation'!$D$15</definedName>
    <definedName name="template_checkbox_b1_certifications_or_labels_docx">'Table of Contents &amp; Validation'!$E$15</definedName>
    <definedName name="template_checkbox_b1_list_of_sites">'Table of Contents &amp; Validation'!$D$16</definedName>
    <definedName name="template_checkbox_b1_list_of_subsidiaries">'Table of Contents &amp; Validation'!$D$14</definedName>
    <definedName name="template_checkbox_b1_other_undertakings_information">'Table of Contents &amp; Validation'!$D$13</definedName>
    <definedName name="template_checkbox_b10_number_annual_training_hours_per_employee">'Table of Contents &amp; Validation'!$D$42</definedName>
    <definedName name="template_checkbox_b10_remuneration_and_collective_bargaining">'Table of Contents &amp; Validation'!$D$41</definedName>
    <definedName name="template_checkbox_b11_convitions_and_fines_for_corruption_and_bribery">'Table of Contents &amp; Validation'!$D$44</definedName>
    <definedName name="template_checkbox_b2_cooperative_specific_disclosures">'Table of Contents &amp; Validation'!$D$18</definedName>
    <definedName name="template_checkbox_b2_practices_policies_and_future_initiatives">'Table of Contents &amp; Validation'!$D$17</definedName>
    <definedName name="template_checkbox_b3_breakdown_of_energy_consumption">'Table of Contents &amp; Validation'!$D$22</definedName>
    <definedName name="template_checkbox_b3_estimated_ghg_emissions">'Table of Contents &amp; Validation'!$D$23</definedName>
    <definedName name="template_checkbox_b3_total_energy_consumption">'Table of Contents &amp; Validation'!$D$21</definedName>
    <definedName name="template_checkbox_b4_pollution_of_air_water_and_soil">'Table of Contents &amp; Validation'!$D$24</definedName>
    <definedName name="template_checkbox_b5_sites_in_biodiversity_sensitive_areas">'Table of Contents &amp; Validation'!$D$26</definedName>
    <definedName name="template_checkbox_b6_water_consumption">'Table of Contents &amp; Validation'!$D$29</definedName>
    <definedName name="template_checkbox_b6_water_withdrawal">'Table of Contents &amp; Validation'!$D$28</definedName>
    <definedName name="template_checkbox_b7_annual_mass_flow_of_materials">'Table of Contents &amp; Validation'!$D$33</definedName>
    <definedName name="template_checkbox_b7_description_of_circular_economy_principles">'Table of Contents &amp; Validation'!$D$31</definedName>
    <definedName name="template_checkbox_b7_description_of_circular_economy_principles_docx">'Table of Contents &amp; Validation'!$E$31</definedName>
    <definedName name="template_checkbox_b7_waste_generated">'Table of Contents &amp; Validation'!$D$32</definedName>
    <definedName name="template_checkbox_b8_country_of_employment">'Table of Contents &amp; Validation'!$D$38</definedName>
    <definedName name="template_checkbox_b8_gender">'Table of Contents &amp; Validation'!$D$37</definedName>
    <definedName name="template_checkbox_b8_type_of_contract">'Table of Contents &amp; Validation'!$D$36</definedName>
    <definedName name="template_checkbox_b9_health_and_safety">'Table of Contents &amp; Validation'!$D$39</definedName>
    <definedName name="template_checkbox_c1_strategy_business_model_and_sustainability_initiatives">'Table of Contents &amp; Validation'!$D$47</definedName>
    <definedName name="template_checkbox_c1_strategy_business_model_and_sustainability_initiatives_docx">'Table of Contents &amp; Validation'!$E$47</definedName>
    <definedName name="template_checkbox_c2_description_of_practices_policies_and_future_initiatives">'Table of Contents &amp; Validation'!$D$48</definedName>
    <definedName name="template_checkbox_c2_description_of_practices_policies_and_future_initiatives_docx">'Table of Contents &amp; Validation'!$E$48</definedName>
    <definedName name="template_checkbox_c3_ghg_reduction_targets">'Table of Contents &amp; Validation'!$D$51</definedName>
    <definedName name="template_checkbox_c3_list_of_main_actions_to_achieve_targets">'Table of Contents &amp; Validation'!$D$52</definedName>
    <definedName name="template_checkbox_c3_list_of_main_actions_to_achieve_targets_docx">'Table of Contents &amp; Validation'!$E$52</definedName>
    <definedName name="template_checkbox_c3_transition_plan">'Table of Contents &amp; Validation'!$D$53</definedName>
    <definedName name="template_checkbox_c3_transition_plan_docx">'Table of Contents &amp; Validation'!$E$53</definedName>
    <definedName name="template_checkbox_c4_climate_risks">'Table of Contents &amp; Validation'!$D$54</definedName>
    <definedName name="template_checkbox_c4_climate_risks_docx">'Table of Contents &amp; Validation'!$E$54</definedName>
    <definedName name="template_checkbox_c5_additional_workforce_characteristics">'Table of Contents &amp; Validation'!$D$56</definedName>
    <definedName name="template_checkbox_c6_additional_own_workforce_information">'Table of Contents &amp; Validation'!$D$57</definedName>
    <definedName name="template_checkbox_c6_additional_own_workforce_information_docx">'Table of Contents &amp; Validation'!$E$57</definedName>
    <definedName name="template_checkbox_c7_severe_negative_human_rights_incidents">'Table of Contents &amp; Validation'!$D$58</definedName>
    <definedName name="template_checkbox_c7_severe_negative_human_rights_incidents_docx">'Table of Contents &amp; Validation'!$E$58</definedName>
    <definedName name="template_checkbox_c8_revenues_from_certain_activities">'Table of Contents &amp; Validation'!$D$60</definedName>
    <definedName name="template_checkbox_c9_gender_diversity_ratio">'Table of Contents &amp; Validation'!$D$61</definedName>
    <definedName name="template_checkbox_entity_specific_environmental_disclosures">'Table of Contents &amp; Validation'!$D$63</definedName>
    <definedName name="template_checkbox_entity_specific_environmental_disclosures_docx">'Table of Contents &amp; Validation'!$E$63</definedName>
    <definedName name="template_checkbox_entity_specific_governance_disclosures">'Table of Contents &amp; Validation'!$D$65</definedName>
    <definedName name="template_checkbox_entity_specific_governance_disclosures_docx">'Table of Contents &amp; Validation'!$E$65</definedName>
    <definedName name="template_checkbox_entity_specific_social_disclosures">'Table of Contents &amp; Validation'!$D$64</definedName>
    <definedName name="template_checkbox_entity_specific_social_disclosures_docx">'Table of Contents &amp; Validation'!$E$64</definedName>
    <definedName name="template_checkbox_introduction">'Table of Contents &amp; Validation'!$D$7</definedName>
    <definedName name="template_checkbox_introduction_docx">'Table of Contents &amp; Validation'!$E$7</definedName>
    <definedName name="template_classified_or_sensitive_information">Translations!$B$60</definedName>
    <definedName name="template_currency">'General Information'!$D$5</definedName>
    <definedName name="template_disclaimer_cover_page">Translations!$B$467</definedName>
    <definedName name="template_disclosure_of_any_other_environmental_and_or_entity_specific_enviromental_disclosures">'Environmental Disclosures'!$C$532</definedName>
    <definedName name="template_disclosure_of_any_other_general_and_or_entity_specific_information_on_the_reporting_period">'General Information'!$C$15:$E$15</definedName>
    <definedName name="template_disclosure_of_any_other_governance_and_or_entity_specific_governance_disclosures">'Governance Disclosures'!$C$28</definedName>
    <definedName name="template_disclosure_of_any_other_social_and_or_entity_specific_social_disclosures">'Social Disclosures'!$C$194</definedName>
    <definedName name="template_ending_date_display">'Technical Sheet'!$B$3</definedName>
    <definedName name="template_external_values">'Technical Sheet'!$B$281:$B$329</definedName>
    <definedName name="template_filling_sensitive_checkboxes">Translations!$B$57</definedName>
    <definedName name="template_footnote_expansion_button">Translations!$B$476</definedName>
    <definedName name="template_footnote_labels_taxonomy">'Footnote (Taxonomy) Labels'!$A$2:$A$144</definedName>
    <definedName name="template_footnote_technical_name">Translations!$B$475</definedName>
    <definedName name="template_FUEL_CONVERTER">'Fuel Converter'!$A$1</definedName>
    <definedName name="template_further_notes">'Fuel Converter'!$A$36</definedName>
    <definedName name="template_information_on_previous_reporting_period">'General Information'!$C$19</definedName>
    <definedName name="template_information_on_the_report_necessary_for_XBRL">'General Information'!$C$2</definedName>
    <definedName name="template_label_0_provide_information_that_is_mandatory_in_order_to_generate_the_vs_and_xbrl_report">Translations!$B$27</definedName>
    <definedName name="template_label_1_fill_in_the_disclosures_on_the_four_worksheets">Translations!$B$28</definedName>
    <definedName name="template_label_1_in_cell_a9_select_the_fuel_used_searching_for_it_or_scrolling_down_the_list_displayed_clicking_the_cell">Translations!$B$384</definedName>
    <definedName name="template_label_1_in_the_cell_b5_of_the_table_related_to_the_unit_of_measurement_of_mass_converter">Translations!$B$419</definedName>
    <definedName name="template_label_1_purchased_goods_and_services">Translations!$B$198</definedName>
    <definedName name="template_label_10_further_notes_can_be_found_below">Translations!$B$393</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oluntary_standard">Translations!$B$29</definedName>
    <definedName name="template_label_2_in_cell_b9_select_the_unit_of_measurement_used">Translations!$B$385</definedName>
    <definedName name="template_label_2_then_in_the_cell_b6_the_amount_of_mass_can_be_inserted">Translations!$B$420</definedName>
    <definedName name="template_label_3_finally_in_the_cell_d5_there_should_be_the_unit_of_measurement_of_interest">Translations!$B$421</definedName>
    <definedName name="template_label_3_for_open_tables_like_the_list_of_subsidizers_sites_please_expand_the_groups_by_clicking_the_plus">Translations!$B$30</definedName>
    <definedName name="template_label_3_fuel__and_energy_related_activities">Translations!$B$200</definedName>
    <definedName name="template_label_3_in_cell_c9_select_the_amount_of_fuel_used">Translations!$B$386</definedName>
    <definedName name="template_label_4_in_cell_d9_it_is_displayed_the_state_of_matter_for_the_fuel_selected">Translations!$B$387</definedName>
    <definedName name="template_label_4_the_outcome_of_the_conversion_will_be_displayed_in_the_cell_d6">Translations!$B$422</definedName>
    <definedName name="template_label_4_upstream_transportation_and_distribution">Translations!$B$201</definedName>
    <definedName name="template_label_4_validate_the_data_entered_by_checking_the_validation_status">Translations!$B$31</definedName>
    <definedName name="template_label_5_convert_this_template_to_an_inline_xbrl_report">Translations!$B$32</definedName>
    <definedName name="template_label_5_in_cell_e9_it_is_displayed_the_typical_renewability_state_for_the_fuel_selected">Translations!$B$388</definedName>
    <definedName name="template_label_5_waste_generated_in_operations">Translations!$B$202</definedName>
    <definedName name="template_label_6_business_travel">Translations!$B$203</definedName>
    <definedName name="template_label_6_in_cell_f9_is_displayed_the_energy_produced_in_mega_watt_hours_by_the_amount_of_fuel_specified">Translations!$B$389</definedName>
    <definedName name="template_label_6_the_undertaking_may_also_upload_the_report_to_public_repositories_or_a_webpage">Translations!$B$33</definedName>
    <definedName name="template_label_7_employee_commuting">Translations!$B$204</definedName>
    <definedName name="template_label_7_in_cell_a28_is_displayed_the_total_energy_in_mega_watt_hours">Translations!$B$390</definedName>
    <definedName name="template_label_8_in_cell_a31_is_displayed_the_total_renewable_energy_in_mega_watt_hours">Translations!$B$391</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Translations!$B$392</definedName>
    <definedName name="template_label_accident_prevention">Translations!$B$339</definedName>
    <definedName name="template_label_additional_disclosures_validation">Translations!$B$91</definedName>
    <definedName name="template_label_additional_rows_warning">Translations!$B$448</definedName>
    <definedName name="template_label_additionally_users_are_encouraged_to_determine_the_renewability_status_of_each_fuel_based_on_guarantees_of_origin">Translations!$B$376</definedName>
    <definedName name="template_label_address">Translations!$B$137</definedName>
    <definedName name="template_label_affected_communities">Translations!$B$155</definedName>
    <definedName name="template_label_amount">Translations!$B$379</definedName>
    <definedName name="template_label_amount_in">Translations!$B$97</definedName>
    <definedName name="template_label_amount_of_water_consumed_at_sites_located_in_areas_with_water_stress">Translations!$B$247</definedName>
    <definedName name="template_label_annual_mass_flow_of_relevant_materials_used_validation">Translations!#REF!</definedName>
    <definedName name="template_label_at">Translations!$B$96</definedName>
    <definedName name="template_label_automatic_geolocation">Translations!$B$142</definedName>
    <definedName name="template_label_average_gross_hourly_pay_level_of_female_employees">Translations!$B$314</definedName>
    <definedName name="template_label_average_gross_hourly_pay_level_of_male_employees">Translations!$B$313</definedName>
    <definedName name="template_label_average_number_of_annual_training_hours_per_employee">Translations!$B$321</definedName>
    <definedName name="template_label_b1_basis_for_preparation">Translations!$B$114</definedName>
    <definedName name="template_label_b1_basis_for_preparation_validation">Translations!$B$67</definedName>
    <definedName name="template_label_b1_disclosure_of_sustainability_related_certification_or_label">Translations!$B$133</definedName>
    <definedName name="template_label_b1_list_of_site">Translations!$B$136</definedName>
    <definedName name="template_label_b1_list_of_subsidiaries">Translations!$B$129</definedName>
    <definedName name="template_label_b1_other_undertakings_general_information">Translations!$B$115</definedName>
    <definedName name="template_label_b10_workforce_remuneration_collective_bargaining">Translations!$B$310</definedName>
    <definedName name="template_label_b10_workforce_remuneration_collective_bargaining_and_training_validation">Translations!$B$78</definedName>
    <definedName name="template_label_b11_convictions_and_fines_for_corruption_and_bribery">Translations!$B$351</definedName>
    <definedName name="template_label_b11_convictions_and_fines_for_corruption_and_bribery_validation">Translations!$B$80</definedName>
    <definedName name="template_label_b2_cooperative_specific_disclosures">Translations!$B$158</definedName>
    <definedName name="template_label_b2_practices_policies_and_future_initiatives_for_transitioning_towards_a_more_sustainable_economy">Translations!$B$143</definedName>
    <definedName name="template_label_b2_practices_policies_and_future_initiatives_for_transitioning_towards_a_more_sustainable_economy_validation">Translations!$B$68</definedName>
    <definedName name="template_label_b3_breakdown_of_energy_consumption">Translations!$B$176</definedName>
    <definedName name="template_label_b3_energy_and_greenhouse_gas_emissions_validation">Translations!$B$70</definedName>
    <definedName name="template_label_b3_estimated_absolute_greenhouse_gas_emissions">Translations!$B$184</definedName>
    <definedName name="template_label_b3_total_energy_consumption">Translations!$B$174</definedName>
    <definedName name="template_label_b4_pollution_of_air_water_and_soil">Translations!$B$225</definedName>
    <definedName name="template_label_b4_pollution_of_air_water_and_soil_validation">Translations!$B$71</definedName>
    <definedName name="template_label_b5_biodiversity_validation">Translations!$B$72</definedName>
    <definedName name="template_label_b5_sites_in_biodiversity_sensitive_areas">Translations!$B$235</definedName>
    <definedName name="template_label_b6_water_consumption">Translations!$B$244</definedName>
    <definedName name="template_label_b6_water_validation">Translations!$B$73</definedName>
    <definedName name="template_label_b6_water_withdrawal">Translations!$B$242</definedName>
    <definedName name="template_label_b7_annual_mass_flow_of_relevant_materials_used">Translations!$B$271</definedName>
    <definedName name="template_label_b7_description_of_circular_economy_principles">Translations!$B$249</definedName>
    <definedName name="template_label_b7_resource_use_circular_economy_and_waste_management_validation">Translations!$B$74</definedName>
    <definedName name="template_label_b7_waste_generated">Translations!$B$252</definedName>
    <definedName name="template_label_b8_workforce_general_characteristics_country_of_employment">Translations!$B$299</definedName>
    <definedName name="template_label_b8_workforce_general_characteristics_gender">Translations!$B$293</definedName>
    <definedName name="template_label_b8_workforce_general_characteristics_type_of_contract">Translations!$B$288</definedName>
    <definedName name="template_label_b8_workforce_general_characteristics_validation">Translations!$B$76</definedName>
    <definedName name="template_label_b9_workforce_health_and_safety">Translations!$B$302</definedName>
    <definedName name="template_label_b9_workforce_health_and_safety_validation">Translations!$B$77</definedName>
    <definedName name="template_label_base_year">Translations!$B$188</definedName>
    <definedName name="template_label_basic_module">Translations!$B$37</definedName>
    <definedName name="template_label_basic_module_validation">Translations!$B$66</definedName>
    <definedName name="template_label_basis_for_preparation">Translations!$B$116</definedName>
    <definedName name="template_label_basis_for_preparation_and_other_undertakings_general_information_validation">Translations!#REF!</definedName>
    <definedName name="template_label_basis_for_reporting">Translations!$B$119</definedName>
    <definedName name="template_label_below_are_specified_all_the_units_of_measurement_conversions_of_each_table">Translations!$B$424</definedName>
    <definedName name="template_label_biodiversity_and_ecosystems">Translations!$B$151</definedName>
    <definedName name="template_label_bold_omitted_information">Translations!$B$458</definedName>
    <definedName name="template_label_breakdown_of_energy_consumption_in_mwh_validation">Translations!#REF!</definedName>
    <definedName name="template_label_business_conduct">Translations!$B$157</definedName>
    <definedName name="template_label_buttons_footnotes">Translations!$B$465</definedName>
    <definedName name="template_label_c1_strategy_business_model_and_sustainability_related_initiatives">Translations!$B$166</definedName>
    <definedName name="template_label_c1_strategy_business_model_and_sustainability_related_initiatives_validation">Translations!$B$82</definedName>
    <definedName name="template_label_c2_description_of_practices_policies_and_future_initiatives_for_transitioning_towards_a_more_sustainable_economy">Translations!$B$162</definedName>
    <definedName name="template_label_c2_description_of_practices_policies_and_future_initiatives_for_transitioning_towards_a_more_sustainable_economy_validation">Translations!$B$83</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Translations!$B$84</definedName>
    <definedName name="template_label_c3_transition_plan_for_undertakings_operating_in_high_climate_impact_sectors">Translations!$B$217</definedName>
    <definedName name="template_label_c4_climate_risks">Translations!$B$278</definedName>
    <definedName name="template_label_c4_climate_risks_validation">Translations!$B$85</definedName>
    <definedName name="template_label_c5_additional_general_workforce_characteristics_validation">Translations!$B$86</definedName>
    <definedName name="template_label_c5_additional_workforce_characteristics">Translations!$B$322</definedName>
    <definedName name="template_label_c6_additional_own_workforce_information_human_rights_policies_and_processes">Translations!$B$332</definedName>
    <definedName name="template_label_c6_additional_own_workforce_information_human_rights_policies_and_processes_validation">Translations!$B$87</definedName>
    <definedName name="template_label_c7_human_rights_incidents">Translations!$B$343</definedName>
    <definedName name="template_label_c7_human_rights_incidents_validation">Translations!$B$88</definedName>
    <definedName name="template_label_c8_revenues_from_certain_activities_validation">Translations!$B$89</definedName>
    <definedName name="template_label_c8_revenues_from_certain_sectors">Translations!$B$355</definedName>
    <definedName name="template_label_c9_gender_diversity_ratio_in_the_governance_body">Translations!$B$366</definedName>
    <definedName name="template_label_c9_gender_diversity_ratio_in_the_governance_body_validation">Translations!$B$90</definedName>
    <definedName name="template_label_calculated_energy_in_mwh">Translations!$B$382</definedName>
    <definedName name="template_label_cell_background_color_index">Translations!$B$34</definedName>
    <definedName name="template_label_child_labour">Translations!$B$335</definedName>
    <definedName name="template_label_choice_between_100_or_500_full_time_workers">Translations!$B$306</definedName>
    <definedName name="template_label_circular_economy_and_resource_use">Translations!$B$152</definedName>
    <definedName name="template_label_city">Translations!$B$139</definedName>
    <definedName name="template_label_classified_or_sensitive_information">Translations!$B$442</definedName>
    <definedName name="template_label_climate_change">Translations!$B$148</definedName>
    <definedName name="template_label_complete">Translations!$B$432</definedName>
    <definedName name="template_label_comprehensive_module">Translations!$B$39</definedName>
    <definedName name="template_label_comprehensive_module_validation">Translations!$B$81</definedName>
    <definedName name="template_label_consumers_and_endusers_validation">Translations!$B$156</definedName>
    <definedName name="template_label_contents_grouping_follows_templates_framework">Translations!$B$61</definedName>
    <definedName name="template_label_cooperative_specific_disclosures_validation">Translations!#REF!</definedName>
    <definedName name="template_label_country">Translations!$B$140</definedName>
    <definedName name="template_label_country_of_employment_contract">Translations!$B$300</definedName>
    <definedName name="template_label_country_of_employment_validation">Translations!#REF!</definedName>
    <definedName name="template_label_country_of_primary_operations_and_location_of_significant_asset">Translations!$B$128</definedName>
    <definedName name="template_label_cubic_meters">Translations!$B$263</definedName>
    <definedName name="template_label_currency_of_the_monetary_values_in_the_report">Translations!$B$101</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Translations!$B$447</definedName>
    <definedName name="template_label_day">Translations!$B$224</definedName>
    <definedName name="template_label_decimal_separator_document_information">Translations!$B$8</definedName>
    <definedName name="template_label_density_kg_over_l">Translations!$B$415</definedName>
    <definedName name="template_label_description_of_a_practice_policy_and_or_future_initiative_towards_a_more_sustainable_future">Translations!$B$163</definedName>
    <definedName name="template_label_description_of_a_transition_plan_for_climate_change_mitigation">Translations!$B$220</definedName>
    <definedName name="template_label_description_of_actions_taken_to_address_the_confirmed_incidents">Translations!$B$347</definedName>
    <definedName name="template_label_description_of_circular_economy_principles_validation">Translations!#REF!</definedName>
    <definedName name="template_label_description_of_climate_related_hazards_and_climate_related_transition_events">Translations!$B$280</definedName>
    <definedName name="template_label_description_of_how_it_applies_these_principles">Translations!$B$251</definedName>
    <definedName name="template_label_description_of_main_business_relationships">Translations!$B$169</definedName>
    <definedName name="template_label_description_of_significant_groups_of_products_and_or_services_offered">Translations!$B$167</definedName>
    <definedName name="template_label_description_of_significant_market_the_undertaking_operates_in">Translations!$B$168</definedName>
    <definedName name="template_label_description_of_sustainability_related_certification_or_label">Translations!$B$135</definedName>
    <definedName name="template_label_description_of_target_related_to_a_policy">Translations!$B$164</definedName>
    <definedName name="template_label_description_of_those_key_elements_in_the_strategy_that_relate_or_affect_sustainability_issues">Translations!$B$171</definedName>
    <definedName name="template_label_disclaimer">Translations!$B$373</definedName>
    <definedName name="template_label_disclosure_of_any_other_environmental_and_or_entity_specific_environmental_disclosures">Translations!$B$285</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Translations!$B$371</definedName>
    <definedName name="template_label_disclosure_of_any_other_governance_and_or_entity_specific_governance_disclosures_validation">Translations!#REF!</definedName>
    <definedName name="template_label_disclosure_of_any_other_social_and_or_entity_specific_social_disclosures">Translations!$B$350</definedName>
    <definedName name="template_label_disclosure_of_any_other_social_and_or_entity_specific_social_disclosures_validation">Translations!#REF!</definedName>
    <definedName name="template_label_disclosure_of_how_it_has_assessed_the_exposure_and_sensitivity_of_its_assets">Translations!$B$281</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Translations!$B$283</definedName>
    <definedName name="template_label_disclosure_part_of_vs_guidance">Translations!$B$477</definedName>
    <definedName name="template_label_disclosure_selection">Translations!$B$473</definedName>
    <definedName name="template_label_disclosures_for_which_no_changes_are_reported_compared_to_the_previous_period_reporting">Translations!$B$112</definedName>
    <definedName name="template_label_disclosures_from_the_previous_reporting_period_that_remain_unchanged">Translations!$B$111</definedName>
    <definedName name="template_label_disclosures_related_to_reporting_period">Translations!$B$11</definedName>
    <definedName name="template_label_discrimination">Translations!$B$338</definedName>
    <definedName name="template_label_does_the_undertaking_have_a_code_of_conduct_or_human_rights_policy_for_its_own_workforce">Translations!$B$333</definedName>
    <definedName name="template_label_does_the_undertaking_have_a_complaint_handling_mechanism_for_its_own_workforce">Translations!$B$342</definedName>
    <definedName name="template_label_does_the_undertaking_have_a_governance_body_in_place">Translations!$B$367</definedName>
    <definedName name="template_label_does_the_undertaking_have_confirmed_incidents_in_its_own_workforce">Translations!$B$344</definedName>
    <definedName name="template_label_does_the_undertaking_have_production_processes_in_place_which_significantly_consume_water">Translations!$B$245</definedName>
    <definedName name="template_label_does_the_undertaking_have_sites_that_are_located_in_or_near_biodiversity_sensitive_areas">Translations!$B$236</definedName>
    <definedName name="template_label_does_the_undertaking_operate_in_a_sector_using_significant_material_flows">Translations!$B$272</definedName>
    <definedName name="template_label_each_expanded_fuel_converter_works_exactly_as_explained_above">Translations!#REF!</definedName>
    <definedName name="template_label_effective_participation_of_workers_users_or_other_interested_parties_or_communities_in_governance">Translations!$B$159</definedName>
    <definedName name="template_label_efrag_is_funded_by_the_european_union_through_the_single_market_programme">Translations!$B$52</definedName>
    <definedName name="template_label_electricity">Translations!$B$181</definedName>
    <definedName name="template_label_emission_to_air">Translations!$B$232</definedName>
    <definedName name="template_label_emission_to_soil">Translations!$B$234</definedName>
    <definedName name="template_label_emission_to_water">Translations!$B$233</definedName>
    <definedName name="template_label_employee_counting_methodology_end_of_reporting_period_or_average_during_the_reporting_period">Translations!$B$126</definedName>
    <definedName name="template_label_employee_counting_methodology_for_the_disclosures_below_headcount_full_time_equivalent">Translations!$B$286</definedName>
    <definedName name="template_label_employee_counting_methodology_for_the_disclosures_below_period">Translations!$B$287</definedName>
    <definedName name="template_label_employee_counting_methodology_headcount_or_fulltime_equivalent">Translations!$B$127</definedName>
    <definedName name="template_label_employee_turnover_rate_in_the_reporting_period">Translations!$B$326</definedName>
    <definedName name="template_label_employees_receive_pay_that_is_equal_or_above_applicable_minimum_wage">Translations!$B$311</definedName>
    <definedName name="template_label_ending_day">Translations!$B$108</definedName>
    <definedName name="template_label_ending_month">Translations!$B$107</definedName>
    <definedName name="template_label_ending_year">Translations!$B$106</definedName>
    <definedName name="template_label_energy_consumption_per_hour_in_mwh_for_gaseous_fuels">Translations!$B$405</definedName>
    <definedName name="template_label_energy_consumption_per_hour_in_mwh_for_liquid_fuels">Translations!$B$402</definedName>
    <definedName name="template_label_energy_consumption_per_hour_in_mwh_for_solid_fuels">Translations!$B$400</definedName>
    <definedName name="template_label_energy_consumption_warning">Translations!$B$452</definedName>
    <definedName name="template_label_energy_gaseous_fuels">Translations!$B$407</definedName>
    <definedName name="template_label_energy_liquid_fuels">Translations!$B$404</definedName>
    <definedName name="template_label_energy_solid_fuels">Translations!$B$401</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Translations!$B$69</definedName>
    <definedName name="template_label_error">Translations!$B$434</definedName>
    <definedName name="template_label_error_plus_missing_value">Translations!$B$438</definedName>
    <definedName name="template_label_error_plus_missing_value_plus_value_inconsistency">Translations!$B$437</definedName>
    <definedName name="template_label_error_plus_value_inconsistency">Translations!$B$436</definedName>
    <definedName name="template_label_estimated_greenhouse_gas_emissions_considering_the_ghg_protocol_version_2004_in_tco2e_validation">Translations!#REF!</definedName>
    <definedName name="template_label_female">Translations!$B$296</definedName>
    <definedName name="template_label_female_to_male_ratio_at_management_level_for_the_reporting_period">Translations!$B$329</definedName>
    <definedName name="template_label_financial_investment_in_the_capital_or_assets_of_social_economy_entities">Translations!$B$160</definedName>
    <definedName name="template_label_footnote_id">Translations!$B$472</definedName>
    <definedName name="template_label_footnote_instructions">Translations!$B$471</definedName>
    <definedName name="template_label_footnote_text">Translations!$B$474</definedName>
    <definedName name="template_label_for_further_information_contact_email">Translations!$B$53</definedName>
    <definedName name="template_label_forced_labour">Translations!$B$336</definedName>
    <definedName name="template_label_from">Translations!$B$94</definedName>
    <definedName name="template_label_from_capital_case">Translations!$B$409</definedName>
    <definedName name="template_label_fuel_converter">Translations!$B$372</definedName>
    <definedName name="template_label_fuel_type">Translations!$B$378</definedName>
    <definedName name="template_label_fuels">Translations!$B$183</definedName>
    <definedName name="template_label_further_notes">Translations!$B$398</definedName>
    <definedName name="template_label_gaseous_warning">Translations!$B$445</definedName>
    <definedName name="template_label_gender">Translations!$B$294</definedName>
    <definedName name="template_label_gender_diversity_ratio_in_governance_body">Translations!$B$370</definedName>
    <definedName name="template_label_gender_validation">Translations!#REF!</definedName>
    <definedName name="template_label_general_information_validation">Translations!$B$63</definedName>
    <definedName name="template_label_general_principles">Translations!$B$35</definedName>
    <definedName name="template_label_geolocalisation_warning">Translations!$B$451</definedName>
    <definedName name="template_label_GHG_calculator">Translations!$B$459</definedName>
    <definedName name="template_label_ghg_reduction_targets_in_tc02e_validation">Translations!#REF!</definedName>
    <definedName name="template_label_governance_disclosures_validation">Translations!$B$79</definedName>
    <definedName name="template_label_gps_coordinates">Translations!$B$141</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Translations!$B$170</definedName>
    <definedName name="template_label_has_the_undertaking_has_established_ghg_emission_reduction_targets">Translations!$B$186</definedName>
    <definedName name="template_label_has_the_undertaking_identified_climate_related_hazards_and_climate_related_transition_events">Translations!$B$279</definedName>
    <definedName name="template_label_has_the_undertaking_incurred_in_convictions_and_fines_in_the_reporting_period">Translations!$B$352</definedName>
    <definedName name="template_label_has_the_undertaking_obtained_any_sustainability_related_certification_or_label">Translations!$B$134</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Translations!$B$144</definedName>
    <definedName name="template_label_health_and_safety_formula_warning">Translations!$B$457</definedName>
    <definedName name="template_label_how_to_use_it">Translations!$B$26</definedName>
    <definedName name="template_label_human_trafficking">Translations!$B$337</definedName>
    <definedName name="template_label_id">Translations!$B$130</definedName>
    <definedName name="template_label_identifier_of_the_reporting_entity">Translations!$B$100</definedName>
    <definedName name="template_label_identifier_warning">Translations!$B$446</definedName>
    <definedName name="template_label_if_yes_are_incidents_related_to">Translations!$B$345</definedName>
    <definedName name="template_label_if_yes_does_this_cover">Translations!$B$334</definedName>
    <definedName name="template_label_incomplete">Translations!$B$431</definedName>
    <definedName name="template_label_indicates_that_data_entry_is_ok_and_the_undertaking_can_proceed_to_the_next_disclosure">Translations!$B$47</definedName>
    <definedName name="template_label_indicates_that_either_data_entry_is_incorrect_in_terms_of_format_or_that_certain_information">Translations!$B$45</definedName>
    <definedName name="template_label_indicates_that_no_data_entry_is_required_unless_certain_logics_are_selected_in_the_disclosure_itself">Translations!$B$43</definedName>
    <definedName name="template_label_indicates_that_the_cell_is_automatically_calculated_and_that_no_data_entry_is_required">Translations!$B$41</definedName>
    <definedName name="template_label_indicates_that_the_cell_should_be_filled_either_by_selecting_a_value_from_the_dropdown">Translations!$B$377</definedName>
    <definedName name="template_label_indicates_that_the_datapoint_often_a_condition_will_not_be_included_in_the_vs_and_digital_xbrl_report">Translations!$B$42</definedName>
    <definedName name="template_label_indicates_that_the_disclosure_is_from_the_general_principles_of_the_vs">Translations!$B$36</definedName>
    <definedName name="template_label_indicates_that_the_disclosure_is_from_the_vs_basic_module">Translations!$B$38</definedName>
    <definedName name="template_label_indicates_that_the_disclosure_is_from_the_vs_comprehensive_module">Translations!$B$40</definedName>
    <definedName name="template_label_indicates_that_the_undertaking_has_omitted_the_data_entry_as_it_is_deemed_to_be_classified_or_sensitive_information">Translations!$B$49</definedName>
    <definedName name="template_label_information_on_previous_reporting_period">Translations!$B$110</definedName>
    <definedName name="template_label_information_on_previous_reporting_period_validation">Translations!$B$65</definedName>
    <definedName name="template_label_information_on_sensitive_information_before_converting">Translations!$B$463</definedName>
    <definedName name="template_label_information_on_the_report_necessary_for_xbrl">Translations!$B$98</definedName>
    <definedName name="template_label_information_on_the_report_necessary_for_xbrl_validation">Translations!$B$64</definedName>
    <definedName name="template_label_introduction">Translations!$B$172</definedName>
    <definedName name="template_label_invalid_url">Translations!$B$440</definedName>
    <definedName name="template_label_is_the_undertaking_aware_of_any_confirmed_incidents_involving_workers">Translations!$B$348</definedName>
    <definedName name="template_label_is_the_undertaking_deriving_revenues_from_one_of_the_activities_listed_below">Translations!$B$356</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Translations!$B$227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Translations!$B$276</definedName>
    <definedName name="template_label_limits_to_the_distribution_of_profits">Translations!$B$161</definedName>
    <definedName name="template_label_link_to_previous_report_containing_disclosures_that_remain_unchanged">Translations!$B$113</definedName>
    <definedName name="template_label_liquid_warning">Translations!$B$443</definedName>
    <definedName name="template_label_list_of_omitted_disclosures">Translations!$B$118</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Translations!$B$51</definedName>
    <definedName name="template_label_main_title_of_report_text">Translations!$B$21</definedName>
    <definedName name="template_label_male">Translations!$B$295</definedName>
    <definedName name="template_label_mass">Translations!$B$468</definedName>
    <definedName name="template_label_mass_gaseous_fuels">Translations!$B$406</definedName>
    <definedName name="template_label_mass_liquid_fuels">Translations!$B$403</definedName>
    <definedName name="template_label_mass_to_volume">Translations!$B$414</definedName>
    <definedName name="template_label_mass_to_volume_instruction">Translations!$B$430</definedName>
    <definedName name="template_label_mass_volume">Translations!$B$274</definedName>
    <definedName name="template_label_microenterprise_validation">Translations!$B$56</definedName>
    <definedName name="template_label_missing_value">Translations!$B$433</definedName>
    <definedName name="template_label_missing_value_plus_value_inconsistency">Translations!$B$439</definedName>
    <definedName name="template_label_monetary_amount_in">Translations!$B$357</definedName>
    <definedName name="template_label_month">Translations!$B$223</definedName>
    <definedName name="template_label_most_senior_level_accountable_for_implementing_practices_policies_and_or_future_initiatives">Translations!$B$165</definedName>
    <definedName name="template_label_nace_sector_classification_code">Translations!$B$122</definedName>
    <definedName name="template_label_NACE_warning">Translations!$B$450</definedName>
    <definedName name="template_label_name">Translations!$B$131</definedName>
    <definedName name="template_label_name_of_biodiversity_sensitive_area">Translations!$B$239</definedName>
    <definedName name="template_label_name_of_the_key_material">Translations!$B$273</definedName>
    <definedName name="template_label_name_of_the_reporting_entity">Translations!$B$99</definedName>
    <definedName name="template_label_no_value_can_be_entered_in_the_cell">Translations!$B$50</definedName>
    <definedName name="template_label_non_renewable">Translations!$B$179</definedName>
    <definedName name="template_label_none">Translations!$B$470</definedName>
    <definedName name="template_label_none_of_the_above">Translations!$B$365</definedName>
    <definedName name="template_label_not_reported">Translations!$B$298</definedName>
    <definedName name="template_label_number_of_annual_training_hours_per_employee_during_the_reporting_period">Translations!$B$318</definedName>
    <definedName name="template_label_number_of_employees">Translations!$B$125</definedName>
    <definedName name="template_label_number_of_employees_at_the_beginning_of_the_reporting_period">Translations!$B$324</definedName>
    <definedName name="template_label_number_of_employees_at_the_end_of_the_reporting_period">Translations!$B$325</definedName>
    <definedName name="template_label_number_of_employees_covered_by_collective_bargaining_agreements">Translations!$B$316</definedName>
    <definedName name="template_label_number_of_employees_warning">Translations!$B$456</definedName>
    <definedName name="template_label_number_of_employees_who_left_during_the_reporting_period">Translations!$B$323</definedName>
    <definedName name="template_label_number_of_female_board_members_at_the_end_of_the_reporting_period">Translations!$B$368</definedName>
    <definedName name="template_label_number_of_female_employees_at_management_level">Translations!$B$328</definedName>
    <definedName name="template_label_number_of_hours_worked_by_one_fulltime_employee_in_the_reporting_period">Translations!$B$304</definedName>
    <definedName name="template_label_number_of_male_board_members_at_the_end_of_the_reporting_period">Translations!$B$369</definedName>
    <definedName name="template_label_number_of_male_employees_at_management_level">Translations!$B$327</definedName>
    <definedName name="template_label_number_of_recordable_work_related_accidents_in_the_reporting_period">Translations!$B$303</definedName>
    <definedName name="template_label_ok">Translations!$B$441</definedName>
    <definedName name="template_label_other">Translations!$B$297</definedName>
    <definedName name="template_label_other_if_yes_specify">Translations!$B$340</definedName>
    <definedName name="template_label_other_undertakings_legal_form_specification">Translations!$B$121</definedName>
    <definedName name="template_label_other_warning">Translations!$B$449</definedName>
    <definedName name="template_label_overall_validation_status_validation">Translations!$B$58</definedName>
    <definedName name="template_label_own_workforce">Translations!$B$153</definedName>
    <definedName name="template_label_paragraph_guidance_reference">Translations!$B$93</definedName>
    <definedName name="template_label_paragraph_reference">Translations!$B$92</definedName>
    <definedName name="template_label_percentage_gap_in_pay_between_the__undertakings_female_and_male_employees">Translations!$B$315</definedName>
    <definedName name="template_label_percentage_gap_in_pay_condition_of_applicability">Translations!$B$312</definedName>
    <definedName name="template_label_percentage_of_employees_covered_by_collective_bargaining_agreements">Translations!$B$317</definedName>
    <definedName name="template_label_percentage_reduction_from_base_year">Translations!$B$190</definedName>
    <definedName name="template_label_permanent_contract">Translations!$B$290</definedName>
    <definedName name="template_label_please_note_that_the_typical_values_for_net_calorific_value_and_density_are_provided_for_each_fuel_type">Translations!$B$375</definedName>
    <definedName name="template_label_please_provide_the_relevant_url_link_or_hyperlink_of_where_this_information_is_reported">Translations!$B$228</definedName>
    <definedName name="template_label_please_select_the_unit_used_for_reporting_the_amount">Translations!$B$229</definedName>
    <definedName name="template_label_pollutant">Translations!$B$231</definedName>
    <definedName name="template_label_pollution">Translations!$B$149</definedName>
    <definedName name="template_label_postal_code">Translations!$B$138</definedName>
    <definedName name="template_label_potential_adverse_effects_of_climate_risks">Translations!$B$284</definedName>
    <definedName name="template_label_practices_policies_and_future_initiatives_for_transitioning_towards_a_more_sustainable_economy_validation">Translations!#REF!</definedName>
    <definedName name="template_label_proportion_of_waste_diverted_to_preparation_for_reuse">Translations!$B$256</definedName>
    <definedName name="template_label_proportion_of_waste_diverted_to_recycling">Translations!$B$255</definedName>
    <definedName name="template_label_publication_date">Translations!$B$16</definedName>
    <definedName name="template_label_rate_of_recordable_work_related_accidents_in_the_reporting_period">Translations!$B$308</definedName>
    <definedName name="template_label_rate_per_100_or_500_full_time_workers_over_a_yearly_timeframe">Translations!$B$307</definedName>
    <definedName name="template_label_registered_address">Translations!$B$132</definedName>
    <definedName name="template_label_related_site_id">Translations!$B$237</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Translations!$B$109</definedName>
    <definedName name="template_label_reporting_period_start_date">Translations!$B$105</definedName>
    <definedName name="template_label_required_to_report_to_competent_authorities_by_EU_or_national_law_its_emissions_to_pollutants">Translations!$B$226</definedName>
    <definedName name="template_label_revenue_derived_from_chemicals_production">Translations!$B$364</definedName>
    <definedName name="template_label_revenue_derived_from_coal">Translations!$B$360</definedName>
    <definedName name="template_label_revenue_derived_from_cultivation_and_production_of_tobacco">Translations!$B$359</definedName>
    <definedName name="template_label_revenue_derived_from_gas">Translations!$B$362</definedName>
    <definedName name="template_label_revenue_derived_from_oil">Translations!$B$361</definedName>
    <definedName name="template_label_revenue_derived_from_the_prohibited_weapons_industry">Translations!$B$358</definedName>
    <definedName name="template_label_revenues_from_certain_sectors_validation">Translations!#REF!</definedName>
    <definedName name="template_label_row_id">Translations!$B$230</definedName>
    <definedName name="template_label_scope_3_categories_warning">Translations!$B$453</definedName>
    <definedName name="template_label_select_template_display_language">Translations!$B$19</definedName>
    <definedName name="template_label_selfgenerated_electricity">Translations!$B$182</definedName>
    <definedName name="template_label_site_ID_value_inconsistency_warning">Translations!$B$454</definedName>
    <definedName name="template_label_site_located_in_a_biodiversity_sensitive_area">Translations!$B$240</definedName>
    <definedName name="template_label_site_located_near_a_biodiversity_sensitive_area">Translations!$B$241</definedName>
    <definedName name="template_label_site_location_in_near_a_biodiversity_area">Translations!$B$238</definedName>
    <definedName name="template_label_sites_in_biodiversity_sensitive_areas_validation">Translations!#REF!</definedName>
    <definedName name="template_label_size_of_balance_sheet_in">Translations!$B$123</definedName>
    <definedName name="template_label_social_disclosures_validation">Translations!$B$75</definedName>
    <definedName name="template_label_solid_warning">Translations!$B$444</definedName>
    <definedName name="template_label_specific_content_validation_status_validation">Translations!$B$62</definedName>
    <definedName name="template_label_specification_of_any_confirmed_incident_involving_workers">Translations!$B$349</definedName>
    <definedName name="template_label_specify_other_human_rights_related_to_the_confirmed_incidents">Translations!$B$346</definedName>
    <definedName name="template_label_specify_other_types_of_content_covered_by_the_code_of_conduct_or_human_rights_policy">Translations!$B$341</definedName>
    <definedName name="template_label_starting_day">Translations!$B$104</definedName>
    <definedName name="template_label_starting_month">Translations!$B$103</definedName>
    <definedName name="template_label_starting_year">Translations!$B$102</definedName>
    <definedName name="template_label_state_of_matter">Translations!$B$380</definedName>
    <definedName name="template_label_state_of_matter_warning">Translations!#REF!</definedName>
    <definedName name="template_label_statement_of_compliance">Translations!$B$117</definedName>
    <definedName name="template_label_status_of_implementation_of_a_transition_plan_in_relation_to_climate_change_mitigation">Translations!$B$219</definedName>
    <definedName name="template_label_steps_to_follow_for_the_mass_table">Translations!$B$418</definedName>
    <definedName name="template_label_subject_to_legal_restrictions_sum_of_fatalities_as_a_result_of_recordable_work_related_accidents_and_recordable_work_related_ill_health">Translations!$B$309</definedName>
    <definedName name="template_label_subtitle_of_report">Translations!$B$22</definedName>
    <definedName name="template_label_subtitle_of_report_text">Translations!$B$23</definedName>
    <definedName name="template_label_supporting_guidance_c2">Translations!$B$460</definedName>
    <definedName name="template_label_supporting_guidance_c3">Translations!$B$461</definedName>
    <definedName name="template_label_supporting_guidance_c7">Translations!$B$462</definedName>
    <definedName name="template_label_sustainability_issues_addressed_by_a_practice_policy_and_or_future_initiatives_put_in_place">Translations!$B$145</definedName>
    <definedName name="template_label_table_of_contents">Translations!$B$12</definedName>
    <definedName name="template_label_table_of_contents_validation">Translations!$B$59</definedName>
    <definedName name="template_label_target_year">Translations!$B$189</definedName>
    <definedName name="template_label_taxonomy_entry_point">Translations!$B$17</definedName>
    <definedName name="template_label_temporary_contract">Translations!$B$291</definedName>
    <definedName name="template_label_the_converter_offers_the_possibility_of_calculating_simultaneously_up_to_10_different_types_of_fuel">Translations!$B$399</definedName>
    <definedName name="template_label_the_purpose_of_this_digital_template_is_to_illustrate_how_vs_reporting_can_be_implemented_in_a_digital_template">Translations!$B$25</definedName>
    <definedName name="template_label_the_steps_to_follow_for_the_other_tables">Translations!$B$423</definedName>
    <definedName name="template_label_this_converter_is_intended_solely_to_illustrate_how_energy_consumption_in_mwh">Translations!$B$374</definedName>
    <definedName name="template_label_time_horizons_of_any_climate_related_hazards_and_transition_events_identified">Translations!$B$282</definedName>
    <definedName name="template_label_title_of_report">Translations!$B$20</definedName>
    <definedName name="template_label_to">Translations!$B$95</definedName>
    <definedName name="template_label_total_amount_of_fines_for_the_violation_of_anti_corruption_and_anti_bribery_laws">Translations!$B$354</definedName>
    <definedName name="template_label_total_amount_of_waste_generated">Translations!$B$259</definedName>
    <definedName name="template_label_total_amount_of_water_withdrawn_from_all_sites">Translations!$B$243</definedName>
    <definedName name="template_label_total_annual_mass_flow_of_relevant_materials_used_mass">Translations!$B$275</definedName>
    <definedName name="template_label_total_annual_mass_flow_of_relevant_materials_used_volume">Translations!$B$277</definedName>
    <definedName name="template_label_total_employees">Translations!$B$292</definedName>
    <definedName name="template_label_total_energy">Translations!$B$395</definedName>
    <definedName name="template_label_total_energy_consumption">Translations!$B$175</definedName>
    <definedName name="template_label_total_energy_consumption_in_mwh_validation">Translations!#REF!</definedName>
    <definedName name="template_label_total_hazardous_waste_generated_mass">Translations!$B$258</definedName>
    <definedName name="template_label_total_hazardous_waste_generated_volume">Translations!$B$262</definedName>
    <definedName name="template_label_total_non_hazardous_waste_generated_mass">Translations!$B$260</definedName>
    <definedName name="template_label_total_non_hazardous_waste_generated_volume">Translations!$B$264</definedName>
    <definedName name="template_label_total_nonrenewable_energy">Translations!$B$397</definedName>
    <definedName name="template_label_total_number_of_convictions_for_the_violation_of_anti_corruption_and_anti_bribery_laws">Translations!$B$353</definedName>
    <definedName name="template_label_total_number_of_employees_in_headcount">Translations!$B$320</definedName>
    <definedName name="template_label_total_number_of_hours_worked_in_a_year_by_all_employees_in_the_reporting_period">Translations!$B$305</definedName>
    <definedName name="template_label_total_number_of_training_hours_offered_to_and_completed__by_employees">Translations!$B$319</definedName>
    <definedName name="template_label_total_renewable_and_nonrenewable">Translations!$B$180</definedName>
    <definedName name="template_label_total_renewable_energy">Translations!$B$396</definedName>
    <definedName name="template_label_total_revenues_derived_from_fossil_fuel_sector">Translations!$B$363</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lf_employed_workers_without_personnel_that_are_working_exclusively_for_the_undertaking">Translations!$B$330</definedName>
    <definedName name="template_label_total_temporary_workers_provided_by_undertakings_primarily_engaged_in_employment_activities">Translations!$B$331</definedName>
    <definedName name="template_label_total_waste_generated_mass">Translations!$B$261</definedName>
    <definedName name="template_label_total_waste_generated_percent">Translations!$B$270</definedName>
    <definedName name="template_label_total_waste_generated_volume">Translations!$B$265</definedName>
    <definedName name="template_label_total_waste_percentage_preparation_mass">Translations!$B$267</definedName>
    <definedName name="template_label_total_waste_percentage_preparation_volume">Translations!$B$269</definedName>
    <definedName name="template_label_total_waste_percentage_recycling_mass">Translations!$B$266</definedName>
    <definedName name="template_label_total_waste_percentage_recycling_volume">Translations!$B$268</definedName>
    <definedName name="template_label_total_waste_recycled_reused_and_directed_to_disposal">Translations!#REF!</definedName>
    <definedName name="template_label_total_water_consumption">Translations!$B$248</definedName>
    <definedName name="template_label_transfer_the_total_results_to_the_b3_fuel_energy_consumption_reporting_cell">Translations!$B$394</definedName>
    <definedName name="template_label_transition_plan_for_undertakings_operating_in_high_climate_impact_sectors_validation">Translations!#REF!</definedName>
    <definedName name="template_label_turnover_in">Translations!$B$124</definedName>
    <definedName name="template_label_type_of_contract">Translations!$B$289</definedName>
    <definedName name="template_label_type_of_contract_validation">Translations!#REF!</definedName>
    <definedName name="template_label_type_of_waste">Translations!$B$253</definedName>
    <definedName name="template_label_type_of_waste_warning">Translations!$B$455</definedName>
    <definedName name="template_label_typical_renewable_state">Translations!$B$381</definedName>
    <definedName name="template_label_undertaking_applies_circular_economy_principles">Translations!$B$250</definedName>
    <definedName name="template_label_undertaking_has_a_practice_policy_and_or_future_initiative_that_is_publicly_available">Translations!$B$146</definedName>
    <definedName name="template_label_undertaking_has_set_a_target_which_is_related_to_a_policy">Translations!$B$147</definedName>
    <definedName name="template_label_undertaking_operating_in_more_than_one_country">Translations!$B$301</definedName>
    <definedName name="template_label_undertakings_legal_form">Translations!$B$120</definedName>
    <definedName name="template_label_unit_of_measurement">Translations!$B$254</definedName>
    <definedName name="template_label_unit_of_measurement_converter">Translations!$B$408</definedName>
    <definedName name="template_label_unit_of_measurement_of_density_converter">Translations!$B$416</definedName>
    <definedName name="template_label_unit_of_measurement_of_density_converter_list">Translations!$B$428</definedName>
    <definedName name="template_label_unit_of_measurement_of_energy_consumption_per_hour">Translations!$B$412</definedName>
    <definedName name="template_label_unit_of_measurement_of_energy_converter_list">Translations!$B$427</definedName>
    <definedName name="template_label_unit_of_measurement_of_mass_converter">Translations!$B$410</definedName>
    <definedName name="template_label_unit_of_measurement_of_mass_converter_list">Translations!$B$425</definedName>
    <definedName name="template_label_unit_of_measurement_of_ncv_converter">Translations!$B$413</definedName>
    <definedName name="template_label_unit_of_measurement_of_ncv_converter_list">Translations!$B$429</definedName>
    <definedName name="template_label_unit_of_measurement_of_volume_converter">Translations!$B$411</definedName>
    <definedName name="template_label_unit_of_measurement_of_volume_converter_list">Translations!$B$426</definedName>
    <definedName name="template_label_usage_of_fuel_converter">Translations!$B$383</definedName>
    <definedName name="template_label_usage_of_unit_of_measurement_converter">Translations!$B$417</definedName>
    <definedName name="template_label_validation_classified_or_sensitive_information">Translations!$B$48</definedName>
    <definedName name="template_label_validation_missing_value_error_value_inconsistency_invalid_url">Translations!$B$44</definedName>
    <definedName name="template_label_validation_missing_value_error_velue_inconsistency_invalid_url">Translations!$B$44</definedName>
    <definedName name="template_label_validation_ok">Translations!$B$46</definedName>
    <definedName name="template_label_value_inconsistency">Translations!$B$435</definedName>
    <definedName name="template_label_version">Translations!$B$15</definedName>
    <definedName name="template_label_volume">Translations!$B$469</definedName>
    <definedName name="template_label_vs_digital_template">Translations!$B$24</definedName>
    <definedName name="template_label_warning_microsoft_excel">Translations!$B$464</definedName>
    <definedName name="template_label_waste_generated_validation">Translations!#REF!</definedName>
    <definedName name="template_label_water_and_marine_resources">Translations!$B$150</definedName>
    <definedName name="template_label_water_consumption_validation">Translations!#REF!</definedName>
    <definedName name="template_label_water_discharge_from_undertaking_production_processes">Translations!$B$246</definedName>
    <definedName name="template_label_water_withdrawal_validation">Translations!#REF!</definedName>
    <definedName name="template_label_weight_or_volume_of_waste_generated">Translations!$B$257</definedName>
    <definedName name="template_label_workers_in_the_value_chain">Translations!$B$154</definedName>
    <definedName name="template_label_XBRL_facts_in_report">Translations!$B$14</definedName>
    <definedName name="template_label_year">Translations!$B$222</definedName>
    <definedName name="template_label_year_date">Translations!$B$191</definedName>
    <definedName name="template_language_selection">Translations!$B$18</definedName>
    <definedName name="template_narrative_content_provided_as_external_docx_file">Translations!$B$54</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Introduction!$C$12</definedName>
    <definedName name="template_reporting_template_version">Introduction!$C$1</definedName>
    <definedName name="template_reporting_title">Introduction!$C$11</definedName>
    <definedName name="template_selected_display_language">'Language Selection'!$G$7</definedName>
    <definedName name="template_starting_date_display">'Technical Sheet'!$B$2</definedName>
    <definedName name="template_translations">Translations!$C$3:$N$3</definedName>
    <definedName name="template_vs_digital_template_sample">Translations!$B$466</definedName>
    <definedName name="TimeHorizonsOfAnyClimateRelatedHazardsAndTransitionEventsIdentified">'Environmental Disclosures'!$E$528</definedName>
    <definedName name="TotalAmountOfFinesForTheViolationOfAnticorruptionAndAntibriberyLaws">'Governance Disclosures'!$H$7</definedName>
    <definedName name="TotalAmountOfWaterWithdrawnFromAllSites">'Environmental Disclosures'!$D$285</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Disclosures'!$K$405:$L$405</definedName>
    <definedName name="TotalHazardousWasteGeneratedMass_unit">'Environmental Disclosures'!$G$405:$I$405</definedName>
    <definedName name="TotalHazardousWasteGeneratedVolume">'Environmental Disclosures'!$K$408:$L$408</definedName>
    <definedName name="TotalHazardousWasteGeneratedVolume_unit">'Environmental Disclosures'!$G$408:$I$408</definedName>
    <definedName name="TotalMassOfMaterialUsed">'Environmental Disclosures'!$G$521</definedName>
    <definedName name="TotalMassOfMaterialUsed_unit">'Environmental Disclosures'!$J$521</definedName>
    <definedName name="TotalNonHazardousWasteGeneratedMass">'Environmental Disclosures'!$K$406:$L$406</definedName>
    <definedName name="TotalNonHazardousWasteGeneratedMass_unit">'Environmental Disclosures'!$G$406:$I$406</definedName>
    <definedName name="TotalNonHazardousWasteGeneratedVolume">'Environmental Disclosures'!$K$409:$L$409</definedName>
    <definedName name="TotalNonHazardousWasteGeneratedVolume_unit">'Environmental Disclosures'!$G$409:$I$409</definedName>
    <definedName name="TotalNumberOfConvictionsForTheViolationOfAntiCorruptionAndAntiBriberyLaws">'Governance Disclosures'!$H$6</definedName>
    <definedName name="TotalNumberOfSelfEmployedWorkersWithoutPersonnelThatAreWorkingExclusivelyForTheUndertaking">'Social Disclosures'!$D$164</definedName>
    <definedName name="TotalNumberOfTemporaryWorkersProvidedByUndertakingsPrimarilyEngagedInEmploymentActivities">'Social Disclosures'!$D$165</definedName>
    <definedName name="TotalRevenuesDerivedFromFossilFuelCoalOilAndGasSector">'Governance Disclosures'!$H$17</definedName>
    <definedName name="TotalVolumeOfMaterialUsed">'Environmental Disclosures'!$G$522</definedName>
    <definedName name="TotalVolumeOfMaterialUsed_unit">'Environmental Disclosures'!$J$522</definedName>
    <definedName name="TotalWasteGeneratedMass">'Environmental Disclosures'!$K$407:$L$407</definedName>
    <definedName name="TotalWasteGeneratedMass_unit">'Environmental Disclosures'!$G$407:$I$407</definedName>
    <definedName name="TotalWasteGeneratedVolume">'Environmental Disclosures'!$K$410:$L$410</definedName>
    <definedName name="TotalWasteGeneratedVolume_unit">'Environmental Disclosures'!$G$410:$I$410</definedName>
    <definedName name="TotalWaterConsumption">'Environmental Disclosures'!$D$292</definedName>
    <definedName name="Turnover">'General Information'!$E$279</definedName>
    <definedName name="TypeOfContentCoveredByTheCodeOfConductOrHumanRightsPolicyForItsOwnWorkforce">'Social Disclosures'!$D$170:$H$175</definedName>
    <definedName name="TypeOfHumanRightRelatedToTheConfirmedIncident">'Social Disclosures'!$D$182:$H$186</definedName>
    <definedName name="TypeOfNumberOfEmployees">'General Information'!$E$282</definedName>
    <definedName name="TypeOfPollutantAxis">'Environmental Disclosures'!$D$74:$F$173</definedName>
    <definedName name="TypeOfWasteAxis">'Environmental Disclosures'!$D$305:$F$404</definedName>
    <definedName name="UndertakingAppliesCircularEconomyPrinciples">'Environmental Disclosures'!$D$298</definedName>
    <definedName name="UndertakingHasACodeOfConductOrHumanRightsPolicyForItsOwnWorkforce">'Social Disclosures'!$D$168</definedName>
    <definedName name="UndertakingHasAComplaintHandlingMechanismForItsOwnWorkforce">'Social Disclosures'!$D$177</definedName>
    <definedName name="UndertakingHasConfirmedHumanRightsIncidentsInItsOwnWorkforce">'Social Disclosures'!$D$180</definedName>
    <definedName name="UndertakingHasSetATargetWhichIsRelatedToAPolicy">'General Information'!$O$508</definedName>
    <definedName name="UndertakingIsAwareOfAnyConfirmedIncidentsInvolvingWorkersInTheValueChainAffectedCommunitiesConsumersAndEndUsers">'Social Disclosures'!$D$189</definedName>
    <definedName name="UndertakingsLegalForm">'General Information'!$E$176</definedName>
    <definedName name="URLOrLinkToThePubliclyAvailableDisclosure">'Environmental Disclosures'!$G$70</definedName>
    <definedName name="VolumeOfMaterialUsed">'Environmental Disclosures'!$G$421:$I$520</definedName>
    <definedName name="VolumeOfMaterialUsed_unit">'Environmental Disclosures'!$J$421:$J$520</definedName>
    <definedName name="WasteGeneratedMass">'Environmental Disclosures'!$J$305:$J$404</definedName>
    <definedName name="WasteGeneratedMass_unit">'Environmental Disclosures'!$G$305:$I$404</definedName>
    <definedName name="WasteGeneratedTable">'Environmental Disclosures'!$D$305:$L$404</definedName>
    <definedName name="WasteGeneratedVolume">'Environmental Disclosures'!$J$305:$J$404</definedName>
    <definedName name="WasteGeneratedVolume_unit">'Environmental Disclosures'!$G$305:$I$404</definedName>
    <definedName name="WaterDischargeFromUndertakingProductionProcesses">'Environmental Disclosures'!$D$291</definedName>
    <definedName name="WeightOfMaterialUsed">'Environmental Disclosures'!$G$421:$I$520</definedName>
    <definedName name="WeightOfMaterialUsed_unit">'Environmental Disclosures'!$J$421:$J$520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6" i="16" l="1"/>
  <c r="E129" i="12"/>
  <c r="C24" i="1"/>
  <c r="B477" i="17"/>
  <c r="M305" i="1"/>
  <c r="F126" i="3"/>
  <c r="E293" i="1"/>
  <c r="D180" i="1" l="1"/>
  <c r="D414" i="1" l="1"/>
  <c r="D413" i="1"/>
  <c r="D412" i="1"/>
  <c r="D411" i="1"/>
  <c r="G412" i="1"/>
  <c r="G413" i="1"/>
  <c r="G414" i="1"/>
  <c r="G411" i="1"/>
  <c r="B266" i="17" l="1"/>
  <c r="B267" i="17"/>
  <c r="B268" i="17"/>
  <c r="B269" i="17"/>
  <c r="B270" i="17"/>
  <c r="B281" i="11" l="1"/>
  <c r="M308" i="1" l="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D154" i="12"/>
  <c r="I136" i="12"/>
  <c r="A273" i="11" l="1"/>
  <c r="A277" i="11" l="1"/>
  <c r="A257" i="11"/>
  <c r="A264" i="11"/>
  <c r="A265" i="11" s="1"/>
  <c r="A279" i="11"/>
  <c r="A278" i="11"/>
  <c r="A274" i="11"/>
  <c r="A269" i="11"/>
  <c r="A270" i="11" s="1"/>
  <c r="A271" i="11" s="1"/>
  <c r="A268" i="11"/>
  <c r="A267" i="11"/>
  <c r="A260" i="11"/>
  <c r="A261" i="11" s="1"/>
  <c r="A259" i="11"/>
  <c r="A258" i="11"/>
  <c r="A275" i="11" l="1"/>
  <c r="A276" i="11" s="1"/>
  <c r="A272" i="11"/>
  <c r="A266" i="11"/>
  <c r="A262" i="11"/>
  <c r="A263" i="11" s="1"/>
  <c r="B285" i="11" l="1"/>
  <c r="B311" i="11"/>
  <c r="B328" i="11"/>
  <c r="B290" i="11"/>
  <c r="B292" i="11"/>
  <c r="B301" i="11"/>
  <c r="B298" i="11"/>
  <c r="B299" i="11"/>
  <c r="B286" i="11"/>
  <c r="B288" i="11"/>
  <c r="B325" i="11"/>
  <c r="B323" i="11"/>
  <c r="B297" i="11"/>
  <c r="B307" i="11"/>
  <c r="B295" i="11"/>
  <c r="B283" i="11"/>
  <c r="B289" i="11"/>
  <c r="B284" i="11"/>
  <c r="B314" i="11"/>
  <c r="B293" i="11"/>
  <c r="B324" i="11"/>
  <c r="B318" i="11"/>
  <c r="B303" i="11"/>
  <c r="B300" i="11"/>
  <c r="B296" i="11"/>
  <c r="B319" i="11"/>
  <c r="B322" i="11"/>
  <c r="B306" i="11"/>
  <c r="B316" i="11"/>
  <c r="B291" i="11"/>
  <c r="B326" i="11"/>
  <c r="B305" i="11"/>
  <c r="B310" i="11"/>
  <c r="B302" i="11"/>
  <c r="B294" i="11"/>
  <c r="B315" i="11"/>
  <c r="B308" i="11"/>
  <c r="B320" i="11"/>
  <c r="B312" i="11"/>
  <c r="B304" i="11"/>
  <c r="B317" i="11"/>
  <c r="B329" i="11"/>
  <c r="B321" i="11"/>
  <c r="B313" i="11"/>
  <c r="B287" i="11"/>
  <c r="B327" i="11"/>
  <c r="B282" i="11"/>
  <c r="B309" i="11"/>
  <c r="D118" i="11" l="1"/>
  <c r="E118" i="11" s="1"/>
  <c r="H501"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90" i="3"/>
  <c r="H491" i="3"/>
  <c r="H492" i="3"/>
  <c r="H493" i="3"/>
  <c r="H494" i="3"/>
  <c r="H495" i="3"/>
  <c r="H496" i="3"/>
  <c r="H497" i="3"/>
  <c r="H498" i="3"/>
  <c r="H499" i="3"/>
  <c r="H500" i="3"/>
  <c r="D24" i="11"/>
  <c r="F24" i="11" s="1"/>
  <c r="D25" i="11"/>
  <c r="E25" i="11" s="1"/>
  <c r="D26" i="11"/>
  <c r="E26" i="11" s="1"/>
  <c r="D27" i="11"/>
  <c r="F27" i="11" s="1"/>
  <c r="D28" i="11"/>
  <c r="E28" i="11" s="1"/>
  <c r="D29" i="11"/>
  <c r="F29" i="11" s="1"/>
  <c r="D30" i="11"/>
  <c r="F30" i="11" s="1"/>
  <c r="D31" i="11"/>
  <c r="F31" i="11" s="1"/>
  <c r="D32" i="11"/>
  <c r="E32" i="11" s="1"/>
  <c r="D33" i="11"/>
  <c r="E33" i="11" s="1"/>
  <c r="D34" i="11"/>
  <c r="E34" i="11" s="1"/>
  <c r="D35" i="11"/>
  <c r="F35" i="11" s="1"/>
  <c r="D36" i="11"/>
  <c r="E36" i="11" s="1"/>
  <c r="D37" i="11"/>
  <c r="F37" i="11" s="1"/>
  <c r="D38" i="11"/>
  <c r="F38" i="11" s="1"/>
  <c r="D39" i="11"/>
  <c r="F39" i="11" s="1"/>
  <c r="D40" i="11"/>
  <c r="E40" i="11" s="1"/>
  <c r="D41" i="11"/>
  <c r="E41" i="11" s="1"/>
  <c r="D42" i="11"/>
  <c r="F42" i="11" s="1"/>
  <c r="D43" i="11"/>
  <c r="F43" i="11" s="1"/>
  <c r="D44" i="11"/>
  <c r="E44" i="11" s="1"/>
  <c r="D45" i="11"/>
  <c r="E45" i="11" s="1"/>
  <c r="D46" i="11"/>
  <c r="F46" i="11" s="1"/>
  <c r="D47" i="11"/>
  <c r="F47" i="11" s="1"/>
  <c r="D48" i="11"/>
  <c r="E48" i="11" s="1"/>
  <c r="D49" i="11"/>
  <c r="E49" i="11" s="1"/>
  <c r="D50" i="11"/>
  <c r="E50" i="11" s="1"/>
  <c r="D51" i="11"/>
  <c r="F51" i="11" s="1"/>
  <c r="D52" i="11"/>
  <c r="E52" i="11" s="1"/>
  <c r="D53" i="11"/>
  <c r="F53" i="11" s="1"/>
  <c r="D54" i="11"/>
  <c r="F54" i="11" s="1"/>
  <c r="D55" i="11"/>
  <c r="F55" i="11" s="1"/>
  <c r="D56" i="11"/>
  <c r="F56" i="11" s="1"/>
  <c r="D57" i="11"/>
  <c r="F57" i="11" s="1"/>
  <c r="D58" i="11"/>
  <c r="E58" i="11" s="1"/>
  <c r="D59" i="11"/>
  <c r="F59" i="11" s="1"/>
  <c r="D60" i="11"/>
  <c r="E60" i="11" s="1"/>
  <c r="D61" i="11"/>
  <c r="F61" i="11" s="1"/>
  <c r="D62" i="11"/>
  <c r="F62" i="11" s="1"/>
  <c r="D63" i="11"/>
  <c r="E63" i="11" s="1"/>
  <c r="D64" i="11"/>
  <c r="F64" i="11" s="1"/>
  <c r="D65" i="11"/>
  <c r="F65" i="11" s="1"/>
  <c r="D66" i="11"/>
  <c r="F66" i="11" s="1"/>
  <c r="D67" i="11"/>
  <c r="F67" i="11" s="1"/>
  <c r="D68" i="11"/>
  <c r="E68" i="11" s="1"/>
  <c r="D69" i="11"/>
  <c r="E69" i="11" s="1"/>
  <c r="D70" i="11"/>
  <c r="F70" i="11" s="1"/>
  <c r="D71" i="11"/>
  <c r="F71" i="11" s="1"/>
  <c r="D72" i="11"/>
  <c r="F72" i="11" s="1"/>
  <c r="D73" i="11"/>
  <c r="E73" i="11" s="1"/>
  <c r="D74" i="11"/>
  <c r="E74" i="11" s="1"/>
  <c r="D75" i="11"/>
  <c r="F75" i="11" s="1"/>
  <c r="D76" i="11"/>
  <c r="E76" i="11" s="1"/>
  <c r="D77" i="11"/>
  <c r="E77" i="11" s="1"/>
  <c r="D78" i="11"/>
  <c r="F78" i="11" s="1"/>
  <c r="D79" i="11"/>
  <c r="E79" i="11" s="1"/>
  <c r="D80" i="11"/>
  <c r="F80" i="11" s="1"/>
  <c r="D81" i="11"/>
  <c r="F81" i="11" s="1"/>
  <c r="D82" i="11"/>
  <c r="E82" i="11" s="1"/>
  <c r="D83" i="11"/>
  <c r="E83" i="11" s="1"/>
  <c r="D84" i="11"/>
  <c r="E84" i="11" s="1"/>
  <c r="D85" i="11"/>
  <c r="F85" i="11" s="1"/>
  <c r="D86" i="11"/>
  <c r="F86" i="11" s="1"/>
  <c r="D87" i="11"/>
  <c r="F87" i="11" s="1"/>
  <c r="D88" i="11"/>
  <c r="F88" i="11" s="1"/>
  <c r="D89" i="11"/>
  <c r="F89" i="11" s="1"/>
  <c r="D90" i="11"/>
  <c r="F90" i="11" s="1"/>
  <c r="D91" i="11"/>
  <c r="F91" i="11" s="1"/>
  <c r="D92" i="11"/>
  <c r="E92" i="11" s="1"/>
  <c r="D93" i="11"/>
  <c r="E93" i="11" s="1"/>
  <c r="D94" i="11"/>
  <c r="F94" i="11" s="1"/>
  <c r="D95" i="11"/>
  <c r="F95" i="11" s="1"/>
  <c r="D96" i="11"/>
  <c r="E96" i="11" s="1"/>
  <c r="D97" i="11"/>
  <c r="F97" i="11" s="1"/>
  <c r="D98" i="11"/>
  <c r="F98" i="11" s="1"/>
  <c r="D99" i="11"/>
  <c r="F99" i="11" s="1"/>
  <c r="D100" i="11"/>
  <c r="F100" i="11" s="1"/>
  <c r="D101" i="11"/>
  <c r="F101" i="11" s="1"/>
  <c r="D102" i="11"/>
  <c r="F102" i="11" s="1"/>
  <c r="D103" i="11"/>
  <c r="E103" i="11" s="1"/>
  <c r="D104" i="11"/>
  <c r="F104" i="11" s="1"/>
  <c r="D105" i="11"/>
  <c r="E105" i="11" s="1"/>
  <c r="D108" i="11"/>
  <c r="F108" i="11" s="1"/>
  <c r="D109" i="11"/>
  <c r="F109" i="11" s="1"/>
  <c r="D110" i="11"/>
  <c r="F110" i="11" s="1"/>
  <c r="D111" i="11"/>
  <c r="F111" i="11" s="1"/>
  <c r="D115" i="11"/>
  <c r="F115" i="11" s="1"/>
  <c r="D116" i="11"/>
  <c r="F116" i="11" s="1"/>
  <c r="D117" i="11"/>
  <c r="E117" i="11" s="1"/>
  <c r="F17" i="3"/>
  <c r="E194" i="11"/>
  <c r="E195" i="11"/>
  <c r="E196" i="11"/>
  <c r="E197" i="11"/>
  <c r="E198" i="11"/>
  <c r="E207" i="11"/>
  <c r="E222" i="11"/>
  <c r="E231" i="11"/>
  <c r="E233" i="11"/>
  <c r="E234" i="11"/>
  <c r="E237" i="11"/>
  <c r="E243" i="11"/>
  <c r="E247" i="11"/>
  <c r="E250" i="11"/>
  <c r="F195" i="11"/>
  <c r="E193" i="11"/>
  <c r="A2" i="18" a="1"/>
  <c r="A3" i="18" a="1"/>
  <c r="A4" i="18" a="1"/>
  <c r="A5" i="18" a="1"/>
  <c r="A6" i="18" a="1"/>
  <c r="A7" i="18" a="1"/>
  <c r="A8" i="18" a="1"/>
  <c r="A9" i="18" a="1"/>
  <c r="A10" i="18" a="1"/>
  <c r="A11" i="18" a="1"/>
  <c r="A12" i="18" a="1"/>
  <c r="A13" i="18" a="1"/>
  <c r="A14" i="18" a="1"/>
  <c r="A15" i="18" a="1"/>
  <c r="A16" i="18" a="1"/>
  <c r="A17" i="18" a="1"/>
  <c r="A18" i="18" a="1"/>
  <c r="A19" i="18" a="1"/>
  <c r="A20" i="18" a="1"/>
  <c r="A21" i="18" a="1"/>
  <c r="A22" i="18" a="1"/>
  <c r="A23" i="18" a="1"/>
  <c r="A24" i="18" a="1"/>
  <c r="A25" i="18" a="1"/>
  <c r="A26" i="18" a="1"/>
  <c r="A27" i="18" a="1"/>
  <c r="A28" i="18" a="1"/>
  <c r="A29" i="18" a="1"/>
  <c r="A30" i="18" a="1"/>
  <c r="A31" i="18" a="1"/>
  <c r="A32" i="18" a="1"/>
  <c r="A33" i="18" a="1"/>
  <c r="A34" i="18" a="1"/>
  <c r="A35" i="18" a="1"/>
  <c r="A36" i="18" a="1"/>
  <c r="A37" i="18" a="1"/>
  <c r="A38" i="18" a="1"/>
  <c r="A39" i="18" a="1"/>
  <c r="A40" i="18" a="1"/>
  <c r="A41" i="18" a="1"/>
  <c r="A42" i="18" a="1"/>
  <c r="A43" i="18" a="1"/>
  <c r="A44" i="18" a="1"/>
  <c r="A45" i="18" a="1"/>
  <c r="A46" i="18" a="1"/>
  <c r="A47" i="18" a="1"/>
  <c r="A48" i="18" a="1"/>
  <c r="A49" i="18" a="1"/>
  <c r="A50" i="18" a="1"/>
  <c r="A51" i="18" a="1"/>
  <c r="A52" i="18" a="1"/>
  <c r="A53" i="18" a="1"/>
  <c r="A54" i="18" a="1"/>
  <c r="A55" i="18" a="1"/>
  <c r="A56" i="18" a="1"/>
  <c r="A57" i="18" a="1"/>
  <c r="A58" i="18" a="1"/>
  <c r="A59" i="18" a="1"/>
  <c r="A60" i="18" a="1"/>
  <c r="A61" i="18" a="1"/>
  <c r="A62" i="18" a="1"/>
  <c r="A63" i="18" a="1"/>
  <c r="A64" i="18" a="1"/>
  <c r="A65" i="18" a="1"/>
  <c r="A66" i="18" a="1"/>
  <c r="A67" i="18" a="1"/>
  <c r="A68" i="18" a="1"/>
  <c r="A69" i="18" a="1"/>
  <c r="A70" i="18" a="1"/>
  <c r="A71" i="18" a="1"/>
  <c r="A72" i="18" a="1"/>
  <c r="A73" i="18" a="1"/>
  <c r="A74" i="18" a="1"/>
  <c r="A75" i="18" a="1"/>
  <c r="A76" i="18" a="1"/>
  <c r="A77" i="18" a="1"/>
  <c r="A78" i="18" a="1"/>
  <c r="A79" i="18" a="1"/>
  <c r="A80" i="18" a="1"/>
  <c r="A81" i="18" a="1"/>
  <c r="A82" i="18" a="1"/>
  <c r="A83" i="18" a="1"/>
  <c r="A84" i="18" a="1"/>
  <c r="A85" i="18" a="1"/>
  <c r="A86" i="18" a="1"/>
  <c r="A87" i="18" a="1"/>
  <c r="A88" i="18" a="1"/>
  <c r="A89" i="18" a="1"/>
  <c r="A90" i="18" a="1"/>
  <c r="A91" i="18" a="1"/>
  <c r="A92" i="18" a="1"/>
  <c r="A93" i="18" a="1"/>
  <c r="A94" i="18" a="1"/>
  <c r="A95" i="18" a="1"/>
  <c r="A96" i="18" a="1"/>
  <c r="A97" i="18" a="1"/>
  <c r="A98" i="18" a="1"/>
  <c r="A99" i="18" a="1"/>
  <c r="A100" i="18" a="1"/>
  <c r="A101" i="18" a="1"/>
  <c r="A102" i="18" a="1"/>
  <c r="A103" i="18" a="1"/>
  <c r="A104" i="18" a="1"/>
  <c r="A105" i="18" a="1"/>
  <c r="A106" i="18" a="1"/>
  <c r="A107" i="18" a="1"/>
  <c r="A108" i="18" a="1"/>
  <c r="A109" i="18" a="1"/>
  <c r="A110" i="18" a="1"/>
  <c r="A111" i="18" a="1"/>
  <c r="A112" i="18" a="1"/>
  <c r="A113" i="18" a="1"/>
  <c r="A114" i="18" a="1"/>
  <c r="A115" i="18" a="1"/>
  <c r="A116" i="18" a="1"/>
  <c r="A117" i="18" a="1"/>
  <c r="A118" i="18" a="1"/>
  <c r="A119" i="18" a="1"/>
  <c r="A120" i="18" a="1"/>
  <c r="A121" i="18" a="1"/>
  <c r="A122" i="18" a="1"/>
  <c r="A123" i="18" a="1"/>
  <c r="A124" i="18" a="1"/>
  <c r="A125" i="18" a="1"/>
  <c r="A126" i="18" a="1"/>
  <c r="A127" i="18" a="1"/>
  <c r="A128" i="18" a="1"/>
  <c r="A129" i="18" a="1"/>
  <c r="A130" i="18" a="1"/>
  <c r="A131" i="18" a="1"/>
  <c r="A132" i="18" a="1"/>
  <c r="A133" i="18" a="1"/>
  <c r="A134" i="18" a="1"/>
  <c r="A135" i="18" a="1"/>
  <c r="A136" i="18" a="1"/>
  <c r="A137" i="18" a="1"/>
  <c r="A138" i="18" a="1"/>
  <c r="A139" i="18" a="1"/>
  <c r="A140" i="18" a="1"/>
  <c r="A141" i="18" a="1"/>
  <c r="A142" i="18" a="1"/>
  <c r="A143" i="18" a="1"/>
  <c r="A144" i="18" a="1"/>
  <c r="D54" i="17"/>
  <c r="F26" i="11" l="1"/>
  <c r="G26" i="11" s="1"/>
  <c r="F52" i="11"/>
  <c r="G52" i="11" s="1"/>
  <c r="F74" i="11"/>
  <c r="G74" i="11" s="1"/>
  <c r="F50" i="11"/>
  <c r="G50" i="11" s="1"/>
  <c r="F40" i="11"/>
  <c r="G40" i="11" s="1"/>
  <c r="E24" i="11"/>
  <c r="F48" i="11"/>
  <c r="G48" i="11" s="1"/>
  <c r="E109" i="11"/>
  <c r="G109" i="11" s="1"/>
  <c r="E100" i="11"/>
  <c r="G100" i="11" s="1"/>
  <c r="E88" i="11"/>
  <c r="G88" i="11" s="1"/>
  <c r="F77" i="11"/>
  <c r="G77" i="11" s="1"/>
  <c r="E72" i="11"/>
  <c r="G72" i="11" s="1"/>
  <c r="F76" i="11"/>
  <c r="G76" i="11" s="1"/>
  <c r="E111" i="11"/>
  <c r="G111" i="11" s="1"/>
  <c r="E65" i="11"/>
  <c r="G65" i="11" s="1"/>
  <c r="E110" i="11"/>
  <c r="G110" i="11" s="1"/>
  <c r="E64" i="11"/>
  <c r="G64" i="11" s="1"/>
  <c r="F96" i="11"/>
  <c r="G96" i="11" s="1"/>
  <c r="F84" i="11"/>
  <c r="G84" i="11" s="1"/>
  <c r="F49" i="11"/>
  <c r="G49" i="11" s="1"/>
  <c r="E53" i="11"/>
  <c r="G53" i="11" s="1"/>
  <c r="G24" i="11"/>
  <c r="E101" i="11"/>
  <c r="G101" i="11" s="1"/>
  <c r="E97" i="11"/>
  <c r="G97" i="11" s="1"/>
  <c r="F41" i="11"/>
  <c r="G41" i="11" s="1"/>
  <c r="F73" i="11"/>
  <c r="G73" i="11" s="1"/>
  <c r="F36" i="11"/>
  <c r="G36" i="11" s="1"/>
  <c r="F28" i="11"/>
  <c r="G28" i="11" s="1"/>
  <c r="E29" i="11"/>
  <c r="G29" i="11" s="1"/>
  <c r="F60" i="11"/>
  <c r="G60" i="11" s="1"/>
  <c r="F25" i="11"/>
  <c r="G25" i="11" s="1"/>
  <c r="F118" i="11"/>
  <c r="G118" i="11" s="1"/>
  <c r="E108" i="11"/>
  <c r="G108" i="11" s="1"/>
  <c r="E75" i="11"/>
  <c r="G75" i="11" s="1"/>
  <c r="E51" i="11"/>
  <c r="G51" i="11" s="1"/>
  <c r="E27" i="11"/>
  <c r="G27" i="11" s="1"/>
  <c r="E99" i="11"/>
  <c r="G99" i="11" s="1"/>
  <c r="E98" i="11"/>
  <c r="G98" i="11" s="1"/>
  <c r="E87" i="11"/>
  <c r="G87" i="11" s="1"/>
  <c r="E39" i="11"/>
  <c r="G39" i="11" s="1"/>
  <c r="F63" i="11"/>
  <c r="G63" i="11" s="1"/>
  <c r="E86" i="11"/>
  <c r="G86" i="11" s="1"/>
  <c r="E62" i="11"/>
  <c r="G62" i="11" s="1"/>
  <c r="E38" i="11"/>
  <c r="G38" i="11" s="1"/>
  <c r="E85" i="11"/>
  <c r="G85" i="11" s="1"/>
  <c r="E61" i="11"/>
  <c r="G61" i="11" s="1"/>
  <c r="E37" i="11"/>
  <c r="G37" i="11" s="1"/>
  <c r="E89" i="11"/>
  <c r="G89" i="11" s="1"/>
  <c r="H489" i="3" s="1"/>
  <c r="E95" i="11"/>
  <c r="G95" i="11" s="1"/>
  <c r="E59" i="11"/>
  <c r="G59" i="11" s="1"/>
  <c r="E35" i="11"/>
  <c r="G35" i="11" s="1"/>
  <c r="E94" i="11"/>
  <c r="G94" i="11" s="1"/>
  <c r="F34" i="11"/>
  <c r="G34" i="11" s="1"/>
  <c r="F117" i="11"/>
  <c r="G117" i="11" s="1"/>
  <c r="F45" i="11"/>
  <c r="G45" i="11" s="1"/>
  <c r="F92" i="11"/>
  <c r="G92" i="11" s="1"/>
  <c r="F68" i="11"/>
  <c r="G68" i="11" s="1"/>
  <c r="F44" i="11"/>
  <c r="G44" i="11" s="1"/>
  <c r="F32" i="11"/>
  <c r="G32" i="11" s="1"/>
  <c r="E115" i="11"/>
  <c r="G115" i="11" s="1"/>
  <c r="E91" i="11"/>
  <c r="G91" i="11" s="1"/>
  <c r="E67" i="11"/>
  <c r="G67" i="11" s="1"/>
  <c r="E55" i="11"/>
  <c r="G55" i="11" s="1"/>
  <c r="E43" i="11"/>
  <c r="G43" i="11" s="1"/>
  <c r="E31" i="11"/>
  <c r="G31" i="11" s="1"/>
  <c r="F103" i="11"/>
  <c r="G103" i="11" s="1"/>
  <c r="F79" i="11"/>
  <c r="G79" i="11" s="1"/>
  <c r="E102" i="11"/>
  <c r="G102" i="11" s="1"/>
  <c r="E90" i="11"/>
  <c r="G90" i="11" s="1"/>
  <c r="E78" i="11"/>
  <c r="G78" i="11" s="1"/>
  <c r="E66" i="11"/>
  <c r="G66" i="11" s="1"/>
  <c r="E54" i="11"/>
  <c r="G54" i="11" s="1"/>
  <c r="E42" i="11"/>
  <c r="G42" i="11" s="1"/>
  <c r="E30" i="11"/>
  <c r="G30" i="11" s="1"/>
  <c r="E71" i="11"/>
  <c r="G71" i="11" s="1"/>
  <c r="E47" i="11"/>
  <c r="G47" i="11" s="1"/>
  <c r="E46" i="11"/>
  <c r="G46" i="11" s="1"/>
  <c r="F93" i="11"/>
  <c r="G93" i="11" s="1"/>
  <c r="E116" i="11"/>
  <c r="G116" i="11" s="1"/>
  <c r="E80" i="11"/>
  <c r="G80" i="11" s="1"/>
  <c r="F83" i="11"/>
  <c r="G83" i="11" s="1"/>
  <c r="E70" i="11"/>
  <c r="G70" i="11" s="1"/>
  <c r="F105" i="11"/>
  <c r="G105" i="11" s="1"/>
  <c r="F33" i="11"/>
  <c r="G33" i="11" s="1"/>
  <c r="F58" i="11"/>
  <c r="G58" i="11" s="1"/>
  <c r="E81" i="11"/>
  <c r="G81" i="11" s="1"/>
  <c r="E104" i="11"/>
  <c r="G104" i="11" s="1"/>
  <c r="E56" i="11"/>
  <c r="G56" i="11" s="1"/>
  <c r="F82" i="11"/>
  <c r="G82" i="11" s="1"/>
  <c r="E57" i="11"/>
  <c r="G57" i="11" s="1"/>
  <c r="F69" i="11"/>
  <c r="G69" i="11" s="1"/>
  <c r="F4" i="12"/>
  <c r="F21" i="3"/>
  <c r="F22" i="3"/>
  <c r="F23" i="3"/>
  <c r="F24" i="3"/>
  <c r="F25" i="3"/>
  <c r="F26" i="3"/>
  <c r="F27" i="3"/>
  <c r="F28" i="3"/>
  <c r="F29" i="3"/>
  <c r="F30" i="3"/>
  <c r="F122" i="3"/>
  <c r="F177"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E54" i="17"/>
  <c r="D29" i="9" l="1" a="1"/>
  <c r="D28" i="9" a="1"/>
  <c r="D22" i="9"/>
  <c r="D18" i="9"/>
  <c r="D14" i="9"/>
  <c r="D10" i="9"/>
  <c r="D6" i="9"/>
  <c r="F54" i="17"/>
  <c r="M3" i="17" l="1"/>
  <c r="G54" i="17"/>
  <c r="N3" i="17" l="1"/>
  <c r="L3" i="17"/>
  <c r="K3" i="17"/>
  <c r="J3" i="17"/>
  <c r="I3" i="17"/>
  <c r="H3" i="17"/>
  <c r="G3" i="17"/>
  <c r="F3" i="17"/>
  <c r="E3" i="17"/>
  <c r="D3" i="17"/>
  <c r="C3" i="17"/>
  <c r="B56" i="17" s="1"/>
  <c r="G280" i="3" s="1"/>
  <c r="H25" i="7"/>
  <c r="D30" i="16"/>
  <c r="D20" i="16"/>
  <c r="H54" i="17"/>
  <c r="B319" i="17" l="1"/>
  <c r="C152" i="12" s="1"/>
  <c r="B320" i="17"/>
  <c r="C153" i="12" s="1"/>
  <c r="B295" i="17"/>
  <c r="B296" i="17"/>
  <c r="B297" i="17"/>
  <c r="B298" i="17"/>
  <c r="B294" i="17"/>
  <c r="B306" i="17"/>
  <c r="C136" i="12" s="1"/>
  <c r="B312" i="17"/>
  <c r="C143" i="12" s="1"/>
  <c r="B257" i="17"/>
  <c r="J304" i="1" s="1"/>
  <c r="B307" i="17"/>
  <c r="C137" i="12" s="1"/>
  <c r="B117" i="17"/>
  <c r="C126" i="3" s="1"/>
  <c r="B172" i="17"/>
  <c r="B54" i="17"/>
  <c r="E2" i="16" s="1"/>
  <c r="B55" i="17"/>
  <c r="E3" i="16" s="1"/>
  <c r="B476" i="17"/>
  <c r="B1525" i="21" s="1"/>
  <c r="B475" i="17"/>
  <c r="C3" i="21" s="1"/>
  <c r="B430" i="17"/>
  <c r="G11" i="9" s="1"/>
  <c r="B465" i="17"/>
  <c r="B2" i="21" s="1"/>
  <c r="B415" i="17"/>
  <c r="A25" i="9" s="1"/>
  <c r="B414" i="17"/>
  <c r="A24" i="9" s="1"/>
  <c r="B472" i="17"/>
  <c r="B18" i="17"/>
  <c r="G5" i="19" s="1"/>
  <c r="B470" i="17"/>
  <c r="B471" i="17"/>
  <c r="B1" i="21" s="1"/>
  <c r="B474" i="17"/>
  <c r="B3" i="21" s="1"/>
  <c r="B473" i="17"/>
  <c r="D3" i="21" s="1"/>
  <c r="B469" i="17"/>
  <c r="B468" i="17"/>
  <c r="B19" i="17"/>
  <c r="G6" i="19" s="1"/>
  <c r="B467" i="17"/>
  <c r="D27" i="9" a="1"/>
  <c r="B466" i="17"/>
  <c r="F201" i="11"/>
  <c r="F202" i="11"/>
  <c r="F203" i="11"/>
  <c r="F204" i="11"/>
  <c r="F205" i="11"/>
  <c r="F206" i="11"/>
  <c r="F209" i="11"/>
  <c r="F210" i="11"/>
  <c r="F211" i="11"/>
  <c r="F212" i="11"/>
  <c r="F214" i="11"/>
  <c r="F216" i="11"/>
  <c r="F217" i="11"/>
  <c r="F219" i="11"/>
  <c r="F220" i="11"/>
  <c r="F221" i="11"/>
  <c r="F224" i="11"/>
  <c r="F225" i="11"/>
  <c r="F226" i="11"/>
  <c r="F227" i="11"/>
  <c r="F229" i="11"/>
  <c r="F230" i="11"/>
  <c r="F232" i="11"/>
  <c r="F235" i="11"/>
  <c r="F236" i="11"/>
  <c r="F237" i="11"/>
  <c r="F239" i="11"/>
  <c r="F240" i="11"/>
  <c r="F241" i="11"/>
  <c r="F242" i="11"/>
  <c r="F244" i="11"/>
  <c r="F245" i="11"/>
  <c r="F246" i="11"/>
  <c r="F248" i="11"/>
  <c r="F249" i="11"/>
  <c r="F251" i="11"/>
  <c r="F252" i="11"/>
  <c r="F253" i="11"/>
  <c r="D50" i="16"/>
  <c r="D40" i="16"/>
  <c r="D35" i="16"/>
  <c r="D27" i="16"/>
  <c r="D25" i="16"/>
  <c r="D11" i="16"/>
  <c r="E202" i="11" s="1"/>
  <c r="I54" i="17"/>
  <c r="E220" i="11" l="1"/>
  <c r="E211" i="11"/>
  <c r="E230" i="11"/>
  <c r="E217" i="11"/>
  <c r="E218" i="11"/>
  <c r="E208" i="11"/>
  <c r="E219" i="11"/>
  <c r="E210" i="11"/>
  <c r="E209" i="11"/>
  <c r="E204" i="11"/>
  <c r="E212" i="11"/>
  <c r="E206" i="11"/>
  <c r="E227" i="11"/>
  <c r="E235" i="11"/>
  <c r="E236" i="11"/>
  <c r="E205" i="11"/>
  <c r="E232" i="11"/>
  <c r="E221" i="11"/>
  <c r="E249" i="11"/>
  <c r="E251" i="11"/>
  <c r="E252" i="11"/>
  <c r="E253" i="11"/>
  <c r="E242" i="11"/>
  <c r="E244" i="11"/>
  <c r="E245" i="11"/>
  <c r="E246" i="11"/>
  <c r="E248" i="11"/>
  <c r="E240" i="11"/>
  <c r="E241" i="11"/>
  <c r="E238" i="11"/>
  <c r="E239" i="11"/>
  <c r="E228" i="11"/>
  <c r="E229" i="11"/>
  <c r="E225" i="11"/>
  <c r="E226" i="11"/>
  <c r="E224" i="11"/>
  <c r="E223" i="11"/>
  <c r="E215" i="11"/>
  <c r="E216" i="11"/>
  <c r="E213" i="11"/>
  <c r="E214" i="11"/>
  <c r="E203" i="11"/>
  <c r="E199" i="11"/>
  <c r="E201" i="11"/>
  <c r="F228" i="11"/>
  <c r="F223" i="11"/>
  <c r="F199" i="11"/>
  <c r="F215" i="11"/>
  <c r="F208" i="11"/>
  <c r="F213" i="11"/>
  <c r="F238" i="11"/>
  <c r="F218" i="11"/>
  <c r="J54" i="17"/>
  <c r="E137" i="3" l="1" a="1"/>
  <c r="E138" i="3" a="1"/>
  <c r="E136" i="3" a="1"/>
  <c r="E149" i="3" a="1"/>
  <c r="E148" i="3" a="1"/>
  <c r="E146" i="3" a="1"/>
  <c r="E152" i="3" a="1"/>
  <c r="E151" i="3" a="1"/>
  <c r="E169" i="3" a="1"/>
  <c r="E168" i="3" a="1"/>
  <c r="E139" i="3" a="1"/>
  <c r="E160" i="3" a="1"/>
  <c r="E162" i="3" a="1"/>
  <c r="E172" i="3" a="1"/>
  <c r="E171" i="3" a="1"/>
  <c r="E170" i="3" a="1"/>
  <c r="E135" i="3" a="1"/>
  <c r="E134" i="3" a="1"/>
  <c r="E164" i="3" a="1"/>
  <c r="E130" i="3" a="1"/>
  <c r="E133" i="3" a="1"/>
  <c r="E131" i="3" a="1"/>
  <c r="E132" i="3" a="1"/>
  <c r="E129" i="3" a="1"/>
  <c r="E166" i="3" a="1"/>
  <c r="E140" i="3" a="1"/>
  <c r="E145" i="3" a="1"/>
  <c r="E143" i="3" a="1"/>
  <c r="E144" i="3" a="1"/>
  <c r="E155" i="3" a="1"/>
  <c r="E157" i="3" a="1"/>
  <c r="E142" i="3" a="1"/>
  <c r="E141" i="3" a="1"/>
  <c r="E154" i="3" a="1"/>
  <c r="E159" i="3" a="1"/>
  <c r="E158" i="3" a="1"/>
  <c r="E163" i="3" a="1"/>
  <c r="E150" i="3" a="1"/>
  <c r="E153" i="3" a="1"/>
  <c r="E161" i="3" a="1"/>
  <c r="E167" i="3" a="1"/>
  <c r="E165" i="3" a="1"/>
  <c r="E147" i="3" a="1"/>
  <c r="E156" i="3" a="1"/>
  <c r="E254" i="11"/>
  <c r="D135" i="12"/>
  <c r="D137" i="12" s="1"/>
  <c r="D138" i="12" s="1"/>
  <c r="K54" i="17"/>
  <c r="P16" i="8" l="1"/>
  <c r="L54" i="17"/>
  <c r="D204" i="1" l="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M54" i="17"/>
  <c r="G522" i="1" l="1"/>
  <c r="G521" i="1"/>
  <c r="N54" i="17"/>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K424" i="1" l="1"/>
  <c r="K425" i="1"/>
  <c r="K426" i="1"/>
  <c r="K427" i="1"/>
  <c r="K428" i="1"/>
  <c r="K429" i="1"/>
  <c r="K430" i="1"/>
  <c r="K431" i="1"/>
  <c r="K432" i="1"/>
  <c r="K433" i="1"/>
  <c r="L77" i="1" l="1"/>
  <c r="L78" i="1"/>
  <c r="L79" i="1"/>
  <c r="L80" i="1"/>
  <c r="L81" i="1"/>
  <c r="L82" i="1"/>
  <c r="L83" i="1"/>
  <c r="L70" i="1"/>
  <c r="L58" i="1"/>
  <c r="B458" i="17" l="1"/>
  <c r="G127" i="3" s="1"/>
  <c r="B464" i="17"/>
  <c r="B3" i="4" s="1" a="1"/>
  <c r="B88" i="17"/>
  <c r="T19" i="6" s="1"/>
  <c r="B463" i="17"/>
  <c r="B115" i="17"/>
  <c r="B57" i="17"/>
  <c r="D3" i="16" s="1"/>
  <c r="B75" i="17"/>
  <c r="B48" i="17"/>
  <c r="B35" i="4" s="1"/>
  <c r="B49" i="17"/>
  <c r="C35" i="4" s="1"/>
  <c r="B81" i="17"/>
  <c r="B79" i="17"/>
  <c r="B461" i="17"/>
  <c r="B462" i="17"/>
  <c r="A179" i="12" s="1"/>
  <c r="B442" i="17"/>
  <c r="B460" i="17"/>
  <c r="A516" i="3" s="1"/>
  <c r="B274" i="17"/>
  <c r="B27" i="9" s="1" a="1"/>
  <c r="B60" i="17"/>
  <c r="D2" i="16" s="1"/>
  <c r="B22" i="17"/>
  <c r="B12" i="4" s="1"/>
  <c r="B459" i="17"/>
  <c r="A21" i="1" s="1"/>
  <c r="B301" i="17"/>
  <c r="C27" i="12" s="1"/>
  <c r="B20" i="17"/>
  <c r="B11" i="4" s="1"/>
  <c r="B454" i="17"/>
  <c r="B379" i="17"/>
  <c r="B393" i="17"/>
  <c r="B406" i="17"/>
  <c r="B422" i="17"/>
  <c r="B437" i="17"/>
  <c r="B356" i="17"/>
  <c r="B17" i="17"/>
  <c r="B34" i="17"/>
  <c r="B50" i="17"/>
  <c r="C36" i="4" s="1"/>
  <c r="B86" i="17"/>
  <c r="T17" i="6" s="1"/>
  <c r="B93" i="17"/>
  <c r="B1" i="3" s="1"/>
  <c r="B99" i="17"/>
  <c r="B112" i="17"/>
  <c r="B127" i="17"/>
  <c r="B138" i="17"/>
  <c r="B151" i="17"/>
  <c r="B163" i="17"/>
  <c r="B175" i="17"/>
  <c r="B187" i="17"/>
  <c r="B201" i="17"/>
  <c r="B215" i="17"/>
  <c r="C47" i="1" s="1"/>
  <c r="B250" i="17"/>
  <c r="B263" i="17"/>
  <c r="B280" i="17"/>
  <c r="B292" i="17"/>
  <c r="B324" i="17"/>
  <c r="B314" i="17"/>
  <c r="B344" i="17"/>
  <c r="B10" i="17"/>
  <c r="B452" i="17"/>
  <c r="B384" i="17"/>
  <c r="J10" i="8" s="1"/>
  <c r="B398" i="17"/>
  <c r="B411" i="17"/>
  <c r="B427" i="17"/>
  <c r="B443" i="17"/>
  <c r="B361" i="17"/>
  <c r="B366" i="17"/>
  <c r="B25" i="17"/>
  <c r="B39" i="17"/>
  <c r="B58" i="17"/>
  <c r="B104" i="17"/>
  <c r="B118" i="17"/>
  <c r="C127" i="3" s="1"/>
  <c r="B131" i="17"/>
  <c r="B156" i="17"/>
  <c r="B167" i="17"/>
  <c r="B179" i="17"/>
  <c r="B192" i="17"/>
  <c r="B206" i="17"/>
  <c r="B218" i="17"/>
  <c r="B226" i="17"/>
  <c r="B238" i="17"/>
  <c r="B243" i="17"/>
  <c r="B254" i="17"/>
  <c r="B272" i="17"/>
  <c r="C419" i="1" s="1"/>
  <c r="B285" i="17"/>
  <c r="B303" i="17"/>
  <c r="B318" i="17"/>
  <c r="B336" i="17"/>
  <c r="B349" i="17"/>
  <c r="B4" i="17"/>
  <c r="B451" i="17"/>
  <c r="L402" i="3" s="1"/>
  <c r="B373" i="17"/>
  <c r="B387" i="17"/>
  <c r="B400" i="17"/>
  <c r="B416" i="17"/>
  <c r="B431" i="17"/>
  <c r="B364" i="17"/>
  <c r="B369" i="17"/>
  <c r="B28" i="17"/>
  <c r="B42" i="17"/>
  <c r="B62" i="17"/>
  <c r="B107" i="17"/>
  <c r="B121" i="17"/>
  <c r="B133" i="17"/>
  <c r="B145" i="17"/>
  <c r="B158" i="17"/>
  <c r="B182" i="17"/>
  <c r="B195" i="17"/>
  <c r="B209" i="17"/>
  <c r="B221" i="17"/>
  <c r="B229" i="17"/>
  <c r="B241" i="17"/>
  <c r="B244" i="17"/>
  <c r="B275" i="17"/>
  <c r="B287" i="17"/>
  <c r="B308" i="17"/>
  <c r="B322" i="17"/>
  <c r="B339" i="17"/>
  <c r="B15" i="17"/>
  <c r="B374" i="17"/>
  <c r="B388" i="17"/>
  <c r="B401" i="17"/>
  <c r="B417" i="17"/>
  <c r="B432" i="17"/>
  <c r="B352" i="17"/>
  <c r="B370" i="17"/>
  <c r="B29" i="17"/>
  <c r="B43" i="17"/>
  <c r="B63" i="17"/>
  <c r="B108" i="17"/>
  <c r="B122" i="17"/>
  <c r="B134" i="17"/>
  <c r="C392" i="3" s="1"/>
  <c r="B146" i="17"/>
  <c r="B159" i="17"/>
  <c r="B170" i="17"/>
  <c r="C526" i="3" s="1"/>
  <c r="B183" i="17"/>
  <c r="B196" i="17"/>
  <c r="C26" i="1" s="1"/>
  <c r="B210" i="17"/>
  <c r="B222" i="17"/>
  <c r="B230" i="17"/>
  <c r="B245" i="17"/>
  <c r="C290" i="1" s="1"/>
  <c r="B258" i="17"/>
  <c r="B276" i="17"/>
  <c r="B299" i="17"/>
  <c r="B309" i="17"/>
  <c r="B327" i="17"/>
  <c r="B340" i="17"/>
  <c r="B5" i="17"/>
  <c r="B375" i="17"/>
  <c r="B389" i="17"/>
  <c r="B402" i="17"/>
  <c r="B418" i="17"/>
  <c r="B433" i="17"/>
  <c r="B353" i="17"/>
  <c r="B30" i="17"/>
  <c r="B44" i="17"/>
  <c r="B64" i="17"/>
  <c r="B109" i="17"/>
  <c r="B123" i="17"/>
  <c r="B135" i="17"/>
  <c r="B147" i="17"/>
  <c r="O506" i="3" s="1"/>
  <c r="B160" i="17"/>
  <c r="B171" i="17"/>
  <c r="B197" i="17"/>
  <c r="C29" i="1" s="1"/>
  <c r="B211" i="17"/>
  <c r="B223" i="17"/>
  <c r="B231" i="17"/>
  <c r="B246" i="17"/>
  <c r="B259" i="17"/>
  <c r="B277" i="17"/>
  <c r="B288" i="17"/>
  <c r="B300" i="17"/>
  <c r="B328" i="17"/>
  <c r="B341" i="17"/>
  <c r="B6" i="17"/>
  <c r="B380" i="17"/>
  <c r="B424" i="17"/>
  <c r="B354" i="17"/>
  <c r="B32" i="17"/>
  <c r="B94" i="17"/>
  <c r="B106" i="17"/>
  <c r="B148" i="17"/>
  <c r="B185" i="17"/>
  <c r="B205" i="17"/>
  <c r="B239" i="17"/>
  <c r="B251" i="17"/>
  <c r="B293" i="17"/>
  <c r="B310" i="17"/>
  <c r="B334" i="17"/>
  <c r="B8" i="17"/>
  <c r="B450" i="17"/>
  <c r="G178" i="3" s="1"/>
  <c r="B381" i="17"/>
  <c r="B403" i="17"/>
  <c r="B425" i="17"/>
  <c r="B33" i="17"/>
  <c r="B59" i="17"/>
  <c r="B95" i="17"/>
  <c r="B129" i="17"/>
  <c r="B149" i="17"/>
  <c r="B166" i="17"/>
  <c r="B186" i="17"/>
  <c r="G19" i="1" s="1"/>
  <c r="B207" i="17"/>
  <c r="B240" i="17"/>
  <c r="B311" i="17"/>
  <c r="B335" i="17"/>
  <c r="B9" i="17"/>
  <c r="B456" i="17"/>
  <c r="B448" i="17"/>
  <c r="B386" i="17"/>
  <c r="B408" i="17"/>
  <c r="B434" i="17"/>
  <c r="B359" i="17"/>
  <c r="B351" i="17"/>
  <c r="B38" i="17"/>
  <c r="B87" i="17"/>
  <c r="T18" i="6" s="1"/>
  <c r="B154" i="17"/>
  <c r="B191" i="17"/>
  <c r="B214" i="17"/>
  <c r="B227" i="17"/>
  <c r="B256" i="17"/>
  <c r="B282" i="17"/>
  <c r="B317" i="17"/>
  <c r="B14" i="17"/>
  <c r="B447" i="17"/>
  <c r="B392" i="17"/>
  <c r="B412" i="17"/>
  <c r="B438" i="17"/>
  <c r="B363" i="17"/>
  <c r="B21" i="17"/>
  <c r="C11" i="4" s="1"/>
  <c r="B45" i="17"/>
  <c r="B98" i="17"/>
  <c r="C2" i="3" s="1"/>
  <c r="B119" i="17"/>
  <c r="B139" i="17"/>
  <c r="F398" i="3" s="1"/>
  <c r="B176" i="17"/>
  <c r="B198" i="17"/>
  <c r="B233" i="17"/>
  <c r="B242" i="17"/>
  <c r="B262" i="17"/>
  <c r="D408" i="1" s="1"/>
  <c r="B325" i="17"/>
  <c r="B346" i="17"/>
  <c r="B457" i="17"/>
  <c r="J134" i="12" s="1"/>
  <c r="B397" i="17"/>
  <c r="B429" i="17"/>
  <c r="B35" i="17"/>
  <c r="B124" i="17"/>
  <c r="B150" i="17"/>
  <c r="F507" i="3" s="1"/>
  <c r="B203" i="17"/>
  <c r="B225" i="17"/>
  <c r="B278" i="17"/>
  <c r="B323" i="17"/>
  <c r="B332" i="17"/>
  <c r="B13" i="17"/>
  <c r="B378" i="17"/>
  <c r="B409" i="17"/>
  <c r="B441" i="17"/>
  <c r="B368" i="17"/>
  <c r="B46" i="17"/>
  <c r="B102" i="17"/>
  <c r="B132" i="17"/>
  <c r="B161" i="17"/>
  <c r="B184" i="17"/>
  <c r="B236" i="17"/>
  <c r="B253" i="17"/>
  <c r="B286" i="17"/>
  <c r="B305" i="17"/>
  <c r="B343" i="17"/>
  <c r="B385" i="17"/>
  <c r="B419" i="17"/>
  <c r="B355" i="17"/>
  <c r="B52" i="17"/>
  <c r="B91" i="17"/>
  <c r="B110" i="17"/>
  <c r="B137" i="17"/>
  <c r="B164" i="17"/>
  <c r="B190" i="17"/>
  <c r="B219" i="17"/>
  <c r="B261" i="17"/>
  <c r="B291" i="17"/>
  <c r="B316" i="17"/>
  <c r="B348" i="17"/>
  <c r="B390" i="17"/>
  <c r="B420" i="17"/>
  <c r="B357" i="17"/>
  <c r="B23" i="17"/>
  <c r="C12" i="4" s="1"/>
  <c r="B53" i="17"/>
  <c r="B111" i="17"/>
  <c r="B140" i="17"/>
  <c r="B165" i="17"/>
  <c r="B193" i="17"/>
  <c r="B220" i="17"/>
  <c r="C58" i="1" s="1"/>
  <c r="B264" i="17"/>
  <c r="B382" i="17"/>
  <c r="B426" i="17"/>
  <c r="B365" i="17"/>
  <c r="B61" i="17"/>
  <c r="B3" i="16" s="1"/>
  <c r="B103" i="17"/>
  <c r="B143" i="17"/>
  <c r="B180" i="17"/>
  <c r="B224" i="17"/>
  <c r="B248" i="17"/>
  <c r="B289" i="17"/>
  <c r="B330" i="17"/>
  <c r="B383" i="17"/>
  <c r="B428" i="17"/>
  <c r="B367" i="17"/>
  <c r="B65" i="17"/>
  <c r="B105" i="17"/>
  <c r="B144" i="17"/>
  <c r="B181" i="17"/>
  <c r="B290" i="17"/>
  <c r="B331" i="17"/>
  <c r="B453" i="17"/>
  <c r="B396" i="17"/>
  <c r="B440" i="17"/>
  <c r="B26" i="17"/>
  <c r="B90" i="17"/>
  <c r="T21" i="6" s="1"/>
  <c r="B120" i="17"/>
  <c r="B157" i="17"/>
  <c r="B199" i="17"/>
  <c r="B232" i="17"/>
  <c r="B260" i="17"/>
  <c r="B342" i="17"/>
  <c r="B405" i="17"/>
  <c r="B358" i="17"/>
  <c r="B36" i="17"/>
  <c r="C27" i="4" s="1"/>
  <c r="B96" i="17"/>
  <c r="B128" i="17"/>
  <c r="B168" i="17"/>
  <c r="B204" i="17"/>
  <c r="B271" i="17"/>
  <c r="B302" i="17"/>
  <c r="B350" i="17"/>
  <c r="B455" i="17"/>
  <c r="N305" i="1" s="1"/>
  <c r="B404" i="17"/>
  <c r="B97" i="17"/>
  <c r="B152" i="17"/>
  <c r="H507" i="3" s="1"/>
  <c r="B202" i="17"/>
  <c r="B11" i="17"/>
  <c r="B421" i="17"/>
  <c r="B24" i="17"/>
  <c r="B113" i="17"/>
  <c r="B162" i="17"/>
  <c r="B216" i="17"/>
  <c r="B255" i="17"/>
  <c r="B313" i="17"/>
  <c r="B372" i="17"/>
  <c r="B436" i="17"/>
  <c r="B37" i="17"/>
  <c r="B125" i="17"/>
  <c r="B174" i="17"/>
  <c r="B273" i="17"/>
  <c r="B329" i="17"/>
  <c r="B376" i="17"/>
  <c r="B439" i="17"/>
  <c r="B40" i="17"/>
  <c r="B126" i="17"/>
  <c r="B177" i="17"/>
  <c r="C10" i="1" s="1"/>
  <c r="B228" i="17"/>
  <c r="B279" i="17"/>
  <c r="C525" i="1" s="1"/>
  <c r="B333" i="17"/>
  <c r="B377" i="17"/>
  <c r="B444" i="17"/>
  <c r="B41" i="17"/>
  <c r="B85" i="17"/>
  <c r="T16" i="6" s="1"/>
  <c r="B130" i="17"/>
  <c r="B178" i="17"/>
  <c r="B234" i="17"/>
  <c r="B281" i="17"/>
  <c r="B337" i="17"/>
  <c r="B153" i="17"/>
  <c r="B235" i="17"/>
  <c r="B394" i="17"/>
  <c r="B16" i="17"/>
  <c r="B92" i="17"/>
  <c r="A1" i="3" s="1"/>
  <c r="B169" i="17"/>
  <c r="B321" i="17"/>
  <c r="B395" i="17"/>
  <c r="B27" i="17"/>
  <c r="B173" i="17"/>
  <c r="B247" i="17"/>
  <c r="B338" i="17"/>
  <c r="B446" i="17"/>
  <c r="G4" i="3" s="1"/>
  <c r="B47" i="17"/>
  <c r="B116" i="17"/>
  <c r="B217" i="17"/>
  <c r="B315" i="17"/>
  <c r="B407" i="17"/>
  <c r="B141" i="17"/>
  <c r="B7" i="17"/>
  <c r="B410" i="17"/>
  <c r="B142" i="17"/>
  <c r="B249" i="17"/>
  <c r="B12" i="17"/>
  <c r="B371" i="17"/>
  <c r="B136" i="17"/>
  <c r="B391" i="17"/>
  <c r="B194" i="17"/>
  <c r="B326" i="17"/>
  <c r="B399" i="17"/>
  <c r="B200" i="17"/>
  <c r="B304" i="17"/>
  <c r="B423" i="17"/>
  <c r="B212" i="17"/>
  <c r="B347" i="17"/>
  <c r="B445" i="17"/>
  <c r="B435" i="17"/>
  <c r="B213" i="17"/>
  <c r="B100" i="17"/>
  <c r="B114" i="17"/>
  <c r="B345" i="17"/>
  <c r="B449" i="17"/>
  <c r="B155" i="17"/>
  <c r="B360" i="17"/>
  <c r="B189" i="17"/>
  <c r="B362" i="17"/>
  <c r="B208" i="17"/>
  <c r="B31" i="17"/>
  <c r="B252" i="17"/>
  <c r="B51" i="17"/>
  <c r="B265" i="17"/>
  <c r="B413" i="17"/>
  <c r="B66" i="17"/>
  <c r="B89" i="17"/>
  <c r="T20" i="6" s="1"/>
  <c r="B101" i="17"/>
  <c r="B188" i="17"/>
  <c r="B237" i="17"/>
  <c r="B283" i="17"/>
  <c r="B284" i="17"/>
  <c r="C530" i="1" s="1"/>
  <c r="L72" i="1" l="1" a="1"/>
  <c r="H525" i="3"/>
  <c r="H523" i="3"/>
  <c r="I177" i="12"/>
  <c r="I159" i="12"/>
  <c r="I157" i="12"/>
  <c r="H524" i="3"/>
  <c r="M405" i="1" a="1"/>
  <c r="I189" i="12"/>
  <c r="I180" i="12"/>
  <c r="I168" i="12"/>
  <c r="I158" i="12"/>
  <c r="I145" i="12"/>
  <c r="I144" i="12"/>
  <c r="M307" i="1"/>
  <c r="M306" i="1"/>
  <c r="H517" i="3"/>
  <c r="H518" i="3"/>
  <c r="H527" i="3"/>
  <c r="F289" i="3"/>
  <c r="F290" i="3"/>
  <c r="F180" i="3"/>
  <c r="L74" i="1"/>
  <c r="L69" i="1" a="1"/>
  <c r="H298" i="1"/>
  <c r="L23" i="1"/>
  <c r="L22" i="1"/>
  <c r="L5" i="1"/>
  <c r="E285" i="1"/>
  <c r="C28" i="16" s="1"/>
  <c r="H519" i="3"/>
  <c r="I30" i="7"/>
  <c r="C65" i="16" s="1"/>
  <c r="F65" i="16" s="1"/>
  <c r="I12" i="7"/>
  <c r="C60" i="16" s="1"/>
  <c r="F60" i="16" s="1"/>
  <c r="I196" i="12"/>
  <c r="C64" i="16" s="1"/>
  <c r="F64" i="16" s="1"/>
  <c r="I188" i="12"/>
  <c r="K423" i="1"/>
  <c r="K422" i="1"/>
  <c r="L530" i="1"/>
  <c r="L76" i="1"/>
  <c r="L24" i="1"/>
  <c r="L59" i="1"/>
  <c r="C63" i="16"/>
  <c r="F63" i="16" s="1"/>
  <c r="F179" i="3"/>
  <c r="I152" i="12"/>
  <c r="I153" i="12"/>
  <c r="B38" i="16"/>
  <c r="C24" i="12"/>
  <c r="B42" i="16"/>
  <c r="B33" i="16"/>
  <c r="B23" i="16"/>
  <c r="C16" i="1"/>
  <c r="B22" i="16"/>
  <c r="B29" i="16"/>
  <c r="B26" i="16"/>
  <c r="B16" i="16"/>
  <c r="B28" i="16"/>
  <c r="B36" i="16"/>
  <c r="C6" i="12"/>
  <c r="B41" i="16"/>
  <c r="B51" i="16"/>
  <c r="G16" i="1"/>
  <c r="B13" i="16"/>
  <c r="B21" i="16"/>
  <c r="B17" i="16"/>
  <c r="B60" i="16"/>
  <c r="B37" i="16"/>
  <c r="C14" i="12"/>
  <c r="B14" i="16"/>
  <c r="E128" i="3" s="1" a="1"/>
  <c r="B32" i="16"/>
  <c r="B18" i="16"/>
  <c r="I187" i="12"/>
  <c r="H299" i="1"/>
  <c r="I190" i="12"/>
  <c r="L529" i="1"/>
  <c r="L528" i="1"/>
  <c r="L527" i="1"/>
  <c r="L526" i="1"/>
  <c r="L52" i="1"/>
  <c r="C52" i="16" s="1"/>
  <c r="F52" i="16" s="1"/>
  <c r="I176" i="12"/>
  <c r="I393" i="3"/>
  <c r="C15" i="16" s="1"/>
  <c r="F15" i="16" s="1"/>
  <c r="F288" i="3"/>
  <c r="B53" i="16"/>
  <c r="C268" i="11"/>
  <c r="B63" i="16"/>
  <c r="C277" i="11"/>
  <c r="B64" i="16"/>
  <c r="C278" i="11"/>
  <c r="C274" i="11"/>
  <c r="C276" i="11"/>
  <c r="C275" i="11"/>
  <c r="C273" i="11"/>
  <c r="C263" i="11"/>
  <c r="C262" i="11"/>
  <c r="C261" i="11"/>
  <c r="C260" i="11"/>
  <c r="B31" i="16"/>
  <c r="C259" i="11"/>
  <c r="B15" i="16"/>
  <c r="C258" i="11"/>
  <c r="C7" i="16"/>
  <c r="F7" i="16" s="1"/>
  <c r="I182" i="12" a="1"/>
  <c r="C265" i="11"/>
  <c r="C266" i="11"/>
  <c r="C264" i="11"/>
  <c r="B7" i="16"/>
  <c r="E127" i="3" s="1" a="1"/>
  <c r="C257" i="11"/>
  <c r="B52" i="16"/>
  <c r="C267" i="11"/>
  <c r="B65" i="16"/>
  <c r="C279" i="11"/>
  <c r="C271" i="11"/>
  <c r="C270" i="11"/>
  <c r="C269" i="11"/>
  <c r="C272" i="11"/>
  <c r="C4" i="12"/>
  <c r="C125" i="3"/>
  <c r="F5" i="3"/>
  <c r="F10" i="3"/>
  <c r="F6" i="3" s="1"/>
  <c r="F4" i="3"/>
  <c r="F3" i="3"/>
  <c r="F280" i="3"/>
  <c r="F278" i="3"/>
  <c r="F175" i="3"/>
  <c r="F279" i="3"/>
  <c r="F282" i="3"/>
  <c r="F281" i="3"/>
  <c r="F283" i="3"/>
  <c r="F176" i="3"/>
  <c r="F178" i="3"/>
  <c r="F125" i="3"/>
  <c r="C21" i="9"/>
  <c r="C27" i="9"/>
  <c r="A21" i="9"/>
  <c r="A27" i="9"/>
  <c r="I161" i="12"/>
  <c r="I170" i="12"/>
  <c r="I165" i="12"/>
  <c r="I23" i="7"/>
  <c r="I164" i="12"/>
  <c r="I7" i="7"/>
  <c r="I24" i="7"/>
  <c r="I162" i="12"/>
  <c r="I6" i="7"/>
  <c r="E514" i="3"/>
  <c r="D114" i="11" s="1"/>
  <c r="E513" i="3"/>
  <c r="D113" i="11" s="1"/>
  <c r="E291" i="1"/>
  <c r="E512" i="3"/>
  <c r="D112" i="11" s="1"/>
  <c r="P508" i="3"/>
  <c r="C17" i="16" s="1"/>
  <c r="F17" i="16" s="1"/>
  <c r="L30" i="1" a="1"/>
  <c r="L21" i="1"/>
  <c r="L75" i="1"/>
  <c r="B12" i="16"/>
  <c r="A55" i="1"/>
  <c r="C2" i="16"/>
  <c r="G9" i="8"/>
  <c r="K421" i="1"/>
  <c r="I133" i="12"/>
  <c r="I139" i="12"/>
  <c r="C8" i="16"/>
  <c r="J29" i="12"/>
  <c r="I18" i="12"/>
  <c r="G6" i="3"/>
  <c r="G10" i="3"/>
  <c r="J186" i="12"/>
  <c r="J175" i="12"/>
  <c r="G176" i="3"/>
  <c r="G22" i="3"/>
  <c r="L423" i="1"/>
  <c r="N307" i="1"/>
  <c r="G288" i="3"/>
  <c r="L404" i="3"/>
  <c r="J31" i="12"/>
  <c r="J406" i="1" l="1"/>
  <c r="J405" i="1"/>
  <c r="J411" i="1" a="1"/>
  <c r="J412" i="1" s="1"/>
  <c r="C14" i="16"/>
  <c r="F14" i="16" s="1"/>
  <c r="C42" i="16"/>
  <c r="C32" i="16"/>
  <c r="J413" i="1" a="1"/>
  <c r="J414" i="1" s="1"/>
  <c r="J409" i="1"/>
  <c r="C33" i="16"/>
  <c r="F33" i="16" s="1"/>
  <c r="J408" i="1"/>
  <c r="C29" i="16"/>
  <c r="F29" i="16" s="1"/>
  <c r="F56" i="16"/>
  <c r="C54" i="16"/>
  <c r="F54" i="16" s="1" a="1"/>
  <c r="F112" i="11"/>
  <c r="E112" i="11"/>
  <c r="F113" i="11"/>
  <c r="E113" i="11"/>
  <c r="F114" i="11"/>
  <c r="E114" i="11"/>
  <c r="C48" i="16"/>
  <c r="C18" i="16" a="1"/>
  <c r="C51" i="16"/>
  <c r="F51" i="16" s="1"/>
  <c r="C44" i="16"/>
  <c r="F44" i="16" s="1"/>
  <c r="C61" i="16"/>
  <c r="F61" i="16" s="1"/>
  <c r="C12" i="16"/>
  <c r="C57" i="16"/>
  <c r="F57" i="16" s="1"/>
  <c r="C47" i="16"/>
  <c r="F47"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J407" i="1" l="1"/>
  <c r="J410" i="1"/>
  <c r="G114" i="11"/>
  <c r="G113" i="11"/>
  <c r="G112" i="11"/>
  <c r="T12" i="8"/>
  <c r="E11" i="8" s="1"/>
  <c r="X11" i="8"/>
  <c r="W18" i="8"/>
  <c r="AJ11" i="8"/>
  <c r="X12" i="8"/>
  <c r="E12" i="8" s="1"/>
  <c r="AR11" i="8"/>
  <c r="T11" i="8"/>
  <c r="AB11" i="8"/>
  <c r="AZ11" i="8"/>
  <c r="AV11" i="8"/>
  <c r="AN11" i="8"/>
  <c r="AF11" i="8"/>
  <c r="D14" i="8" s="1"/>
  <c r="I147" i="12" l="1"/>
  <c r="F42" i="16"/>
  <c r="I142" i="12"/>
  <c r="D13" i="8"/>
  <c r="D11" i="8"/>
  <c r="D17" i="8"/>
  <c r="D16" i="8"/>
  <c r="D19" i="8"/>
  <c r="D15" i="8"/>
  <c r="D18" i="8"/>
  <c r="D12" i="8"/>
  <c r="P10" i="8"/>
  <c r="O18" i="8" s="1"/>
  <c r="P17" i="8"/>
  <c r="P18" i="8" s="1"/>
  <c r="C41" i="16" l="1"/>
  <c r="F41" i="16" s="1"/>
  <c r="P12" i="8"/>
  <c r="E10" i="8" s="1"/>
  <c r="P11" i="8"/>
  <c r="D10" i="8" s="1"/>
  <c r="C40" i="16" l="1"/>
  <c r="Q16" i="8"/>
  <c r="O19" i="8"/>
  <c r="O20" i="8" s="1"/>
  <c r="O21" i="8" s="1"/>
  <c r="D9" i="3"/>
  <c r="B2" i="11" s="1"/>
  <c r="D62" i="1"/>
  <c r="D13" i="3"/>
  <c r="B3" i="11" s="1"/>
  <c r="C21" i="7" s="1"/>
  <c r="C510" i="3" l="1"/>
  <c r="C389" i="3"/>
  <c r="C194" i="12"/>
  <c r="C132" i="12"/>
  <c r="C524" i="1"/>
  <c r="C516" i="3"/>
  <c r="C65" i="1"/>
  <c r="C503" i="3"/>
  <c r="C141" i="12"/>
  <c r="C532" i="1"/>
  <c r="C416" i="1"/>
  <c r="C179" i="12"/>
  <c r="C49" i="1"/>
  <c r="C15" i="3"/>
  <c r="C150" i="12"/>
  <c r="C522" i="3"/>
  <c r="C156" i="12"/>
  <c r="C124" i="3"/>
  <c r="C395" i="3"/>
  <c r="C285" i="3"/>
  <c r="C175" i="1"/>
  <c r="C9" i="7"/>
  <c r="C167" i="12"/>
  <c r="C7" i="1"/>
  <c r="C174" i="3"/>
  <c r="C55" i="1"/>
  <c r="C287" i="1"/>
  <c r="C282" i="1"/>
  <c r="C295" i="1"/>
  <c r="C301" i="1"/>
  <c r="C28" i="7"/>
  <c r="C2" i="7"/>
  <c r="C2" i="1"/>
  <c r="O23" i="8"/>
  <c r="A16" i="9"/>
  <c r="A1" i="9"/>
  <c r="G13" i="9"/>
  <c r="A4" i="9"/>
  <c r="G18" i="9"/>
  <c r="A8" i="9"/>
  <c r="A20" i="9"/>
  <c r="A12" i="9"/>
  <c r="G21" i="9"/>
  <c r="G4" i="9"/>
  <c r="G24" i="9"/>
  <c r="G5" i="9"/>
  <c r="G31" i="9"/>
  <c r="G6" i="9"/>
  <c r="G7" i="9"/>
  <c r="G8" i="9"/>
  <c r="G9" i="9"/>
  <c r="G10" i="9"/>
  <c r="G12"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4" i="12"/>
  <c r="B1" i="4"/>
  <c r="B33" i="4"/>
  <c r="B14" i="4"/>
  <c r="B28" i="4"/>
  <c r="B44" i="4"/>
  <c r="B17" i="4"/>
  <c r="C28" i="4"/>
  <c r="B18" i="4"/>
  <c r="B29" i="4"/>
  <c r="B19" i="4"/>
  <c r="C29" i="4"/>
  <c r="B43" i="4"/>
  <c r="B20" i="4"/>
  <c r="B21" i="4"/>
  <c r="C31" i="4"/>
  <c r="B24" i="4"/>
  <c r="B10" i="4"/>
  <c r="C37" i="4"/>
  <c r="B13" i="4"/>
  <c r="B22" i="4"/>
  <c r="C32" i="4"/>
  <c r="B23" i="4"/>
  <c r="C33" i="4"/>
  <c r="B2" i="4"/>
  <c r="C34" i="4"/>
  <c r="B26" i="4"/>
  <c r="B27" i="4"/>
  <c r="B62" i="16"/>
  <c r="C6" i="3"/>
  <c r="C122" i="3"/>
  <c r="C176" i="3"/>
  <c r="C281" i="3"/>
  <c r="C4" i="16"/>
  <c r="E287" i="3"/>
  <c r="F48" i="16" s="1"/>
  <c r="D398" i="3"/>
  <c r="G507" i="3"/>
  <c r="B54" i="16"/>
  <c r="C7" i="3"/>
  <c r="C13" i="3"/>
  <c r="C177" i="3"/>
  <c r="C282" i="3"/>
  <c r="E398" i="3"/>
  <c r="B6" i="16"/>
  <c r="D506" i="3"/>
  <c r="D106" i="11" s="1"/>
  <c r="B8" i="16"/>
  <c r="B56" i="16"/>
  <c r="C8" i="3"/>
  <c r="C178" i="3"/>
  <c r="C283" i="3"/>
  <c r="B9" i="16"/>
  <c r="B57" i="16"/>
  <c r="G398" i="3"/>
  <c r="N506" i="3"/>
  <c r="I507" i="3"/>
  <c r="B58" i="16"/>
  <c r="C3" i="3"/>
  <c r="C9" i="3"/>
  <c r="C19" i="3"/>
  <c r="C278" i="3"/>
  <c r="C393" i="3"/>
  <c r="H398" i="3"/>
  <c r="J507" i="3"/>
  <c r="D287" i="3"/>
  <c r="C4" i="3"/>
  <c r="C5" i="3"/>
  <c r="C175" i="3"/>
  <c r="C10" i="3"/>
  <c r="C279" i="3"/>
  <c r="B2" i="16"/>
  <c r="H399" i="3"/>
  <c r="C11" i="3"/>
  <c r="B61" i="16"/>
  <c r="C21" i="3"/>
  <c r="D507" i="3"/>
  <c r="C22" i="3"/>
  <c r="E507" i="3"/>
  <c r="C525" i="3"/>
  <c r="C154" i="12"/>
  <c r="B1" i="11"/>
  <c r="D59" i="1"/>
  <c r="D60" i="1"/>
  <c r="K507" i="3"/>
  <c r="C5" i="1"/>
  <c r="C21" i="1"/>
  <c r="L507" i="3"/>
  <c r="C22" i="1"/>
  <c r="C41" i="1"/>
  <c r="C69" i="1"/>
  <c r="C292" i="1"/>
  <c r="B9" i="8"/>
  <c r="D420" i="1"/>
  <c r="C11" i="12"/>
  <c r="C134" i="12"/>
  <c r="C180" i="12"/>
  <c r="C517" i="3"/>
  <c r="C33" i="1"/>
  <c r="C42" i="1"/>
  <c r="C70" i="1"/>
  <c r="K304" i="1"/>
  <c r="C146" i="12"/>
  <c r="C163" i="12"/>
  <c r="C181" i="12"/>
  <c r="C189" i="12"/>
  <c r="C17" i="7"/>
  <c r="B1" i="12"/>
  <c r="G179" i="1"/>
  <c r="C291" i="1"/>
  <c r="J521" i="1"/>
  <c r="C10" i="12"/>
  <c r="C159" i="12"/>
  <c r="C162" i="12"/>
  <c r="C15" i="7"/>
  <c r="C512" i="3"/>
  <c r="C523" i="3"/>
  <c r="D20" i="1"/>
  <c r="C30" i="1"/>
  <c r="C39" i="1"/>
  <c r="D73" i="1"/>
  <c r="J179" i="1"/>
  <c r="C522" i="1"/>
  <c r="C160" i="12"/>
  <c r="C5" i="7"/>
  <c r="G20" i="1"/>
  <c r="C298" i="1"/>
  <c r="C142" i="12"/>
  <c r="C164" i="12"/>
  <c r="C16" i="7"/>
  <c r="C513" i="3"/>
  <c r="C524" i="3"/>
  <c r="G11" i="1"/>
  <c r="C40" i="1"/>
  <c r="D405" i="1"/>
  <c r="K11" i="1"/>
  <c r="C38" i="1"/>
  <c r="C57" i="1"/>
  <c r="C68" i="1"/>
  <c r="D179" i="1"/>
  <c r="D410" i="1"/>
  <c r="C133" i="12"/>
  <c r="C177" i="12"/>
  <c r="C190" i="12"/>
  <c r="C12" i="1"/>
  <c r="C25" i="1"/>
  <c r="C71" i="1"/>
  <c r="K179" i="1"/>
  <c r="C293" i="1"/>
  <c r="C9" i="12"/>
  <c r="C18" i="7"/>
  <c r="C22" i="7"/>
  <c r="M507" i="3"/>
  <c r="C13" i="1"/>
  <c r="C43" i="1"/>
  <c r="C59" i="1"/>
  <c r="D304" i="1"/>
  <c r="C526" i="1"/>
  <c r="C28" i="12"/>
  <c r="C135" i="12"/>
  <c r="C165" i="12"/>
  <c r="C23" i="7"/>
  <c r="C31" i="1"/>
  <c r="G73" i="1"/>
  <c r="C405" i="1"/>
  <c r="C527" i="1"/>
  <c r="C139" i="12"/>
  <c r="C6" i="7"/>
  <c r="C514" i="3"/>
  <c r="C527" i="3"/>
  <c r="C32" i="1"/>
  <c r="C45" i="1"/>
  <c r="D61" i="1"/>
  <c r="D406" i="1"/>
  <c r="G420" i="1"/>
  <c r="C528" i="1"/>
  <c r="C168" i="12"/>
  <c r="C25" i="7"/>
  <c r="C34" i="1"/>
  <c r="C46" i="1"/>
  <c r="J73" i="1"/>
  <c r="C529" i="1"/>
  <c r="C169" i="12"/>
  <c r="J20" i="1"/>
  <c r="C35" i="1"/>
  <c r="K73" i="1"/>
  <c r="D407" i="1"/>
  <c r="C157" i="12"/>
  <c r="C14" i="1"/>
  <c r="C44" i="1"/>
  <c r="L304" i="1"/>
  <c r="C138" i="12"/>
  <c r="C24" i="7"/>
  <c r="K20" i="1"/>
  <c r="C299" i="1"/>
  <c r="C2" i="12"/>
  <c r="C147" i="12"/>
  <c r="C187" i="12"/>
  <c r="C3" i="12"/>
  <c r="C148" i="12"/>
  <c r="C23" i="1"/>
  <c r="C188" i="12"/>
  <c r="C518" i="3"/>
  <c r="C178" i="1"/>
  <c r="C519" i="3"/>
  <c r="C36" i="1"/>
  <c r="C10" i="7"/>
  <c r="D409" i="1"/>
  <c r="H11" i="7"/>
  <c r="C37" i="1"/>
  <c r="C179" i="1"/>
  <c r="C161" i="12"/>
  <c r="C12" i="7"/>
  <c r="C521" i="1"/>
  <c r="C13" i="7"/>
  <c r="C158" i="12"/>
  <c r="J11" i="1"/>
  <c r="C176" i="12"/>
  <c r="C285" i="1"/>
  <c r="C14" i="7"/>
  <c r="C56" i="1"/>
  <c r="D21" i="1"/>
  <c r="E106" i="11" l="1"/>
  <c r="F106" i="11"/>
  <c r="D107" i="11"/>
  <c r="F10" i="8"/>
  <c r="G10" i="8" s="1"/>
  <c r="C7" i="7"/>
  <c r="A17" i="9"/>
  <c r="A13" i="9"/>
  <c r="A5" i="9"/>
  <c r="A9" i="9"/>
  <c r="C13" i="9"/>
  <c r="C5" i="9"/>
  <c r="C9" i="9"/>
  <c r="C17" i="9"/>
  <c r="C144" i="12"/>
  <c r="C145" i="12"/>
  <c r="C30" i="4"/>
  <c r="B7" i="8"/>
  <c r="B1" i="1"/>
  <c r="A1" i="1"/>
  <c r="A1" i="12"/>
  <c r="C18" i="12"/>
  <c r="C184" i="12"/>
  <c r="C172" i="12"/>
  <c r="C171" i="12"/>
  <c r="C183" i="12"/>
  <c r="C17" i="12"/>
  <c r="C280" i="3"/>
  <c r="E28" i="12"/>
  <c r="D17" i="12"/>
  <c r="D9" i="12"/>
  <c r="C182" i="12"/>
  <c r="C170" i="12"/>
  <c r="C20" i="12"/>
  <c r="C21" i="12"/>
  <c r="C173" i="12"/>
  <c r="C185" i="12"/>
  <c r="C19" i="12"/>
  <c r="C129" i="12"/>
  <c r="C22" i="12"/>
  <c r="C12" i="12"/>
  <c r="C186" i="12"/>
  <c r="C175" i="12"/>
  <c r="B5" i="16"/>
  <c r="B46" i="16"/>
  <c r="B10" i="16"/>
  <c r="J420" i="1"/>
  <c r="G304" i="1"/>
  <c r="G409" i="1"/>
  <c r="J522" i="1"/>
  <c r="G408" i="1"/>
  <c r="G410" i="1"/>
  <c r="C420" i="1"/>
  <c r="C304" i="1"/>
  <c r="C73" i="1"/>
  <c r="C398" i="3"/>
  <c r="C287" i="3"/>
  <c r="C506" i="3"/>
  <c r="K31" i="1"/>
  <c r="K32" i="1"/>
  <c r="K33" i="1"/>
  <c r="K34" i="1"/>
  <c r="K35" i="1"/>
  <c r="K36" i="1"/>
  <c r="K37" i="1"/>
  <c r="K38" i="1"/>
  <c r="K39" i="1"/>
  <c r="K40" i="1"/>
  <c r="K41" i="1"/>
  <c r="K42" i="1"/>
  <c r="K43" i="1"/>
  <c r="K44" i="1"/>
  <c r="K30" i="1"/>
  <c r="G106" i="11" l="1"/>
  <c r="F107" i="11"/>
  <c r="E107" i="11"/>
  <c r="C6" i="16"/>
  <c r="G25" i="1"/>
  <c r="J25" i="1"/>
  <c r="G107" i="11" l="1"/>
  <c r="J405" i="3"/>
  <c r="J406" i="3"/>
  <c r="J407" i="3"/>
  <c r="J408" i="3"/>
  <c r="J409" i="3"/>
  <c r="J410" i="3"/>
  <c r="J411" i="3"/>
  <c r="J412" i="3"/>
  <c r="J413" i="3"/>
  <c r="J414" i="3"/>
  <c r="J415" i="3"/>
  <c r="J416" i="3"/>
  <c r="J417" i="3"/>
  <c r="J418" i="3"/>
  <c r="J419" i="3"/>
  <c r="J420" i="3"/>
  <c r="J421" i="3"/>
  <c r="J422" i="3"/>
  <c r="J423" i="3"/>
  <c r="J424" i="3"/>
  <c r="J500" i="3"/>
  <c r="J501" i="3"/>
  <c r="D198" i="1"/>
  <c r="L198" i="1" s="1"/>
  <c r="D197" i="1"/>
  <c r="L197" i="1" s="1"/>
  <c r="D193" i="1"/>
  <c r="L193" i="1" s="1"/>
  <c r="D181" i="1"/>
  <c r="L181" i="1" s="1"/>
  <c r="L180" i="1"/>
  <c r="D182" i="1"/>
  <c r="L182" i="1" s="1"/>
  <c r="D183" i="1"/>
  <c r="L183" i="1" s="1"/>
  <c r="D184" i="1"/>
  <c r="L184" i="1" s="1"/>
  <c r="D185" i="1"/>
  <c r="L185" i="1" s="1"/>
  <c r="D186" i="1"/>
  <c r="L186" i="1" s="1"/>
  <c r="D187" i="1"/>
  <c r="L187" i="1" s="1"/>
  <c r="D188" i="1"/>
  <c r="L188" i="1" s="1"/>
  <c r="D189" i="1"/>
  <c r="L189" i="1" s="1"/>
  <c r="D190" i="1"/>
  <c r="L190" i="1" s="1"/>
  <c r="D191" i="1"/>
  <c r="L191" i="1" s="1"/>
  <c r="D192" i="1"/>
  <c r="L192" i="1" s="1"/>
  <c r="D194" i="1"/>
  <c r="L194" i="1" s="1"/>
  <c r="D195" i="1"/>
  <c r="L195" i="1" s="1"/>
  <c r="D196" i="1"/>
  <c r="L196" i="1" s="1"/>
  <c r="D199" i="1"/>
  <c r="L199" i="1" s="1"/>
  <c r="D200" i="1"/>
  <c r="L200" i="1" s="1"/>
  <c r="D201" i="1"/>
  <c r="L201" i="1" s="1"/>
  <c r="D202" i="1"/>
  <c r="L202" i="1" s="1"/>
  <c r="D203" i="1"/>
  <c r="L203" i="1" s="1"/>
  <c r="D278" i="1"/>
  <c r="L278" i="1" s="1"/>
  <c r="D279" i="1"/>
  <c r="L279"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6" i="16" l="1"/>
  <c r="W19" i="8"/>
  <c r="W20" i="8" s="1"/>
  <c r="W21" i="8" s="1"/>
  <c r="S20" i="8"/>
  <c r="S21" i="8" s="1"/>
  <c r="AY20" i="8"/>
  <c r="AY21" i="8" s="1"/>
  <c r="AM20" i="8"/>
  <c r="F26" i="16" l="1"/>
  <c r="C27" i="16"/>
  <c r="C25" i="16"/>
  <c r="G406" i="1"/>
  <c r="G407" i="1"/>
  <c r="D163" i="12" l="1"/>
  <c r="G45" i="1" l="1"/>
  <c r="G47" i="1" s="1"/>
  <c r="D292" i="1"/>
  <c r="F28" i="16" s="1"/>
  <c r="D5" i="11"/>
  <c r="D6" i="11"/>
  <c r="D7" i="11"/>
  <c r="D8" i="11"/>
  <c r="D9" i="11"/>
  <c r="D10" i="11"/>
  <c r="D11" i="11"/>
  <c r="D12" i="11"/>
  <c r="D13" i="11"/>
  <c r="D14" i="11"/>
  <c r="D15" i="11"/>
  <c r="D16" i="11"/>
  <c r="D17" i="11"/>
  <c r="D18" i="11"/>
  <c r="D19" i="11"/>
  <c r="D20" i="11"/>
  <c r="D21" i="11"/>
  <c r="D22" i="11"/>
  <c r="D23" i="11"/>
  <c r="D148" i="12" l="1"/>
  <c r="D146" i="12"/>
  <c r="I134" i="12"/>
  <c r="C39" i="16" s="1"/>
  <c r="F39" i="16" s="1"/>
  <c r="D160" i="12"/>
  <c r="I31" i="12"/>
  <c r="D22" i="12"/>
  <c r="D12" i="12"/>
  <c r="D11" i="12" s="1"/>
  <c r="F3" i="12"/>
  <c r="F2" i="12"/>
  <c r="K418" i="3"/>
  <c r="H406" i="3"/>
  <c r="I406" i="3" s="1"/>
  <c r="I30" i="12" l="1"/>
  <c r="I29" i="12"/>
  <c r="P22" i="8"/>
  <c r="H17" i="7"/>
  <c r="C38" i="16" l="1"/>
  <c r="F38" i="16" s="1"/>
  <c r="K501" i="3"/>
  <c r="J45" i="1" l="1"/>
  <c r="J47" i="1" s="1"/>
  <c r="D45" i="1"/>
  <c r="D46" i="1" s="1"/>
  <c r="K45" i="1" l="1"/>
  <c r="G46" i="1"/>
  <c r="J46" i="1"/>
  <c r="K403" i="3"/>
  <c r="D3" i="11" s="1"/>
  <c r="K404" i="3"/>
  <c r="K405" i="3"/>
  <c r="F5" i="11" s="1"/>
  <c r="K406" i="3"/>
  <c r="E6" i="11" s="1"/>
  <c r="K407" i="3"/>
  <c r="K408" i="3"/>
  <c r="K409" i="3"/>
  <c r="K410" i="3"/>
  <c r="K411" i="3"/>
  <c r="K412" i="3"/>
  <c r="K413" i="3"/>
  <c r="K414" i="3"/>
  <c r="F14" i="11" s="1"/>
  <c r="K415" i="3"/>
  <c r="K416" i="3"/>
  <c r="K417" i="3"/>
  <c r="E17" i="11" s="1"/>
  <c r="F18" i="11"/>
  <c r="K419" i="3"/>
  <c r="F19" i="11" s="1"/>
  <c r="K420" i="3"/>
  <c r="F20" i="11" s="1"/>
  <c r="K421" i="3"/>
  <c r="K422" i="3"/>
  <c r="K423" i="3"/>
  <c r="K424" i="3"/>
  <c r="K500" i="3"/>
  <c r="K402" i="3"/>
  <c r="D2" i="11" s="1"/>
  <c r="H411" i="3"/>
  <c r="I411" i="3" s="1"/>
  <c r="H412" i="3"/>
  <c r="I412" i="3" s="1"/>
  <c r="H413" i="3"/>
  <c r="I413" i="3" s="1"/>
  <c r="H414" i="3"/>
  <c r="I414" i="3" s="1"/>
  <c r="H415" i="3"/>
  <c r="I415" i="3" s="1"/>
  <c r="H416" i="3"/>
  <c r="I416" i="3" s="1"/>
  <c r="H417" i="3"/>
  <c r="I417" i="3" s="1"/>
  <c r="H418" i="3"/>
  <c r="I418" i="3" s="1"/>
  <c r="H419" i="3"/>
  <c r="I419" i="3" s="1"/>
  <c r="H421" i="3"/>
  <c r="I421" i="3" s="1"/>
  <c r="H422" i="3"/>
  <c r="I422" i="3" s="1"/>
  <c r="H423" i="3"/>
  <c r="I423" i="3" s="1"/>
  <c r="I424" i="3"/>
  <c r="D47" i="1"/>
  <c r="D4" i="11" l="1"/>
  <c r="F4" i="11" s="1"/>
  <c r="K47" i="1"/>
  <c r="K46" i="1"/>
  <c r="F10" i="11"/>
  <c r="E10" i="11"/>
  <c r="E15" i="11"/>
  <c r="F15" i="11"/>
  <c r="F11" i="11"/>
  <c r="E11" i="11"/>
  <c r="F7" i="11"/>
  <c r="E7" i="11"/>
  <c r="E22" i="11"/>
  <c r="F22"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Y16" i="8" l="1"/>
  <c r="W23" i="8" s="1"/>
  <c r="F12" i="8" s="1"/>
  <c r="G12" i="8" s="1"/>
  <c r="U16" i="8"/>
  <c r="S23" i="8" s="1"/>
  <c r="BA16" i="8"/>
  <c r="J402" i="3"/>
  <c r="J403" i="3"/>
  <c r="E4" i="11"/>
  <c r="AW16" i="8"/>
  <c r="AU20" i="8"/>
  <c r="AU21" i="8" s="1"/>
  <c r="AS16" i="8"/>
  <c r="AO16" i="8"/>
  <c r="AK16" i="8"/>
  <c r="AG16" i="8"/>
  <c r="AA20" i="8"/>
  <c r="AA21" i="8" s="1"/>
  <c r="AC16" i="8"/>
  <c r="G20" i="11"/>
  <c r="H420" i="3" s="1"/>
  <c r="I420" i="3" s="1"/>
  <c r="H405" i="3"/>
  <c r="I405" i="3" s="1"/>
  <c r="G13" i="11"/>
  <c r="G11" i="11"/>
  <c r="G10" i="11"/>
  <c r="H410" i="3" s="1"/>
  <c r="I410" i="3" s="1"/>
  <c r="G22" i="11"/>
  <c r="G12" i="11"/>
  <c r="G16" i="11"/>
  <c r="G21" i="11"/>
  <c r="G7" i="11"/>
  <c r="H407" i="3" s="1"/>
  <c r="I407" i="3" s="1"/>
  <c r="G23" i="11"/>
  <c r="G8" i="11"/>
  <c r="H408" i="3" s="1"/>
  <c r="I408" i="3" s="1"/>
  <c r="G15" i="11"/>
  <c r="G9" i="11"/>
  <c r="H409" i="3" s="1"/>
  <c r="I409" i="3" s="1"/>
  <c r="G3" i="11"/>
  <c r="G2" i="11"/>
  <c r="H402" i="3" s="1"/>
  <c r="J26" i="1"/>
  <c r="G26" i="1"/>
  <c r="D26" i="1"/>
  <c r="K25" i="1"/>
  <c r="D25" i="1"/>
  <c r="F11" i="8" l="1"/>
  <c r="G11" i="8" s="1"/>
  <c r="AQ20" i="8"/>
  <c r="AQ21" i="8" s="1"/>
  <c r="AQ23" i="8" s="1"/>
  <c r="F17" i="8" s="1"/>
  <c r="G17" i="8" s="1"/>
  <c r="AE20" i="8"/>
  <c r="AE21" i="8" s="1"/>
  <c r="AM21" i="8"/>
  <c r="AM23" i="8" s="1"/>
  <c r="AI20" i="8"/>
  <c r="AA23" i="8"/>
  <c r="AY23" i="8"/>
  <c r="K26" i="1"/>
  <c r="G4" i="11"/>
  <c r="H404" i="3" s="1"/>
  <c r="I404" i="3" s="1"/>
  <c r="J404" i="3"/>
  <c r="AU23" i="8"/>
  <c r="X22" i="8"/>
  <c r="H403" i="3"/>
  <c r="I403" i="3" s="1"/>
  <c r="D56" i="1" l="1"/>
  <c r="L57" i="1" s="1"/>
  <c r="C53" i="16" s="1"/>
  <c r="F53" i="16" s="1"/>
  <c r="AR22" i="8"/>
  <c r="AB22" i="8"/>
  <c r="F13" i="8"/>
  <c r="G13" i="8" s="1"/>
  <c r="AV22" i="8"/>
  <c r="F18" i="8"/>
  <c r="G18" i="8" s="1"/>
  <c r="AZ22" i="8"/>
  <c r="F19" i="8"/>
  <c r="G19" i="8" s="1"/>
  <c r="AN22" i="8"/>
  <c r="F16" i="8"/>
  <c r="G16" i="8" s="1"/>
  <c r="AI21" i="8"/>
  <c r="AI23" i="8" s="1"/>
  <c r="AJ22" i="8" s="1"/>
  <c r="AE23" i="8"/>
  <c r="T22" i="8"/>
  <c r="C50" i="16" l="1"/>
  <c r="AF22" i="8"/>
  <c r="F14" i="8"/>
  <c r="F15" i="8"/>
  <c r="G15" i="8" s="1"/>
  <c r="G14" i="8" l="1"/>
  <c r="H9" i="8" s="1" a="1"/>
  <c r="K12" i="1"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73" i="17" l="1"/>
  <c r="B77" i="17"/>
  <c r="B69" i="17"/>
  <c r="B19" i="16" s="1"/>
  <c r="B78" i="17"/>
  <c r="B70" i="17"/>
  <c r="B59" i="16"/>
  <c r="B80" i="17"/>
  <c r="B45" i="16"/>
  <c r="B67" i="17"/>
  <c r="T2" i="6" s="1"/>
  <c r="B82" i="17"/>
  <c r="B34" i="16"/>
  <c r="B71" i="17"/>
  <c r="B76" i="17"/>
  <c r="B84" i="17"/>
  <c r="B72" i="17"/>
  <c r="B74" i="17"/>
  <c r="B83" i="17"/>
  <c r="B68" i="17"/>
  <c r="B44" i="16" l="1"/>
  <c r="T12" i="6"/>
  <c r="B20" i="16"/>
  <c r="T4" i="6"/>
  <c r="B40" i="16"/>
  <c r="T11" i="6"/>
  <c r="B24" i="16"/>
  <c r="T5" i="6"/>
  <c r="T3" i="6"/>
  <c r="B39" i="16"/>
  <c r="T10" i="6"/>
  <c r="B47" i="16"/>
  <c r="T13" i="6"/>
  <c r="B48" i="16"/>
  <c r="T14" i="6"/>
  <c r="B30" i="16"/>
  <c r="T8" i="6"/>
  <c r="B25" i="16"/>
  <c r="T6" i="6"/>
  <c r="B50" i="16"/>
  <c r="T15" i="6"/>
  <c r="B35" i="16"/>
  <c r="T9" i="6"/>
  <c r="B27" i="16"/>
  <c r="T7" i="6"/>
  <c r="B11" i="16"/>
  <c r="B55" i="16"/>
  <c r="B49" i="16"/>
  <c r="B43" i="16"/>
  <c r="C21" i="16" l="1"/>
  <c r="F21" i="16" s="1"/>
  <c r="H18" i="12" l="1"/>
  <c r="C37" i="16" s="1"/>
  <c r="F37" i="16" s="1"/>
  <c r="H10" i="12"/>
  <c r="C36" i="16" s="1"/>
  <c r="F36" i="16" s="1"/>
  <c r="C31" i="16"/>
  <c r="F31" i="16" l="1"/>
  <c r="C35" i="16"/>
  <c r="I402" i="3" l="1"/>
  <c r="C16" i="16" s="1"/>
  <c r="F16" i="16" s="1"/>
  <c r="C13" i="16" l="1"/>
  <c r="F13" i="16" s="1"/>
  <c r="C11" i="16" l="1"/>
  <c r="C58" i="16" s="1"/>
  <c r="F58" i="16" s="1"/>
  <c r="C24" i="16" s="1"/>
  <c r="F24" i="16" s="1"/>
  <c r="C23" i="16" s="1"/>
  <c r="F18" i="16" s="1"/>
  <c r="F23" i="16" l="1"/>
  <c r="F32" i="16"/>
  <c r="C30" i="16"/>
  <c r="A32" i="8" a="1"/>
  <c r="B32" i="8" a="1"/>
  <c r="J14" i="1" l="1"/>
  <c r="G14" i="1"/>
  <c r="A29" i="8" l="1" a="1"/>
  <c r="L12" i="1" a="1"/>
  <c r="C22" i="16" s="1"/>
  <c r="F22" i="16" s="1"/>
  <c r="K14" i="1"/>
  <c r="C20" i="16" l="1"/>
  <c r="C3" i="16" s="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tc={9B8E6CD1-30E5-4AB3-802F-30BC49F30DDD}</author>
    <author>tc={20E01DFF-755D-48A7-B249-08EB863A2C76}</author>
  </authors>
  <commentList>
    <comment ref="F22" authorId="0" shapeId="0" xr:uid="{9B8E6CD1-30E5-4AB3-802F-30BC49F30DDD}">
      <text>
        <t xml:space="preserve">[Threaded comment]
Your version of Excel allows you to read this threaded comment; however, any edits to it will get removed if the file is opened in a newer version of Excel. Learn more: https://go.microsoft.com/fwlink/?linkid=870924
Comment:
    @Stuart Rowan doesn’t it trigger also a change in the name in the taxonomy? </t>
      </text>
    </comment>
    <comment ref="C119" authorId="1" shapeId="0" xr:uid="{20E01DFF-755D-48A7-B249-08EB863A2C7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@Mathias Mingazzini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<sst xmlns="http://schemas.openxmlformats.org/spreadsheetml/2006/main" count="12319" uniqueCount="10825">
  <si>
    <t>English - Official [en]</t>
  </si>
  <si>
    <t>¬</t>
  </si>
  <si>
    <t>https://xbrl.efrag.org/taxonomy/vsme/2026-05-01/vsme-all.xsd</t>
  </si>
  <si>
    <t>Validation OK</t>
  </si>
  <si>
    <t>[+]</t>
  </si>
  <si>
    <t>LEI</t>
  </si>
  <si>
    <t>AED</t>
  </si>
  <si>
    <t>Ending day</t>
  </si>
  <si>
    <t>27(a)</t>
  </si>
  <si>
    <t>N/A</t>
  </si>
  <si>
    <t>Option B (Basic Module and Comprehensive Module)</t>
  </si>
  <si>
    <t>27(b)</t>
  </si>
  <si>
    <t>27(c)</t>
  </si>
  <si>
    <t>27(e)(i)</t>
  </si>
  <si>
    <t>cooperative</t>
  </si>
  <si>
    <t>27(e)(ii)</t>
  </si>
  <si>
    <t>NACE A - 01.14 Growing of sugar cane</t>
  </si>
  <si>
    <t>NACE A - 01.19 Growing of other non-perennial crops</t>
  </si>
  <si>
    <t>NACE C - 10.81 Manufacture of sugar</t>
  </si>
  <si>
    <t>27(e)(iii)</t>
  </si>
  <si>
    <t>27(e)(iv)</t>
  </si>
  <si>
    <t>27(e)(v)</t>
  </si>
  <si>
    <t>At the end of the reporting period</t>
  </si>
  <si>
    <t>27(e)(vi)</t>
  </si>
  <si>
    <t>Albania</t>
  </si>
  <si>
    <t>27(d)</t>
  </si>
  <si>
    <t>27(e)(vii)</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</si>
  <si>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</si>
  <si>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29-31</t>
  </si>
  <si>
    <t>46(a)</t>
  </si>
  <si>
    <t>46(b)</t>
  </si>
  <si>
    <t>46(c)</t>
  </si>
  <si>
    <t>46(d)</t>
  </si>
  <si>
    <t>53(b)</t>
  </si>
  <si>
    <t>53(a)</t>
  </si>
  <si>
    <t xml:space="preserve">53(d) </t>
  </si>
  <si>
    <t>49-52</t>
  </si>
  <si>
    <t xml:space="preserve">53(e) </t>
  </si>
  <si>
    <t>metric tonnes (t)</t>
  </si>
  <si>
    <t>39(a) and 39(b)</t>
  </si>
  <si>
    <t>39(c)</t>
  </si>
  <si>
    <t>56(a)</t>
  </si>
  <si>
    <t>56(b)</t>
  </si>
  <si>
    <t>56(c)</t>
  </si>
  <si>
    <t>56(d)</t>
  </si>
  <si>
    <t>40(a)</t>
  </si>
  <si>
    <t>40(b)</t>
  </si>
  <si>
    <t>40(c)</t>
  </si>
  <si>
    <t>Netherlands Antilles (before 2010-12-15)</t>
  </si>
  <si>
    <t>Antigua and Barbuda</t>
  </si>
  <si>
    <t>41(a)</t>
  </si>
  <si>
    <t>41(b)</t>
  </si>
  <si>
    <t>42(a)</t>
  </si>
  <si>
    <t>42(b)</t>
  </si>
  <si>
    <t>42(c)</t>
  </si>
  <si>
    <t>42(d)</t>
  </si>
  <si>
    <t>61(a)</t>
  </si>
  <si>
    <t>61(b)</t>
  </si>
  <si>
    <t>61(c)</t>
  </si>
  <si>
    <t>62(a)</t>
  </si>
  <si>
    <t>62(b)</t>
  </si>
  <si>
    <t>62(c)</t>
  </si>
  <si>
    <t>Paragraph Reference</t>
  </si>
  <si>
    <t>Paragraph Guidance Reference</t>
  </si>
  <si>
    <t>63(a)</t>
  </si>
  <si>
    <t>63(b)</t>
  </si>
  <si>
    <t>63(c)</t>
  </si>
  <si>
    <t>63(d)</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</si>
  <si>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</si>
  <si>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</si>
  <si>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</si>
  <si>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</si>
  <si>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</si>
  <si>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</si>
  <si>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</si>
  <si>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</si>
  <si>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</si>
  <si>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</si>
  <si>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</si>
  <si>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</si>
  <si>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</si>
  <si>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</si>
  <si>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</si>
  <si>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</si>
  <si>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</si>
  <si>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</si>
  <si>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</si>
  <si>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</si>
  <si>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</si>
  <si>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</si>
  <si>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</si>
  <si>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</si>
  <si>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</si>
  <si>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</si>
  <si>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</si>
  <si>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</si>
  <si>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</si>
  <si>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</si>
  <si>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</si>
  <si>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</si>
  <si>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</si>
  <si>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</si>
  <si>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</si>
  <si>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</si>
  <si>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</si>
  <si>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</si>
  <si>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</si>
  <si>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</si>
  <si>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</si>
  <si>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</si>
  <si>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</si>
  <si>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</si>
  <si>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</si>
  <si>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</si>
  <si>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</si>
  <si>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</si>
  <si>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</si>
  <si>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</si>
  <si>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</si>
  <si>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</si>
  <si>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</si>
  <si>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</si>
  <si>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</si>
  <si>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</si>
  <si>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</si>
  <si>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</si>
  <si>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</si>
  <si>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</si>
  <si>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</si>
  <si>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</si>
  <si>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</si>
  <si>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</si>
  <si>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</si>
  <si>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</si>
  <si>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</si>
  <si>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</si>
  <si>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</si>
  <si>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</si>
  <si>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</si>
  <si>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</si>
  <si>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</si>
  <si>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</si>
  <si>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</si>
  <si>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</si>
  <si>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</si>
  <si>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</si>
  <si>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</si>
  <si>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</si>
  <si>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</si>
  <si>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</si>
  <si>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</si>
  <si>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</si>
  <si>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</si>
  <si>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</si>
  <si>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</si>
  <si>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</si>
  <si>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</si>
  <si>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</si>
  <si>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</si>
  <si>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</si>
  <si>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</si>
  <si>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</si>
  <si>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</si>
  <si>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</si>
  <si>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</si>
  <si>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</si>
  <si>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</si>
  <si>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</si>
  <si>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</si>
  <si>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</si>
  <si>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</si>
  <si>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</si>
  <si>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</si>
  <si>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</si>
  <si>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</si>
  <si>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</si>
  <si>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</si>
  <si>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</si>
  <si>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</si>
  <si>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</si>
  <si>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</si>
  <si>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</si>
  <si>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</si>
  <si>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</si>
  <si>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</si>
  <si>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</si>
  <si>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</si>
  <si>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</si>
  <si>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</si>
  <si>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</si>
  <si>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</si>
  <si>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</si>
  <si>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</si>
  <si>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</si>
  <si>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</si>
  <si>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</si>
  <si>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</si>
  <si>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</si>
  <si>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</si>
  <si>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</si>
  <si>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</si>
  <si>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</si>
  <si>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</si>
  <si>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</si>
  <si>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</si>
  <si>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</si>
  <si>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</si>
  <si>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</si>
  <si>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</si>
  <si>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</si>
  <si>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</si>
  <si>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</si>
  <si>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</si>
  <si>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</si>
  <si>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</si>
  <si>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</si>
  <si>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</si>
  <si>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</si>
  <si>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</si>
  <si>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</si>
  <si>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</si>
  <si>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</si>
  <si>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</si>
  <si>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</si>
  <si>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</si>
  <si>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</si>
  <si>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</si>
  <si>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</si>
  <si>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</si>
  <si>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</si>
  <si>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</si>
  <si>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</si>
  <si>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</si>
  <si>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</si>
  <si>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</si>
  <si>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</si>
  <si>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</si>
  <si>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</si>
  <si>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</si>
  <si>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</si>
  <si>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</si>
  <si>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</si>
  <si>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</si>
  <si>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</si>
  <si>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</si>
  <si>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</si>
  <si>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</si>
  <si>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</si>
  <si>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</si>
  <si>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</si>
  <si>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</si>
  <si>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</si>
  <si>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</si>
  <si>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</si>
  <si>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</si>
  <si>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</si>
  <si>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</si>
  <si>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</si>
  <si>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</si>
  <si>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</si>
  <si>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</si>
  <si>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</si>
  <si>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</si>
  <si>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</si>
  <si>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</si>
  <si>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</si>
  <si>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</si>
  <si>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</si>
  <si>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</si>
  <si>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</si>
  <si>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</si>
  <si>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</si>
  <si>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</si>
  <si>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</si>
  <si>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</si>
  <si>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</si>
  <si>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</si>
  <si>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</si>
  <si>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</si>
  <si>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</si>
  <si>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</si>
  <si>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</si>
  <si>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</si>
  <si>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</si>
  <si>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</si>
  <si>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</si>
  <si>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</si>
  <si>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</si>
  <si>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</si>
  <si>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</si>
  <si>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</si>
  <si>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</si>
  <si>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</si>
  <si>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Mass or Volume</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</si>
  <si>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</si>
  <si>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</si>
  <si>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</si>
  <si>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</si>
  <si>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</si>
  <si>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</si>
  <si>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</si>
  <si>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</si>
  <si>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</si>
  <si>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kilograms (kg)</t>
  </si>
  <si>
    <t>Water</t>
  </si>
  <si>
    <t>Climate change</t>
  </si>
  <si>
    <t>hectares (ha)</t>
  </si>
  <si>
    <t>YES</t>
  </si>
  <si>
    <t>Practice</t>
  </si>
  <si>
    <t>Adoption of a transition plan is planned in the future</t>
  </si>
  <si>
    <t>January</t>
  </si>
  <si>
    <t>01 WASTES RESULTING FROM EXPLORATION, MINING, DRESSING AND FURTHER TREATMENT OF MINERALS AND QUARRY</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</si>
  <si>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</si>
  <si>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</si>
  <si>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</si>
  <si>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</si>
  <si>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</si>
  <si>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</si>
  <si>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</si>
  <si>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</si>
  <si>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</si>
  <si>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</si>
  <si>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Air</t>
  </si>
  <si>
    <t>Pollution</t>
  </si>
  <si>
    <r>
      <t>squared meters (m2</t>
    </r>
    <r>
      <rPr>
        <sz val="11"/>
        <color theme="1"/>
        <rFont val="Aptos Narrow"/>
        <family val="2"/>
      </rPr>
      <t>)</t>
    </r>
  </si>
  <si>
    <t>NO</t>
  </si>
  <si>
    <t>Policy</t>
  </si>
  <si>
    <t>A transition plan has already been adopted</t>
  </si>
  <si>
    <t>February</t>
  </si>
  <si>
    <t xml:space="preserve">    0101 Wastes from mineral excavation</t>
  </si>
  <si>
    <t>AFN</t>
  </si>
  <si>
    <t>As an average across the reporting period</t>
  </si>
  <si>
    <t>DUNS</t>
  </si>
  <si>
    <t>L</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</si>
  <si>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</si>
  <si>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</si>
  <si>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</si>
  <si>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</si>
  <si>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</si>
  <si>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</si>
  <si>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</si>
  <si>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</si>
  <si>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</si>
  <si>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</si>
  <si>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</si>
  <si>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</si>
  <si>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</si>
  <si>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</si>
  <si>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</si>
  <si>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</si>
  <si>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country:AG</t>
  </si>
  <si>
    <t>B3 – Energy and greenhouse gas emissions</t>
  </si>
  <si>
    <t>Anthracene</t>
  </si>
  <si>
    <t xml:space="preserve">    01 01 02 - Non-Hazardous - Wastes from mineral non-metalliferous excavation</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</si>
  <si>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</si>
  <si>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</si>
  <si>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</si>
  <si>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</si>
  <si>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</si>
  <si>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</si>
  <si>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</si>
  <si>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</si>
  <si>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</si>
  <si>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</si>
  <si>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</si>
  <si>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</si>
  <si>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</si>
  <si>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</si>
  <si>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</si>
  <si>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</si>
  <si>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</si>
  <si>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</si>
  <si>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</si>
  <si>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</si>
  <si>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</si>
  <si>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</si>
  <si>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</si>
  <si>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</si>
  <si>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</si>
  <si>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</si>
  <si>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</si>
  <si>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</si>
  <si>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</si>
  <si>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</si>
  <si>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</si>
  <si>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</si>
  <si>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</si>
  <si>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</si>
  <si>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</si>
  <si>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</si>
  <si>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</si>
  <si>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</si>
  <si>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- 01.7 Hunting, trapping and related service activities</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</si>
  <si>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</si>
  <si>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</si>
  <si>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</si>
  <si>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</si>
  <si>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</si>
  <si>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</si>
  <si>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</si>
  <si>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</si>
  <si>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</si>
  <si>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</si>
  <si>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</si>
  <si>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</si>
  <si>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</si>
  <si>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</si>
  <si>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</si>
  <si>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</si>
  <si>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</si>
  <si>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</si>
  <si>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</si>
  <si>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</si>
  <si>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</si>
  <si>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</si>
  <si>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</si>
  <si>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</si>
  <si>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</si>
  <si>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</si>
  <si>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</si>
  <si>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</si>
  <si>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</si>
  <si>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</si>
  <si>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</si>
  <si>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</si>
  <si>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</si>
  <si>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</si>
  <si>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</si>
  <si>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</si>
  <si>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</si>
  <si>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</si>
  <si>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</si>
  <si>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</si>
  <si>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</si>
  <si>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</si>
  <si>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</si>
  <si>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</si>
  <si>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</si>
  <si>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</si>
  <si>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</si>
  <si>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</si>
  <si>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</si>
  <si>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</si>
  <si>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</si>
  <si>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</si>
  <si>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</si>
  <si>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</si>
  <si>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</si>
  <si>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</si>
  <si>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</si>
  <si>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</si>
  <si>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</si>
  <si>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</si>
  <si>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</si>
  <si>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</si>
  <si>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</si>
  <si>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</si>
  <si>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</si>
  <si>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</si>
  <si>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</si>
  <si>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</si>
  <si>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</si>
  <si>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</si>
  <si>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</si>
  <si>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</si>
  <si>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</si>
  <si>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</si>
  <si>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</si>
  <si>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</si>
  <si>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</si>
  <si>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</si>
  <si>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</si>
  <si>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</si>
  <si>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</si>
  <si>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</si>
  <si>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</si>
  <si>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</si>
  <si>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</si>
  <si>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</si>
  <si>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</si>
  <si>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</si>
  <si>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</si>
  <si>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</si>
  <si>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</si>
  <si>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</si>
  <si>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</si>
  <si>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</si>
  <si>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</si>
  <si>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</si>
  <si>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</si>
  <si>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</si>
  <si>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</si>
  <si>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</si>
  <si>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</si>
  <si>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</si>
  <si>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</si>
  <si>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</si>
  <si>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</si>
  <si>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</si>
  <si>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</si>
  <si>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</si>
  <si>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</si>
  <si>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</si>
  <si>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</si>
  <si>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</si>
  <si>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</si>
  <si>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</si>
  <si>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</si>
  <si>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</si>
  <si>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</si>
  <si>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</si>
  <si>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</si>
  <si>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</si>
  <si>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</si>
  <si>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</si>
  <si>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Belgium</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</si>
  <si>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</si>
  <si>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</si>
  <si>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</si>
  <si>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</si>
  <si>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</si>
  <si>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</si>
  <si>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</si>
  <si>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</si>
  <si>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</si>
  <si>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</si>
  <si>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</si>
  <si>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</si>
  <si>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</si>
  <si>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</si>
  <si>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</si>
  <si>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</si>
  <si>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</si>
  <si>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</si>
  <si>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</si>
  <si>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</si>
  <si>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</si>
  <si>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</si>
  <si>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</si>
  <si>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</si>
  <si>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</si>
  <si>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</si>
  <si>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</si>
  <si>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</si>
  <si>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</si>
  <si>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</si>
  <si>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</si>
  <si>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</si>
  <si>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</si>
  <si>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</si>
  <si>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</si>
  <si>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</si>
  <si>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</si>
  <si>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</si>
  <si>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</si>
  <si>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</si>
  <si>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</si>
  <si>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</si>
  <si>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</si>
  <si>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</si>
  <si>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</si>
  <si>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</si>
  <si>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</si>
  <si>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</si>
  <si>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</si>
  <si>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</si>
  <si>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</si>
  <si>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</si>
  <si>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</si>
  <si>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</si>
  <si>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</si>
  <si>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</si>
  <si>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</si>
  <si>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</si>
  <si>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</si>
  <si>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</si>
  <si>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</si>
  <si>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</si>
  <si>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</si>
  <si>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</si>
  <si>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</si>
  <si>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</si>
  <si>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</si>
  <si>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</si>
  <si>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</si>
  <si>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</si>
  <si>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</si>
  <si>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</si>
  <si>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</si>
  <si>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</si>
  <si>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</si>
  <si>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</si>
  <si>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</si>
  <si>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</si>
  <si>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</si>
  <si>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</si>
  <si>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</si>
  <si>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</si>
  <si>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</si>
  <si>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</si>
  <si>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</si>
  <si>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</si>
  <si>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</si>
  <si>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</si>
  <si>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</si>
  <si>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</si>
  <si>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</si>
  <si>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</si>
  <si>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</si>
  <si>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</si>
  <si>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</si>
  <si>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</si>
  <si>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</si>
  <si>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</si>
  <si>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</si>
  <si>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</si>
  <si>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</si>
  <si>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</si>
  <si>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</si>
  <si>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</si>
  <si>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</si>
  <si>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</si>
  <si>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</si>
  <si>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</si>
  <si>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</si>
  <si>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</si>
  <si>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</si>
  <si>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</si>
  <si>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</si>
  <si>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</si>
  <si>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</si>
  <si>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</si>
  <si>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</si>
  <si>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</si>
  <si>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</si>
  <si>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</si>
  <si>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</si>
  <si>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</si>
  <si>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</si>
  <si>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</si>
  <si>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</si>
  <si>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</si>
  <si>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</si>
  <si>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</si>
  <si>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</si>
  <si>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</si>
  <si>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</si>
  <si>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</si>
  <si>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</si>
  <si>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</si>
  <si>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</si>
  <si>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</si>
  <si>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</si>
  <si>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</si>
  <si>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</si>
  <si>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</si>
  <si>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</si>
  <si>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</si>
  <si>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</si>
  <si>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</si>
  <si>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</si>
  <si>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</si>
  <si>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</si>
  <si>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</si>
  <si>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</si>
  <si>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</si>
  <si>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</si>
  <si>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</si>
  <si>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</si>
  <si>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</si>
  <si>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</si>
  <si>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</si>
  <si>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</si>
  <si>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</si>
  <si>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</si>
  <si>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</si>
  <si>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</si>
  <si>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</si>
  <si>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</si>
  <si>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</si>
  <si>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</si>
  <si>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</si>
  <si>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</si>
  <si>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</si>
  <si>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</si>
  <si>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</si>
  <si>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</si>
  <si>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</si>
  <si>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</si>
  <si>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</si>
  <si>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</si>
  <si>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</si>
  <si>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</si>
  <si>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</si>
  <si>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</si>
  <si>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</si>
  <si>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</si>
  <si>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</si>
  <si>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</si>
  <si>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</si>
  <si>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</si>
  <si>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</si>
  <si>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</si>
  <si>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</si>
  <si>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</si>
  <si>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</si>
  <si>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</si>
  <si>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</si>
  <si>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</si>
  <si>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</si>
  <si>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</si>
  <si>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</si>
  <si>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</si>
  <si>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</si>
  <si>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</si>
  <si>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</si>
  <si>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</si>
  <si>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</si>
  <si>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</si>
  <si>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</si>
  <si>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</si>
  <si>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</si>
  <si>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</si>
  <si>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</si>
  <si>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</si>
  <si>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</si>
  <si>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</si>
  <si>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EUR</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</si>
  <si>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</si>
  <si>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</si>
  <si>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</si>
  <si>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</si>
  <si>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</si>
  <si>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</si>
  <si>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</si>
  <si>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</si>
  <si>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</si>
  <si>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</si>
  <si>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</si>
  <si>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</si>
  <si>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</si>
  <si>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</si>
  <si>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</si>
  <si>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</si>
  <si>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</si>
  <si>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</si>
  <si>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</si>
  <si>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</si>
  <si>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</si>
  <si>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</si>
  <si>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</si>
  <si>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</si>
  <si>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</si>
  <si>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</si>
  <si>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</si>
  <si>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</si>
  <si>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</si>
  <si>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</si>
  <si>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</si>
  <si>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</si>
  <si>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</si>
  <si>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</si>
  <si>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</si>
  <si>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</si>
  <si>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</si>
  <si>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</si>
  <si>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</si>
  <si>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</si>
  <si>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</si>
  <si>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</si>
  <si>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</si>
  <si>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</si>
  <si>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</si>
  <si>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</si>
  <si>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</si>
  <si>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</si>
  <si>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</si>
  <si>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</si>
  <si>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</si>
  <si>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</si>
  <si>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</si>
  <si>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</si>
  <si>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</si>
  <si>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</si>
  <si>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</si>
  <si>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</si>
  <si>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</si>
  <si>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</si>
  <si>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</si>
  <si>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</si>
  <si>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</si>
  <si>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</si>
  <si>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</si>
  <si>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</si>
  <si>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</si>
  <si>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</si>
  <si>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</si>
  <si>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</si>
  <si>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</si>
  <si>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</si>
  <si>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</si>
  <si>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</si>
  <si>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</si>
  <si>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</si>
  <si>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</si>
  <si>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</si>
  <si>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</si>
  <si>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</si>
  <si>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</si>
  <si>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</si>
  <si>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</si>
  <si>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- 16 Manufacture of wood and of products of wood and cork, except furniture; manufacture of articles of straw and plaiting materials</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</si>
  <si>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</si>
  <si>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</si>
  <si>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</si>
  <si>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</si>
  <si>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</si>
  <si>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</si>
  <si>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- 16.1 Sawmilling and planing of wood; processing and finishing of wood</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</si>
  <si>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</si>
  <si>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</si>
  <si>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</si>
  <si>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</si>
  <si>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</si>
  <si>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</si>
  <si>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</si>
  <si>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- 16.2 Manufacture of products of wood, cork, straw and plaiting materials</t>
  </si>
  <si>
    <t>Denmark</t>
  </si>
  <si>
    <t>country:DK</t>
  </si>
  <si>
    <t>Octylphenols and Octylphenol ethoxylates</t>
  </si>
  <si>
    <t xml:space="preserve">    02 05 02 - Non-Hazardous - Sludges from on-site effluent treatment</t>
  </si>
  <si>
    <t xml:space="preserve">    1003 Wastes from aluminium thermal metallurgy</t>
  </si>
  <si>
    <t>HTG</t>
  </si>
  <si>
    <t>NACE C - 17 Manufacture of paper and paper products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</si>
  <si>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</si>
  <si>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</si>
  <si>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</si>
  <si>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</si>
  <si>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</si>
  <si>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</si>
  <si>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</si>
  <si>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- 17.1 Manufacture of pulp, paper and paperboard</t>
  </si>
  <si>
    <t>Dominican Republic</t>
  </si>
  <si>
    <t>country:DO</t>
  </si>
  <si>
    <t>Particulate matter (PM)</t>
  </si>
  <si>
    <t xml:space="preserve">  02 06 - Wastes from the baking and confectionery industry</t>
  </si>
  <si>
    <t xml:space="preserve">    1005 Wastes from zinc thermal metallurgy</t>
  </si>
  <si>
    <t>IDR</t>
  </si>
  <si>
    <t>NACE C - 17.2 Manufacture of articles of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</si>
  <si>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</si>
  <si>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</si>
  <si>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</si>
  <si>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</si>
  <si>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</si>
  <si>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</si>
  <si>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- 18 Printing and reproduction of recorded media</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</si>
  <si>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</si>
  <si>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</si>
  <si>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</si>
  <si>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</si>
  <si>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</si>
  <si>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</si>
  <si>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</si>
  <si>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- 18.1 Printing and service activities related to printing</t>
  </si>
  <si>
    <t>Estonia</t>
  </si>
  <si>
    <t>country:EE</t>
  </si>
  <si>
    <t>Pentachlorophenol (PCP)</t>
  </si>
  <si>
    <t xml:space="preserve">    02 06 03 - Non-Hazardous - Sludges from on-site effluent treatment</t>
  </si>
  <si>
    <t xml:space="preserve">    1008 Wastes from other non-ferrous thermal metallurgy</t>
  </si>
  <si>
    <t>IQD</t>
  </si>
  <si>
    <t>NACE C - 18.2 Reproduction of recorded media</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</si>
  <si>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</si>
  <si>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</si>
  <si>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</si>
  <si>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</si>
  <si>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</si>
  <si>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</si>
  <si>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</si>
  <si>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- 19 Manufacture of coke and refined petroleum products</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</si>
  <si>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</si>
  <si>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</si>
  <si>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</si>
  <si>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</si>
  <si>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</si>
  <si>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</si>
  <si>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- 19.1 Manufacture of coke oven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</si>
  <si>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</si>
  <si>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</si>
  <si>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</si>
  <si>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</si>
  <si>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</si>
  <si>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</si>
  <si>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- 19.2 Manufacture of refined petroleum products and fossil fuel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</si>
  <si>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</si>
  <si>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</si>
  <si>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</si>
  <si>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</si>
  <si>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</si>
  <si>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</si>
  <si>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</si>
  <si>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- 20 Manufacture of chemicals and chemical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</si>
  <si>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</si>
  <si>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</si>
  <si>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</si>
  <si>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</si>
  <si>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</si>
  <si>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</si>
  <si>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- 20.1 Manufacture of basic chemicals, fertilisers and nitrogen compounds, plastics and synthetic rubber in primary forms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</si>
  <si>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</si>
  <si>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</si>
  <si>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</si>
  <si>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</si>
  <si>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</si>
  <si>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</si>
  <si>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</si>
  <si>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- 20.2 Manufacture of pesticides, disinfectants and other agrochemical products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</si>
  <si>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</si>
  <si>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</si>
  <si>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</si>
  <si>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</si>
  <si>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</si>
  <si>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</si>
  <si>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</si>
  <si>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- 20.3 Manufacture of paints, varnishes and similar coatings, printing ink and mastics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</si>
  <si>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</si>
  <si>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</si>
  <si>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</si>
  <si>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</si>
  <si>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</si>
  <si>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</si>
  <si>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- 20.4 Manufacture of washing, cleaning and polishing preparations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</si>
  <si>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</si>
  <si>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</si>
  <si>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</si>
  <si>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</si>
  <si>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</si>
  <si>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</si>
  <si>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- 20.5 Manufacture of other chemical products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</si>
  <si>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</si>
  <si>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</si>
  <si>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</si>
  <si>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</si>
  <si>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</si>
  <si>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</si>
  <si>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</si>
  <si>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- 20.6 Manufacture of man-made fibres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</si>
  <si>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</si>
  <si>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</si>
  <si>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</si>
  <si>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</si>
  <si>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</si>
  <si>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</si>
  <si>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</si>
  <si>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- 21 Manufacture of basic pharmaceutical products and pharmaceutical preparations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</si>
  <si>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</si>
  <si>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</si>
  <si>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</si>
  <si>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</si>
  <si>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</si>
  <si>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</si>
  <si>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- 21.1 Manufacture of basic pharmaceutical products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</si>
  <si>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</si>
  <si>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</si>
  <si>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</si>
  <si>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</si>
  <si>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</si>
  <si>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</si>
  <si>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</si>
  <si>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- 21.2 Manufacture of pharmaceutical preparations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</si>
  <si>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</si>
  <si>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</si>
  <si>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</si>
  <si>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</si>
  <si>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</si>
  <si>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</si>
  <si>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</si>
  <si>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- 22 Manufacture of rubber and plastic products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</si>
  <si>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</si>
  <si>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</si>
  <si>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</si>
  <si>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</si>
  <si>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</si>
  <si>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</si>
  <si>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</si>
  <si>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- 22.1 Manufacture of rubber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</si>
  <si>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</si>
  <si>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</si>
  <si>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</si>
  <si>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</si>
  <si>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</si>
  <si>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</si>
  <si>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</si>
  <si>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- 22.2 Manufacture of plastic products</t>
  </si>
  <si>
    <t>Guernsey</t>
  </si>
  <si>
    <t>country:GG</t>
  </si>
  <si>
    <t>Toxaphene</t>
  </si>
  <si>
    <t xml:space="preserve">    03 02 02 - Hazardous - Organochlorinated wood preservatives</t>
  </si>
  <si>
    <t xml:space="preserve">    1302 Waste engine, gear and lubricating oils</t>
  </si>
  <si>
    <t>LKR</t>
  </si>
  <si>
    <t>NACE C - 23 Manufacture of other non-metallic mineral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</si>
  <si>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</si>
  <si>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</si>
  <si>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</si>
  <si>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</si>
  <si>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</si>
  <si>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</si>
  <si>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- 23.1 Manufacture of glass and glass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</si>
  <si>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</si>
  <si>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</si>
  <si>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</si>
  <si>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</si>
  <si>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</si>
  <si>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</si>
  <si>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</si>
  <si>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- 23.2 Manufacture of refractory products</t>
  </si>
  <si>
    <t>Greenland</t>
  </si>
  <si>
    <t>country:GL</t>
  </si>
  <si>
    <t>1,1,1-trichloroethane</t>
  </si>
  <si>
    <t xml:space="preserve">    03 02 05 - Hazardous - Other wood preservatives containing hazardous substances</t>
  </si>
  <si>
    <t xml:space="preserve">    1305 Oil/water separator contents</t>
  </si>
  <si>
    <t>LYD</t>
  </si>
  <si>
    <t>NACE C - 23.3 Manufacture of clay building materials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</si>
  <si>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</si>
  <si>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</si>
  <si>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</si>
  <si>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</si>
  <si>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</si>
  <si>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</si>
  <si>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</si>
  <si>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- 23.4 Manufacture of other porcelain and ceramic products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</si>
  <si>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</si>
  <si>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</si>
  <si>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</si>
  <si>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</si>
  <si>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</si>
  <si>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</si>
  <si>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</si>
  <si>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- 23.5 Manufacture of cement, lime and plaster</t>
  </si>
  <si>
    <t>Guadeloupe</t>
  </si>
  <si>
    <t>country:GP</t>
  </si>
  <si>
    <t>Trifluralin</t>
  </si>
  <si>
    <t xml:space="preserve">    03 03 01 - Non-Hazardous - Waste bark and wood</t>
  </si>
  <si>
    <t xml:space="preserve">    1401 Wastes from metal degreasing and machinery maintenance</t>
  </si>
  <si>
    <t>MGA</t>
  </si>
  <si>
    <t>NACE C - 23.6 Manufacture of articles of concrete, cement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</si>
  <si>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</si>
  <si>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</si>
  <si>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</si>
  <si>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</si>
  <si>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</si>
  <si>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</si>
  <si>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- 23.7 Cutting, shaping and finishing of stone</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</si>
  <si>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</si>
  <si>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</si>
  <si>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</si>
  <si>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</si>
  <si>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</si>
  <si>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</si>
  <si>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</si>
  <si>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- 23.9 Manufacture of abrasive products and non-metallic mineral products n.e.c.</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</si>
  <si>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</si>
  <si>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</si>
  <si>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</si>
  <si>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</si>
  <si>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</si>
  <si>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</si>
  <si>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</si>
  <si>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- 24 Manufacture of basic metals</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</si>
  <si>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</si>
  <si>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</si>
  <si>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</si>
  <si>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</si>
  <si>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</si>
  <si>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</si>
  <si>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</si>
  <si>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- 24.1 Manufacture of basic iron and steel and of ferro-alloys</t>
  </si>
  <si>
    <t>Guam</t>
  </si>
  <si>
    <t>country:GU</t>
  </si>
  <si>
    <t xml:space="preserve">    03 03 09 - Non-Hazardous - Lime mud waste</t>
  </si>
  <si>
    <t>15 WASTE PACKAGING; ABSORBENTS, WIPING CLOTHS, FILTER MATERIALS AND PROTECTIVE CLOTHING NOT OTHERWISE SPECIFIED</t>
  </si>
  <si>
    <t>MRU</t>
  </si>
  <si>
    <t>NACE C - 24.2 Manufacture of tubes, pipes, hollow profiles and related fittings, of steel</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</si>
  <si>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</si>
  <si>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</si>
  <si>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</si>
  <si>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</si>
  <si>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</si>
  <si>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</si>
  <si>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- 24.3 Manufacture of other products of first processing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</si>
  <si>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</si>
  <si>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</si>
  <si>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</si>
  <si>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</si>
  <si>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</si>
  <si>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- 24.4 Manufacture of basic precious and other non-ferrous metals</t>
  </si>
  <si>
    <t>Hong Kong</t>
  </si>
  <si>
    <t>country:HK</t>
  </si>
  <si>
    <t xml:space="preserve">    03 03 99 - Non-Hazardous - Wastes not otherwise specified</t>
  </si>
  <si>
    <t>16 WASTES NOT OTHERWISE SPECIFIED IN THE LIST</t>
  </si>
  <si>
    <t>MWK</t>
  </si>
  <si>
    <t>NACE C - 10.31 Processing and preserving of potatoes</t>
  </si>
  <si>
    <t>NACE C - 24.5 Casting of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</si>
  <si>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</si>
  <si>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</si>
  <si>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</si>
  <si>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</si>
  <si>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</si>
  <si>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</si>
  <si>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- 25 Manufacture of fabricated metal products, except machinery and equipment</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</si>
  <si>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</si>
  <si>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</si>
  <si>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</si>
  <si>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</si>
  <si>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</si>
  <si>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</si>
  <si>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- 25.1 Manufacture of structural metal products</t>
  </si>
  <si>
    <t>Croatia</t>
  </si>
  <si>
    <t>country:HR</t>
  </si>
  <si>
    <t xml:space="preserve">    04 01 01 - Non-Hazardous - Fleshings and lime split wastes</t>
  </si>
  <si>
    <t xml:space="preserve">    1603 Off-specification batches</t>
  </si>
  <si>
    <t>MYR</t>
  </si>
  <si>
    <t>NACE C - 25.2 Manufacture of tanks, reservoirs and containers of metal</t>
  </si>
  <si>
    <t>Haiti</t>
  </si>
  <si>
    <t>country:HT</t>
  </si>
  <si>
    <t xml:space="preserve">    04 01 02 - Non-Hazardous - Liming waste</t>
  </si>
  <si>
    <t xml:space="preserve">    1604 Waste explosives</t>
  </si>
  <si>
    <t>MZN</t>
  </si>
  <si>
    <t>NACE C - 10.41 Manufacture of oils and fats</t>
  </si>
  <si>
    <t>NACE C - 25.3 Manufacture of weapons and ammunition</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</si>
  <si>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</si>
  <si>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</si>
  <si>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</si>
  <si>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</si>
  <si>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</si>
  <si>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</si>
  <si>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- 25.4 Forging and shaping metal and powder metallurgy</t>
  </si>
  <si>
    <t>Indonesia</t>
  </si>
  <si>
    <t>country:ID</t>
  </si>
  <si>
    <t xml:space="preserve">    04 01 04 - Non-Hazardous - Tanning liquor containing chromium</t>
  </si>
  <si>
    <t xml:space="preserve">    1606 Batteries and accumulators</t>
  </si>
  <si>
    <t>NGN</t>
  </si>
  <si>
    <t>NACE C - 25.5 Treatment and coating of metals; machining</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</si>
  <si>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</si>
  <si>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</si>
  <si>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</si>
  <si>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</si>
  <si>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</si>
  <si>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</si>
  <si>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- 25.6 Manufacture of cutlery, tools and general hardware</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</si>
  <si>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</si>
  <si>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</si>
  <si>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</si>
  <si>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</si>
  <si>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</si>
  <si>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</si>
  <si>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- 25.9 Manufacture of other fabricated metal products</t>
  </si>
  <si>
    <t>Isle of Man</t>
  </si>
  <si>
    <t>country:IM</t>
  </si>
  <si>
    <t xml:space="preserve">    04 01 07 - Non-Hazardous - Sludges, in particular from on-site effluent treatment free of chromium</t>
  </si>
  <si>
    <t>17 CONSTRUCTION AND DEMOLITION WASTES (INCLUDING ROAD CONSTRUCTION)</t>
  </si>
  <si>
    <t>NPR</t>
  </si>
  <si>
    <t>NACE C - 26 Manufacture of computer, electronic and optical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</si>
  <si>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</si>
  <si>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</si>
  <si>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</si>
  <si>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</si>
  <si>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</si>
  <si>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</si>
  <si>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- 26.1 Manufacture of electronic components and boards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</si>
  <si>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</si>
  <si>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</si>
  <si>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</si>
  <si>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</si>
  <si>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</si>
  <si>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</si>
  <si>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- 26.2 Manufacture of computers and peripheral equipment</t>
  </si>
  <si>
    <t>Iraq</t>
  </si>
  <si>
    <t>country:IQ</t>
  </si>
  <si>
    <t xml:space="preserve">    04 01 99 - Non-Hazardous - Wastes not otherwise specified</t>
  </si>
  <si>
    <t xml:space="preserve">    1703 Asphalt, tar and tarred products</t>
  </si>
  <si>
    <t>PAB</t>
  </si>
  <si>
    <t>NACE C - 26.3 Manufacture of communication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</si>
  <si>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</si>
  <si>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</si>
  <si>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</si>
  <si>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</si>
  <si>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</si>
  <si>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</si>
  <si>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- 26.4 Manufacture of consumer electronics</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</si>
  <si>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</si>
  <si>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</si>
  <si>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</si>
  <si>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</si>
  <si>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</si>
  <si>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</si>
  <si>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- 26.5 Manufacture of measuring testing instruments, clocks and watches</t>
  </si>
  <si>
    <t>Italy</t>
  </si>
  <si>
    <t>country:IT</t>
  </si>
  <si>
    <t xml:space="preserve">    04 02 10 - Non-Hazardous - Organic matter from natural products (for example grease, wax)</t>
  </si>
  <si>
    <t xml:space="preserve">    1706 Insulation materials</t>
  </si>
  <si>
    <t>PHP</t>
  </si>
  <si>
    <t>NACE C - 10.73 Manufacture of farinaceous products</t>
  </si>
  <si>
    <t>NACE C - 26.6 Manufacture of irradiation, electromedical and electrotherapeutic equipment</t>
  </si>
  <si>
    <t>Jersey</t>
  </si>
  <si>
    <t>country:JE</t>
  </si>
  <si>
    <t xml:space="preserve">    04 02 14 - Hazardous - Wastes from finishing containing organic solvents</t>
  </si>
  <si>
    <t xml:space="preserve">    1707 Mixed construction and demolition waste</t>
  </si>
  <si>
    <t>PKR</t>
  </si>
  <si>
    <t>NACE C - 26.7 Manufacture of optical instruments, magnetic and optical media and photographic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</si>
  <si>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</si>
  <si>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</si>
  <si>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</si>
  <si>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</si>
  <si>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</si>
  <si>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- 27 Manufacture of electrical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</si>
  <si>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</si>
  <si>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</si>
  <si>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</si>
  <si>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</si>
  <si>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</si>
  <si>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</si>
  <si>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- 27.1 Manufacture of electric motors, generators, transformers and electricity distribution and control apparatus</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</si>
  <si>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</si>
  <si>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</si>
  <si>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</si>
  <si>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</si>
  <si>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</si>
  <si>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</si>
  <si>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- 27.2 Manufacture of batteries and accumulators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</si>
  <si>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</si>
  <si>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</si>
  <si>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</si>
  <si>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</si>
  <si>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</si>
  <si>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</si>
  <si>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- 27.3 Manufacture of wiring and wiring devices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</si>
  <si>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</si>
  <si>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</si>
  <si>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</si>
  <si>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</si>
  <si>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</si>
  <si>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</si>
  <si>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- 27.4 Manufacture of lighting equipment</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</si>
  <si>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</si>
  <si>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</si>
  <si>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</si>
  <si>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</si>
  <si>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</si>
  <si>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</si>
  <si>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- 27.5 Manufacture of domestic appliances</t>
  </si>
  <si>
    <t>Kiribati</t>
  </si>
  <si>
    <t>country:KI</t>
  </si>
  <si>
    <t xml:space="preserve">    04 02 22 - Non-Hazardous - Wastes from processed textile fibres</t>
  </si>
  <si>
    <t xml:space="preserve">    1903 Stabilised/solidified wastes</t>
  </si>
  <si>
    <t>RWF</t>
  </si>
  <si>
    <t>NACE C - 10.89 Manufacture of other food products n.e.c.</t>
  </si>
  <si>
    <t>NACE C - 27.9 Manufacture of other electrical equipment</t>
  </si>
  <si>
    <t>Comoros</t>
  </si>
  <si>
    <t>country:KM</t>
  </si>
  <si>
    <t xml:space="preserve">    04 02 99 - Non-Hazardous - Wastes not otherwise specified</t>
  </si>
  <si>
    <t xml:space="preserve">    1904 Vitrified waste and wastes from vitrification</t>
  </si>
  <si>
    <t>SAR</t>
  </si>
  <si>
    <t>NACE C - 28 Manufacture of machinery and equipment n.e.c.</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</si>
  <si>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</si>
  <si>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</si>
  <si>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</si>
  <si>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</si>
  <si>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</si>
  <si>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</si>
  <si>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- 28.1 Manufacture of general-purpose machinery</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</si>
  <si>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</si>
  <si>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</si>
  <si>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</si>
  <si>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</si>
  <si>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</si>
  <si>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</si>
  <si>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- 28.2 Manufacture of other general-purpose machinery</t>
  </si>
  <si>
    <t>Korea (the Republic of)</t>
  </si>
  <si>
    <t>country:KR</t>
  </si>
  <si>
    <t xml:space="preserve">    05 01 02 - Hazardous - Desalter sludges</t>
  </si>
  <si>
    <t xml:space="preserve">    1907 Landfill leachate</t>
  </si>
  <si>
    <t>SDG</t>
  </si>
  <si>
    <t>NACE C - 28.3 Manufacture of agricultural and forestry machinery</t>
  </si>
  <si>
    <t>Kuwait</t>
  </si>
  <si>
    <t>country:KW</t>
  </si>
  <si>
    <t xml:space="preserve">    05 01 03 - Hazardous - Tank bottom sludges</t>
  </si>
  <si>
    <t xml:space="preserve">    1908 Wastes from waste water treatment plants not otherwise specified</t>
  </si>
  <si>
    <t>SEK</t>
  </si>
  <si>
    <t>NACE C - 28.4 Manufacture of metal forming machinery and machine tools</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</si>
  <si>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</si>
  <si>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</si>
  <si>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</si>
  <si>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</si>
  <si>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</si>
  <si>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</si>
  <si>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- 28.9 Manufacture of other special-purpose machinery</t>
  </si>
  <si>
    <t>Kazakhstan</t>
  </si>
  <si>
    <t>country:KZ</t>
  </si>
  <si>
    <t xml:space="preserve">    05 01 05 - Hazardous - Oil spills</t>
  </si>
  <si>
    <t xml:space="preserve">    1910 Wastes from shredding of metal-containing waste</t>
  </si>
  <si>
    <t>SHP</t>
  </si>
  <si>
    <t>NACE C - 11.02 Manufacture of wine from grape</t>
  </si>
  <si>
    <t>NACE C - 29 Manufacture of motor vehicles, trailers and semi-trailers</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</si>
  <si>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</si>
  <si>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</si>
  <si>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</si>
  <si>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</si>
  <si>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</si>
  <si>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</si>
  <si>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- 29.1 Manufacture of motor vehicles</t>
  </si>
  <si>
    <t>Lebanon</t>
  </si>
  <si>
    <t>country:LB</t>
  </si>
  <si>
    <t xml:space="preserve">    05 01 07 - Hazardous - Acid tars</t>
  </si>
  <si>
    <t xml:space="preserve">    2001 Separately collected fractions</t>
  </si>
  <si>
    <t>SOS</t>
  </si>
  <si>
    <t>NACE C - 11.04 Manufacture of other non-distilled fermented beverages</t>
  </si>
  <si>
    <t>NACE C - 29.2 Manufacture of bodies and coachwork for motor vehicles; manufacture of trailers and semi-trailers</t>
  </si>
  <si>
    <t>Saint Lucia</t>
  </si>
  <si>
    <t>country:LC</t>
  </si>
  <si>
    <t xml:space="preserve">    05 01 08 - Hazardous - Other tars</t>
  </si>
  <si>
    <t xml:space="preserve">    2002 Garden and park wastes (including cemetery waste)</t>
  </si>
  <si>
    <t>SRD</t>
  </si>
  <si>
    <t>NACE C - 11.05 Manufacture of beer</t>
  </si>
  <si>
    <t>NACE C - 29.3 Manufacture of motor vehicle parts and accessories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</si>
  <si>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</si>
  <si>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</si>
  <si>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</si>
  <si>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</si>
  <si>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</si>
  <si>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</si>
  <si>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- 30 Manufacture of other transport equipment</t>
  </si>
  <si>
    <t>Sri Lanka</t>
  </si>
  <si>
    <t>country:LK</t>
  </si>
  <si>
    <t xml:space="preserve">    05 01 10 - Non-Hazardous - Sludges from on-site effluent treatment other than those mentioned in 05 01 09</t>
  </si>
  <si>
    <t>STD</t>
  </si>
  <si>
    <t>NACE C - 11.07 Manufacture of soft drinks and bottled waters</t>
  </si>
  <si>
    <t>NACE C - 30.1 Building of ships and boats</t>
  </si>
  <si>
    <t>Liberia</t>
  </si>
  <si>
    <t>country:LR</t>
  </si>
  <si>
    <t xml:space="preserve">    05 01 11 - Hazardous - Wastes from cleaning of fuels with bases</t>
  </si>
  <si>
    <t>SVC</t>
  </si>
  <si>
    <t>NACE C - 30.2 Manufacture of railway locomotives and rolling stock</t>
  </si>
  <si>
    <t>Lesotho</t>
  </si>
  <si>
    <t>country:LS</t>
  </si>
  <si>
    <t xml:space="preserve">    05 01 12 - Hazardous - Oil containing acids</t>
  </si>
  <si>
    <t>SYP</t>
  </si>
  <si>
    <t>NACE C - 30.3 Manufacture of air and spacecraft and related machinery</t>
  </si>
  <si>
    <t>Lithuania</t>
  </si>
  <si>
    <t>country:LT</t>
  </si>
  <si>
    <t xml:space="preserve">    05 01 13 - Non-Hazardous - Boiler feedwater sludges</t>
  </si>
  <si>
    <t>SZL</t>
  </si>
  <si>
    <t>NACE C - 12.00 Manufacture of tobacco products</t>
  </si>
  <si>
    <t>NACE C - 30.4 Manufacture of military fighting vehicles</t>
  </si>
  <si>
    <t>Luxembourg</t>
  </si>
  <si>
    <t>country:LU</t>
  </si>
  <si>
    <t xml:space="preserve">    05 01 14 - Non-Hazardous - Wastes from cooling columns</t>
  </si>
  <si>
    <t>THB</t>
  </si>
  <si>
    <t>NACE C - 30.9 Manufacture of transport equipment n.e.c.</t>
  </si>
  <si>
    <t>Latvia</t>
  </si>
  <si>
    <t>country:LV</t>
  </si>
  <si>
    <t xml:space="preserve">    05 01 15 - Hazardous - Spent filter clays</t>
  </si>
  <si>
    <t>TJS</t>
  </si>
  <si>
    <t>NACE C - 31 Manufacture of furniture</t>
  </si>
  <si>
    <t>Libya</t>
  </si>
  <si>
    <t>country:LY</t>
  </si>
  <si>
    <t xml:space="preserve">    05 01 16 - Non-Hazardous - Sulphur-containing wastes from petroleum desulphurisation</t>
  </si>
  <si>
    <t>TMT</t>
  </si>
  <si>
    <t>NACE C - 13.10 Preparation and spinning of textile fibres</t>
  </si>
  <si>
    <t>NACE C - 31.0 Manufacture of furniture</t>
  </si>
  <si>
    <t>Morocco</t>
  </si>
  <si>
    <t>country:MA</t>
  </si>
  <si>
    <t xml:space="preserve">    05 01 17 - Non-Hazardous - Bitumen</t>
  </si>
  <si>
    <t>TND</t>
  </si>
  <si>
    <t>NACE C - 32 Other manufacturing</t>
  </si>
  <si>
    <t>Monaco</t>
  </si>
  <si>
    <t>country:MC</t>
  </si>
  <si>
    <t xml:space="preserve">    05 01 99 - Non-Hazardous - Wastes not otherwise specified</t>
  </si>
  <si>
    <t>TOP</t>
  </si>
  <si>
    <t>NACE C - 13.20 Weaving of textiles</t>
  </si>
  <si>
    <t>NACE C - 32.1 Manufacture of jewellery, bijouterie and related articles</t>
  </si>
  <si>
    <t>Moldova (the Republic of)</t>
  </si>
  <si>
    <t>country:MD</t>
  </si>
  <si>
    <t xml:space="preserve">  05 06 - Wastes from the pyrolytic treatment of coal</t>
  </si>
  <si>
    <t>TRY</t>
  </si>
  <si>
    <t>NACE C - 32.2 Manufacture of musical instruments</t>
  </si>
  <si>
    <t>Montenegro</t>
  </si>
  <si>
    <t>country:ME</t>
  </si>
  <si>
    <t xml:space="preserve">    05 06 01 - Hazardous - Acid tars</t>
  </si>
  <si>
    <t>TTD</t>
  </si>
  <si>
    <t>NACE C - 13.30 Finishing of textiles</t>
  </si>
  <si>
    <t>NACE C - 32.3 Manufacture of sports goods</t>
  </si>
  <si>
    <t>Saint Martin (French part)</t>
  </si>
  <si>
    <t>country:MF</t>
  </si>
  <si>
    <t xml:space="preserve">    05 06 03 - Hazardous - Other tars</t>
  </si>
  <si>
    <t>TWD</t>
  </si>
  <si>
    <t>NACE C - 32.4 Manufacture of games and toys</t>
  </si>
  <si>
    <t>Madagascar</t>
  </si>
  <si>
    <t>country:MG</t>
  </si>
  <si>
    <t xml:space="preserve">    05 06 04 - Non-Hazardous - Waste from cooling columns</t>
  </si>
  <si>
    <t>TZS</t>
  </si>
  <si>
    <t>NACE C - 13.91 Manufacture of knitted and crocheted fabrics</t>
  </si>
  <si>
    <t>NACE C - 32.5 Manufacture of medical and dental instruments and supplies</t>
  </si>
  <si>
    <t>Marshall Islands</t>
  </si>
  <si>
    <t>country:MH</t>
  </si>
  <si>
    <t xml:space="preserve">    05 06 99 - Non-Hazardous - Wastes not otherwise specified</t>
  </si>
  <si>
    <t>UAH</t>
  </si>
  <si>
    <t>NACE C - 13.92 Manufacture of household textiles and made-up furnishing articles</t>
  </si>
  <si>
    <t>NACE C - 32.9 Manufacturing n.e.c.</t>
  </si>
  <si>
    <t>North Macedonia</t>
  </si>
  <si>
    <t>country:MK</t>
  </si>
  <si>
    <t xml:space="preserve">  05 07 - Wastes from natural gas purification and transportation</t>
  </si>
  <si>
    <t>UGX</t>
  </si>
  <si>
    <t>NACE C - 13.93 Manufacture of carpets and rugs</t>
  </si>
  <si>
    <t>NACE C - 33 Repair, maintenance and installation of machinery and equipment</t>
  </si>
  <si>
    <t>Mali</t>
  </si>
  <si>
    <t>country:ML</t>
  </si>
  <si>
    <t xml:space="preserve">    05 07 01 - Hazardous - Wastes containing mercury</t>
  </si>
  <si>
    <t>USD</t>
  </si>
  <si>
    <t>NACE C - 13.94 Manufacture of cordage, rope, twine and netting</t>
  </si>
  <si>
    <t>NACE C - 33.1 Repair and maintenance of fabricated metal products, machinery and equipment</t>
  </si>
  <si>
    <t>Myanmar</t>
  </si>
  <si>
    <t>country:MM</t>
  </si>
  <si>
    <t xml:space="preserve">    05 07 02 - Non-Hazardous - Wastes containing sulphur</t>
  </si>
  <si>
    <t>UYI</t>
  </si>
  <si>
    <t>NACE C - 13.95 Manufacture of non-wovens and non-woven articles</t>
  </si>
  <si>
    <t>NACE C - 33.2 Installation of industrial machinery and equipment</t>
  </si>
  <si>
    <t>Mongolia</t>
  </si>
  <si>
    <t>country:MN</t>
  </si>
  <si>
    <t xml:space="preserve">    05 07 99 - Non-Hazardous - Wastes not otherwise specified</t>
  </si>
  <si>
    <t>UYU</t>
  </si>
  <si>
    <t>NACE C - 13.96 Manufacture of other technical and industrial textiles</t>
  </si>
  <si>
    <t>Macao</t>
  </si>
  <si>
    <t>country:MO</t>
  </si>
  <si>
    <t>06 - WASTES FROM INORGANIC CHEMICAL PROCESSES</t>
  </si>
  <si>
    <t>UZS</t>
  </si>
  <si>
    <t>NACE C - 13.99 Manufacture of other textiles n.e.c.</t>
  </si>
  <si>
    <t>NACE D - 35 Electricity, gas, steam and air conditioning supply</t>
  </si>
  <si>
    <t>Northern Mariana Islands</t>
  </si>
  <si>
    <t>country:MP</t>
  </si>
  <si>
    <t xml:space="preserve">  06 01 - Wastes from the manufacture, formulation, supply and use (MFSU) of acids</t>
  </si>
  <si>
    <t>VES</t>
  </si>
  <si>
    <t>NACE D - 35.1 Electric power generation, transmission and distribution</t>
  </si>
  <si>
    <t>Martinique</t>
  </si>
  <si>
    <t>country:MQ</t>
  </si>
  <si>
    <t xml:space="preserve">    06 01 01 - Hazardous - Sulphuric acid and sulphurous acid</t>
  </si>
  <si>
    <t>VND</t>
  </si>
  <si>
    <t>NACE D - 35.2 Manufacture of gas, and distribution of gaseous fuels through mains</t>
  </si>
  <si>
    <t>Mauritania</t>
  </si>
  <si>
    <t>country:MR</t>
  </si>
  <si>
    <t xml:space="preserve">    06 01 02 - Hazardous - Hydrochloric acid</t>
  </si>
  <si>
    <t>VUV</t>
  </si>
  <si>
    <t>NACE C - 14.10 Manufacture of knitted and crocheted apparel</t>
  </si>
  <si>
    <t>NACE D - 35.3 Steam and air conditioning supply</t>
  </si>
  <si>
    <t>Montserrat</t>
  </si>
  <si>
    <t>country:MS</t>
  </si>
  <si>
    <t xml:space="preserve">    06 01 03 - Hazardous - Hydrofluoric acid</t>
  </si>
  <si>
    <t>WST</t>
  </si>
  <si>
    <t>NACE D - 35.4 Activities of brokers and agents for electric power and natural gas</t>
  </si>
  <si>
    <t>Malta</t>
  </si>
  <si>
    <t>country:MT</t>
  </si>
  <si>
    <t xml:space="preserve">    06 01 04 - Hazardous - Phosphoric and phosphorous acid</t>
  </si>
  <si>
    <t>XAF</t>
  </si>
  <si>
    <t>NACE C - 14.21 Manufacture of outerwear</t>
  </si>
  <si>
    <t>NACE D - ELECTRICITY, GAS, STEAM AND AIR CONDITIONING SUPPLY</t>
  </si>
  <si>
    <t>Mauritius</t>
  </si>
  <si>
    <t>country:MU</t>
  </si>
  <si>
    <t xml:space="preserve">    06 01 05 - Hazardous - Nitric acid and nitrous acid</t>
  </si>
  <si>
    <t>XAG</t>
  </si>
  <si>
    <t>NACE C - 14.22 Manufacture of underwear</t>
  </si>
  <si>
    <t>NACE E - 36 Water collection, treatment and supply</t>
  </si>
  <si>
    <t>Maldives</t>
  </si>
  <si>
    <t>country:MV</t>
  </si>
  <si>
    <t xml:space="preserve">    06 01 06 - Hazardous - Other acids</t>
  </si>
  <si>
    <t>XAU</t>
  </si>
  <si>
    <t>NACE C - 14.23 Manufacture of workwear</t>
  </si>
  <si>
    <t>NACE E - 36.0 Water collection, treatment and supply</t>
  </si>
  <si>
    <t>Malawi</t>
  </si>
  <si>
    <t>country:MW</t>
  </si>
  <si>
    <t xml:space="preserve">    06 01 99 - Non-Hazardous - Wastes not otherwise specified</t>
  </si>
  <si>
    <t>XCD</t>
  </si>
  <si>
    <t>NACE C - 14.24 Manufacture of leather clothes and fur apparel</t>
  </si>
  <si>
    <t>NACE E - 37 Sewerage</t>
  </si>
  <si>
    <t>Mexico</t>
  </si>
  <si>
    <t>country:MX</t>
  </si>
  <si>
    <t xml:space="preserve">  06 02 - Wastes from the MFSU of bases</t>
  </si>
  <si>
    <t>XDR</t>
  </si>
  <si>
    <t>NACE C - 14.29 Manufacture of other wearing apparel and accessories n.e.c.</t>
  </si>
  <si>
    <t>NACE E - 37.0 Sewerage</t>
  </si>
  <si>
    <t>Malaysia</t>
  </si>
  <si>
    <t>country:MY</t>
  </si>
  <si>
    <t xml:space="preserve">    06 02 01 - Hazardous - Calcium hydroxide</t>
  </si>
  <si>
    <t>XOF</t>
  </si>
  <si>
    <t>NACE E - 38 Waste collection, recovery and disposal activities</t>
  </si>
  <si>
    <t>Mozambique</t>
  </si>
  <si>
    <t>country:MZ</t>
  </si>
  <si>
    <t xml:space="preserve">    06 02 03 - Hazardous - Ammonium hydroxide</t>
  </si>
  <si>
    <t>XPD</t>
  </si>
  <si>
    <t>NACE E - 38.1 Waste collection</t>
  </si>
  <si>
    <t>Namibia</t>
  </si>
  <si>
    <t>country:NA</t>
  </si>
  <si>
    <t xml:space="preserve">    06 02 04 - Hazardous - Sodium and potassium hydroxide</t>
  </si>
  <si>
    <t>XPF</t>
  </si>
  <si>
    <t>NACE C - 15.11 Tanning, dressing, dyeing of leather and fur</t>
  </si>
  <si>
    <t>NACE E - 38.2 Waste recovery</t>
  </si>
  <si>
    <t>New Caledonia</t>
  </si>
  <si>
    <t>country:NC</t>
  </si>
  <si>
    <t xml:space="preserve">    06 02 05 - Hazardous - Other bases</t>
  </si>
  <si>
    <t>XPT</t>
  </si>
  <si>
    <t>NACE C - 15.12 Manufacture of luggage, handbags, saddlery and harness of any material</t>
  </si>
  <si>
    <t>NACE E - 38.3 Waste disposal without recovery</t>
  </si>
  <si>
    <t>Niger</t>
  </si>
  <si>
    <t>country:NE</t>
  </si>
  <si>
    <t xml:space="preserve">    06 02 99 - Non-Hazardous - Wastes not otherwise specified</t>
  </si>
  <si>
    <t>XSU</t>
  </si>
  <si>
    <t>NACE E - 39 Remediation activities and other waste management service activities</t>
  </si>
  <si>
    <t>Norfolk Island</t>
  </si>
  <si>
    <t>country:NF</t>
  </si>
  <si>
    <t xml:space="preserve">  06 03 - Wastes from the MFSU of salts and their solutions and metallic oxides</t>
  </si>
  <si>
    <t>XUA</t>
  </si>
  <si>
    <t>NACE C - 15.20 Manufacture of footwear</t>
  </si>
  <si>
    <t>NACE E - 39.0 Remediation activities and other waste management service activities</t>
  </si>
  <si>
    <t>Nigeria</t>
  </si>
  <si>
    <t>country:NG</t>
  </si>
  <si>
    <t xml:space="preserve">    06 03 11 - Hazardous - Solid salts and solutions containing cyanides</t>
  </si>
  <si>
    <t>YER</t>
  </si>
  <si>
    <t>NACE E - WATER SUPPLY; SEWERAGE, WASTE MANAGEMENT AND REMEDIATION ACTIVITIES</t>
  </si>
  <si>
    <t>Nicaragua</t>
  </si>
  <si>
    <t>country:NI</t>
  </si>
  <si>
    <t xml:space="preserve">    06 03 13 - Hazardous - Solid salts and solutions containing heavy metals</t>
  </si>
  <si>
    <t>ZAR</t>
  </si>
  <si>
    <t>NACE F - 41 Construction of residential and non-residential buildings</t>
  </si>
  <si>
    <t>Netherlands (Kingdom of the)</t>
  </si>
  <si>
    <t>country:NL</t>
  </si>
  <si>
    <t xml:space="preserve">    06 03 14 - Non-Hazardous - Solid salts and solutions other than those mentioned in 06 03 11 and 06 03 13</t>
  </si>
  <si>
    <t>ZMW</t>
  </si>
  <si>
    <t>NACE C - 16.11 Sawmilling and planing of wood</t>
  </si>
  <si>
    <t>NACE F - 41.0 Construction of residential and non-residential buildings</t>
  </si>
  <si>
    <t>Norway</t>
  </si>
  <si>
    <t>country:NO</t>
  </si>
  <si>
    <t xml:space="preserve">    06 03 15 - Hazardous - Metallic oxides containing heavy metals</t>
  </si>
  <si>
    <t>NACE C - 16.12 Processing and finishing of wood</t>
  </si>
  <si>
    <t>NACE F - 42 Civil engineering</t>
  </si>
  <si>
    <t>Nepal</t>
  </si>
  <si>
    <t>country:NP</t>
  </si>
  <si>
    <t xml:space="preserve">    06 03 16 - Non-Hazardous - Metallic oxides other than those mentioned in 06 03 15</t>
  </si>
  <si>
    <t>NACE F - 42.1 Construction of roads and railways</t>
  </si>
  <si>
    <t>Nauru</t>
  </si>
  <si>
    <t>country:NR</t>
  </si>
  <si>
    <t xml:space="preserve">    06 03 99 - Non-Hazardous - Wastes not otherwise specified</t>
  </si>
  <si>
    <t>NACE C - 16.21 Manufacture of veneer sheets and wood-based panels</t>
  </si>
  <si>
    <t>NACE F - 42.2 Construction of utility projects</t>
  </si>
  <si>
    <t>Neutral Zone (before 1993-07-12)</t>
  </si>
  <si>
    <t>country:NT</t>
  </si>
  <si>
    <t xml:space="preserve">  06 04 - Metal-containing wastes other than those mentioned in 06 03</t>
  </si>
  <si>
    <t>NACE C - 16.22 Manufacture of assembled parquet floors</t>
  </si>
  <si>
    <t>NACE F - 42.9 Construction of other civil engineering projects</t>
  </si>
  <si>
    <t>Niue</t>
  </si>
  <si>
    <t>country:NU</t>
  </si>
  <si>
    <t xml:space="preserve">    06 04 03 - Hazardous - Wastes containing arsenic</t>
  </si>
  <si>
    <t>NACE C - 16.23 Manufacture of other builders’ carpentry and joinery</t>
  </si>
  <si>
    <t>NACE F - 43 Specialised construction activities</t>
  </si>
  <si>
    <t>New Zealand</t>
  </si>
  <si>
    <t>country:NZ</t>
  </si>
  <si>
    <t xml:space="preserve">    06 04 04 - Hazardous - Wastes containing mercury</t>
  </si>
  <si>
    <t>NACE C - 16.24 Manufacture of wooden containers</t>
  </si>
  <si>
    <t>NACE F - 43.1 Demolition and site preparation</t>
  </si>
  <si>
    <t>Oman</t>
  </si>
  <si>
    <t>country:OM</t>
  </si>
  <si>
    <t xml:space="preserve">    06 04 05 - Hazardous - Wastes containing other heavy metals</t>
  </si>
  <si>
    <t>NACE C - 16.25 Manufacture of doors and windows of wood</t>
  </si>
  <si>
    <t>NACE F - 43.2 Electrical, plumbing and other construction installation activities</t>
  </si>
  <si>
    <t>Panama</t>
  </si>
  <si>
    <t>country:PA</t>
  </si>
  <si>
    <t xml:space="preserve">    06 04 99 - Non-Hazardous - Wastes not otherwise specified</t>
  </si>
  <si>
    <t>NACE C - 16.26 Manufacture of solid fuels from vegetable biomass</t>
  </si>
  <si>
    <t>NACE F - 43.3 Building completion and finishing</t>
  </si>
  <si>
    <t>Peru</t>
  </si>
  <si>
    <t>country:PE</t>
  </si>
  <si>
    <t xml:space="preserve">  06 05 - Sludges from on-site effluent treatment</t>
  </si>
  <si>
    <t>NACE C - 16.27 Finishing of wooden products</t>
  </si>
  <si>
    <t>NACE F - 43.4 Specialised construction activities in construction of buildings</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</si>
  <si>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</si>
  <si>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</si>
  <si>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</si>
  <si>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</si>
  <si>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- 43.5 Specialised construction activities in civil engineering</t>
  </si>
  <si>
    <t>Papua New Guinea</t>
  </si>
  <si>
    <t>country:PG</t>
  </si>
  <si>
    <t xml:space="preserve">    06 05 03 - Non-Hazardous - Sludges from on-site effluent treatment other than those mentioned in 06 05 02</t>
  </si>
  <si>
    <t>NACE F - 43.6 Intermediation service activities for specialised construction services</t>
  </si>
  <si>
    <t>Philippines</t>
  </si>
  <si>
    <t>country:PH</t>
  </si>
  <si>
    <t xml:space="preserve">  06 06 - Wastes from the MFSU of sulphur chemicals, sulphur chemical processes and desulphurisation processes</t>
  </si>
  <si>
    <t>NACE F - 43.9 Other specialised construction activities</t>
  </si>
  <si>
    <t>Pakistan</t>
  </si>
  <si>
    <t>country:PK</t>
  </si>
  <si>
    <t xml:space="preserve">    06 06 02 - Hazardous - Wastes containing hazardous sulphides</t>
  </si>
  <si>
    <t>NACE C - 17.11 Manufacture of pulp</t>
  </si>
  <si>
    <t>NACE F - CONSTRUCTION</t>
  </si>
  <si>
    <t>Poland</t>
  </si>
  <si>
    <t>country:PL</t>
  </si>
  <si>
    <t xml:space="preserve">    06 06 03 - Non-Hazardous - Wastes containing sulphides other than those mentioned in 06 06 02</t>
  </si>
  <si>
    <t>NACE C - 17.12 Manufacture of paper and paperboard</t>
  </si>
  <si>
    <t>NACE G - 46 Wholesale trade</t>
  </si>
  <si>
    <t>Saint Pierre and Miquelon</t>
  </si>
  <si>
    <t>country:PM</t>
  </si>
  <si>
    <t xml:space="preserve">    06 06 99 - Non-Hazardous - Wastes not otherwise specified</t>
  </si>
  <si>
    <t>NACE G - 46.1 Wholesale on a fee or contract basis</t>
  </si>
  <si>
    <t>Pitcairn</t>
  </si>
  <si>
    <t>country:PN</t>
  </si>
  <si>
    <t xml:space="preserve">  06 07 - Wastes from the MFSU of halogens and halogen chemical processes</t>
  </si>
  <si>
    <t>NACE C - 17.21 Manufacture of corrugated paper, paperboard and containers of paper and paperboard</t>
  </si>
  <si>
    <t>NACE G - 46.2 Wholesale of agricultural raw materials and live animals</t>
  </si>
  <si>
    <t>Puerto Rico</t>
  </si>
  <si>
    <t>country:PR</t>
  </si>
  <si>
    <t xml:space="preserve">    06 07 01 - Hazardous - Wastes containing asbestos from electrolysis</t>
  </si>
  <si>
    <t>NACE C - 17.22 Manufacture of household and sanitary goods and of toilet requisites</t>
  </si>
  <si>
    <t>NACE G - 46.3 Wholesale of food, beverages and tobacco</t>
  </si>
  <si>
    <t>Palestine, State of</t>
  </si>
  <si>
    <t>country:PS</t>
  </si>
  <si>
    <t xml:space="preserve">    06 07 02 - Hazardous - Activated carbon from chlorine production</t>
  </si>
  <si>
    <t>NACE C - 17.23 Manufacture of paper stationery</t>
  </si>
  <si>
    <t>NACE G - 46.4 Wholesale of household goods</t>
  </si>
  <si>
    <t>Portugal</t>
  </si>
  <si>
    <t>country:PT</t>
  </si>
  <si>
    <t xml:space="preserve">    06 07 03 - Hazardous - Barium sulphate sludge containing mercury</t>
  </si>
  <si>
    <t>NACE C - 17.24 Manufacture of wallpaper</t>
  </si>
  <si>
    <t>NACE G - 46.5 Wholesale of information and communication equipment</t>
  </si>
  <si>
    <t>Palau</t>
  </si>
  <si>
    <t>country:PW</t>
  </si>
  <si>
    <t xml:space="preserve">    06 07 04 - Hazardous - Solutions and acids, for example contact acid</t>
  </si>
  <si>
    <t>NACE C - 17.25 Manufacture of other articles of paper and paperboard</t>
  </si>
  <si>
    <t>NACE G - 46.6 Wholesale of other machinery, equipment and supplies</t>
  </si>
  <si>
    <t>Paraguay</t>
  </si>
  <si>
    <t>country:PY</t>
  </si>
  <si>
    <t xml:space="preserve">    06 07 99 - Non-Hazardous - Wastes not otherwise specified</t>
  </si>
  <si>
    <t>NACE G - 46.7 Wholesale of motor vehicles, motorcycles and related parts and accessories</t>
  </si>
  <si>
    <t>Qatar</t>
  </si>
  <si>
    <t>country:QA</t>
  </si>
  <si>
    <t xml:space="preserve">  06 08 - Wastes from the MFSU of silicon and silicon derivatives</t>
  </si>
  <si>
    <t>NACE G - 46.8 Other specialised wholesale</t>
  </si>
  <si>
    <t>Réunion</t>
  </si>
  <si>
    <t>country:RE</t>
  </si>
  <si>
    <t xml:space="preserve">    06 08 02 - Hazardous - Waste containing hazardous chlorosilanes</t>
  </si>
  <si>
    <t>NACE C - 18.11 Printing of newspapers</t>
  </si>
  <si>
    <t>NACE G - 46.9 Non-specialised wholesale trade</t>
  </si>
  <si>
    <t>Romania</t>
  </si>
  <si>
    <t>country:RO</t>
  </si>
  <si>
    <t xml:space="preserve">    06 08 99 - Non-Hazardous - Wastes not otherwise specified</t>
  </si>
  <si>
    <t>NACE C - 18.12 Other printing</t>
  </si>
  <si>
    <t>NACE G - 47 Retail trade</t>
  </si>
  <si>
    <t>Serbia</t>
  </si>
  <si>
    <t>country:RS</t>
  </si>
  <si>
    <t xml:space="preserve">  06 09 - Wastes from the MSFU of phosphorous chemicals and phosphorous chemical processes</t>
  </si>
  <si>
    <t>NACE C - 18.13 Pre-press and pre-media services</t>
  </si>
  <si>
    <t>NACE G - 47.1 Non-specialised retail sale</t>
  </si>
  <si>
    <t>Russian Federation</t>
  </si>
  <si>
    <t>country:RU</t>
  </si>
  <si>
    <t xml:space="preserve">    06 09 02 - Non-Hazardous - Phosphorous slag</t>
  </si>
  <si>
    <t>NACE C - 18.14 Binding and related services</t>
  </si>
  <si>
    <t>NACE G - 47.2 Retail sale of food, beverages and tobacco</t>
  </si>
  <si>
    <t>Rwanda</t>
  </si>
  <si>
    <t>country:RW</t>
  </si>
  <si>
    <t xml:space="preserve">    06 09 03 - Hazardous - Calcium-based reaction wastes containing or contaminated with hazardous substances</t>
  </si>
  <si>
    <t>NACE G - 47.3 Retail sale of automotive fuel</t>
  </si>
  <si>
    <t>Saudi Arabia</t>
  </si>
  <si>
    <t>country:SA</t>
  </si>
  <si>
    <t xml:space="preserve">    06 09 04 - Non-Hazardous - Calcium-based reaction wastes other than those mentioned in 06 09 03</t>
  </si>
  <si>
    <t>NACE C - 18.20 Reproduction of recorded media</t>
  </si>
  <si>
    <t>NACE G - 47.4 Retail sale of information and communication equipment</t>
  </si>
  <si>
    <t>Solomon Islands</t>
  </si>
  <si>
    <t>country:SB</t>
  </si>
  <si>
    <t xml:space="preserve">    06 09 99 - Non-Hazardous - Wastes not otherwise specified</t>
  </si>
  <si>
    <t>NACE G - 47.5 Retail sale of other household equipment</t>
  </si>
  <si>
    <t>Seychelles</t>
  </si>
  <si>
    <t>country:SC</t>
  </si>
  <si>
    <t xml:space="preserve">  06 10 - Wastes from the MFSU of nitrogen chemicals, nitrogen chemical processes and fertiliser manufacture</t>
  </si>
  <si>
    <t>NACE G - 47.6 Retail sale of cultural and recreation goods</t>
  </si>
  <si>
    <t>Sudan</t>
  </si>
  <si>
    <t>country:SD</t>
  </si>
  <si>
    <t xml:space="preserve">    06 10 02 - Hazardous - Wastes containing hazardous substances</t>
  </si>
  <si>
    <t>NACE C - 19.10 Manufacture of coke oven products</t>
  </si>
  <si>
    <t>NACE G - 47.7 Retail sale of other goods, except motor vehicles and motorcycles</t>
  </si>
  <si>
    <t>Sweden</t>
  </si>
  <si>
    <t>country:SE</t>
  </si>
  <si>
    <t xml:space="preserve">    06 10 99 - Non-Hazardous - Wastes not otherwise specified</t>
  </si>
  <si>
    <t>NACE G - 47.8 Retail sale of motor vehicles, motorcycles and related parts and accessories</t>
  </si>
  <si>
    <t>Singapore</t>
  </si>
  <si>
    <t>country:SG</t>
  </si>
  <si>
    <t xml:space="preserve">  06 11 - Wastes from the manufacture of inorganic pigments and opacificiers</t>
  </si>
  <si>
    <t>NACE C - 19.20 Manufacture of refined petroleum products and fossil fuel products</t>
  </si>
  <si>
    <t>NACE G - 47.9 Intermediation service activities for retail sale</t>
  </si>
  <si>
    <t>Saint Helena, Ascension and Tristan da Cunha</t>
  </si>
  <si>
    <t>country:SH</t>
  </si>
  <si>
    <t xml:space="preserve">    06 11 01 - Non-Hazardous - Calcium-based reaction wastes from titanium dioxide production</t>
  </si>
  <si>
    <t>NACE G - WHOLESALE AND RETAIL TRADE</t>
  </si>
  <si>
    <t>Slovenia</t>
  </si>
  <si>
    <t>country:SI</t>
  </si>
  <si>
    <t xml:space="preserve">    06 11 99 - Non-Hazardous - Wastes not otherwise specified</t>
  </si>
  <si>
    <t>NACE H - 49 Land transport and transport via pipelines</t>
  </si>
  <si>
    <t>Svalbard and Jan Mayen</t>
  </si>
  <si>
    <t>country:SJ</t>
  </si>
  <si>
    <t xml:space="preserve">  06 13 - Wastes from inorganic chemical processes not otherwise specified</t>
  </si>
  <si>
    <t>NACE C - 20.11 Manufacture of industrial gases</t>
  </si>
  <si>
    <t>NACE H - 49.1 Passenger rail transport</t>
  </si>
  <si>
    <t>Slovakia</t>
  </si>
  <si>
    <t>country:SK</t>
  </si>
  <si>
    <t xml:space="preserve">    06 13 01 - Hazardous - Inorganic plant protection products, wood-preserving agents and other biocides.</t>
  </si>
  <si>
    <t>NACE C - 20.12 Manufacture of dyes and pigments</t>
  </si>
  <si>
    <t>NACE H - 49.2 Freight rail transport</t>
  </si>
  <si>
    <t>Sierra Leone</t>
  </si>
  <si>
    <t>country:SL</t>
  </si>
  <si>
    <t xml:space="preserve">    06 13 02 - Hazardous - Spent activated carbon (except 06 07 02)</t>
  </si>
  <si>
    <t>NACE C - 20.13 Manufacture of other inorganic basic chemicals</t>
  </si>
  <si>
    <t>NACE H - 49.3 Other passenger land transport</t>
  </si>
  <si>
    <t>San Marino</t>
  </si>
  <si>
    <t>country:SM</t>
  </si>
  <si>
    <t xml:space="preserve">    06 13 03 - Non-Hazardous - Carbon black</t>
  </si>
  <si>
    <t>NACE C - 20.14 Manufacture of other organic basic chemicals</t>
  </si>
  <si>
    <t>NACE H - 49.4 Freight transport by road and removal services</t>
  </si>
  <si>
    <t>Senegal</t>
  </si>
  <si>
    <t>country:SN</t>
  </si>
  <si>
    <t xml:space="preserve">    06 13 04 - Hazardous - Wastes from asbestos processing</t>
  </si>
  <si>
    <t>NACE C - 20.15 Manufacture of fertilisers and nitrogen compounds</t>
  </si>
  <si>
    <t>NACE H - 49.5 Transport via pipeline</t>
  </si>
  <si>
    <t>Somalia</t>
  </si>
  <si>
    <t>country:SO</t>
  </si>
  <si>
    <t xml:space="preserve">    06 13 05 - Hazardous - Soot</t>
  </si>
  <si>
    <t>NACE C - 20.16 Manufacture of plastics in primary forms</t>
  </si>
  <si>
    <t>NACE H - 50 Water transport</t>
  </si>
  <si>
    <t>Suriname</t>
  </si>
  <si>
    <t>country:SR</t>
  </si>
  <si>
    <t xml:space="preserve">    06 13 99 - Non-Hazardous - Wastes not otherwise specified</t>
  </si>
  <si>
    <t>NACE C - 20.17 Manufacture of synthetic rubber in primary forms</t>
  </si>
  <si>
    <t>NACE H - 50.1 Sea and coastal passenger water transport</t>
  </si>
  <si>
    <t>South Sudan</t>
  </si>
  <si>
    <t>country:SS</t>
  </si>
  <si>
    <t>07 - WASTES FROM ORGANIC CHEMICAL PROCESSES</t>
  </si>
  <si>
    <t>NACE H - 50.2 Sea and coastal freight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</si>
  <si>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</si>
  <si>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</si>
  <si>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</si>
  <si>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</si>
  <si>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- 50.3 Inland passenger water transport</t>
  </si>
  <si>
    <t>El Salvador</t>
  </si>
  <si>
    <t>country:SV</t>
  </si>
  <si>
    <t xml:space="preserve">    07 01 01 - Hazardous - Aqueous washing liquids and mother liquors</t>
  </si>
  <si>
    <t>NACE H - 50.4 Inland freight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</si>
  <si>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</si>
  <si>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</si>
  <si>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</si>
  <si>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</si>
  <si>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- 51 Air transport</t>
  </si>
  <si>
    <t>Syrian Arab Republic</t>
  </si>
  <si>
    <t>country:SY</t>
  </si>
  <si>
    <t xml:space="preserve">    07 01 04 - Hazardous - Other organic solvents, washing liquids and mother liquors</t>
  </si>
  <si>
    <t>NACE H - 51.1 Passenger air transport</t>
  </si>
  <si>
    <t>Eswatini</t>
  </si>
  <si>
    <t>country:SZ</t>
  </si>
  <si>
    <t xml:space="preserve">    07 01 07 - Hazardous - Halogenated still bottoms and reaction residues</t>
  </si>
  <si>
    <t>NACE C - 20.41 Manufacture of soap and detergents, cleaning and polishing preparations</t>
  </si>
  <si>
    <t>NACE H - 51.2 Freight air transport and space transport</t>
  </si>
  <si>
    <t>Turks and Caicos Islands</t>
  </si>
  <si>
    <t>country:TC</t>
  </si>
  <si>
    <t xml:space="preserve">    07 01 08 - Hazardous - Other still bottoms and reaction residues</t>
  </si>
  <si>
    <t>NACE C - 20.42 Manufacture of perfume and toilet preparations</t>
  </si>
  <si>
    <t>NACE H - 52 Warehousing, storage and support activities for transportation</t>
  </si>
  <si>
    <t>Chad</t>
  </si>
  <si>
    <t>country:TD</t>
  </si>
  <si>
    <t xml:space="preserve">    07 01 09 - Hazardous - Halogenated filter cakes and spent absorbents</t>
  </si>
  <si>
    <t>NACE H - 52.1 Warehousing and storage</t>
  </si>
  <si>
    <t>French Southern Territories</t>
  </si>
  <si>
    <t>country:TF</t>
  </si>
  <si>
    <t xml:space="preserve">    07 01 10 - Hazardous - Other filter cakes and spent absorbents</t>
  </si>
  <si>
    <t>NACE C - 20.51 Manufacture of liquid biofuels</t>
  </si>
  <si>
    <t>NACE H - 52.2 Support activities for transportation</t>
  </si>
  <si>
    <t>Togo</t>
  </si>
  <si>
    <t>country:TG</t>
  </si>
  <si>
    <t xml:space="preserve">    07 01 11 - Hazardous - Sludges from on-site effluent treatment containing hazardous substances</t>
  </si>
  <si>
    <t>NACE C - 20.59 Manufacture of other chemical products n.e.c.</t>
  </si>
  <si>
    <t>NACE H - 52.3 Intermediation service activities for transportation</t>
  </si>
  <si>
    <t>Thailand</t>
  </si>
  <si>
    <t>country:TH</t>
  </si>
  <si>
    <t xml:space="preserve">    07 01 12 - Non-Hazardous - Sludges from on-site effluent treatment other than those mentioned in 07 01 11</t>
  </si>
  <si>
    <t>NACE H - 53 Postal and courier activities</t>
  </si>
  <si>
    <t>Tajikistan</t>
  </si>
  <si>
    <t>country:TJ</t>
  </si>
  <si>
    <t xml:space="preserve">    07 01 99 - Non-Hazardous - Wastes not otherwise specified</t>
  </si>
  <si>
    <t>NACE C - 20.60 Manufacture of man-made fibres</t>
  </si>
  <si>
    <t>NACE H - 53.1 Postal activities under universal service obligation</t>
  </si>
  <si>
    <t>Tokelau</t>
  </si>
  <si>
    <t>country:TK</t>
  </si>
  <si>
    <t xml:space="preserve">  07 02 - Wastes from the MFSU of plastics, synthetic rubber and man-made fibres</t>
  </si>
  <si>
    <t>NACE H - 53.2 Other postal and courier activities</t>
  </si>
  <si>
    <t>Timor-Leste</t>
  </si>
  <si>
    <t>country:TL</t>
  </si>
  <si>
    <t xml:space="preserve">    07 02 01 - Hazardous - Aqueous washing liquids and mother liquors</t>
  </si>
  <si>
    <t>NACE H - 53.3 Intermediation service activities for postal and courier activities</t>
  </si>
  <si>
    <t>Turkmenistan</t>
  </si>
  <si>
    <t>country:TM</t>
  </si>
  <si>
    <t xml:space="preserve">    07 02 03 - Hazardous - Organic halogenated solvents, washing liquids and mother liquors</t>
  </si>
  <si>
    <t>NACE C - 21.10 Manufacture of basic pharmaceutical products</t>
  </si>
  <si>
    <t>NACE H - TRANSPORTATION AND STORAGE</t>
  </si>
  <si>
    <t>Tunisia</t>
  </si>
  <si>
    <t>country:TN</t>
  </si>
  <si>
    <t xml:space="preserve">    07 02 04 - Hazardous - Other organic solvents, washing liquids and mother liquors</t>
  </si>
  <si>
    <t>NACE I - 55 Accommodation</t>
  </si>
  <si>
    <t>Tonga</t>
  </si>
  <si>
    <t>country:TO</t>
  </si>
  <si>
    <t xml:space="preserve">    07 02 07 - Hazardous - Halogenated still bottoms and reaction residues</t>
  </si>
  <si>
    <t>NACE C - 21.20 Manufacture of pharmaceutical preparations</t>
  </si>
  <si>
    <t>NACE I - 55.1 Hotels and similar accommodation</t>
  </si>
  <si>
    <t>East Timor (before 2002-05-20)</t>
  </si>
  <si>
    <t>country:TP</t>
  </si>
  <si>
    <t xml:space="preserve">    07 02 08 - Hazardous - Other still bottoms and reaction residues</t>
  </si>
  <si>
    <t>NACE I - 55.2 Holiday and other short-stay accommodation</t>
  </si>
  <si>
    <t>Türkiye</t>
  </si>
  <si>
    <t>country:TR</t>
  </si>
  <si>
    <t xml:space="preserve">    07 02 09 - Hazardous - Halogenated filter cakes and spent absorbents</t>
  </si>
  <si>
    <t>NACE I - 55.3 Camping grounds and recreational vehicle parks</t>
  </si>
  <si>
    <t>Trinidad and Tobago</t>
  </si>
  <si>
    <t>country:TT</t>
  </si>
  <si>
    <t xml:space="preserve">    07 02 10 - Hazardous - Other filter cakes and spent absorbents</t>
  </si>
  <si>
    <t>NACE C - 22.11 Manufacture, retreading and rebuilding of rubber tyres and manufacture of tubes</t>
  </si>
  <si>
    <t>NACE I - 55.4 Intermediation service activities for accommodation</t>
  </si>
  <si>
    <t>Tuvalu</t>
  </si>
  <si>
    <t>country:TV</t>
  </si>
  <si>
    <t xml:space="preserve">    07 02 11 - Hazardous - Sludges from on-site effluent treatment containing hazardous substances</t>
  </si>
  <si>
    <t>NACE C - 22.12 Manufacture of other rubber products</t>
  </si>
  <si>
    <t>NACE I - 55.9 Other accommodation</t>
  </si>
  <si>
    <t>Taiwan (Province of China)</t>
  </si>
  <si>
    <t>country:TW</t>
  </si>
  <si>
    <t xml:space="preserve">    07 02 12 - Non-Hazardous - Sludges from on-site effluent treatment other than those mentioned in 07 02 11</t>
  </si>
  <si>
    <t>NACE I - 56 Food and beverage service activities</t>
  </si>
  <si>
    <t>Tanzania, the United Republic of</t>
  </si>
  <si>
    <t>country:TZ</t>
  </si>
  <si>
    <t xml:space="preserve">    07 02 13 - Non-Hazardous - Waste plastic</t>
  </si>
  <si>
    <t>NACE C - 22.21 Manufacture of plastic plates, sheets, tubes and profiles</t>
  </si>
  <si>
    <t>NACE I - 56.1 Restaurants and mobile food service activities</t>
  </si>
  <si>
    <t>Ukraine</t>
  </si>
  <si>
    <t>country:UA</t>
  </si>
  <si>
    <t xml:space="preserve">    07 02 14 - Hazardous - Wastes from additives containing hazardous substances</t>
  </si>
  <si>
    <t>NACE C - 22.22 Manufacture of plastic packing goods</t>
  </si>
  <si>
    <t>NACE I - 56.2 Event catering, contract catering service activities and other food service activities</t>
  </si>
  <si>
    <t>Uganda</t>
  </si>
  <si>
    <t>country:UG</t>
  </si>
  <si>
    <t xml:space="preserve">    07 02 15 - Non-Hazardous - Wastes from additives other than those mentioned in 07 02 14</t>
  </si>
  <si>
    <t>NACE C - 22.23 Manufacture of doors and windows of plastic</t>
  </si>
  <si>
    <t>NACE I - 56.21 Event catering activities</t>
  </si>
  <si>
    <t>United States Minor Outlying Islands</t>
  </si>
  <si>
    <t>country:UM</t>
  </si>
  <si>
    <t xml:space="preserve">    07 02 16 - Hazardous - Waste containing hazardous silicones</t>
  </si>
  <si>
    <t>NACE C - 22.24 Manufacture of builders’ ware of plastic</t>
  </si>
  <si>
    <t>NACE I - 56.3 Beverage serving activities</t>
  </si>
  <si>
    <t>United States of America</t>
  </si>
  <si>
    <t>country:US</t>
  </si>
  <si>
    <t xml:space="preserve">    07 02 17 - Non-Hazardous - Waste containing silicones other than those mentioned in 07 02 16</t>
  </si>
  <si>
    <t>NACE C - 22.25 Processing and finishing of plastic products</t>
  </si>
  <si>
    <t>NACE I - 56.4 Intermediation service activities for food and beverage services activities</t>
  </si>
  <si>
    <t>Uruguay</t>
  </si>
  <si>
    <t>country:UY</t>
  </si>
  <si>
    <t xml:space="preserve">    07 02 99 - Non-Hazardous - Wastes not otherwise specified</t>
  </si>
  <si>
    <t>NACE C - 22.26 Manufacture of other plastic products</t>
  </si>
  <si>
    <t>NACE I - ACCOMMODATION AND FOOD SERVICE ACTIVITIES</t>
  </si>
  <si>
    <t>Uzbekistan</t>
  </si>
  <si>
    <t>country:UZ</t>
  </si>
  <si>
    <t xml:space="preserve">  07 03 - Wastes from the MFSU of organic dyes and pigments (except 06 11)</t>
  </si>
  <si>
    <t>NACE J - 58 Publishing activities</t>
  </si>
  <si>
    <t>Holy See</t>
  </si>
  <si>
    <t>country:VA</t>
  </si>
  <si>
    <t xml:space="preserve">    07 03 01 - Hazardous - Aqueous washing liquids and mother liquors</t>
  </si>
  <si>
    <t>NACE J - 58.1 Publishing of books, newspapers and other publishing activities, except software publishing</t>
  </si>
  <si>
    <t>Saint Vincent and the Grenadines</t>
  </si>
  <si>
    <t>country:VC</t>
  </si>
  <si>
    <t xml:space="preserve">    07 03 03 - Hazardous - Organic halogenated solvents, washing liquids and mother liquors</t>
  </si>
  <si>
    <t>NACE C - 23.11 Manufacture of flat glass</t>
  </si>
  <si>
    <t>NACE J - 58.2 Software publishing</t>
  </si>
  <si>
    <t>Venezuela (Bolivarian Republic of)</t>
  </si>
  <si>
    <t>country:VE</t>
  </si>
  <si>
    <t xml:space="preserve">    07 03 04 - Hazardous - Other organic solvents, washing liquids and mother liquors</t>
  </si>
  <si>
    <t>NACE C - 23.12 Shaping and processing of flat glass</t>
  </si>
  <si>
    <t>NACE J - 59 Motion picture, video and television programme production, sound recording and music publishing activities</t>
  </si>
  <si>
    <t>Virgin Islands (British)</t>
  </si>
  <si>
    <t>country:VG</t>
  </si>
  <si>
    <t xml:space="preserve">    07 03 07 - Hazardous - Halogenated still bottoms and reaction residues</t>
  </si>
  <si>
    <t>NACE C - 23.13 Manufacture of hollow glass</t>
  </si>
  <si>
    <t>NACE J - 59.1 Motion picture, video and television programme activities</t>
  </si>
  <si>
    <t>Virgin Islands (U.S.)</t>
  </si>
  <si>
    <t>country:VI</t>
  </si>
  <si>
    <t xml:space="preserve">    07 03 08 - Hazardous - Other still bottoms and reaction residues</t>
  </si>
  <si>
    <t>NACE C - 23.14 Manufacture of glass fibres</t>
  </si>
  <si>
    <t>NACE J - 59.2 Sound recording and music publishing activities</t>
  </si>
  <si>
    <t>Viet Nam</t>
  </si>
  <si>
    <t>country:VN</t>
  </si>
  <si>
    <t xml:space="preserve">    07 03 09 - Hazardous - Halogenated filter cakes and spent absorbents</t>
  </si>
  <si>
    <t>NACE C - 23.15 Manufacture and processing of other glass, including technical glassware</t>
  </si>
  <si>
    <t>NACE J - 60 Programming, broadcasting, news agency and other content distribution activities</t>
  </si>
  <si>
    <t>Vanuatu</t>
  </si>
  <si>
    <t>country:VU</t>
  </si>
  <si>
    <t xml:space="preserve">    07 03 10 - Hazardous - Other filter cakes and spent absorbents</t>
  </si>
  <si>
    <t>NACE J - 60.1 Radio broadcasting and audio distribution activities</t>
  </si>
  <si>
    <t>Wallis and Futuna</t>
  </si>
  <si>
    <t>country:WF</t>
  </si>
  <si>
    <t xml:space="preserve">    07 03 11 - Hazardous - Sludges from on-site effluent treatment containing hazardous substances</t>
  </si>
  <si>
    <t>NACE C - 23.20 Manufacture of refractory products</t>
  </si>
  <si>
    <t>NACE J - 60.2 Television programming, broadcasting and video distribution activities</t>
  </si>
  <si>
    <t>Samoa</t>
  </si>
  <si>
    <t>country:WS</t>
  </si>
  <si>
    <t xml:space="preserve">    07 03 12 - Non-Hazardous - Sludges from on-site effluent treatment other than those mentioned in 07 03 11</t>
  </si>
  <si>
    <t>NACE J - 60.3 News agency and other content distribution activities</t>
  </si>
  <si>
    <t>Yemen</t>
  </si>
  <si>
    <t>country:YE</t>
  </si>
  <si>
    <t xml:space="preserve">    07 03 99 - Non-Hazardous - Wastes not otherwise specified</t>
  </si>
  <si>
    <t>NACE C - 23.31 Manufacture of ceramic tiles and flags</t>
  </si>
  <si>
    <t>NACE J - PUBLISHING, BROADCASTING, AND CONTENT PRODUCTION AND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</si>
  <si>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</si>
  <si>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</si>
  <si>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</si>
  <si>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</si>
  <si>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K - 61 Telecommunication</t>
  </si>
  <si>
    <t>Yugoslavia (before 2003-07-23)</t>
  </si>
  <si>
    <t>country:YU</t>
  </si>
  <si>
    <t xml:space="preserve">    07 04 01 - Hazardous - Aqueous washing liquids and mother liquors</t>
  </si>
  <si>
    <t>NACE K - 61.1 Wired, wireless, and satellite telecommunication activities</t>
  </si>
  <si>
    <t>South Africa</t>
  </si>
  <si>
    <t>country:ZA</t>
  </si>
  <si>
    <t xml:space="preserve">    07 04 03 - Hazardous - Organic halogenated solvents, washing liquids and mother liquors</t>
  </si>
  <si>
    <t>NACE C - 23.41 Manufacture of ceramic household and ornamental articles</t>
  </si>
  <si>
    <t>NACE K - 61.2 Telecommunication reselling activities and intermediation service activities for telecommunication</t>
  </si>
  <si>
    <t>Zambia</t>
  </si>
  <si>
    <t>country:ZM</t>
  </si>
  <si>
    <t xml:space="preserve">    07 04 04 - Hazardous - Other organic solvents, washing liquids and mother liquors</t>
  </si>
  <si>
    <t>NACE C - 23.42 Manufacture of ceramic sanitary fixtures</t>
  </si>
  <si>
    <t>NACE K - 61.9 Other telecommunication activities</t>
  </si>
  <si>
    <t>Zaire (before 1997-07-14)</t>
  </si>
  <si>
    <t>country:ZR</t>
  </si>
  <si>
    <t xml:space="preserve">    07 04 07 - Hazardous - Halogenated still bottoms and reaction residues</t>
  </si>
  <si>
    <t>NACE C - 23.43 Manufacture of ceramic insulators and insulating fittings</t>
  </si>
  <si>
    <t>NACE K - 62 Computer programming, consultancy and related activities</t>
  </si>
  <si>
    <t>Zimbabwe</t>
  </si>
  <si>
    <t>country:ZW</t>
  </si>
  <si>
    <t xml:space="preserve">    07 04 08 - Hazardous - Other still bottoms and reaction residues</t>
  </si>
  <si>
    <t>NACE C - 23.44 Manufacture of other technical ceramic products</t>
  </si>
  <si>
    <t>NACE K - 62.1 Computer programming activities</t>
  </si>
  <si>
    <t xml:space="preserve">    07 04 09 - Hazardous - Halogenated filter cakes and spent absorbents</t>
  </si>
  <si>
    <t>NACE C - 23.45 Manufacture of other ceramic products</t>
  </si>
  <si>
    <t>NACE K - 62.2 Computer consultancy and computer facilities management activities</t>
  </si>
  <si>
    <t xml:space="preserve">    07 04 10 - Hazardous - Other filter cakes and spent absorbents</t>
  </si>
  <si>
    <t>NACE K - 62.9 Other information technology and computer service activities</t>
  </si>
  <si>
    <t xml:space="preserve">    07 04 11 - Hazardous - Sludges from on-site effluent treatment containing hazardous substances</t>
  </si>
  <si>
    <t>NACE C - 23.51 Manufacture of cement</t>
  </si>
  <si>
    <t>NACE K - 63 Computing infrastructure, data processing, hosting and other information service activities</t>
  </si>
  <si>
    <t xml:space="preserve">    07 04 12 - Non-Hazardous - Sludges from on-site effluent treatment other than those mentioned in 07 04 11</t>
  </si>
  <si>
    <t>NACE C - 23.52 Manufacture of lime and plaster</t>
  </si>
  <si>
    <t>NACE K - 63.1 Computing infrastructure, data processing, hosting and related activities</t>
  </si>
  <si>
    <t xml:space="preserve">    07 04 13 - Hazardous - Solid wastes containing hazardous substances</t>
  </si>
  <si>
    <t>NACE K - 63.9 Web search portal activities and other information service activities</t>
  </si>
  <si>
    <t xml:space="preserve">    07 04 99 - Non-Hazardous - Wastes not otherwise specified</t>
  </si>
  <si>
    <t>NACE C - 23.61 Manufacture of concrete products for construction purposes</t>
  </si>
  <si>
    <t>NACE K - TELECOMMUNICATION, COMPUTER PROGRAMMING, CONSULTING, COMPUTING INFRASTRUCTURE AND OTHER INFORMATION SERVICE ACTIVITIES</t>
  </si>
  <si>
    <t xml:space="preserve">  07 05 - Wastes from the MFSU of pharmaceuticals</t>
  </si>
  <si>
    <t>NACE C - 23.62 Manufacture of plaster products for construction purposes</t>
  </si>
  <si>
    <t>NACE L - 64 Financial service activities, except insurance and pension funding</t>
  </si>
  <si>
    <t xml:space="preserve">    07 05 01 - Hazardous - Aqueous washing liquids and mother liquors</t>
  </si>
  <si>
    <t>NACE C - 23.63 Manufacture of ready-mixed concrete</t>
  </si>
  <si>
    <t>NACE L - 64.1 Monetary intermediation</t>
  </si>
  <si>
    <t xml:space="preserve">    07 05 03 - Hazardous - Organic halogenated solvents, washing liquids and mother liquors</t>
  </si>
  <si>
    <t>NACE C - 23.64 Manufacture of mortars</t>
  </si>
  <si>
    <t>NACE L - 64.2 Activities of holding companies and financing conduits</t>
  </si>
  <si>
    <t xml:space="preserve">    07 05 04 - Hazardous - Other organic solvents, washing liquids and mother liquors</t>
  </si>
  <si>
    <t>NACE C - 23.65 Manufacture of fibre cement</t>
  </si>
  <si>
    <t>NACE L - 64.3 Activities of trusts, funds and similar financial entities</t>
  </si>
  <si>
    <t xml:space="preserve">    07 05 07 - Hazardous - Halogenated still bottoms and reaction residues</t>
  </si>
  <si>
    <t>NACE C - 23.66 Manufacture of other articles of concrete, cement and plaster</t>
  </si>
  <si>
    <t>NACE L - 64.9 Other financial service activities, except insurance and pension funding</t>
  </si>
  <si>
    <t xml:space="preserve">    07 05 08 - Hazardous - Other still bottoms and reaction residues</t>
  </si>
  <si>
    <t>NACE L - 65 Insurance, reinsurance and pension funding, except compulsory social security</t>
  </si>
  <si>
    <t xml:space="preserve">    07 05 09 - Hazardous - Halogenated filter cakes and spent absorbents</t>
  </si>
  <si>
    <t>NACE C - 23.70 Cutting, shaping and finishing of stone</t>
  </si>
  <si>
    <t>NACE L - 65.1 Insurance</t>
  </si>
  <si>
    <t xml:space="preserve">    07 05 10 - Hazardous - Other filter cakes and spent absorbents</t>
  </si>
  <si>
    <t>NACE L - 65.2 Reinsurance</t>
  </si>
  <si>
    <t xml:space="preserve">    07 05 11 - Hazardous - Sludges from on-site effluent treatment containing hazardous substances</t>
  </si>
  <si>
    <t>NACE C - 23.91 Manufacture of abrasive products</t>
  </si>
  <si>
    <t>NACE L - 65.3 Pension funding</t>
  </si>
  <si>
    <t xml:space="preserve">    07 05 12 - Non-Hazardous - Sludges from on-site effluent treatment other than those mentioned in 07 05 11</t>
  </si>
  <si>
    <t>NACE C - 23.99 Manufacture of other non-metallic mineral products n.e.c.</t>
  </si>
  <si>
    <t>NACE L - 66 Activities auxiliary to financial services and insurance activities</t>
  </si>
  <si>
    <t xml:space="preserve">    07 05 13 - Hazardous - Solid wastes containing hazardous substances</t>
  </si>
  <si>
    <t>NACE L - 66.1 Activities auxiliary to financial services, except insurance and pension funding</t>
  </si>
  <si>
    <t xml:space="preserve">    07 05 14 - Non-Hazardous - Solid wastes other than those mentioned in 07 05 13</t>
  </si>
  <si>
    <t>NACE L - 66.2 Activities auxiliary to insurance and pension funding</t>
  </si>
  <si>
    <t xml:space="preserve">    07 05 99 - Non-Hazardous - Wastes not otherwise specified</t>
  </si>
  <si>
    <t>NACE C - 24.10 Manufacture of basic iron and steel and of ferro-alloys</t>
  </si>
  <si>
    <t>NACE L - 66.3 Fund management activities</t>
  </si>
  <si>
    <t xml:space="preserve">  07 06 - Wastes from the MFSU of fats, grease, soaps, detergents, disinfectants and cosmetics</t>
  </si>
  <si>
    <t>NACE L - FINANCIAL AND INSURANCE ACTIVITIES</t>
  </si>
  <si>
    <t xml:space="preserve">    07 06 01 - Hazardous - Aqueous washing liquids and mother liquors</t>
  </si>
  <si>
    <t>NACE C - 24.20 Manufacture of tubes, pipes, hollow profiles and related fittings, of steel</t>
  </si>
  <si>
    <t>NACE M - 68 Real estate activities</t>
  </si>
  <si>
    <t xml:space="preserve">    07 06 03 - Hazardous - Organic halogenated solvents, washing liquids and mother liquors</t>
  </si>
  <si>
    <t>NACE M - 68.1 Real estate activities with own property and development of building projects</t>
  </si>
  <si>
    <t xml:space="preserve">    07 06 04 - Hazardous - Other organic solvents, washing liquids and mother liquors</t>
  </si>
  <si>
    <t>NACE C - 24.31 Cold drawing of bars</t>
  </si>
  <si>
    <t>NACE M - 68.2 Rental and operating of own or leased real estate</t>
  </si>
  <si>
    <t xml:space="preserve">    07 06 07 - Hazardous - Halogenated still bottoms and reaction residues</t>
  </si>
  <si>
    <t>NACE C - 24.32 Cold rolling of narrow strip</t>
  </si>
  <si>
    <t>NACE M - 68.3 Real estate activities on a fee or contract basis</t>
  </si>
  <si>
    <t xml:space="preserve">    07 06 08 - Hazardous - Other still bottoms and reaction residues</t>
  </si>
  <si>
    <t>NACE C - 24.33 Cold forming or folding</t>
  </si>
  <si>
    <t>NACE M - REAL ESTATE ACTIVITIES</t>
  </si>
  <si>
    <t xml:space="preserve">    07 06 09 - Hazardous - Halogenated filter cakes and spent absorbents</t>
  </si>
  <si>
    <t>NACE C - 24.34 Cold drawing of wire</t>
  </si>
  <si>
    <t>NACE N - 69 Legal and accounting activities</t>
  </si>
  <si>
    <t xml:space="preserve">    07 06 10 - Hazardous - Other filter cakes and spent absorbents</t>
  </si>
  <si>
    <t>NACE N - 69.1 Legal activities</t>
  </si>
  <si>
    <t xml:space="preserve">    07 06 11 - Hazardous - Sludges from on-site effluent treatment containing hazardous substances</t>
  </si>
  <si>
    <t>NACE C - 24.41 Precious metals production</t>
  </si>
  <si>
    <t>NACE N - 69.2 Accounting, bookkeeping and auditing activities; tax consultancy</t>
  </si>
  <si>
    <t xml:space="preserve">    07 06 12 - Non-Hazardous - Sludges from on-site effluent treatment other than those mentioned in 07 06 11</t>
  </si>
  <si>
    <t>NACE C - 24.42 Aluminium production</t>
  </si>
  <si>
    <t>NACE N - 70 Activities of head offices and management consultancy</t>
  </si>
  <si>
    <t xml:space="preserve">    07 06 99 - Non-Hazardous - Wastes not otherwise specified</t>
  </si>
  <si>
    <t>NACE C - 24.43 Lead, zinc and tin production</t>
  </si>
  <si>
    <t>NACE N - 70.1 Activities of head offices</t>
  </si>
  <si>
    <t xml:space="preserve">  07 07 - Wastes from the MFSU of fine chemicals and chemical products not otherwise specified</t>
  </si>
  <si>
    <t>NACE C - 24.44 Copper production</t>
  </si>
  <si>
    <t>NACE N - 70.2 Business and other management consultancy activities</t>
  </si>
  <si>
    <t xml:space="preserve">    07 07 01 - Hazardous - Aqueous washing liquids and mother liquors</t>
  </si>
  <si>
    <t>NACE C - 24.45 Other non-ferrous metal production</t>
  </si>
  <si>
    <t>NACE N - 71 Architectural and engineering activities; technical testing and analysis</t>
  </si>
  <si>
    <t xml:space="preserve">    07 07 03 - Hazardous - Organic halogenated solvents, washing liquids and mother liquors</t>
  </si>
  <si>
    <t>NACE C - 24.46 Processing of nuclear fuel</t>
  </si>
  <si>
    <t>NACE N - 71.1 Architectural and engineering activities and related technical consultancy</t>
  </si>
  <si>
    <t xml:space="preserve">    07 07 04 - Hazardous - Other organic solvents, washing liquids and mother liquors</t>
  </si>
  <si>
    <t>NACE N - 71.2 Technical testing and analysis</t>
  </si>
  <si>
    <t xml:space="preserve">    07 07 07 - Hazardous - Halogenated still bottoms and reaction residues</t>
  </si>
  <si>
    <t>NACE C - 24.51 Casting of iron</t>
  </si>
  <si>
    <t>NACE N - 72 Scientific research and development</t>
  </si>
  <si>
    <t xml:space="preserve">    07 07 08 - Hazardous - Other still bottoms and reaction residues</t>
  </si>
  <si>
    <t>NACE C - 24.52 Casting of steel</t>
  </si>
  <si>
    <t>NACE N - 72.1 Research and experimental development on natural sciences and engineering</t>
  </si>
  <si>
    <t xml:space="preserve">    07 07 09 - Hazardous - Halogenated filter cakes and spent absorbents</t>
  </si>
  <si>
    <t>NACE C - 24.53 Casting of light metals</t>
  </si>
  <si>
    <t>NACE N - 72.2 Research and experimental development on social sciences and humanities</t>
  </si>
  <si>
    <t xml:space="preserve">    07 07 10 - Hazardous - Other filter cakes and spent absorbents</t>
  </si>
  <si>
    <t>NACE C - 24.54 Casting of other non-ferrous metals</t>
  </si>
  <si>
    <t>NACE N - 73 Activities of advertising, market research and public relations</t>
  </si>
  <si>
    <t xml:space="preserve">    07 07 11 - Hazardous - Sludges from on-site effluent treatment containing hazardous substances</t>
  </si>
  <si>
    <t>NACE N - 73.1 Advertising</t>
  </si>
  <si>
    <t xml:space="preserve">    07 07 12 - Non-Hazardous - Sludges from on-site effluent treatment other than those mentioned in 07 07 11</t>
  </si>
  <si>
    <t>NACE N - 73.2 Market research and public opinion polling</t>
  </si>
  <si>
    <t xml:space="preserve">    07 07 99 - Non-Hazardous - Wastes not otherwise specified</t>
  </si>
  <si>
    <t>NACE C - 25.11 Manufacture of metal structures and parts of structures</t>
  </si>
  <si>
    <t>NACE N - 73.3 Public relations and communication activities</t>
  </si>
  <si>
    <t>08 - WASTES FROM THE MANUFACTURE, FORMULATION, SUPPLY AND USE (MFSU) OF COATINGS (PAINTS, VARNISHES AND VITREOUS ENAMELS), ADHESIVES, SEALANTS AND PRINTING INKS</t>
  </si>
  <si>
    <t>NACE C - 25.12 Manufacture of doors and windows of metal</t>
  </si>
  <si>
    <t>NACE N - 74 Other professional, scientific and technical activities</t>
  </si>
  <si>
    <t xml:space="preserve">  08 01 - Wastes from MFSU and removal of paint and varnish</t>
  </si>
  <si>
    <t>NACE N - 74.1 Specialised design activities</t>
  </si>
  <si>
    <t xml:space="preserve">    08 01 11 - Hazardous - Waste paint and varnish containing organic solvents or other hazardous substances</t>
  </si>
  <si>
    <t>NACE C - 25.21 Manufacture of central heating radiators, steam generators and boilers</t>
  </si>
  <si>
    <t>NACE N - 74.2 Photographic activities</t>
  </si>
  <si>
    <t xml:space="preserve">    08 01 12 - Non-Hazardous - Waste paint and varnish other than those mentioned in 08 01 11</t>
  </si>
  <si>
    <t>NACE C - 25.22 Manufacture of other tanks, reservoirs and containers of metal</t>
  </si>
  <si>
    <t>NACE N - 74.3 Translation and interpretation activities</t>
  </si>
  <si>
    <t xml:space="preserve">    08 01 13 - Hazardous - Sludges from paint or varnish containing organic solvents or other hazardous substances</t>
  </si>
  <si>
    <t>NACE N - 74.9 Other professional, scientific and technical activities n.e.c.</t>
  </si>
  <si>
    <t xml:space="preserve">    08 01 14 - Non-Hazardous - Sludges from paint or varnish other than those mentioned in 08 01 13</t>
  </si>
  <si>
    <t>NACE C - 25.30 Manufacture of weapons and ammunition</t>
  </si>
  <si>
    <t>NACE N - 75 Veterinary activities</t>
  </si>
  <si>
    <t xml:space="preserve">    08 01 15 - Hazardous - Aqueous sludges containing paint or varnish containing organic solvents or other hazardous substances</t>
  </si>
  <si>
    <t>NACE N - 75.0 Veterinary activities</t>
  </si>
  <si>
    <t xml:space="preserve">    08 01 16 - Non-Hazardous - Aqueous sludges containing paint or varnish other than those mentioned in 08 01 15</t>
  </si>
  <si>
    <t>NACE C - 25.40 Forging and shaping metal and powder metallurgy</t>
  </si>
  <si>
    <t>NACE N - PROFESSIONAL, SCIENTIFIC AND TECHNICAL ACTIVITIES</t>
  </si>
  <si>
    <t xml:space="preserve">    08 01 17 - Hazardous - Wastes from paint or varnish removal containing organic solvents or other hazardous substances</t>
  </si>
  <si>
    <t>NACE O - 77 Rental and leasing activities</t>
  </si>
  <si>
    <t xml:space="preserve">    08 01 18 - Non-Hazardous - Wastes from paint or varnish removal other than those mentioned in 08 01 17</t>
  </si>
  <si>
    <t>NACE C - 25.51 Coating of metals</t>
  </si>
  <si>
    <t>NACE O - 77.1 Rental and leasing of motor vehicles</t>
  </si>
  <si>
    <t xml:space="preserve">    08 01 19 - Hazardous - Aqueous suspensions containing paint or varnish containing organic solvents or other hazardous substances</t>
  </si>
  <si>
    <t>NACE C - 25.52 Heat treatment of metals</t>
  </si>
  <si>
    <t>NACE O - 77.2 Rental and leasing of personal and household goods</t>
  </si>
  <si>
    <t xml:space="preserve">    08 01 20 - Non-Hazardous - Aqueous suspensions containing paint or varnish other than those mentioned in 08 01 19</t>
  </si>
  <si>
    <t>NACE C - 25.53 Machining of metals</t>
  </si>
  <si>
    <t>NACE O - 77.3 Rental and leasing of other machinery, equipment and tangible goods</t>
  </si>
  <si>
    <t xml:space="preserve">    08 01 21 - Hazardous - Waste paint or varnish remover</t>
  </si>
  <si>
    <t>NACE O - 77.4 Leasing of intellectual property and similar products, except copyrighted works</t>
  </si>
  <si>
    <t xml:space="preserve">    08 01 99 - Non-Hazardous - Wastes not otherwise specified</t>
  </si>
  <si>
    <t>NACE C - 25.61 Manufacture of cutlery</t>
  </si>
  <si>
    <t>NACE O - 77.5 Intermediation service activities for rental and leasing of tangible goods and non-financial intangible assets</t>
  </si>
  <si>
    <t xml:space="preserve">  08 02 - Wastes from MFSU of other coatings (including ceramic materials)</t>
  </si>
  <si>
    <t>NACE C - 25.62 Manufacture of locks and hinges</t>
  </si>
  <si>
    <t>NACE O - 78 Employment activities</t>
  </si>
  <si>
    <t xml:space="preserve">    08 02 01 - Non-Hazardous - Waste coating powders</t>
  </si>
  <si>
    <t>NACE C - 25.63 Manufacture of tools</t>
  </si>
  <si>
    <t>NACE O - 78.1 Activities of employment placement agencies</t>
  </si>
  <si>
    <t xml:space="preserve">    08 02 02 - Non-Hazardous - Aqueous sludges containing ceramic materials</t>
  </si>
  <si>
    <t>NACE O - 78.2 Temporary employment agency activities and other human resource provisions</t>
  </si>
  <si>
    <t xml:space="preserve">    08 02 03 - Non-Hazardous - Aqueous suspensions containing ceramic materials</t>
  </si>
  <si>
    <t>NACE C - 25.91 Manufacture of steel drums and similar containers</t>
  </si>
  <si>
    <t>NACE O - 79 Travel agency, tour operator and other reservation service and related activities</t>
  </si>
  <si>
    <t xml:space="preserve">    08 02 99 - Non-Hazardous - Wastes not otherwise specified</t>
  </si>
  <si>
    <t>NACE C - 25.92 Manufacture of light metal packaging</t>
  </si>
  <si>
    <t>NACE O - 79.1 Travel agency and tour operator activities</t>
  </si>
  <si>
    <t xml:space="preserve">  08 03 - Wastes from MFSU of printing inks</t>
  </si>
  <si>
    <t>NACE C - 25.93 Manufacture of wire products, chain and springs</t>
  </si>
  <si>
    <t>NACE O - 79.9 Other reservation service and related activities</t>
  </si>
  <si>
    <t xml:space="preserve">    08 03 07 - Non-Hazardous - Aqueous sludges containing ink</t>
  </si>
  <si>
    <t>NACE C - 25.94 Manufacture of fasteners and screw machine products</t>
  </si>
  <si>
    <t>NACE O - 80 Investigation and security activities</t>
  </si>
  <si>
    <t xml:space="preserve">    08 03 08 - Non-Hazardous - Aqueous liquid waste containing ink</t>
  </si>
  <si>
    <t>NACE C - 25.99 Manufacture of other fabricated metal products n.e.c.</t>
  </si>
  <si>
    <t>NACE O - 80.0 Investigation and security activities</t>
  </si>
  <si>
    <t xml:space="preserve">    08 03 12 - Hazardous - Waste ink containing hazardous substances</t>
  </si>
  <si>
    <t>NACE O - 81 Services to buildings and landscape activities</t>
  </si>
  <si>
    <t xml:space="preserve">    08 03 13 - Non-Hazardous - Waste ink other than those mentioned in 08 03 12</t>
  </si>
  <si>
    <t>NACE O - 81.1 Combined facilities support activities</t>
  </si>
  <si>
    <t xml:space="preserve">    08 03 14 - Hazardous - Ink sludges containing hazardous substances</t>
  </si>
  <si>
    <t>NACE C - 26.11 Manufacture of electronic components</t>
  </si>
  <si>
    <t>NACE O - 81.2 Cleaning activities</t>
  </si>
  <si>
    <t xml:space="preserve">    08 03 15 - Non-Hazardous - Ink sludges other than those mentioned in 08 03 14</t>
  </si>
  <si>
    <t>NACE C - 26.12 Manufacture of loaded electronic boards</t>
  </si>
  <si>
    <t>NACE O - 81.3 Landscape service activities</t>
  </si>
  <si>
    <t xml:space="preserve">    08 03 16 - Hazardous - Waste etching solutions</t>
  </si>
  <si>
    <t>NACE O - 82 Office administrative, office support and other business support activities</t>
  </si>
  <si>
    <t xml:space="preserve">    08 03 17 - Hazardous - Waste printing toner containing hazardous substances</t>
  </si>
  <si>
    <t>NACE C - 26.20 Manufacture of computers and peripheral equipment</t>
  </si>
  <si>
    <t>NACE O - 82.1 Office administrative and support activities</t>
  </si>
  <si>
    <t xml:space="preserve">    08 03 18 - Non-Hazardous - Waste printing toner other than those mentioned in 08 03 17</t>
  </si>
  <si>
    <t>NACE O - 82.2 Activities of call centres</t>
  </si>
  <si>
    <t xml:space="preserve">    08 03 19 - Hazardous - Disperse oil</t>
  </si>
  <si>
    <t>NACE C - 26.30 Manufacture of communication equipment</t>
  </si>
  <si>
    <t>NACE O - 82.3 Organisation of conventions and trade shows</t>
  </si>
  <si>
    <t xml:space="preserve">    08 03 99 - Non-Hazardous - Wastes not otherwise specified</t>
  </si>
  <si>
    <t>NACE O - 82.4 Intermediation service activities for business support service activities n.e.c.</t>
  </si>
  <si>
    <t xml:space="preserve">  08 04 - Wastes from MFSU of adhesives and sealants (including waterproofing products)</t>
  </si>
  <si>
    <t>NACE C - 26.40 Manufacture of consumer electronics</t>
  </si>
  <si>
    <t>NACE O - 82.9 Business support service activities n.e.c.</t>
  </si>
  <si>
    <t xml:space="preserve">    08 04 09 - Hazardous - Waste adhesives and sealants containing organic solvents or other hazardous substances</t>
  </si>
  <si>
    <t>NACE O - ADMINISTRATIVE AND SUPPORT SERVICE ACTIVITIES</t>
  </si>
  <si>
    <t xml:space="preserve">    08 04 10 - Non-Hazardous - Waste adhesives and sealants other than those mentioned in 08 04 09</t>
  </si>
  <si>
    <t>NACE C - 26.51 Manufacture of instruments and appliances for measuring, testing and navigation</t>
  </si>
  <si>
    <t>NACE P - 84 Public administration and defence; compulsory social security</t>
  </si>
  <si>
    <t xml:space="preserve">    08 04 11 - Hazardous - Adhesive and sealant sludges containing organic solvents or other hazardous substances</t>
  </si>
  <si>
    <t>NACE C - 26.52 Manufacture of watches and clocks</t>
  </si>
  <si>
    <t>NACE P - 84.1 Administration of the State and the economic, social and environmental policies of the community</t>
  </si>
  <si>
    <t xml:space="preserve">    08 04 12 - Non-Hazardous - Adhesive and sealant sludges other than those mentioned in 08 04 11</t>
  </si>
  <si>
    <t>NACE P - 84.2 Provision of services to the community as a whole</t>
  </si>
  <si>
    <t xml:space="preserve">    08 04 13 - Hazardous - Aqueous sludges containing adhesives or sealants containing organic solvents or other hazardous substances</t>
  </si>
  <si>
    <t>NACE C - 26.60 Manufacture of irradiation, electromedical and electrotherapeutic equipment</t>
  </si>
  <si>
    <t>NACE P - 84.3 Compulsory social security activities</t>
  </si>
  <si>
    <t xml:space="preserve">    08 04 14 - Non-Hazardous - Aqueous sludges containing adhesives or sealants other than those mentioned in 08 04 13</t>
  </si>
  <si>
    <t>NACE P - PUBLIC ADMINISTRATION AND DEFENCE; COMPULSORY SOCIAL SECURITY</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</si>
  <si>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</si>
  <si>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</si>
  <si>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Q - 85 Education</t>
  </si>
  <si>
    <t xml:space="preserve">    08 04 16 - Non-Hazardous - Aqueous liquid waste containing adhesives or sealants other than those mentioned in 08 04 15</t>
  </si>
  <si>
    <t>NACE Q - 85.1 Pre-primary education</t>
  </si>
  <si>
    <t xml:space="preserve">    08 04 17 - Hazardous - Rosin oil</t>
  </si>
  <si>
    <t>NACE Q - 85.2 Primary education</t>
  </si>
  <si>
    <t xml:space="preserve">    08 04 99 - Non-Hazardous - Wastes not otherwise specified</t>
  </si>
  <si>
    <t>NACE C - 27.11 Manufacture of electric motors, generators and transformers</t>
  </si>
  <si>
    <t>NACE Q - 85.3 Secondary and post-secondary non-tertiary education</t>
  </si>
  <si>
    <t xml:space="preserve">  08 05 - Wastes not otherwise specified in 08</t>
  </si>
  <si>
    <t>NACE C - 27.12 Manufacture of electricity distribution and control apparatus</t>
  </si>
  <si>
    <t>NACE Q - 85.4 Tertiary education</t>
  </si>
  <si>
    <t xml:space="preserve">    08 05 01 - Hazardous - Waste isocyanates</t>
  </si>
  <si>
    <t>NACE Q - 85.5 Other education</t>
  </si>
  <si>
    <t>09 - WASTES FROM THE PHOTOGRAPHIC INDUSTRY</t>
  </si>
  <si>
    <t>NACE C - 27.20 Manufacture of batteries and accumulators</t>
  </si>
  <si>
    <t>NACE Q - 85.6 Educational support activities</t>
  </si>
  <si>
    <t xml:space="preserve">  09 01 - Wastes from the photographic industry</t>
  </si>
  <si>
    <t>NACE Q - EDUCATION</t>
  </si>
  <si>
    <t xml:space="preserve">    09 01 01 - Hazardous - Water-based developer and activator solutions</t>
  </si>
  <si>
    <t>NACE C - 27.31 Manufacture of fibre optic cables</t>
  </si>
  <si>
    <t>NACE R - 86 Human health activities</t>
  </si>
  <si>
    <t xml:space="preserve">    09 01 02 - Hazardous - Water-based offset plate developer solutions</t>
  </si>
  <si>
    <t>NACE C - 27.32 Manufacture of other electronic and electric wires and cables</t>
  </si>
  <si>
    <t>NACE R - 86.1 Hospital activities</t>
  </si>
  <si>
    <t xml:space="preserve">    09 01 03 - Hazardous - Solvent-based developer solutions</t>
  </si>
  <si>
    <t>NACE C - 27.33 Manufacture of wiring devices</t>
  </si>
  <si>
    <t>NACE R - 86.2 Medical and dental practice activities</t>
  </si>
  <si>
    <t xml:space="preserve">    09 01 04 - Hazardous - Fixer solutions</t>
  </si>
  <si>
    <t>NACE R - 86.9 Other human health activities</t>
  </si>
  <si>
    <t xml:space="preserve">    09 01 05 - Hazardous - Bleach solutions and bleach fixer solutions</t>
  </si>
  <si>
    <t>NACE C - 27.40 Manufacture of lighting equipment</t>
  </si>
  <si>
    <t>NACE R - 87 Residential care activities</t>
  </si>
  <si>
    <t xml:space="preserve">    09 01 06 - Hazardous - Wastes containing silver from on-site treatment of photographic wastes</t>
  </si>
  <si>
    <t>NACE R - 87.1 Residential nursing care activities</t>
  </si>
  <si>
    <t xml:space="preserve">    09 01 07 - Non-Hazardous - Photographic film and paper containing silver or silver compounds</t>
  </si>
  <si>
    <t>NACE C - 27.51 Manufacture of electric domestic appliances</t>
  </si>
  <si>
    <t>NACE R - 87.2 Residential care activities for persons living with or having a diagnosis of a mental illness or substance abuse</t>
  </si>
  <si>
    <t xml:space="preserve">    09 01 08 - Non-Hazardous - Photographic film and paper free of silver or silver compounds</t>
  </si>
  <si>
    <t>NACE C - 27.52 Manufacture of non-electric domestic appliances</t>
  </si>
  <si>
    <t>NACE R - 87.3 Residential care activities for older persons or persons with physical disabilities</t>
  </si>
  <si>
    <t xml:space="preserve">    09 01 10 - Non-Hazardous - Single-use cameras without batteries</t>
  </si>
  <si>
    <t>NACE R - 87.9 Other residential care activities</t>
  </si>
  <si>
    <t xml:space="preserve">    09 01 11 - Hazardous - Single-use cameras containing batteries included in 16 06 01, 16 06 02 or 16 06 03</t>
  </si>
  <si>
    <t>NACE C - 27.90 Manufacture of other electrical equipment</t>
  </si>
  <si>
    <t>NACE R - 88 Social work activities without accommodation</t>
  </si>
  <si>
    <t xml:space="preserve">    09 01 12 - Non-Hazardous - Single-use cameras containing batteries other than those mentioned in 09 01 11</t>
  </si>
  <si>
    <t>NACE R - 88.1 Social work activities without accommodation for older persons or persons with disabilities</t>
  </si>
  <si>
    <t xml:space="preserve">    09 01 13 - Hazardous - Aqueous liquid waste from on-site reclamation of silver other than those mentioned in 09 01 06</t>
  </si>
  <si>
    <t>NACE R - 88.9 Other social work activities without accommodation</t>
  </si>
  <si>
    <t xml:space="preserve">    09 01 99 - Non-Hazardous - Wastes not otherwise specified</t>
  </si>
  <si>
    <t>NACE C - 28.11 Manufacture of engines and turbines, except aircraft, vehicle and cycle engines</t>
  </si>
  <si>
    <t>NACE R - HUMAN HEALTH AND SOCIAL WORK ACTIVITIES</t>
  </si>
  <si>
    <t>10 - WASTES FROM THERMAL PROCESSES</t>
  </si>
  <si>
    <t>NACE C - 28.12 Manufacture of fluid power equipment</t>
  </si>
  <si>
    <t>NACE S - 90 Arts creation and performing arts activities</t>
  </si>
  <si>
    <t xml:space="preserve">  10 01 - Wastes from power stations and other combustion plants (except 19)</t>
  </si>
  <si>
    <t>NACE C - 28.13 Manufacture of other pumps and compressors</t>
  </si>
  <si>
    <t>NACE S - 90.1 Arts creation activities</t>
  </si>
  <si>
    <t xml:space="preserve">    10 01 01 - Non-Hazardous - Bottom ash, slag and boiler dust (excluding boiler dust mentioned in 10 01 04)</t>
  </si>
  <si>
    <t>NACE C - 28.14 Manufacture of other taps and valves</t>
  </si>
  <si>
    <t>NACE S - 90.2 Activities of performing arts</t>
  </si>
  <si>
    <t xml:space="preserve">    10 01 02 - Non-Hazardous - Coal fly ash</t>
  </si>
  <si>
    <t>NACE C - 28.15 Manufacture of bearings, gears, gearing and driving elements</t>
  </si>
  <si>
    <t>NACE S - 90.3 Support activities to arts creation and performing arts</t>
  </si>
  <si>
    <t xml:space="preserve">    10 01 03 - Non-Hazardous - Fly ash from peat and untreated wood</t>
  </si>
  <si>
    <t>NACE S - 91 Libraries, archives, museums and other cultural activities</t>
  </si>
  <si>
    <t xml:space="preserve">    10 01 04 - Hazardous - Oil fly ash and boiler dust</t>
  </si>
  <si>
    <t>NACE C - 28.21 Manufacture of ovens, furnaces and permanent household heating equipment</t>
  </si>
  <si>
    <t>NACE S - 91.1 Library and archive activities</t>
  </si>
  <si>
    <t xml:space="preserve">    10 01 05 - Non-Hazardous - Calcium-based reaction wastes from flue-gas desulphurisation in solid form</t>
  </si>
  <si>
    <t>NACE C - 28.22 Manufacture of lifting and handling equipment</t>
  </si>
  <si>
    <t>NACE S - 91.2 Museum, collection, historical site and monument activities</t>
  </si>
  <si>
    <t xml:space="preserve">    10 01 07 - Non-Hazardous - Calcium-based reaction wastes from flue-gas desulphurisation in sludge form</t>
  </si>
  <si>
    <t>NACE C - 28.23 Manufacture of office machinery and equipment, except computers and peripheral equipment</t>
  </si>
  <si>
    <t>NACE S - 91.3 Conservation, restoration and other support activities for cultural heritage</t>
  </si>
  <si>
    <t xml:space="preserve">    10 01 09 - Hazardous - Sulphuric acid</t>
  </si>
  <si>
    <t>NACE C - 28.24 Manufacture of power-driven hand tools</t>
  </si>
  <si>
    <t>NACE S - 91.4 Botanical and zoological garden and nature reserve activities</t>
  </si>
  <si>
    <t xml:space="preserve">    10 01 13 - Hazardous - Fly ash from emulsified hydrocarbons used as fuel</t>
  </si>
  <si>
    <t>NACE C - 28.25 Manufacture of non-domestic air conditioning equipment</t>
  </si>
  <si>
    <t>NACE S - 92 Gambling and betting activities</t>
  </si>
  <si>
    <t xml:space="preserve">    10 01 14 - Hazardous - Bottom ash, slag and boiler dust from co-incineration containing hazardous substances</t>
  </si>
  <si>
    <t>NACE C - 28.29 Manufacture of other general-purpose machinery n.e.c.</t>
  </si>
  <si>
    <t>NACE S - 92.0 Gambling and betting activities</t>
  </si>
  <si>
    <t xml:space="preserve">    10 01 15 - Non-Hazardous - Bottom ash, slag and boiler dust from co-incineration other than those mentioned in 10 01 14</t>
  </si>
  <si>
    <t>NACE S - 93 Sports activities and amusement and recreation activities</t>
  </si>
  <si>
    <t xml:space="preserve">    10 01 16 - Hazardous - Fly ash from co-incineration containing hazardous substances</t>
  </si>
  <si>
    <t>NACE C - 28.30 Manufacture of agricultural and forestry machinery</t>
  </si>
  <si>
    <t>NACE S - 93.1 Sports activities</t>
  </si>
  <si>
    <t xml:space="preserve">    10 01 17 - Non-Hazardous - Fly ash from co-incineration other than those mentioned in 10 01 16</t>
  </si>
  <si>
    <t>NACE S - 93.2 Amusement and recreation activities</t>
  </si>
  <si>
    <t xml:space="preserve">    10 01 18 - Hazardous - Wastes from gas cleaning containing hazardous substances</t>
  </si>
  <si>
    <t>NACE C - 28.41 Manufacture of metal forming machinery and machine tools for metal work</t>
  </si>
  <si>
    <t>NACE S - ARTS, SPORTS AND RECREATION</t>
  </si>
  <si>
    <t xml:space="preserve">    10 01 19 - Non-Hazardous - Wastes from gas cleaning other than those mentioned in 10 01 05, 10 01 07 and 10 01 18</t>
  </si>
  <si>
    <t>NACE C - 28.42 Manufacture of other machine tools</t>
  </si>
  <si>
    <t>NACE T - 94 Activities of membership organisations</t>
  </si>
  <si>
    <t xml:space="preserve">    10 01 20 - Hazardous - Sludges from on-site effluent treatment containing hazardous substances</t>
  </si>
  <si>
    <t>NACE T - 94.1 Activities of business, employers and professional membership organisations</t>
  </si>
  <si>
    <t xml:space="preserve">    10 01 21 - Non-Hazardous - Sludges from on-site effluent treatment other than those mentioned in 10 01 20</t>
  </si>
  <si>
    <t>NACE C - 28.91 Manufacture of machinery for metallurgy</t>
  </si>
  <si>
    <t>NACE T - 94.2 Activities of trade unions</t>
  </si>
  <si>
    <t xml:space="preserve">    10 01 22 - Hazardous - Aqueous sludges from boiler cleansing containing hazardous substances</t>
  </si>
  <si>
    <t>NACE C - 28.92 Manufacture of machinery for mining, quarrying and construction</t>
  </si>
  <si>
    <t>NACE T - 94.9 Activities of other membership organisations</t>
  </si>
  <si>
    <t xml:space="preserve">    10 01 23 - Non-Hazardous - Aqueous sludges from boiler cleansing other than those mentioned in 10 01 22</t>
  </si>
  <si>
    <t>NACE C - 28.93 Manufacture of machinery for food, beverage and tobacco processing</t>
  </si>
  <si>
    <t>NACE T - 95 Repair and maintenance of computers, personal and household goods, and motor vehicles and motorcycles</t>
  </si>
  <si>
    <t xml:space="preserve">    10 01 24 - Non-Hazardous - Sands from fluidised beds</t>
  </si>
  <si>
    <t>NACE C - 28.94 Manufacture of machinery for textile, apparel and leather production</t>
  </si>
  <si>
    <t>NACE T - 95.1 Repair and maintenance of computers and communication equipment</t>
  </si>
  <si>
    <t xml:space="preserve">    10 01 25 - Non-Hazardous - Wastes from fuel storage and preparation of coal-fired power plants</t>
  </si>
  <si>
    <t>NACE C - 28.95 Manufacture of machinery for paper and paperboard production</t>
  </si>
  <si>
    <t>NACE T - 95.2 Repair and maintenance of personal and household goods</t>
  </si>
  <si>
    <t xml:space="preserve">    10 01 26 - Non-Hazardous - Wastes from cooling-water treatment</t>
  </si>
  <si>
    <t>NACE C - 28.96 Manufacture of plastics and rubber machinery</t>
  </si>
  <si>
    <t>NACE T - 95.3 Repair and maintenance of motor vehicles and motorcycles</t>
  </si>
  <si>
    <t xml:space="preserve">    10 01 99 - Non-Hazardous - Wastes not otherwise specified</t>
  </si>
  <si>
    <t>NACE C - 28.97 Manufacture of additive manufacturing machinery</t>
  </si>
  <si>
    <t>NACE T - 95.4 Intermediation service activities for repair and maintenance of computers, personal and household goods, and motor vehicles and motorcycles</t>
  </si>
  <si>
    <t xml:space="preserve">  10 02 - Wastes from the iron and steel industry</t>
  </si>
  <si>
    <t>NACE C - 28.99 Manufacture of other special-purpose machinery n.e.c.</t>
  </si>
  <si>
    <t>NACE T - 96 Personal service activities</t>
  </si>
  <si>
    <t xml:space="preserve">    10 02 01 - Non-Hazardous - Wastes from the processing of slag</t>
  </si>
  <si>
    <t>NACE T - 96.1 Washing and cleaning of textile and fur products</t>
  </si>
  <si>
    <t xml:space="preserve">    10 02 02 - Non-Hazardous - Unprocessed slag</t>
  </si>
  <si>
    <t>NACE T - 96.2 Hairdressing, beauty treatment, day spa and similar activities</t>
  </si>
  <si>
    <t xml:space="preserve">    10 02 07 - Hazardous - Solid wastes from gas treatment containing hazardous substances</t>
  </si>
  <si>
    <t>NACE C - 29.10 Manufacture of motor vehicles</t>
  </si>
  <si>
    <t>NACE T - 96.3 Funeral and related activities</t>
  </si>
  <si>
    <t xml:space="preserve">    10 02 08 - Non-Hazardous - Solid wastes from gas treatment other than those mentioned in 10 02 07</t>
  </si>
  <si>
    <t>NACE T - 96.4 Intermediation service activities for personal services</t>
  </si>
  <si>
    <t xml:space="preserve">    10 02 10 - Non-Hazardous - Mill scales</t>
  </si>
  <si>
    <t>NACE C - 29.20 Manufacture of bodies and coachwork for motor vehicles; manufacture of trailers and semi-trailers</t>
  </si>
  <si>
    <t>NACE T - 96.9 Other personal service activities</t>
  </si>
  <si>
    <t xml:space="preserve">    10 02 11 - Hazardous - Wastes from cooling-water treatment containing oil</t>
  </si>
  <si>
    <t>NACE T - OTHER SERVICE ACTIVITIES</t>
  </si>
  <si>
    <t xml:space="preserve">    10 02 12 - Non-Hazardous - Wastes from cooling-water treatment other than those mentioned in 10 02 11</t>
  </si>
  <si>
    <t>NACE C - 29.31 Manufacture of electrical and electronic equipment for motor vehicles</t>
  </si>
  <si>
    <t>NACE U - 97 Activities of households as employers of domestic personnel</t>
  </si>
  <si>
    <t xml:space="preserve">    10 02 13 - Hazardous - Sludges and filter cakes from gas treatment containing hazardous substances</t>
  </si>
  <si>
    <t>NACE C - 29.32 Manufacture of other parts and accessories for motor vehicles</t>
  </si>
  <si>
    <t>NACE U - 97.0 Activities of households as employers of domestic personnel</t>
  </si>
  <si>
    <t xml:space="preserve">    10 02 14 - Non-Hazardous - Sludges and filter cakes from gas treatment other than those mentioned in 10 02 13</t>
  </si>
  <si>
    <t>NACE U - 98 Undifferentiated goods- and service-producing activities of private households for own use</t>
  </si>
  <si>
    <t xml:space="preserve">    10 02 15 - Non-Hazardous - Other sludges and filter cakes</t>
  </si>
  <si>
    <t>NACE U - 98.1 Undifferentiated goods-producing activities of private households for own use</t>
  </si>
  <si>
    <t xml:space="preserve">    10 02 99 - Non-Hazardous - Wastes not otherwise specified</t>
  </si>
  <si>
    <t>NACE C - 30.11 Building of civilian ships and floating structures</t>
  </si>
  <si>
    <t>NACE U - 98.2 Undifferentiated service-producing activities of private households for own use</t>
  </si>
  <si>
    <t xml:space="preserve">  10 03 - Wastes from aluminium thermal metallurgy</t>
  </si>
  <si>
    <t>NACE C - 30.12 Building of pleasure and sporting boats</t>
  </si>
  <si>
    <t>NACE U - ACTIVITIES OF HOUSEHOLDS AS EMPLOYERS AND UNDIFFERENTIATED GOODS – AND SERVICE-PRODUCING ACTIVITIES OF HOUSEHOLDS FOR OWN USE</t>
  </si>
  <si>
    <t xml:space="preserve">    10 03 02 - Non-Hazardous - Anode scraps</t>
  </si>
  <si>
    <t>NACE C - 30.13 Building of military ships and vessels</t>
  </si>
  <si>
    <t>NACE V - 99 Activities of extraterritorial organisations and bodies</t>
  </si>
  <si>
    <t xml:space="preserve">    10 03 04 - Hazardous - Primary production slags</t>
  </si>
  <si>
    <t>NACE V - 99.0 Activities of extraterritorial organisations and bodies</t>
  </si>
  <si>
    <t xml:space="preserve">    10 03 05 - Non-Hazardous - Waste alumina</t>
  </si>
  <si>
    <t>NACE C - 30.20 Manufacture of railway locomotives and rolling stock</t>
  </si>
  <si>
    <t>NACE V - ACTIVITIES OF EXTRATERRITORIAL ORGANISATIONS AND BODIES</t>
  </si>
  <si>
    <t xml:space="preserve">    10 03 08 - Hazardous - Salt slags from secondary production</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</si>
  <si>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</si>
  <si>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</si>
  <si>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</si>
  <si>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</si>
  <si>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</si>
  <si>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</si>
  <si>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</si>
  <si>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</si>
  <si>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</si>
  <si>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</si>
  <si>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</si>
  <si>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</si>
  <si>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</si>
  <si>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</si>
  <si>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</si>
  <si>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</si>
  <si>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</si>
  <si>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</si>
  <si>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</si>
  <si>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</si>
  <si>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</si>
  <si>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</si>
  <si>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</si>
  <si>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</si>
  <si>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</si>
  <si>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</si>
  <si>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</si>
  <si>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</si>
  <si>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</si>
  <si>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</si>
  <si>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</si>
  <si>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</si>
  <si>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</si>
  <si>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</si>
  <si>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</si>
  <si>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</si>
  <si>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</si>
  <si>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</si>
  <si>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</si>
  <si>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</si>
  <si>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</si>
  <si>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</si>
  <si>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</si>
  <si>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</si>
  <si>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</si>
  <si>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</si>
  <si>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</si>
  <si>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</si>
  <si>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</si>
  <si>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</si>
  <si>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</si>
  <si>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</si>
  <si>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</si>
  <si>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</si>
  <si>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</si>
  <si>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</si>
  <si>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</si>
  <si>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</si>
  <si>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</si>
  <si>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</si>
  <si>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</si>
  <si>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</si>
  <si>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</si>
  <si>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</si>
  <si>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</si>
  <si>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</si>
  <si>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</si>
  <si>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</si>
  <si>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</si>
  <si>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</si>
  <si>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</si>
  <si>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</si>
  <si>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</si>
  <si>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</si>
  <si>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</si>
  <si>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</si>
  <si>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</si>
  <si>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</si>
  <si>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</si>
  <si>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</si>
  <si>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</si>
  <si>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</si>
  <si>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</si>
  <si>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</si>
  <si>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</si>
  <si>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</si>
  <si>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</si>
  <si>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</si>
  <si>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</si>
  <si>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</si>
  <si>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</si>
  <si>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</si>
  <si>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</si>
  <si>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</si>
  <si>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</si>
  <si>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</si>
  <si>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</si>
  <si>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</si>
  <si>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</si>
  <si>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</si>
  <si>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</si>
  <si>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</si>
  <si>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</si>
  <si>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</si>
  <si>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</si>
  <si>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</si>
  <si>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</si>
  <si>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</si>
  <si>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</si>
  <si>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</si>
  <si>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</si>
  <si>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</si>
  <si>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</si>
  <si>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</si>
  <si>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</si>
  <si>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</si>
  <si>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</si>
  <si>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</si>
  <si>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</si>
  <si>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</si>
  <si>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</si>
  <si>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</si>
  <si>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</si>
  <si>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</si>
  <si>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</si>
  <si>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</si>
  <si>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</si>
  <si>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</si>
  <si>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</si>
  <si>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</si>
  <si>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</si>
  <si>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</si>
  <si>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</si>
  <si>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</si>
  <si>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</si>
  <si>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</si>
  <si>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</si>
  <si>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</si>
  <si>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</si>
  <si>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</si>
  <si>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</si>
  <si>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</si>
  <si>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</si>
  <si>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</si>
  <si>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</si>
  <si>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</si>
  <si>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</si>
  <si>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</si>
  <si>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</si>
  <si>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</si>
  <si>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</si>
  <si>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</si>
  <si>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</si>
  <si>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</si>
  <si>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</si>
  <si>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</si>
  <si>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</si>
  <si>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</si>
  <si>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</si>
  <si>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</si>
  <si>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</si>
  <si>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</si>
  <si>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</si>
  <si>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</si>
  <si>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</si>
  <si>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</si>
  <si>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</si>
  <si>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</si>
  <si>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</si>
  <si>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</si>
  <si>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</si>
  <si>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</si>
  <si>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</si>
  <si>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</si>
  <si>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</si>
  <si>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</si>
  <si>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</si>
  <si>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</si>
  <si>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</si>
  <si>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</si>
  <si>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</si>
  <si>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</si>
  <si>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</si>
  <si>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</si>
  <si>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</si>
  <si>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</si>
  <si>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</si>
  <si>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</si>
  <si>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</si>
  <si>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</si>
  <si>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</si>
  <si>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</si>
  <si>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</si>
  <si>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</si>
  <si>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</si>
  <si>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</si>
  <si>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</si>
  <si>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</si>
  <si>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</si>
  <si>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</si>
  <si>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</si>
  <si>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</si>
  <si>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</si>
  <si>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</si>
  <si>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</si>
  <si>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</si>
  <si>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</si>
  <si>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</si>
  <si>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</si>
  <si>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</si>
  <si>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</si>
  <si>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</si>
  <si>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</si>
  <si>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</si>
  <si>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</si>
  <si>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</si>
  <si>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</si>
  <si>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</si>
  <si>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</si>
  <si>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</si>
  <si>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</si>
  <si>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</si>
  <si>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</si>
  <si>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</si>
  <si>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</si>
  <si>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</si>
  <si>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</si>
  <si>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</si>
  <si>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</si>
  <si>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</si>
  <si>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</si>
  <si>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</si>
  <si>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</si>
  <si>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</si>
  <si>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</si>
  <si>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</si>
  <si>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</si>
  <si>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</si>
  <si>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</si>
  <si>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</si>
  <si>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</si>
  <si>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</si>
  <si>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</si>
  <si>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</si>
  <si>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</si>
  <si>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</si>
  <si>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</si>
  <si>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</si>
  <si>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</si>
  <si>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</si>
  <si>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</si>
  <si>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</si>
  <si>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</si>
  <si>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</si>
  <si>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</si>
  <si>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</si>
  <si>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</si>
  <si>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</si>
  <si>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</si>
  <si>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</si>
  <si>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</si>
  <si>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</si>
  <si>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</si>
  <si>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</si>
  <si>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</si>
  <si>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</si>
  <si>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</si>
  <si>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</si>
  <si>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</si>
  <si>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</si>
  <si>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</si>
  <si>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</si>
  <si>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</si>
  <si>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</si>
  <si>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</si>
  <si>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</si>
  <si>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</si>
  <si>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</si>
  <si>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</si>
  <si>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</si>
  <si>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</si>
  <si>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</si>
  <si>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</si>
  <si>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</si>
  <si>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</si>
  <si>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</si>
  <si>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</si>
  <si>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</si>
  <si>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</si>
  <si>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</si>
  <si>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</si>
  <si>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</si>
  <si>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</si>
  <si>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</si>
  <si>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</si>
  <si>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</si>
  <si>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</si>
  <si>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</si>
  <si>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</si>
  <si>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</si>
  <si>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</si>
  <si>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</si>
  <si>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</si>
  <si>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</si>
  <si>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</si>
  <si>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</si>
  <si>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</si>
  <si>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</si>
  <si>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</si>
  <si>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</si>
  <si>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</si>
  <si>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NACE G - 47.21 Retail sale of fruit and vegetables</t>
  </si>
  <si>
    <t xml:space="preserve">    12 01 06 - Hazardous - Mineral-based machining oils containing halogens (except emulsions and solutions)</t>
  </si>
  <si>
    <t>NACE G - 47.22 Retail sale of meat and meat products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</si>
  <si>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</si>
  <si>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</si>
  <si>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</si>
  <si>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</si>
  <si>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</si>
  <si>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</si>
  <si>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</si>
  <si>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</si>
  <si>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</si>
  <si>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</si>
  <si>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</si>
  <si>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</si>
  <si>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</si>
  <si>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</si>
  <si>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</si>
  <si>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</si>
  <si>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</si>
  <si>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</si>
  <si>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</si>
  <si>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</si>
  <si>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</si>
  <si>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</si>
  <si>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</si>
  <si>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</si>
  <si>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</si>
  <si>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</si>
  <si>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</si>
  <si>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</si>
  <si>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</si>
  <si>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</si>
  <si>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</si>
  <si>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</si>
  <si>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</si>
  <si>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</si>
  <si>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</si>
  <si>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</si>
  <si>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 xml:space="preserve">    13 01 01 - Hazardous - Hydraulic oils, containing PCBs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</si>
  <si>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</si>
  <si>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</si>
  <si>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</si>
  <si>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</si>
  <si>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</si>
  <si>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</si>
  <si>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</si>
  <si>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</si>
  <si>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</si>
  <si>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</si>
  <si>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</si>
  <si>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</si>
  <si>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</si>
  <si>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</si>
  <si>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</si>
  <si>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</si>
  <si>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</si>
  <si>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</si>
  <si>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</si>
  <si>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</si>
  <si>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</si>
  <si>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</si>
  <si>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</si>
  <si>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</si>
  <si>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</si>
  <si>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</si>
  <si>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</si>
  <si>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</si>
  <si>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</si>
  <si>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</si>
  <si>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</si>
  <si>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</si>
  <si>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</si>
  <si>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</si>
  <si>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</si>
  <si>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</si>
  <si>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</si>
  <si>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</si>
  <si>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</si>
  <si>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</si>
  <si>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</si>
  <si>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</si>
  <si>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</si>
  <si>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</si>
  <si>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</si>
  <si>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</si>
  <si>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</si>
  <si>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</si>
  <si>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</si>
  <si>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</si>
  <si>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</si>
  <si>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</si>
  <si>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</si>
  <si>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</si>
  <si>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</si>
  <si>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</si>
  <si>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</si>
  <si>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</si>
  <si>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</si>
  <si>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</si>
  <si>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</si>
  <si>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</si>
  <si>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</si>
  <si>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</si>
  <si>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</si>
  <si>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</si>
  <si>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</si>
  <si>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</si>
  <si>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</si>
  <si>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</si>
  <si>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</si>
  <si>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</si>
  <si>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</si>
  <si>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</si>
  <si>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</si>
  <si>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</si>
  <si>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</si>
  <si>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</si>
  <si>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</si>
  <si>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</si>
  <si>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</si>
  <si>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</si>
  <si>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</si>
  <si>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</si>
  <si>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04 - Non-Hazardous - Metallic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</si>
  <si>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</si>
  <si>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</si>
  <si>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</si>
  <si>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</si>
  <si>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</si>
  <si>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</si>
  <si>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</si>
  <si>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</si>
  <si>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</si>
  <si>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</si>
  <si>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</si>
  <si>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</si>
  <si>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</si>
  <si>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</si>
  <si>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</si>
  <si>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</si>
  <si>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</si>
  <si>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</si>
  <si>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</si>
  <si>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</si>
  <si>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</si>
  <si>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</si>
  <si>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</si>
  <si>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</si>
  <si>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</si>
  <si>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</si>
  <si>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</si>
  <si>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</si>
  <si>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</si>
  <si>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</si>
  <si>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</si>
  <si>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</si>
  <si>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</si>
  <si>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</si>
  <si>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</si>
  <si>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</si>
  <si>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</si>
  <si>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</si>
  <si>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</si>
  <si>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</si>
  <si>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</si>
  <si>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</si>
  <si>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</si>
  <si>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</si>
  <si>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</si>
  <si>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</si>
  <si>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</si>
  <si>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</si>
  <si>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</si>
  <si>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</si>
  <si>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</si>
  <si>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</si>
  <si>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</si>
  <si>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</si>
  <si>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</si>
  <si>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</si>
  <si>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</si>
  <si>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</si>
  <si>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</si>
  <si>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</si>
  <si>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</si>
  <si>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</si>
  <si>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</si>
  <si>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</si>
  <si>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</si>
  <si>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</si>
  <si>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</si>
  <si>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</si>
  <si>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</si>
  <si>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</si>
  <si>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</si>
  <si>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</si>
  <si>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</si>
  <si>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</si>
  <si>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</si>
  <si>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</si>
  <si>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</si>
  <si>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</si>
  <si>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</si>
  <si>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</si>
  <si>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</si>
  <si>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</si>
  <si>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</si>
  <si>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</si>
  <si>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</si>
  <si>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</si>
  <si>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</si>
  <si>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</si>
  <si>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</si>
  <si>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</si>
  <si>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</si>
  <si>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</si>
  <si>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</si>
  <si>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</si>
  <si>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</si>
  <si>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</si>
  <si>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</si>
  <si>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</si>
  <si>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</si>
  <si>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</si>
  <si>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</si>
  <si>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</si>
  <si>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</si>
  <si>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</si>
  <si>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</si>
  <si>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</si>
  <si>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</si>
  <si>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</si>
  <si>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</si>
  <si>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</si>
  <si>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</si>
  <si>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</si>
  <si>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</si>
  <si>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 xml:space="preserve">    16 08 06 - Hazardous - Spent liquids used as catalysts</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</si>
  <si>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</si>
  <si>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</si>
  <si>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</si>
  <si>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</si>
  <si>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</si>
  <si>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</si>
  <si>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</si>
  <si>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</si>
  <si>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</si>
  <si>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</si>
  <si>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</si>
  <si>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</si>
  <si>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</si>
  <si>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</si>
  <si>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</si>
  <si>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</si>
  <si>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</si>
  <si>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</si>
  <si>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</si>
  <si>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</si>
  <si>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</si>
  <si>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</si>
  <si>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</si>
  <si>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</si>
  <si>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</si>
  <si>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</si>
  <si>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</si>
  <si>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</si>
  <si>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</si>
  <si>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</si>
  <si>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</si>
  <si>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</si>
  <si>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</si>
  <si>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</si>
  <si>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</si>
  <si>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</si>
  <si>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</si>
  <si>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</si>
  <si>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</si>
  <si>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</si>
  <si>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</si>
  <si>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</si>
  <si>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</si>
  <si>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</si>
  <si>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</si>
  <si>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</si>
  <si>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</si>
  <si>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</si>
  <si>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</si>
  <si>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</si>
  <si>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</si>
  <si>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</si>
  <si>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</si>
  <si>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</si>
  <si>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</si>
  <si>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</si>
  <si>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</si>
  <si>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</si>
  <si>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</si>
  <si>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</si>
  <si>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</si>
  <si>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</si>
  <si>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</si>
  <si>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</si>
  <si>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</si>
  <si>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</si>
  <si>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</si>
  <si>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</si>
  <si>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</si>
  <si>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</si>
  <si>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</si>
  <si>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</si>
  <si>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</si>
  <si>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</si>
  <si>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</si>
  <si>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</si>
  <si>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</si>
  <si>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</si>
  <si>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</si>
  <si>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</si>
  <si>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</si>
  <si>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</si>
  <si>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</si>
  <si>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</si>
  <si>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</si>
  <si>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</si>
  <si>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</si>
  <si>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</si>
  <si>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</si>
  <si>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</si>
  <si>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</si>
  <si>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</si>
  <si>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</si>
  <si>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</si>
  <si>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</si>
  <si>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</si>
  <si>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</si>
  <si>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</si>
  <si>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</si>
  <si>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</si>
  <si>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</si>
  <si>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</si>
  <si>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</si>
  <si>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</si>
  <si>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</si>
  <si>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</si>
  <si>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</si>
  <si>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</si>
  <si>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</si>
  <si>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</si>
  <si>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</si>
  <si>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</si>
  <si>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</si>
  <si>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</si>
  <si>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</si>
  <si>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</si>
  <si>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</si>
  <si>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</si>
  <si>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</si>
  <si>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</si>
  <si>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</si>
  <si>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</si>
  <si>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</si>
  <si>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</si>
  <si>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</si>
  <si>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</si>
  <si>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</si>
  <si>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</si>
  <si>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</si>
  <si>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</si>
  <si>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</si>
  <si>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</si>
  <si>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</si>
  <si>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</si>
  <si>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</si>
  <si>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</si>
  <si>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</si>
  <si>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</si>
  <si>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</si>
  <si>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</si>
  <si>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</si>
  <si>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</si>
  <si>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</si>
  <si>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</si>
  <si>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</si>
  <si>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</si>
  <si>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</si>
  <si>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</si>
  <si>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</si>
  <si>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</si>
  <si>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</si>
  <si>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</si>
  <si>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</si>
  <si>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</si>
  <si>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</si>
  <si>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</si>
  <si>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</si>
  <si>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</si>
  <si>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</si>
  <si>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</si>
  <si>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</si>
  <si>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</si>
  <si>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</si>
  <si>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</si>
  <si>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</si>
  <si>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</si>
  <si>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</si>
  <si>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</si>
  <si>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</si>
  <si>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</si>
  <si>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</si>
  <si>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</si>
  <si>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</si>
  <si>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</si>
  <si>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</si>
  <si>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</si>
  <si>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</si>
  <si>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</si>
  <si>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</si>
  <si>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</si>
  <si>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</si>
  <si>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</si>
  <si>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</si>
  <si>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</si>
  <si>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</si>
  <si>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</si>
  <si>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</si>
  <si>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</si>
  <si>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</si>
  <si>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</si>
  <si>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</si>
  <si>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</si>
  <si>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</si>
  <si>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</si>
  <si>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</si>
  <si>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</si>
  <si>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</si>
  <si>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</si>
  <si>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</si>
  <si>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</si>
  <si>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</si>
  <si>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</si>
  <si>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</si>
  <si>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</si>
  <si>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</si>
  <si>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</si>
  <si>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</si>
  <si>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</si>
  <si>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</si>
  <si>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</si>
  <si>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</si>
  <si>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</si>
  <si>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</si>
  <si>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</si>
  <si>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</si>
  <si>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</si>
  <si>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</si>
  <si>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</si>
  <si>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</si>
  <si>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</si>
  <si>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</si>
  <si>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</si>
  <si>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</si>
  <si>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</si>
  <si>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</si>
  <si>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</si>
  <si>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</si>
  <si>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</si>
  <si>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</si>
  <si>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</si>
  <si>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</si>
  <si>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</si>
  <si>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</si>
  <si>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</si>
  <si>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</si>
  <si>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</si>
  <si>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</si>
  <si>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</si>
  <si>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</si>
  <si>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</si>
  <si>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</si>
  <si>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</si>
  <si>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</si>
  <si>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</si>
  <si>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</si>
  <si>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</si>
  <si>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</si>
  <si>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</si>
  <si>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</si>
  <si>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</si>
  <si>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</si>
  <si>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</si>
  <si>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</si>
  <si>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</si>
  <si>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</si>
  <si>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</si>
  <si>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</si>
  <si>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</si>
  <si>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</si>
  <si>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</si>
  <si>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</si>
  <si>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</si>
  <si>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</si>
  <si>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</si>
  <si>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</si>
  <si>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</si>
  <si>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</si>
  <si>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</si>
  <si>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</si>
  <si>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</si>
  <si>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</si>
  <si>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</si>
  <si>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</si>
  <si>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</si>
  <si>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</si>
  <si>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</si>
  <si>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</si>
  <si>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</si>
  <si>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</si>
  <si>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</si>
  <si>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</si>
  <si>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</si>
  <si>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</si>
  <si>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</si>
  <si>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</si>
  <si>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</si>
  <si>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</si>
  <si>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</si>
  <si>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</si>
  <si>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</si>
  <si>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</si>
  <si>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</si>
  <si>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</si>
  <si>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</si>
  <si>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</si>
  <si>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</si>
  <si>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</si>
  <si>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</si>
  <si>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</si>
  <si>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</si>
  <si>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</si>
  <si>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</si>
  <si>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</si>
  <si>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</si>
  <si>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</si>
  <si>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</si>
  <si>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</si>
  <si>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</si>
  <si>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</si>
  <si>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</si>
  <si>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</si>
  <si>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</si>
  <si>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</si>
  <si>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</si>
  <si>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</si>
  <si>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</si>
  <si>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</si>
  <si>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</si>
  <si>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</si>
  <si>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</si>
  <si>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</si>
  <si>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</si>
  <si>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</si>
  <si>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</si>
  <si>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</si>
  <si>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</si>
  <si>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</si>
  <si>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</si>
  <si>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</si>
  <si>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</si>
  <si>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</si>
  <si>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</si>
  <si>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</si>
  <si>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</si>
  <si>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</si>
  <si>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</si>
  <si>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</si>
  <si>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</si>
  <si>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</si>
  <si>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</si>
  <si>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</si>
  <si>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</si>
  <si>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</si>
  <si>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</si>
  <si>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</si>
  <si>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</si>
  <si>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</si>
  <si>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</si>
  <si>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</si>
  <si>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</si>
  <si>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</si>
  <si>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</si>
  <si>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</si>
  <si>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</si>
  <si>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</si>
  <si>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</si>
  <si>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</si>
  <si>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</si>
  <si>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</si>
  <si>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</si>
  <si>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</si>
  <si>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</si>
  <si>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</si>
  <si>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</si>
  <si>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</si>
  <si>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</si>
  <si>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</si>
  <si>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</si>
  <si>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</si>
  <si>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</si>
  <si>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</si>
  <si>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</si>
  <si>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</si>
  <si>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</si>
  <si>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</si>
  <si>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</si>
  <si>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</si>
  <si>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</si>
  <si>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</si>
  <si>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</si>
  <si>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</si>
  <si>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</si>
  <si>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</si>
  <si>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</si>
  <si>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</si>
  <si>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</si>
  <si>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</si>
  <si>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</si>
  <si>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</si>
  <si>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</si>
  <si>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</si>
  <si>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</si>
  <si>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</si>
  <si>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</si>
  <si>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</si>
  <si>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</si>
  <si>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</si>
  <si>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</si>
  <si>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</si>
  <si>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</si>
  <si>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</si>
  <si>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</si>
  <si>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</si>
  <si>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</si>
  <si>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</si>
  <si>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</si>
  <si>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</si>
  <si>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</si>
  <si>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</si>
  <si>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</si>
  <si>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</si>
  <si>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</si>
  <si>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</si>
  <si>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</si>
  <si>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</si>
  <si>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</si>
  <si>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</si>
  <si>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</si>
  <si>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</si>
  <si>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</si>
  <si>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</si>
  <si>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</si>
  <si>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</si>
  <si>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</si>
  <si>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</si>
  <si>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</si>
  <si>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</si>
  <si>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</si>
  <si>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Slovenian - Reviewed translation by Slovenian Standard Setter</t>
  </si>
  <si>
    <t>Spanish - Reviewed translation by Spanish Standard Setter</t>
  </si>
  <si>
    <t>en</t>
  </si>
  <si>
    <t>da</t>
  </si>
  <si>
    <t>nl</t>
  </si>
  <si>
    <t>fr</t>
  </si>
  <si>
    <t>de</t>
  </si>
  <si>
    <t>ga</t>
  </si>
  <si>
    <t>it</t>
  </si>
  <si>
    <t>lt</t>
  </si>
  <si>
    <t>pl</t>
  </si>
  <si>
    <t>pt</t>
  </si>
  <si>
    <t>sl</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</si>
  <si>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</si>
  <si>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</si>
  <si>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</si>
  <si>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</si>
  <si>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</si>
  <si>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</si>
  <si>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</si>
  <si>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</si>
  <si>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</si>
  <si>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</si>
  <si>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</si>
  <si>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</si>
  <si>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Firma podjetja, ki poroča</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</si>
  <si>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</si>
  <si>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</si>
  <si>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</si>
  <si>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</si>
  <si>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</si>
  <si>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</si>
  <si>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</si>
  <si>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</si>
  <si>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</si>
  <si>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</si>
  <si>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</si>
  <si>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</si>
  <si>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Idetifikacijska številka podjetja</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</si>
  <si>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</si>
  <si>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</si>
  <si>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</si>
  <si>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</si>
  <si>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</si>
  <si>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</si>
  <si>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</si>
  <si>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</si>
  <si>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</si>
  <si>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</si>
  <si>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</si>
  <si>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</si>
  <si>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Vrsta identifikacijske številke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</si>
  <si>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</si>
  <si>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</si>
  <si>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</si>
  <si>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</si>
  <si>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</si>
  <si>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</si>
  <si>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</si>
  <si>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</si>
  <si>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</si>
  <si>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</si>
  <si>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</si>
  <si>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Valuta, ki se uporablja v poročilu</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</si>
  <si>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</si>
  <si>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</si>
  <si>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</si>
  <si>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</si>
  <si>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</si>
  <si>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</si>
  <si>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</si>
  <si>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</si>
  <si>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</si>
  <si>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</si>
  <si>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</si>
  <si>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Decimalno ločilo</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</si>
  <si>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</si>
  <si>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</si>
  <si>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</si>
  <si>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</si>
  <si>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</si>
  <si>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</si>
  <si>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</si>
  <si>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</si>
  <si>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</si>
  <si>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</si>
  <si>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</si>
  <si>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Obdobje poročanja</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</si>
  <si>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</si>
  <si>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</si>
  <si>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</si>
  <si>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</si>
  <si>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</si>
  <si>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</si>
  <si>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</si>
  <si>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</si>
  <si>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</si>
  <si>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</si>
  <si>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</si>
  <si>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</si>
  <si>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Poročilo ustvarjeno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</si>
  <si>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</si>
  <si>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</si>
  <si>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</si>
  <si>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</si>
  <si>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</si>
  <si>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</si>
  <si>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</si>
  <si>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</si>
  <si>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</si>
  <si>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</si>
  <si>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</si>
  <si>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</si>
  <si>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Vsa razkritja se nanašajo na zgoraj navedeno obdobje, razen če ni navedeno drugače.</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</si>
  <si>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</si>
  <si>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</si>
  <si>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</si>
  <si>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</si>
  <si>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</si>
  <si>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</si>
  <si>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</si>
  <si>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</si>
  <si>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</si>
  <si>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</si>
  <si>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</si>
  <si>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</si>
  <si>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Kazalo vsebine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</si>
  <si>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</si>
  <si>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</si>
  <si>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</si>
  <si>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</si>
  <si>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</si>
  <si>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</si>
  <si>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</si>
  <si>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</si>
  <si>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</si>
  <si>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</si>
  <si>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Obdobje poročanja:</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</si>
  <si>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</si>
  <si>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</si>
  <si>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</si>
  <si>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</si>
  <si>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</si>
  <si>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</si>
  <si>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</si>
  <si>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</si>
  <si>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</si>
  <si>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</si>
  <si>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</si>
  <si>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</si>
  <si>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To poročilo vsebuje {{ ns.fact_count }} elementov XBRL ({{ facts | count }} edinstvenih elementov).</t>
  </si>
  <si>
    <t>Este informe contiene {{ ns.fact_count }} elementos XBRL ({{ facts | count }} elementos únicos).</t>
  </si>
  <si>
    <t>template_label_version</t>
  </si>
  <si>
    <t>Version:</t>
  </si>
  <si>
    <t>Versie:</t>
  </si>
  <si>
    <t>Version :</t>
  </si>
  <si>
    <t>Leagan:</t>
  </si>
  <si>
    <t>Versione:</t>
  </si>
  <si>
    <t>Versija:</t>
  </si>
  <si>
    <t xml:space="preserve">Wersja: </t>
  </si>
  <si>
    <t>Versão:</t>
  </si>
  <si>
    <t>Različica:</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</si>
  <si>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</si>
  <si>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</si>
  <si>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</si>
  <si>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</si>
  <si>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</si>
  <si>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</si>
  <si>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</si>
  <si>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</si>
  <si>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</si>
  <si>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</si>
  <si>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</si>
  <si>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</si>
  <si>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Datum objave:</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</si>
  <si>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</si>
  <si>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</si>
  <si>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</si>
  <si>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</si>
  <si>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</si>
  <si>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</si>
  <si>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</si>
  <si>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</si>
  <si>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</si>
  <si>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</si>
  <si>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</si>
  <si>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</si>
  <si>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Vstopna točka taksonomije:</t>
  </si>
  <si>
    <t>Punto de entrada a la taxonomía:</t>
  </si>
  <si>
    <t>template_language_selection</t>
  </si>
  <si>
    <t>Language selection</t>
  </si>
  <si>
    <t>Sprogvalg</t>
  </si>
  <si>
    <t>Taalkeuze</t>
  </si>
  <si>
    <t>Sélection de la langue</t>
  </si>
  <si>
    <t>Sprachauswahl</t>
  </si>
  <si>
    <t>Roghnú teanga</t>
  </si>
  <si>
    <t>Selezione della lingua</t>
  </si>
  <si>
    <t>Kalbos pasirinkimas</t>
  </si>
  <si>
    <t>Wybór języka</t>
  </si>
  <si>
    <t>Seleção de idioma</t>
  </si>
  <si>
    <t>Izbira jezika</t>
  </si>
  <si>
    <t>Selección de idiomas</t>
  </si>
  <si>
    <t>template_label_select_template_display_language</t>
  </si>
  <si>
    <t>VS Digital Template enables translations into different EU languages.
Please select the language from the dropdown below.</t>
  </si>
  <si>
    <t>VSME Digital Template muliggør oversættelser til forskellige EU-sprog.
Vælg venligst sproget fra dropdown-menuen nedenfor.</t>
  </si>
  <si>
    <t>VSME Digital Template maakt vertalingen naar verschillende EU-talen mogelijk.
Selecteer de taal in de onderstaande keuzemenu.</t>
  </si>
  <si>
    <t>Le modèle numérique VSME permet des traductions dans différentes langues de l’UE.
Veuillez sélectionner la langue dans le menu déroulant ci-dessous.</t>
  </si>
  <si>
    <t>VSME Digital Template ermöglicht Übersetzungen in verschiedene EU-Sprachen.
Bitte wählen Sie die Sprache aus dem Dropdown-Menü unten.</t>
  </si>
  <si>
    <t>Cuireann Teimpléad Digiteach VSME ar chumas aistriúcháin a dhéanamh go teangacha éagsúla de chuid an AE.
Roghnaigh an teanga ón anuas thíos.</t>
  </si>
  <si>
    <t>Il VSME Digital Template consente traduzioni in diverse lingue dell'UE.
Seleziona la lingua dal menu a tendina qui sotto.</t>
  </si>
  <si>
    <t>VSME skaitmeninis šablonas leidžia versti į įvairias ES kalbas.
Pasirinkite kalbą iš žemiau esančio išskleidžiamojo meniu.</t>
  </si>
  <si>
    <t>Szablon VSME Digital umożliwia tłumaczenia na różne języki UE.
Proszę wybrać język z rozwijanego menu poniżej.</t>
  </si>
  <si>
    <t>O Template Digital VSME permite traduções para diferentes idiomas da UE.
Por favor, selecione o idioma no menu suspenso abaixo.</t>
  </si>
  <si>
    <t>VSME Digital Template omogoča prevode v različne jezike EU.
Prosimo, izberite jezik iz spustnega menija spodaj.</t>
  </si>
  <si>
    <t>La plantilla digital VSME permite traducciones a diferentes idiomas de la UE.
Por favor, selecciona el idioma en el desplegable de abajo.</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</si>
  <si>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</si>
  <si>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</si>
  <si>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</si>
  <si>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</si>
  <si>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</si>
  <si>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</si>
  <si>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</si>
  <si>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</si>
  <si>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</si>
  <si>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</si>
  <si>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</si>
  <si>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Glavni naslov poročila</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</si>
  <si>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</si>
  <si>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</si>
  <si>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</si>
  <si>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</si>
  <si>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</si>
  <si>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</si>
  <si>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</si>
  <si>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</si>
  <si>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</si>
  <si>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</si>
  <si>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</si>
  <si>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</si>
  <si>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Poročilo o trajnostnosti</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</si>
  <si>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</si>
  <si>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</si>
  <si>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</si>
  <si>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</si>
  <si>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</si>
  <si>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</si>
  <si>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</si>
  <si>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</si>
  <si>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</si>
  <si>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</si>
  <si>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</si>
  <si>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</si>
  <si>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Podnaslov poročila</t>
  </si>
  <si>
    <t xml:space="preserve">Subtítulo del informe
</t>
  </si>
  <si>
    <t>template_label_subtitle_of_report_text</t>
  </si>
  <si>
    <t xml:space="preserve">Prepared in accordance with the  Voluntary Standard (Annex I of  Commission Delegated Regulation (EU) …/… ) published in the Official Journal on XX September 2026. </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</si>
  <si>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</si>
  <si>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</si>
  <si>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</si>
  <si>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</si>
  <si>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</si>
  <si>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</si>
  <si>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</si>
  <si>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</si>
  <si>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</si>
  <si>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Pripravljeno v skladu s standardom prostovoljnega poročanja o trajnostnosti za mala in srednje velika podjetja (VSME), ki ga je Evropska komisija objavila 30. julija 2025.</t>
  </si>
  <si>
    <t>Preparado de conformidad con la Norma Voluntaria de Información sobre Sostenibilidad para pequeñas y medianas empresas (VSME), publicada por la Comisión Europea el 30 de julio de 2025.</t>
  </si>
  <si>
    <t>template_label_vs_digital_template</t>
  </si>
  <si>
    <t>VS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</si>
  <si>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</si>
  <si>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</si>
  <si>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</si>
  <si>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</si>
  <si>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</si>
  <si>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</si>
  <si>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</si>
  <si>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</si>
  <si>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</si>
  <si>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Digitalna predloga VSME</t>
  </si>
  <si>
    <t>Plantilla Digital VSME</t>
  </si>
  <si>
    <t>template_label_the_purpose_of_this_digital_template_is_to_illustrate_how_vs_reporting_can_be_implemented_in_a_digital_template</t>
  </si>
  <si>
    <t>The purpose of this digital template is to illustrate how VS reporting can be implemented in a digital template. The template reflects the Voluntary Standard (Annex I of  Commission Delegated Regulation (EU) …/… ) as published by the European Commission in the Official Journal on XX September 2026. The template is accompanied by a digital VS XBRL taxonomy, which represents the digital data model of the disclosures and is available on EFRAG's website.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Voluntary Standard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</si>
  <si>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</si>
  <si>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</si>
  <si>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</si>
  <si>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</si>
  <si>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</si>
  <si>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</si>
  <si>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</si>
  <si>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</si>
  <si>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</si>
  <si>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
Namen te digitalne predloge je ponazoriti, kako je mogoče poročanje po VSME izvesti v digitalni predlogi. Predloga odraža Priporočilo o VSME, kot ga je Evropska komisija objavila 30. julija 2025. Predlogi je priložena digitalna taksonomija VSME XBRL, ki predstavlja digitalni podatkovni model razkritij in je na voljo na spletni strani EFRAG. VSME zahteva razkritje primerjalnih informacij o metrikah (odstavek 12). Ta predloga omogoča poročanje samo za eno poročevalsko obdobje, zato je primerna predvsem za poročanje v prvem letu. Pričakuje se, da bodo rešitve za poročanje omogočale prenos (roll-forward) poročevalskih obdobij, kar bo samodejno zagotovilo potrebne primerjalne informacije.
Ta predloga se lahko uporablja za vnos in validacijo podatkov. Z uporabo XBRL pretvornika na spletni strani EFRAG jo je mogoče shraniti kot XBRL poročilo v brezplačnem in odprtem podatkovnem formatu. Za pripravo razkritij se uporabljajo poimenovani Excel obsegi (ranges). Polja, ki so prazna in nimajo nobene vrednosti (niti besedila niti številke), se ne bodo štela kot poročana in ne bodo vključena v XBRL poročilo pri uporabi pretvornika Excel-v-XBRL.
Nekateri spustni izbirni meniji v VSME vsebujejo več kot 100 vnosov (npr. kode NACE v razdelku B1, seznam onesnaževal v B4, seznam vrst odpadkov v B7). Za iskanje po seznamu lahko uporabniki preprosto začnejo vnašati ključne besede v polje.
Če se prikaže varnostno opozorilo, izberite »Enable Content«, da omogočite samodejni izračun GPS-koordinat za seznam lokacij v razdelku B1. Na internet ne bodo poslani nobeni podatki razen vnesenega naslova; podatki, ki se delijo s ponudnikom, so opisani v pravilniku Nominatim Usage Policy (Geocoding Policy) in v Pravilniku o zasebnosti.
Vsi materiali, ki jih je razvilo tajništvo EFRAG, so objavljeni brezplačno in odprtokodno (licenca MIT), kar omogoča, da jih lahko kateri koli deležnik dodatno razvija in vključi v komercialne rešitve. Ob upoštevanju licenčnih pogojev pa morajo ponudniki teh komercialnih rešitev navesti sklic na EFRAG. Licenco MIT je mogoče pregledati v posebnem zavihku.
Če želite prijaviti težavo v zvezi z digitalno predlogo VSME ali pretvornikom digitalne predloge v XBRL, to storite z odprtjem nove zadeve (issue) v projektu na GitHubu.</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</si>
  <si>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</si>
  <si>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</si>
  <si>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</si>
  <si>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</si>
  <si>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</si>
  <si>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</si>
  <si>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</si>
  <si>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</si>
  <si>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</si>
  <si>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</si>
  <si>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</si>
  <si>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</si>
  <si>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Kako jo uporabljati:</t>
  </si>
  <si>
    <t>Cómo utilizarlo:</t>
  </si>
  <si>
    <t>template_label_0_provide_information_that_is_mandatory_in_order_to_generate_the_vs_and_xbrl_report</t>
  </si>
  <si>
    <t>0. Provide information that is mandatory in order to generate the VS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</si>
  <si>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</si>
  <si>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</si>
  <si>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</si>
  <si>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</si>
  <si>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</si>
  <si>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</si>
  <si>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</si>
  <si>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</si>
  <si>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</si>
  <si>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Navedite podatke, ki so obvezni za ustvarjanje poročila VSME in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</si>
  <si>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</si>
  <si>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</si>
  <si>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</si>
  <si>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</si>
  <si>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</si>
  <si>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</si>
  <si>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</si>
  <si>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</si>
  <si>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</si>
  <si>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</si>
  <si>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</si>
  <si>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</si>
  <si>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Izpolnite razkritja na štirih delovnih listih (Splošne informacije, Okoljska razkritja, Družbena razkritja, Upravljavska razkritja) v belih poljih, uokvirjenih s črnim robom. Ne vnašajte informacij zunaj teh polij. Iskanje v spustnih menijih je mogoče z vnosom v polje. Namigi (vnosna sporočila) so prikazani v več poljih, ko jih izberete.</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</si>
  <si>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</si>
  <si>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template_label_2_find_more_information_on_the_actual_disclosure_requirements_in_the_voluntary_standard</t>
  </si>
  <si>
    <t>2. Find more information on the actual disclosure requirements in the Voluntary Standard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</si>
  <si>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</si>
  <si>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</si>
  <si>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</si>
  <si>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</si>
  <si>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</si>
  <si>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</si>
  <si>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</si>
  <si>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</si>
  <si>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</si>
  <si>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Več informacij o dejanskih zahtevah glede razkritja najdete v standardu VSME in povezanih smernicah, povezanih z vsakim poljem. Dodatna ali za posamezno podjetje specifična razkritja so lahko navedena v vsakem besedilnem polju na koncu vsakega delovnega lista.</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</si>
  <si>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</si>
  <si>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</si>
  <si>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</si>
  <si>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</si>
  <si>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</si>
  <si>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</si>
  <si>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</si>
  <si>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</si>
  <si>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</si>
  <si>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</si>
  <si>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</si>
  <si>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</si>
  <si>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V odprtih tabelah, kot je Seznam odvisnih družb/lokacij, povečajte število prikazanih vrstic klikom na ikono plus [+] na levi strani. Če potrebujete še več vrstic, jih lahko dodate tako, da jih vstavite med prvo in zadnjo vrstico. ID-ji vrstic v odprtih tabelah morajo biti unikatni za vsako tabelo.</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</si>
  <si>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</si>
  <si>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</si>
  <si>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</si>
  <si>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</si>
  <si>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</si>
  <si>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</si>
  <si>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</si>
  <si>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</si>
  <si>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</si>
  <si>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</si>
  <si>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</si>
  <si>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</si>
  <si>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Preverite vnesene podatke in rezultat preverjanja njihove pravilnosti. Če preverjanje ni uspešno, se poročilo šteje za nepopolno ali nepravilno, kar lahko povzroči neveljavnost XBRL poročila.</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</si>
  <si>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</si>
  <si>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</si>
  <si>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</si>
  <si>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</si>
  <si>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</si>
  <si>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</si>
  <si>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</si>
  <si>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</si>
  <si>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</si>
  <si>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</si>
  <si>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</si>
  <si>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</si>
  <si>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Pretvorite to predlogo v Inline XBRL poročilo (ali XBRL-JSON, XBRL-CSV) s pomočjo spletnega pretvornika. Bodite pozorni na preverjanje pravilnosti XBRL, ki jo izvaja pretvornik.</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</si>
  <si>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</si>
  <si>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</si>
  <si>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</si>
  <si>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</si>
  <si>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</si>
  <si>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</si>
  <si>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</si>
  <si>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</si>
  <si>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</si>
  <si>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</si>
  <si>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</si>
  <si>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</si>
  <si>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Podjetje lahko poročilo naloži tudi v javne repozitorije ali na spletno stran.</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</si>
  <si>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</si>
  <si>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</si>
  <si>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</si>
  <si>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</si>
  <si>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</si>
  <si>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</si>
  <si>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</si>
  <si>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</si>
  <si>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</si>
  <si>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</si>
  <si>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</si>
  <si>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</si>
  <si>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Indeks barv ozadja polja: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</si>
  <si>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</si>
  <si>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</si>
  <si>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</si>
  <si>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</si>
  <si>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</si>
  <si>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</si>
  <si>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</si>
  <si>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</si>
  <si>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</si>
  <si>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</si>
  <si>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</si>
  <si>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</si>
  <si>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Splošna načela</t>
  </si>
  <si>
    <t xml:space="preserve">Principios generales
</t>
  </si>
  <si>
    <t>template_label_indicates_that_the_disclosure_is_from_the_general_principles_of_the_vs</t>
  </si>
  <si>
    <t>Indicates that the disclosure is from the general principles of the Voluntary Standard.</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</si>
  <si>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</si>
  <si>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</si>
  <si>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</si>
  <si>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</si>
  <si>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</si>
  <si>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</si>
  <si>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</si>
  <si>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</si>
  <si>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</si>
  <si>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Označuje, da razkritje izhaja iz splošnih načel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</si>
  <si>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</si>
  <si>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</si>
  <si>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</si>
  <si>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</si>
  <si>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</si>
  <si>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</si>
  <si>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</si>
  <si>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</si>
  <si>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</si>
  <si>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</si>
  <si>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</si>
  <si>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</si>
  <si>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Osnovni modul</t>
  </si>
  <si>
    <t>Módulo básico</t>
  </si>
  <si>
    <t>template_label_indicates_that_the_disclosure_is_from_the_vs_basic_module</t>
  </si>
  <si>
    <t>Indicates that the disclosure is from the Voluntary Standard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</si>
  <si>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</si>
  <si>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</si>
  <si>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</si>
  <si>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</si>
  <si>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</si>
  <si>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</si>
  <si>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</si>
  <si>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</si>
  <si>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</si>
  <si>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Označuje, da razkritje izhaja iz osnovnega modula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</si>
  <si>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</si>
  <si>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</si>
  <si>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</si>
  <si>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</si>
  <si>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</si>
  <si>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</si>
  <si>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</si>
  <si>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</si>
  <si>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</si>
  <si>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</si>
  <si>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</si>
  <si>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Celovit modul</t>
  </si>
  <si>
    <t>Módulo completo</t>
  </si>
  <si>
    <t>template_label_indicates_that_the_disclosure_is_from_the_vs_comprehensive_module</t>
  </si>
  <si>
    <t>Indicates that the disclosure is from the Voluntary Standard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</si>
  <si>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</si>
  <si>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</si>
  <si>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</si>
  <si>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</si>
  <si>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</si>
  <si>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</si>
  <si>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</si>
  <si>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</si>
  <si>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Označuje, da razkritje izhaja iz celovitega modula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</si>
  <si>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</si>
  <si>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</si>
  <si>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</si>
  <si>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</si>
  <si>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</si>
  <si>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</si>
  <si>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</si>
  <si>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</si>
  <si>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</si>
  <si>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</si>
  <si>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</si>
  <si>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Označuje, da se razkritje v polju izračuna samodejno in da vnos podatkov ni potreben.</t>
  </si>
  <si>
    <t xml:space="preserve">Indica que la celda se calcula automáticamente y que no se requiere introducir datos. 
</t>
  </si>
  <si>
    <t>template_label_indicates_that_the_datapoint_often_a_condition_will_not_be_included_in_the_vs_and_digital_xbrl_report</t>
  </si>
  <si>
    <t>Indicates that the datapoint (often a condition) will not be included in the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</si>
  <si>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</si>
  <si>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</si>
  <si>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</si>
  <si>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</si>
  <si>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</si>
  <si>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</si>
  <si>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</si>
  <si>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</si>
  <si>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</si>
  <si>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Označuje, da podatkovna točka (pogosto pogoj) ne bo vključena v poročilo VSME in digitalno poročilo XBRL. Ta polja so namenjene lažjemu izpolnjevanju razkritja, saj bodisi sprožijo primernost razkritja bodisi omogočajo samodejni izračun razkritja. Če se rumena polja ne uporabljajo za izračun vrednosti, se lahko skupni znesek, ki ga je treba razkriti, vnese ročno in prepiše s formulo.</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</si>
  <si>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</si>
  <si>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</si>
  <si>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</si>
  <si>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</si>
  <si>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</si>
  <si>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</si>
  <si>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</si>
  <si>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</si>
  <si>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</si>
  <si>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</si>
  <si>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</si>
  <si>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</si>
  <si>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Označuje, da vnos podatkov ni potreben, razen če so v samem razkritju izbrane določene logike. Ko je izbrana ena od teh logik, se ta polje obarva belo.</t>
  </si>
  <si>
    <t>Indica que no se requiere ninguna entrada de datos a menos que se seleccionen ciertas lógicas en la propia divulgación. Cuando se selecciona una de estas lógicas, entonces esta celda se pondrá blanca.</t>
  </si>
  <si>
    <t>template_label_validation_missing_value_error_value_inconsistency_invalid_url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</si>
  <si>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</si>
  <si>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</si>
  <si>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</si>
  <si>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</si>
  <si>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</si>
  <si>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</si>
  <si>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</si>
  <si>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</si>
  <si>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</si>
  <si>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</si>
  <si>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Preverjanje MANJKAJOČA VREDNOST/NAPAKA/NEKONSISTENTNA VREDNOST/NEVELJAVEN URL</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</si>
  <si>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</si>
  <si>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</si>
  <si>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</si>
  <si>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</si>
  <si>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</si>
  <si>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</si>
  <si>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</si>
  <si>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</si>
  <si>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</si>
  <si>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</si>
  <si>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</si>
  <si>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</si>
  <si>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Označuje, da je vnos podatkov napačni obliki ali da manjkajo določene informacije za pravilno poročanje informacij.</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</si>
  <si>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</si>
  <si>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</si>
  <si>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</si>
  <si>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</si>
  <si>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</si>
  <si>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</si>
  <si>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</si>
  <si>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</si>
  <si>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</si>
  <si>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</si>
  <si>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Preverjanje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</si>
  <si>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</si>
  <si>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</si>
  <si>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</si>
  <si>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</si>
  <si>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</si>
  <si>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</si>
  <si>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</si>
  <si>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</si>
  <si>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</si>
  <si>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</si>
  <si>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</si>
  <si>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</si>
  <si>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Označuje, da je vnos podatkov v redu in da lahko podjetje nadaljuje z naslednjim razkritjem.</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</si>
  <si>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</si>
  <si>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</si>
  <si>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</si>
  <si>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</si>
  <si>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</si>
  <si>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</si>
  <si>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</si>
  <si>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</si>
  <si>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</si>
  <si>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</si>
  <si>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</si>
  <si>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</si>
  <si>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Ovrednotenje ZAUPNIH ALI OBČUTLJIVIH INFORMACIJ</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</si>
  <si>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</si>
  <si>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</si>
  <si>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</si>
  <si>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</si>
  <si>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</si>
  <si>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</si>
  <si>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</si>
  <si>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</si>
  <si>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</si>
  <si>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</si>
  <si>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</si>
  <si>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</si>
  <si>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Označuje, da je podjetje izpustilo vnos podatkov, ker se štejejo za tajne ali občutljive informacije.</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</si>
  <si>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</si>
  <si>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</si>
  <si>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</si>
  <si>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</si>
  <si>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</si>
  <si>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</si>
  <si>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</si>
  <si>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</si>
  <si>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</si>
  <si>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</si>
  <si>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</si>
  <si>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</si>
  <si>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V polje ni mogoče vnesti nobene vrednosti.</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</si>
  <si>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</si>
  <si>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</si>
  <si>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</si>
  <si>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</si>
  <si>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</si>
  <si>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</si>
  <si>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</si>
  <si>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</si>
  <si>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</si>
  <si>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</si>
  <si>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</si>
  <si>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</si>
  <si>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Sezname lahko razširite z gumbom plus [+] na levi. Če število vrstic ni zadostno, lahko dodate dodatne vrstice tako, da z desno miškino tipko kliknete drugo vrstico in izberete »Vstavi vrstico«.</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</si>
  <si>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</si>
  <si>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</si>
  <si>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</si>
  <si>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</si>
  <si>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</si>
  <si>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</si>
  <si>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</si>
  <si>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</si>
  <si>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</si>
  <si>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</si>
  <si>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</si>
  <si>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</si>
  <si>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financira Evropska unija prek programa za enotni trg, v katerem sodelujejo države EEA-EFTA (Norveška, Islandija in Lihtenštajn) ter Kosovo. Vsa izražena stališča in mnenja pa so zgolj stališča avtorja(-jev) in ne odražajo nujno stališč Evropske unije, Evropske komisije ali držav, ki sodelujejo v programu za enotni trg. Niti Evropska unija, Evropska komisija niti države, ki sodelujejo v programu za enotni trg, ne morejo biti odgovorne zanje. © 2025 EFRAG Vse pravice pridržane.</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</si>
  <si>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</si>
  <si>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template_label_for_further_information_contact_email</t>
  </si>
  <si>
    <t>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</si>
  <si>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</si>
  <si>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</si>
  <si>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</si>
  <si>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</si>
  <si>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</si>
  <si>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</si>
  <si>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</si>
  <si>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</si>
  <si>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</si>
  <si>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Pravice do reprodukcije in uporabe so strogo omejene. Za več podrobnosti se obrnite na efragsecretariat@efrag.org.</t>
  </si>
  <si>
    <t xml:space="preserve">Los derechos de reproducción y uso están estrictamente limitados. Para más detalles, por favor contacte a efragsecretariat@efrag.org
</t>
  </si>
  <si>
    <t>template_narrative_content_provided_as_external_docx_file</t>
  </si>
  <si>
    <t>Narrative content provided as external DOCX file</t>
  </si>
  <si>
    <t>template_box_for_customizable_docx_files_for_narrative_disclosures</t>
  </si>
  <si>
    <t>Checking this box will allow users to customizable DOCX files for narrative disclosures</t>
  </si>
  <si>
    <t>Hvis du markerer denne boks, kan brugerne tilpasse DOCX-filer til narrative afsløringer</t>
  </si>
  <si>
    <t>Als du markerer denne boks, kan brugerne tilpasse DOCX-filer til narrative afsløringer</t>
  </si>
  <si>
    <t>template_label_microenterprise_validation</t>
  </si>
  <si>
    <t>MICROENTERPRISE: bemærk at få celler vil være gråtonede</t>
  </si>
  <si>
    <t>MICROENTERPRISE : bemærk at få celler vil være gråtonede</t>
  </si>
  <si>
    <t>MICROENTERPRISE : bemærk at få celler vil være gråtonede</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</si>
  <si>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</si>
  <si>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</si>
  <si>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</si>
  <si>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</si>
  <si>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</si>
  <si>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</si>
  <si>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</si>
  <si>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</si>
  <si>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</si>
  <si>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</si>
  <si>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</si>
  <si>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Z izpolnjevanjem spodnjih polj se bo samodejno izpolnil seznam izpuščenih razkritij v B1 (od vrstice 123 do 172 v listu Splošne informacije)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</si>
  <si>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</si>
  <si>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</si>
  <si>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</si>
  <si>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</si>
  <si>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</si>
  <si>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</si>
  <si>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</si>
  <si>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</si>
  <si>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</si>
  <si>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</si>
  <si>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</si>
  <si>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</si>
  <si>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Splošno stanje validacije</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</si>
  <si>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</si>
  <si>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</si>
  <si>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</si>
  <si>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</si>
  <si>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</si>
  <si>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</si>
  <si>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</si>
  <si>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</si>
  <si>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</si>
  <si>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</si>
  <si>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</si>
  <si>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</si>
  <si>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</si>
  <si>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</si>
  <si>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</si>
  <si>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</si>
  <si>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Zaupne ali občutljive informacije</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</si>
  <si>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</si>
  <si>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</si>
  <si>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</si>
  <si>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</si>
  <si>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</si>
  <si>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</si>
  <si>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</si>
  <si>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</si>
  <si>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</si>
  <si>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</si>
  <si>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</si>
  <si>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</si>
  <si>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Združevanje vsebin v skupine sledi strukturi predloge</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</si>
  <si>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</si>
  <si>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</si>
  <si>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</si>
  <si>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</si>
  <si>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</si>
  <si>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</si>
  <si>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</si>
  <si>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</si>
  <si>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</si>
  <si>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</si>
  <si>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</si>
  <si>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</si>
  <si>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Stanje preverjanja specifične vsebine</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</si>
  <si>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</si>
  <si>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</si>
  <si>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</si>
  <si>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</si>
  <si>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</si>
  <si>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</si>
  <si>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</si>
  <si>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</si>
  <si>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</si>
  <si>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</si>
  <si>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</si>
  <si>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</si>
  <si>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Splošne informacije</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</si>
  <si>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</si>
  <si>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</si>
  <si>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</si>
  <si>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</si>
  <si>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</si>
  <si>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</si>
  <si>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</si>
  <si>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</si>
  <si>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</si>
  <si>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</si>
  <si>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</si>
  <si>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</si>
  <si>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Informacije o poročilu, potrebne za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</si>
  <si>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</si>
  <si>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</si>
  <si>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</si>
  <si>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</si>
  <si>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</si>
  <si>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</si>
  <si>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</si>
  <si>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</si>
  <si>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</si>
  <si>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</si>
  <si>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</si>
  <si>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</si>
  <si>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Podatki o preteklem poročevalskem obdobju</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</si>
  <si>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</si>
  <si>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</si>
  <si>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</si>
  <si>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</si>
  <si>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</si>
  <si>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</si>
  <si>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</si>
  <si>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</si>
  <si>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</si>
  <si>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</si>
  <si>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</si>
  <si>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</si>
  <si>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</si>
  <si>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</si>
  <si>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Osnova za pripravo</t>
  </si>
  <si>
    <t>B1 – Base para la elaboración</t>
  </si>
  <si>
    <t>template_label_b2_practices_policies_and_future_initiatives_for_transitioning_towards_a_more_sustainable_economy_validation</t>
  </si>
  <si>
    <t xml:space="preserve">B2 - Practices, policies and future initiatives for transitioning towards a more sustainable economy </t>
  </si>
  <si>
    <t xml:space="preserve">B2 - Praksisser, politikker og fremtidige initiativer for omstilling til en mere bæredygtig økonomi </t>
  </si>
  <si>
    <t xml:space="preserve">B2 — Praktijken, beleid en toekomstige initiatieven voor de transitie naar een duurzamere economie </t>
  </si>
  <si>
    <t xml:space="preserve">B2 – Pratiques, politiques et initiatives futures en vue de la transition vers une économie plus durable </t>
  </si>
  <si>
    <t xml:space="preserve">B2 - Verfahrensweisen, Richtlinien und künftige Initiativen für den Übergang zu einer nachhaltigeren Wirtschaft </t>
  </si>
  <si>
    <t xml:space="preserve">B2 - Cleachtais, beartais agus tionscnaimh amach anseo chun aistriú i dtreo geilleagar níos inbhuanaithe </t>
  </si>
  <si>
    <t xml:space="preserve">B2 - Pratiche, politiche e iniziative future per la transizione verso un'economia più sostenibile </t>
  </si>
  <si>
    <t xml:space="preserve">B2 - Praktikos, politikos ir būsimos iniciatyvos pereinant prie tvaresnės ekonomikos </t>
  </si>
  <si>
    <t xml:space="preserve">B2 – Praktyki, polityki i przyszłe inicjatywy na rzecz przejścia na bardziej zrównoważoną gospodarkę </t>
  </si>
  <si>
    <t xml:space="preserve">B2 — Práticas, políticas e iniciativas futuras para a transição para uma economia mais sustentável </t>
  </si>
  <si>
    <t>B2 - Prakse, politike in prihodnje pobude za prehod na bolj trajnostno gospodarstvo</t>
  </si>
  <si>
    <t xml:space="preserve">B2 – Prácticas, políticas e iniciativas futuras para la transición hacia una economía más sostenible </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</si>
  <si>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</si>
  <si>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</si>
  <si>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</si>
  <si>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</si>
  <si>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</si>
  <si>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</si>
  <si>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</si>
  <si>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</si>
  <si>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</si>
  <si>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</si>
  <si>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</si>
  <si>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Okoljska razkritja</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</si>
  <si>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</si>
  <si>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</si>
  <si>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</si>
  <si>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</si>
  <si>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</si>
  <si>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</si>
  <si>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</si>
  <si>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</si>
  <si>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</si>
  <si>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</si>
  <si>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</si>
  <si>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</si>
  <si>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Energija in emisije toplogrednih plinov</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</si>
  <si>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</si>
  <si>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</si>
  <si>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</si>
  <si>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</si>
  <si>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</si>
  <si>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</si>
  <si>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</si>
  <si>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</si>
  <si>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</si>
  <si>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</si>
  <si>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</si>
  <si>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</si>
  <si>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Onesnaževanje zraka, vode in tal</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</si>
  <si>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</si>
  <si>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</si>
  <si>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</si>
  <si>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</si>
  <si>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</si>
  <si>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</si>
  <si>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</si>
  <si>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</si>
  <si>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</si>
  <si>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</si>
  <si>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</si>
  <si>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</si>
  <si>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Biotska raznovrstnost</t>
  </si>
  <si>
    <t>B5 – Biodiversidad</t>
  </si>
  <si>
    <t>template_label_b6_water_validation</t>
  </si>
  <si>
    <t>B6 - Water</t>
  </si>
  <si>
    <t>B6 – Vand</t>
  </si>
  <si>
    <t>B6 — Water</t>
  </si>
  <si>
    <t>B6 – Eau</t>
  </si>
  <si>
    <t>B6 - Wasser</t>
  </si>
  <si>
    <t>B6 - Uisce</t>
  </si>
  <si>
    <t>B6 –   Acque</t>
  </si>
  <si>
    <t>B6 – Vanduo</t>
  </si>
  <si>
    <t>B6 – Woda</t>
  </si>
  <si>
    <t>B6 – Água</t>
  </si>
  <si>
    <t>B6 - Voda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</si>
  <si>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</si>
  <si>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</si>
  <si>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</si>
  <si>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</si>
  <si>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</si>
  <si>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</si>
  <si>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</si>
  <si>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</si>
  <si>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</si>
  <si>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</si>
  <si>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</si>
  <si>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</si>
  <si>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Raba virov, krožno gospodarstvo in ravnanje z odpadki</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</si>
  <si>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</si>
  <si>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</si>
  <si>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</si>
  <si>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</si>
  <si>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</si>
  <si>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</si>
  <si>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</si>
  <si>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</si>
  <si>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</si>
  <si>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</si>
  <si>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</si>
  <si>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</si>
  <si>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Družbena razkritja</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</si>
  <si>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</si>
  <si>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</si>
  <si>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</si>
  <si>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</si>
  <si>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</si>
  <si>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</si>
  <si>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</si>
  <si>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</si>
  <si>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</si>
  <si>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</si>
  <si>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</si>
  <si>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</si>
  <si>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Delovna sila - Splošne značilnosti</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</si>
  <si>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</si>
  <si>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</si>
  <si>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</si>
  <si>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</si>
  <si>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</si>
  <si>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</si>
  <si>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</si>
  <si>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</si>
  <si>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</si>
  <si>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</si>
  <si>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</si>
  <si>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</si>
  <si>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Delovna sila – Zdravje in varnost</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</si>
  <si>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</si>
  <si>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</si>
  <si>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</si>
  <si>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</si>
  <si>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</si>
  <si>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</si>
  <si>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</si>
  <si>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</si>
  <si>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</si>
  <si>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</si>
  <si>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</si>
  <si>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</si>
  <si>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Delovna sila – Plačilo, kolektivna pogajanja in usposabljanje</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</si>
  <si>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</si>
  <si>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</si>
  <si>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</si>
  <si>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</si>
  <si>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</si>
  <si>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</si>
  <si>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</si>
  <si>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</si>
  <si>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</si>
  <si>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</si>
  <si>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</si>
  <si>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</si>
  <si>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Upravljavska razkritja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</si>
  <si>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</si>
  <si>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</si>
  <si>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</si>
  <si>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</si>
  <si>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</si>
  <si>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</si>
  <si>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</si>
  <si>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</si>
  <si>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</si>
  <si>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</si>
  <si>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</si>
  <si>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</si>
  <si>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Obsodbe in globe za korupcijo in podkupovanje</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</si>
  <si>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</si>
  <si>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</si>
  <si>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</si>
  <si>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</si>
  <si>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</si>
  <si>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</si>
  <si>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</si>
  <si>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</si>
  <si>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</si>
  <si>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</si>
  <si>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</si>
  <si>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</si>
  <si>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</si>
  <si>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</si>
  <si>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</si>
  <si>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</si>
  <si>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</si>
  <si>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Strategija: Poslovni model in trajnostnost – povezane pobude</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</si>
  <si>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</si>
  <si>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</si>
  <si>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</si>
  <si>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</si>
  <si>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</si>
  <si>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</si>
  <si>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</si>
  <si>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</si>
  <si>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</si>
  <si>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</si>
  <si>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</si>
  <si>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</si>
  <si>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Opis praks, politik in prihodnjih pobud za prehod na bolj trajnostno gospodarstvo</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</si>
  <si>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</si>
  <si>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</si>
  <si>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</si>
  <si>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</si>
  <si>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</si>
  <si>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</si>
  <si>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</si>
  <si>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</si>
  <si>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</si>
  <si>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</si>
  <si>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</si>
  <si>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</si>
  <si>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Cilji zmanjšanja emisij toplogrednih plinov in podnebni prehod</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</si>
  <si>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</si>
  <si>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</si>
  <si>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</si>
  <si>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</si>
  <si>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</si>
  <si>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</si>
  <si>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</si>
  <si>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</si>
  <si>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</si>
  <si>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</si>
  <si>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</si>
  <si>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</si>
  <si>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Podnebna tveganja</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</si>
  <si>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</si>
  <si>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</si>
  <si>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</si>
  <si>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</si>
  <si>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</si>
  <si>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</si>
  <si>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</si>
  <si>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</si>
  <si>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</si>
  <si>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</si>
  <si>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</si>
  <si>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</si>
  <si>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Dodatne (splošne) značilnosti delovne sile</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</si>
  <si>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</si>
  <si>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</si>
  <si>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</si>
  <si>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</si>
  <si>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</si>
  <si>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</si>
  <si>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</si>
  <si>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</si>
  <si>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</si>
  <si>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</si>
  <si>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</si>
  <si>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</si>
  <si>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Dodatne informacije o lastni delovni sili - Politika in postopki na področju človekovih pravic</t>
  </si>
  <si>
    <t>C6 – Información adicional sobre el personal propio – Políticas y procesos en materia de derechos humanos</t>
  </si>
  <si>
    <t>template_label_c7_human_rights_incidents_validation</t>
  </si>
  <si>
    <t>C7 -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</si>
  <si>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</si>
  <si>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</si>
  <si>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</si>
  <si>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</si>
  <si>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</si>
  <si>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</si>
  <si>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</si>
  <si>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</si>
  <si>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</si>
  <si>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Resni incidenti v zvezi s človekovimi pravicami</t>
  </si>
  <si>
    <t>C7 - Incidentes graves negativos de derechos humanos</t>
  </si>
  <si>
    <t>template_label_c8_revenues_from_certain_activities_validation</t>
  </si>
  <si>
    <t>C8 - Revenues from certain activities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</si>
  <si>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</si>
  <si>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</si>
  <si>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</si>
  <si>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</si>
  <si>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</si>
  <si>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</si>
  <si>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</si>
  <si>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</si>
  <si>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</si>
  <si>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Prihodki iz dejavnosti in izključitev iz referenčnih vrednosti EU</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</si>
  <si>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</si>
  <si>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</si>
  <si>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</si>
  <si>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</si>
  <si>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</si>
  <si>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</si>
  <si>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</si>
  <si>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</si>
  <si>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</si>
  <si>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</si>
  <si>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</si>
  <si>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</si>
  <si>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Razmerje pri zastopanosti spolov v organu upravljanja</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</si>
  <si>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</si>
  <si>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</si>
  <si>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</si>
  <si>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</si>
  <si>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</si>
  <si>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</si>
  <si>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</si>
  <si>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</si>
  <si>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</si>
  <si>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</si>
  <si>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</si>
  <si>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</si>
  <si>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Dodatna razkritja</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</si>
  <si>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</si>
  <si>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</si>
  <si>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</si>
  <si>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</si>
  <si>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</si>
  <si>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</si>
  <si>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</si>
  <si>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</si>
  <si>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</si>
  <si>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</si>
  <si>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</si>
  <si>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Sklic na odstavek</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</si>
  <si>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</si>
  <si>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</si>
  <si>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</si>
  <si>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</si>
  <si>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</si>
  <si>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</si>
  <si>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</si>
  <si>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</si>
  <si>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</si>
  <si>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</si>
  <si>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</si>
  <si>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Sklic na smernice za odstavke</t>
  </si>
  <si>
    <t>Referencia al párrafo de la Guía</t>
  </si>
  <si>
    <t>template_label_from</t>
  </si>
  <si>
    <t>from</t>
  </si>
  <si>
    <t>fra</t>
  </si>
  <si>
    <t>van</t>
  </si>
  <si>
    <t>du</t>
  </si>
  <si>
    <t>vom</t>
  </si>
  <si>
    <t>ó</t>
  </si>
  <si>
    <t>iš</t>
  </si>
  <si>
    <t>z</t>
  </si>
  <si>
    <t>od</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</si>
  <si>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</si>
  <si>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</si>
  <si>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</si>
  <si>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</si>
  <si>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</si>
  <si>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</si>
  <si>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</si>
  <si>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</si>
  <si>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</si>
  <si>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</si>
  <si>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</si>
  <si>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</si>
  <si>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</si>
  <si>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</si>
  <si>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</si>
  <si>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</si>
  <si>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</si>
  <si>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</si>
  <si>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</si>
  <si>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</si>
  <si>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</si>
  <si>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pri</t>
  </si>
  <si>
    <t>template_label_amount_in</t>
  </si>
  <si>
    <t>amount in</t>
  </si>
  <si>
    <t xml:space="preserve">
beløb i
</t>
  </si>
  <si>
    <t>bedrag in</t>
  </si>
  <si>
    <t>montant en</t>
  </si>
  <si>
    <t>Betrag in</t>
  </si>
  <si>
    <t>méid i</t>
  </si>
  <si>
    <t>importo in</t>
  </si>
  <si>
    <t>kiekis/suma</t>
  </si>
  <si>
    <t>kwota w</t>
  </si>
  <si>
    <t>montante em</t>
  </si>
  <si>
    <t>znesek v</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</si>
  <si>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</si>
  <si>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</si>
  <si>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</si>
  <si>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</si>
  <si>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</si>
  <si>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</si>
  <si>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</si>
  <si>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</si>
  <si>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</si>
  <si>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</si>
  <si>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</si>
  <si>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</si>
  <si>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</si>
  <si>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</si>
  <si>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</si>
  <si>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</si>
  <si>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</si>
  <si>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Ime podjetja, ki je poslalo poročilo</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</si>
  <si>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</si>
  <si>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</si>
  <si>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</si>
  <si>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</si>
  <si>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</si>
  <si>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</si>
  <si>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</si>
  <si>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</si>
  <si>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</si>
  <si>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</si>
  <si>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</si>
  <si>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Identifikacijska številka podjetja, ki poroča (izberite in navedite na desni)</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</si>
  <si>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</si>
  <si>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</si>
  <si>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</si>
  <si>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</si>
  <si>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</si>
  <si>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</si>
  <si>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</si>
  <si>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</si>
  <si>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</si>
  <si>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</si>
  <si>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</si>
  <si>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</si>
  <si>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Valuta denarnih vrednosti v poročilu</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</si>
  <si>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</si>
  <si>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</si>
  <si>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</si>
  <si>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</si>
  <si>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</si>
  <si>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</si>
  <si>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</si>
  <si>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</si>
  <si>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</si>
  <si>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</si>
  <si>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</si>
  <si>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</si>
  <si>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Začetno leto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</si>
  <si>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</si>
  <si>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</si>
  <si>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</si>
  <si>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</si>
  <si>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</si>
  <si>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</si>
  <si>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</si>
  <si>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</si>
  <si>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</si>
  <si>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</si>
  <si>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</si>
  <si>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</si>
  <si>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Začetni mesec</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</si>
  <si>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</si>
  <si>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</si>
  <si>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</si>
  <si>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</si>
  <si>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</si>
  <si>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</si>
  <si>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</si>
  <si>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</si>
  <si>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</si>
  <si>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</si>
  <si>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</si>
  <si>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</si>
  <si>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Začetni dan</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</si>
  <si>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</si>
  <si>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</si>
  <si>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</si>
  <si>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</si>
  <si>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</si>
  <si>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</si>
  <si>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</si>
  <si>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</si>
  <si>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</si>
  <si>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</si>
  <si>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</si>
  <si>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</si>
  <si>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Začetni datum poročevalskega obdobja (llll-mm-dd)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</si>
  <si>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</si>
  <si>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</si>
  <si>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</si>
  <si>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</si>
  <si>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</si>
  <si>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</si>
  <si>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</si>
  <si>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</si>
  <si>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</si>
  <si>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</si>
  <si>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</si>
  <si>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</si>
  <si>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Končno leto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</si>
  <si>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</si>
  <si>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</si>
  <si>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</si>
  <si>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</si>
  <si>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</si>
  <si>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</si>
  <si>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</si>
  <si>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</si>
  <si>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</si>
  <si>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</si>
  <si>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</si>
  <si>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</si>
  <si>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Končni mesec</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</si>
  <si>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</si>
  <si>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</si>
  <si>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</si>
  <si>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</si>
  <si>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</si>
  <si>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</si>
  <si>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</si>
  <si>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</si>
  <si>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</si>
  <si>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</si>
  <si>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</si>
  <si>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Končni dan</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</si>
  <si>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</si>
  <si>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</si>
  <si>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</si>
  <si>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</si>
  <si>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</si>
  <si>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</si>
  <si>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</si>
  <si>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</si>
  <si>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</si>
  <si>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</si>
  <si>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</si>
  <si>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</si>
  <si>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Končni datum poročevalskega obdobja (llll-mm-dd)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</si>
  <si>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</si>
  <si>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</si>
  <si>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</si>
  <si>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</si>
  <si>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</si>
  <si>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</si>
  <si>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</si>
  <si>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</si>
  <si>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</si>
  <si>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</si>
  <si>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</si>
  <si>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</si>
  <si>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</si>
  <si>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</si>
  <si>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</si>
  <si>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</si>
  <si>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To poročilo vsebuje razkritja iz prejšnjega poročilnega obdobja, ki ostajajo nespremenjena.</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</si>
  <si>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</si>
  <si>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</si>
  <si>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</si>
  <si>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</si>
  <si>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</si>
  <si>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</si>
  <si>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</si>
  <si>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</si>
  <si>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</si>
  <si>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</si>
  <si>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</si>
  <si>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</si>
  <si>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Seznam razkritij, za katera ni bilo sprememb v primerjavi s poročilom iz prejšnjega obdobja</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</si>
  <si>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</si>
  <si>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</si>
  <si>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</si>
  <si>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</si>
  <si>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</si>
  <si>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</si>
  <si>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</si>
  <si>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</si>
  <si>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</si>
  <si>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</si>
  <si>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</si>
  <si>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</si>
  <si>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Povezava do prejšnjega poročila z razkritji, ki ostajajo nespremenjena</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</si>
  <si>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</si>
  <si>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</si>
  <si>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</si>
  <si>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</si>
  <si>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</si>
  <si>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</si>
  <si>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</si>
  <si>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</si>
  <si>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</si>
  <si>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</si>
  <si>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</si>
  <si>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</si>
  <si>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Osnova za pripravo in modul</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</si>
  <si>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</si>
  <si>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</si>
  <si>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</si>
  <si>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</si>
  <si>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</si>
  <si>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</si>
  <si>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</si>
  <si>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</si>
  <si>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</si>
  <si>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</si>
  <si>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</si>
  <si>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</si>
  <si>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Splošne informacije o drugih podjetjih</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</si>
  <si>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</si>
  <si>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</si>
  <si>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</si>
  <si>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</si>
  <si>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</si>
  <si>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</si>
  <si>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</si>
  <si>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</si>
  <si>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</si>
  <si>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</si>
  <si>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</si>
  <si>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</si>
  <si>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Osnova za pripravo (samo osnovni modul ali osnovni in celovit modul)</t>
  </si>
  <si>
    <t>Base para la preparación (Solo Módulo Básico o Módulo Básico y Comprensivo)</t>
  </si>
  <si>
    <t>template_label_statement_of_compliance</t>
  </si>
  <si>
    <t xml:space="preserve">Explicit statement of compliance </t>
  </si>
  <si>
    <t>template_label_list_of_omitted_disclosures</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</si>
  <si>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</si>
  <si>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</si>
  <si>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</si>
  <si>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</si>
  <si>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nochtaí fágtha ar lár a mheastar a bheith faoi rún nó ina bhfaisnéis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</si>
  <si>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</si>
  <si>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</si>
  <si>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</si>
  <si>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</si>
  <si>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Seznam izpuščenih razkritij, ki vsebujejo tajne ali občutljive podatke</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</si>
  <si>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</si>
  <si>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</si>
  <si>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</si>
  <si>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</si>
  <si>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</si>
  <si>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</si>
  <si>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</si>
  <si>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</si>
  <si>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</si>
  <si>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</si>
  <si>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</si>
  <si>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</si>
  <si>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Osnova za poročilo (konsolidirana ali individualna osnova)</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</si>
  <si>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</si>
  <si>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</si>
  <si>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</si>
  <si>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</si>
  <si>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</si>
  <si>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</si>
  <si>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</si>
  <si>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</si>
  <si>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</si>
  <si>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</si>
  <si>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</si>
  <si>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</si>
  <si>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Pravna oblika podjetja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</si>
  <si>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</si>
  <si>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</si>
  <si>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</si>
  <si>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</si>
  <si>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</si>
  <si>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</si>
  <si>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</si>
  <si>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</si>
  <si>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</si>
  <si>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</si>
  <si>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</si>
  <si>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</si>
  <si>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Specifikacija druge pravne oblike podjetja</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</si>
  <si>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</si>
  <si>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</si>
  <si>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</si>
  <si>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</si>
  <si>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</si>
  <si>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</si>
  <si>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</si>
  <si>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</si>
  <si>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</si>
  <si>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</si>
  <si>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</si>
  <si>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</si>
  <si>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Koda(-e) sektorske klasifikacije NACE</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</si>
  <si>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</si>
  <si>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</si>
  <si>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</si>
  <si>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</si>
  <si>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</si>
  <si>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</si>
  <si>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</si>
  <si>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</si>
  <si>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</si>
  <si>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</si>
  <si>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</si>
  <si>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</si>
  <si>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Velikost bilančni sredstev (skupna sredstva v</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</si>
  <si>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</si>
  <si>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</si>
  <si>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</si>
  <si>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</si>
  <si>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</si>
  <si>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</si>
  <si>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</si>
  <si>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</si>
  <si>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</si>
  <si>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</si>
  <si>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</si>
  <si>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</si>
  <si>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Promet v</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</si>
  <si>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</si>
  <si>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</si>
  <si>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</si>
  <si>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</si>
  <si>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</si>
  <si>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</si>
  <si>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</si>
  <si>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</si>
  <si>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</si>
  <si>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</si>
  <si>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</si>
  <si>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</si>
  <si>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Število zaposlenih</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</si>
  <si>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</si>
  <si>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</si>
  <si>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</si>
  <si>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</si>
  <si>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</si>
  <si>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</si>
  <si>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</si>
  <si>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</si>
  <si>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</si>
  <si>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</si>
  <si>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</si>
  <si>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</si>
  <si>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Metodologija štetja zaposlenih (ob koncu obdobja zaposlovanja ali kot povprečje v obdobju zaposlovanja)</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</si>
  <si>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</si>
  <si>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</si>
  <si>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</si>
  <si>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</si>
  <si>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</si>
  <si>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</si>
  <si>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</si>
  <si>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</si>
  <si>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</si>
  <si>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</si>
  <si>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</si>
  <si>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</si>
  <si>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Metodologija štetja zaposlenih (število zaposlenih ali ekvivalent polnega delovnega časa)</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</si>
  <si>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</si>
  <si>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</si>
  <si>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</si>
  <si>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</si>
  <si>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</si>
  <si>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</si>
  <si>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</si>
  <si>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</si>
  <si>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</si>
  <si>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</si>
  <si>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</si>
  <si>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</si>
  <si>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Država glavnih dejavnosti in lokacija pomembnega(-ih) sredstva(-ov)</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</si>
  <si>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</si>
  <si>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</si>
  <si>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</si>
  <si>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</si>
  <si>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</si>
  <si>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</si>
  <si>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</si>
  <si>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</si>
  <si>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</si>
  <si>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</si>
  <si>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</si>
  <si>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</si>
  <si>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Seznam odvisnih družb</t>
  </si>
  <si>
    <t>B1 - Lista de filiales</t>
  </si>
  <si>
    <t>template_label_id</t>
  </si>
  <si>
    <t>ID</t>
  </si>
  <si>
    <t>Nr.</t>
  </si>
  <si>
    <t>Aitheantas</t>
  </si>
  <si>
    <t>template_label_name</t>
  </si>
  <si>
    <t>Name</t>
  </si>
  <si>
    <t>Navn</t>
  </si>
  <si>
    <t>Naam</t>
  </si>
  <si>
    <t>Nom</t>
  </si>
  <si>
    <t>Ainm</t>
  </si>
  <si>
    <t>Nome</t>
  </si>
  <si>
    <t>Pavadinimas</t>
  </si>
  <si>
    <t>Nazwa</t>
  </si>
  <si>
    <t>Ime</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</si>
  <si>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</si>
  <si>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</si>
  <si>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</si>
  <si>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</si>
  <si>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</si>
  <si>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</si>
  <si>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</si>
  <si>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</si>
  <si>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</si>
  <si>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</si>
  <si>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</si>
  <si>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</si>
  <si>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Registrirani naslov</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</si>
  <si>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</si>
  <si>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</si>
  <si>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</si>
  <si>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</si>
  <si>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</si>
  <si>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</si>
  <si>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</si>
  <si>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</si>
  <si>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</si>
  <si>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</si>
  <si>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</si>
  <si>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</si>
  <si>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Razkritje certifikata(-ov) ali oznake(-) v zvezi s trajnostjo</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</si>
  <si>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</si>
  <si>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</si>
  <si>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</si>
  <si>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</si>
  <si>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</si>
  <si>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</si>
  <si>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</si>
  <si>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</si>
  <si>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</si>
  <si>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</si>
  <si>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</si>
  <si>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</si>
  <si>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Ali je podjetje pridobilo kakršne koli certifikate ali oznake, povezane s trajnostjo?</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</si>
  <si>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</si>
  <si>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</si>
  <si>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</si>
  <si>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</si>
  <si>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</si>
  <si>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</si>
  <si>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</si>
  <si>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</si>
  <si>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</si>
  <si>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</si>
  <si>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</si>
  <si>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</si>
  <si>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 xml:space="preserve">Opis certifikata(-ov) ali oznake(-) v zvezi s trajnostjo, vključno z izdajatelji certifikata(-ov) ali oznake(-), datumom in oceno, kjer je to primerno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</si>
  <si>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</si>
  <si>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</si>
  <si>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</si>
  <si>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</si>
  <si>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</si>
  <si>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</si>
  <si>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</si>
  <si>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</si>
  <si>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</si>
  <si>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</si>
  <si>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</si>
  <si>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</si>
  <si>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Seznam lokacij</t>
  </si>
  <si>
    <t>B1 - Listado de emplazamiento(s)</t>
  </si>
  <si>
    <t>template_label_address</t>
  </si>
  <si>
    <t>Address</t>
  </si>
  <si>
    <t>Adresse</t>
  </si>
  <si>
    <t>Adres</t>
  </si>
  <si>
    <t>Seoladh</t>
  </si>
  <si>
    <t>Indirizzo</t>
  </si>
  <si>
    <t>Adresas</t>
  </si>
  <si>
    <t>Morada</t>
  </si>
  <si>
    <t>Naslov</t>
  </si>
  <si>
    <t>Dirección</t>
  </si>
  <si>
    <t>template_label_postal_code</t>
  </si>
  <si>
    <t>Postal code</t>
  </si>
  <si>
    <t>Postnummer</t>
  </si>
  <si>
    <t>Postcode</t>
  </si>
  <si>
    <t>Code postal</t>
  </si>
  <si>
    <t>Postleitzahl</t>
  </si>
  <si>
    <t>Cód poist / Éirchód</t>
  </si>
  <si>
    <t>Codice postale</t>
  </si>
  <si>
    <t>Pašto kodas</t>
  </si>
  <si>
    <t>Kod pocztowy</t>
  </si>
  <si>
    <t>Código postal</t>
  </si>
  <si>
    <t>Poštna številka</t>
  </si>
  <si>
    <t>template_label_city</t>
  </si>
  <si>
    <t>City</t>
  </si>
  <si>
    <t>By</t>
  </si>
  <si>
    <t>Stad</t>
  </si>
  <si>
    <t>Ville</t>
  </si>
  <si>
    <t xml:space="preserve">Stadt
</t>
  </si>
  <si>
    <t>Cathair</t>
  </si>
  <si>
    <t>Città</t>
  </si>
  <si>
    <t xml:space="preserve">Miestas
</t>
  </si>
  <si>
    <t>Miasto</t>
  </si>
  <si>
    <t>Cidade</t>
  </si>
  <si>
    <t>Mesto</t>
  </si>
  <si>
    <t>Ciudad</t>
  </si>
  <si>
    <t>template_label_country</t>
  </si>
  <si>
    <t>Country</t>
  </si>
  <si>
    <t>Land</t>
  </si>
  <si>
    <t>Pays</t>
  </si>
  <si>
    <t>Tír</t>
  </si>
  <si>
    <t>Paese</t>
  </si>
  <si>
    <t>Šalis</t>
  </si>
  <si>
    <t>Kraj</t>
  </si>
  <si>
    <t>País</t>
  </si>
  <si>
    <t>Država</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</si>
  <si>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</si>
  <si>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</si>
  <si>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</si>
  <si>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</si>
  <si>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</si>
  <si>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</si>
  <si>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</si>
  <si>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</si>
  <si>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</si>
  <si>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</si>
  <si>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</si>
  <si>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GPS koordinate (geolokacija)</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</si>
  <si>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</si>
  <si>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</si>
  <si>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</si>
  <si>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</si>
  <si>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</si>
  <si>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</si>
  <si>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</si>
  <si>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</si>
  <si>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</si>
  <si>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</si>
  <si>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</si>
  <si>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</si>
  <si>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Samodejna geolokacija: z omogočanjem samodejne geolokacije OpenStreetMaps s potrditvenim poljem pod njim podjetje izjavlja, da se v celoti zaveda in sprejema Pravilnik o uporabi in Pravilnik o zasebnosti Neminatim. OpenStreetMap® je odprti podatki, licencirani v skladu z licenco Open Data Commons Open Database License (ODbL) fundacije OpenStreetMap Foundation (OSMF). Vsi podatki pripadajo in so last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</si>
  <si>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</si>
  <si>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</si>
  <si>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</si>
  <si>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</si>
  <si>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</si>
  <si>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</si>
  <si>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</si>
  <si>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</si>
  <si>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</si>
  <si>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</si>
  <si>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</si>
  <si>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</si>
  <si>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Prakse, politik in prihodnje pobude za prehod na bolj trajnostno gospodarstvo</t>
  </si>
  <si>
    <t>B2 – Prácticas, políticas e iniciativas futuras para la transición hacia una economía más sostenible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</si>
  <si>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</si>
  <si>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</si>
  <si>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</si>
  <si>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</si>
  <si>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</si>
  <si>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</si>
  <si>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</si>
  <si>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</si>
  <si>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</si>
  <si>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</si>
  <si>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</si>
  <si>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Ali je podjetje uvedlo posebne prakse, politike in/ali prihodnje pobude za prehod na bolj trajnostno gospodarstvo?</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</si>
  <si>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</si>
  <si>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</si>
  <si>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</si>
  <si>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</si>
  <si>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</si>
  <si>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</si>
  <si>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</si>
  <si>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</si>
  <si>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</si>
  <si>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</si>
  <si>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</si>
  <si>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</si>
  <si>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Vprašanja v zvezi s trajnostnostjo, ki jih obravnava politika, prakse in/ali prihodnje pobude, ki jih je podjetje uvedlo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</si>
  <si>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</si>
  <si>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</si>
  <si>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</si>
  <si>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</si>
  <si>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</si>
  <si>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</si>
  <si>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</si>
  <si>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</si>
  <si>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</si>
  <si>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</si>
  <si>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</si>
  <si>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</si>
  <si>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Podjetje ima javno dostopno politiko delovanja in/ali prihodnjo pobudo.</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</si>
  <si>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</si>
  <si>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</si>
  <si>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</si>
  <si>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</si>
  <si>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</si>
  <si>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</si>
  <si>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</si>
  <si>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</si>
  <si>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</si>
  <si>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</si>
  <si>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</si>
  <si>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</si>
  <si>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Podjetje si je zastavilo cilj, ki je povezan s politiko</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</si>
  <si>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</si>
  <si>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</si>
  <si>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</si>
  <si>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</si>
  <si>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</si>
  <si>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</si>
  <si>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</si>
  <si>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</si>
  <si>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</si>
  <si>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</si>
  <si>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</si>
  <si>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Podnebne spremembe</t>
  </si>
  <si>
    <t>Cambio climático</t>
  </si>
  <si>
    <t>template_label_pollution</t>
  </si>
  <si>
    <t xml:space="preserve">Forurening </t>
  </si>
  <si>
    <t>Verontreiniging</t>
  </si>
  <si>
    <t>Umweltverschmutzung</t>
  </si>
  <si>
    <t>Truailliú</t>
  </si>
  <si>
    <t>Inquinamento</t>
  </si>
  <si>
    <t>Tarša</t>
  </si>
  <si>
    <t>Zanieczyszczenie</t>
  </si>
  <si>
    <t>Poluição</t>
  </si>
  <si>
    <t>Onesnaženje</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</si>
  <si>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</si>
  <si>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</si>
  <si>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</si>
  <si>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</si>
  <si>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</si>
  <si>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</si>
  <si>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</si>
  <si>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</si>
  <si>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</si>
  <si>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</si>
  <si>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</si>
  <si>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Vodni in morski viri</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</si>
  <si>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</si>
  <si>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</si>
  <si>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</si>
  <si>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</si>
  <si>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</si>
  <si>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</si>
  <si>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</si>
  <si>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</si>
  <si>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</si>
  <si>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</si>
  <si>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</si>
  <si>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Biotska raznovrstnost in ekosistemi</t>
  </si>
  <si>
    <t>Biodiversidad y ecosistemas</t>
  </si>
  <si>
    <t>template_label_circular_economy_and_resource_use</t>
  </si>
  <si>
    <t>Circular economy and Resource Use</t>
  </si>
  <si>
    <t>Cirkulær økonomi</t>
  </si>
  <si>
    <t>Circulaire economie</t>
  </si>
  <si>
    <t>Économie circulaire</t>
  </si>
  <si>
    <t>Kreislaufwirtschaft</t>
  </si>
  <si>
    <t>Geilleagar ciorclach</t>
  </si>
  <si>
    <t>Economia circolare</t>
  </si>
  <si>
    <t>Žiedinė ekonomika</t>
  </si>
  <si>
    <t>Gospodarka o obiegu zamkniętym</t>
  </si>
  <si>
    <t>Economia circular</t>
  </si>
  <si>
    <t>Krožno gospodarstvo</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</si>
  <si>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</si>
  <si>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</si>
  <si>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</si>
  <si>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</si>
  <si>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</si>
  <si>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</si>
  <si>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</si>
  <si>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</si>
  <si>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</si>
  <si>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</si>
  <si>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</si>
  <si>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Lastna delovna sila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</si>
  <si>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</si>
  <si>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</si>
  <si>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</si>
  <si>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</si>
  <si>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</si>
  <si>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</si>
  <si>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</si>
  <si>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</si>
  <si>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</si>
  <si>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</si>
  <si>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</si>
  <si>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Delavci v vrednostni verigi</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</si>
  <si>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</si>
  <si>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</si>
  <si>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</si>
  <si>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</si>
  <si>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</si>
  <si>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</si>
  <si>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</si>
  <si>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</si>
  <si>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</si>
  <si>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</si>
  <si>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</si>
  <si>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Prizadete skupnosti</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</si>
  <si>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</si>
  <si>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</si>
  <si>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</si>
  <si>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</si>
  <si>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</si>
  <si>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</si>
  <si>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</si>
  <si>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</si>
  <si>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</si>
  <si>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</si>
  <si>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</si>
  <si>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Potrošniki in končni uporabniki</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</si>
  <si>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</si>
  <si>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</si>
  <si>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</si>
  <si>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</si>
  <si>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</si>
  <si>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</si>
  <si>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</si>
  <si>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</si>
  <si>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</si>
  <si>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</si>
  <si>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</si>
  <si>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Poslovno ravnanje</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</si>
  <si>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</si>
  <si>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</si>
  <si>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</si>
  <si>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</si>
  <si>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</si>
  <si>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</si>
  <si>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</si>
  <si>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</si>
  <si>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</si>
  <si>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</si>
  <si>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</si>
  <si>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</si>
  <si>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Razkritja, specifična za zadruge</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</si>
  <si>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</si>
  <si>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</si>
  <si>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</si>
  <si>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</si>
  <si>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</si>
  <si>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</si>
  <si>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</si>
  <si>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</si>
  <si>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</si>
  <si>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</si>
  <si>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</si>
  <si>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</si>
  <si>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Učinkovito sodelovanje delavcev, uporabnikov ali drugih zainteresiranih strani ali skupnosti pri upravljanju</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</si>
  <si>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</si>
  <si>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</si>
  <si>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</si>
  <si>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</si>
  <si>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</si>
  <si>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</si>
  <si>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</si>
  <si>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</si>
  <si>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</si>
  <si>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</si>
  <si>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</si>
  <si>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</si>
  <si>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Finančne naložbe v kapital ali sredstva subjektov socialnega gospodarstva iz Priporočila Sveta z dne 29. septembra 2023 (brez donacij in prispevkov)</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</si>
  <si>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</si>
  <si>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</si>
  <si>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</si>
  <si>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</si>
  <si>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</si>
  <si>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</si>
  <si>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</si>
  <si>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</si>
  <si>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</si>
  <si>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</si>
  <si>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</si>
  <si>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</si>
  <si>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 xml:space="preserve">Kakršne koli omejitve pri razdelitvi dobička, povezane z vzajemno naravo ali naravo dejavnosti, ki vključujejo storitve splošnega gospodarskega pomena </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</si>
  <si>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</si>
  <si>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</si>
  <si>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</si>
  <si>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</si>
  <si>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</si>
  <si>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</si>
  <si>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</si>
  <si>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</si>
  <si>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C2 – Opis praks, politik in prihodnjih pobud za prehod na bolj trajnostno gospodarstvo</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</si>
  <si>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</si>
  <si>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</si>
  <si>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</si>
  <si>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</si>
  <si>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</si>
  <si>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</si>
  <si>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</si>
  <si>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</si>
  <si>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</si>
  <si>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</si>
  <si>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</si>
  <si>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Opis politike, prakse in/ali prihodnje pobude za bolj trajnostno prihodnost (če prihodnja pobuda, politike ali praksa zajema dobavitelje ali stranke, mora podjetje to omeniti)</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</si>
  <si>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</si>
  <si>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</si>
  <si>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</si>
  <si>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</si>
  <si>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</si>
  <si>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</si>
  <si>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</si>
  <si>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</si>
  <si>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</si>
  <si>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</si>
  <si>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</si>
  <si>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</si>
  <si>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Opis cilja, povezanega s politiko</t>
  </si>
  <si>
    <t>Descripción del objetivo relacionado con una política</t>
  </si>
  <si>
    <t>template_label_most_senior_level_accountable_for_implementing_practices_policies_and_or_future_initiatives</t>
  </si>
  <si>
    <t>Most senior level in the undertaking (i.e. a person or a body) that is accountable for implementing those practices, policies, and future initiatives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</si>
  <si>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</si>
  <si>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</si>
  <si>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</si>
  <si>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</si>
  <si>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</si>
  <si>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</si>
  <si>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</si>
  <si>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</si>
  <si>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</si>
  <si>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Najvišja raven zaposlenih, ki je odgovorna za izvajanje politike, kadar to določi podjetje.</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</si>
  <si>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</si>
  <si>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</si>
  <si>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</si>
  <si>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</si>
  <si>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</si>
  <si>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</si>
  <si>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</si>
  <si>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</si>
  <si>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</si>
  <si>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</si>
  <si>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</si>
  <si>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C1 – Strategija: Poslovni model in trajnost – Povezane pobude</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</si>
  <si>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</si>
  <si>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</si>
  <si>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</si>
  <si>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</si>
  <si>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</si>
  <si>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</si>
  <si>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</si>
  <si>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</si>
  <si>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</si>
  <si>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</si>
  <si>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</si>
  <si>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Opis pomembnih skupin ponujenih izdelkov in/ali storitev</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</si>
  <si>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</si>
  <si>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</si>
  <si>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</si>
  <si>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</si>
  <si>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</si>
  <si>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</si>
  <si>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</si>
  <si>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</si>
  <si>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</si>
  <si>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</si>
  <si>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</si>
  <si>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</si>
  <si>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Opis pomembnega trga(-ov), na katerem(-ih) podjetje deluje (npr. B2B, veleprodaja, maloprodaja, države)</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</si>
  <si>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</si>
  <si>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</si>
  <si>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</si>
  <si>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</si>
  <si>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</si>
  <si>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</si>
  <si>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</si>
  <si>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</si>
  <si>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</si>
  <si>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</si>
  <si>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</si>
  <si>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</si>
  <si>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Opis glavnih poslovnih odnosov (kot so ključni dobavitelji, stranke, distribucijski kanali)</t>
  </si>
  <si>
    <t>Una descripción de las principales relaciones comerciales (proveedores clave, clientes, canales de distribución)</t>
  </si>
  <si>
    <t>template_label_has_the_strategy_key_elements_that_relate_to_or_affect_sustainability_issues</t>
  </si>
  <si>
    <t>Voluntary for undertakings with 10 employees or less - Has the strategy key elements that relate to or affect sustainability issues?</t>
  </si>
  <si>
    <t>Frivilligt for virksomheder med 10 ansatte eller færre – Har strategien nøgleelementer, der relaterer sig til eller påvirker bæredygtighedsspørgsmål?</t>
  </si>
  <si>
    <t>Frivilligt for virksomheder met 10 ansatte eller færre – Har strategien nøgleelementer, der relaterer sig til eller påvirker bæredygtighedsspørgsmål?</t>
  </si>
  <si>
    <t>Frivilligt for virksomheder met 10 ansatte eller færre – Har strategien nøgleelementer, der relaterer sig til eller påvirker bæredygtighedsspørgsmål ?</t>
  </si>
  <si>
    <t>Frivilligt for virksomheder met 10 ansatte eller færre – Har strategien nøgleelementer, der relaterer sig til eller påvirker bæredygtighedsspørgsmål ?</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</si>
  <si>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</si>
  <si>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</si>
  <si>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</si>
  <si>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</si>
  <si>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</si>
  <si>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</si>
  <si>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</si>
  <si>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</si>
  <si>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</si>
  <si>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</si>
  <si>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</si>
  <si>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Opis ključnih elementov strategije, ki se nanašajo na vprašanjav zvezi s trajnostostjo ali nanje vplivajo</t>
  </si>
  <si>
    <t>Descripción de aquellos elementos clave en la estrategia que se relacionan o afecten a cuestiones de sostenibilidad</t>
  </si>
  <si>
    <t>template_label_introduction</t>
  </si>
  <si>
    <t>Introduction</t>
  </si>
  <si>
    <t>Indførelsen</t>
  </si>
  <si>
    <t>Inleiding</t>
  </si>
  <si>
    <t>Einleitung</t>
  </si>
  <si>
    <t>Réamhrá</t>
  </si>
  <si>
    <t>Introduzione</t>
  </si>
  <si>
    <t>Įvadas</t>
  </si>
  <si>
    <t>Wprowadzenie</t>
  </si>
  <si>
    <t>Introdução</t>
  </si>
  <si>
    <t>Uvod</t>
  </si>
  <si>
    <t>Introducción</t>
  </si>
  <si>
    <t>template_label_disclosure_of_any_other_general_and_or_entity_specific_information_on_the_reporting_period</t>
  </si>
  <si>
    <t>disclosure of any other general and/or entity specific information on the reporting period</t>
  </si>
  <si>
    <t>oplysning af øvrige generelle og/eller virksomhedsspecifik information</t>
  </si>
  <si>
    <t>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</si>
  <si>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</si>
  <si>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</si>
  <si>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</si>
  <si>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</si>
  <si>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</si>
  <si>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</si>
  <si>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divulgação de quaisquer outras informações gerais e/ou específicas da empresa</t>
  </si>
  <si>
    <t>razkritje vseh drugih splošnih in/ali za subjekt specifičnih informacij o obdobju poročanja</t>
  </si>
  <si>
    <t>divulgación de cualquier otra información general y/o específica de la entidad</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</si>
  <si>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</si>
  <si>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</si>
  <si>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</si>
  <si>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</si>
  <si>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</si>
  <si>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</si>
  <si>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</si>
  <si>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</si>
  <si>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</si>
  <si>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</si>
  <si>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</si>
  <si>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Skupna poraba energije (v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</si>
  <si>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</si>
  <si>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</si>
  <si>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</si>
  <si>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</si>
  <si>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</si>
  <si>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</si>
  <si>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</si>
  <si>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</si>
  <si>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</si>
  <si>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</si>
  <si>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</si>
  <si>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</si>
  <si>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Skupna poraba energije</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</si>
  <si>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</si>
  <si>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</si>
  <si>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</si>
  <si>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</si>
  <si>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</si>
  <si>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</si>
  <si>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</si>
  <si>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</si>
  <si>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</si>
  <si>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</si>
  <si>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</si>
  <si>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</si>
  <si>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Razčlenitev porabe energije (v MWh)</t>
  </si>
  <si>
    <t>B3 - Desglose del consumo de energía (en MWh)</t>
  </si>
  <si>
    <t>template_label_has_the_undertaking_obtained_the_necessary_information_to_provide_an_energy_consumption_breakdown</t>
  </si>
  <si>
    <t>Voluntary for undertakings with 10 employees or less - Has the undertaking obtained the necessary information to provide an energy consumption breakdown?</t>
  </si>
  <si>
    <t>Frivilligt for virksomheder med 10 ansatte eller færre – Har virksomheden indhentet de nødvendige oplysninger til at give en energiforbrugsopdeling?</t>
  </si>
  <si>
    <t>Frivilligt for virksomheder med 10 ansatte eller færre – Har virksomheden indhentet de nødvendige oplysninger til at give en energiforbrugsopdeling ?</t>
  </si>
  <si>
    <t>Frivilligt for virksomheder med 10 ansatte eller færre – Har virksomheden indhentet de nødvendige Informationen til at give en energiforbrugsopdeling ?</t>
  </si>
  <si>
    <t>template_label_renewable</t>
  </si>
  <si>
    <t>Vedvarende</t>
  </si>
  <si>
    <t>Hernieuwbaar</t>
  </si>
  <si>
    <t>Renouvelable</t>
  </si>
  <si>
    <t>Erneuerbar</t>
  </si>
  <si>
    <t>In-athnuaite</t>
  </si>
  <si>
    <t>Rinnovabile</t>
  </si>
  <si>
    <t xml:space="preserve">Atsinaujinanti energija </t>
  </si>
  <si>
    <t>Odnawialny</t>
  </si>
  <si>
    <t>Renovável</t>
  </si>
  <si>
    <t>Obnovljivi</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</si>
  <si>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</si>
  <si>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</si>
  <si>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</si>
  <si>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</si>
  <si>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</si>
  <si>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</si>
  <si>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</si>
  <si>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</si>
  <si>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</si>
  <si>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</si>
  <si>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</si>
  <si>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Neobnovljivi</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</si>
  <si>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</si>
  <si>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</si>
  <si>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</si>
  <si>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</si>
  <si>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</si>
  <si>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</si>
  <si>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</si>
  <si>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</si>
  <si>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</si>
  <si>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</si>
  <si>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</si>
  <si>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</si>
  <si>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Skupni obnovljivi in neobnovljivi viri energije</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</si>
  <si>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</si>
  <si>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</si>
  <si>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</si>
  <si>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</si>
  <si>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</si>
  <si>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</si>
  <si>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</si>
  <si>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</si>
  <si>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</si>
  <si>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</si>
  <si>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</si>
  <si>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</si>
  <si>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Elektrika (kot je prikazano na računih za komunalne storitve)</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</si>
  <si>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</si>
  <si>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</si>
  <si>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</si>
  <si>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</si>
  <si>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</si>
  <si>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</si>
  <si>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</si>
  <si>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</si>
  <si>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</si>
  <si>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</si>
  <si>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</si>
  <si>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</si>
  <si>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Samoproizvedena elektrika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</si>
  <si>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</si>
  <si>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</si>
  <si>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</si>
  <si>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</si>
  <si>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</si>
  <si>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</si>
  <si>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</si>
  <si>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</si>
  <si>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</si>
  <si>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</si>
  <si>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</si>
  <si>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</si>
  <si>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Goriva (glejte Pretvornik goriv na delovnem listu Goriva)</t>
  </si>
  <si>
    <t>Combustibles (ver Convertidor de Combustibles en la hoja Combustibles)</t>
  </si>
  <si>
    <t>template_label_b3_estimated_absolute_greenhouse_gas_emissions</t>
  </si>
  <si>
    <t>B3 - Estimated Absolute Greenhouse Gas Emissions considering the GHG Protocol Corporate Accounting and Reporting  Standard 2004 (in tCO2eq)</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</si>
  <si>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</si>
  <si>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</si>
  <si>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</si>
  <si>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</si>
  <si>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</si>
  <si>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</si>
  <si>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</si>
  <si>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</si>
  <si>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</si>
  <si>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Ocenjene emisije toplogrednih plinov ob upoštevanju Protokola o toplogrednih plinih, različica 2004 (v tCO2e)</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</si>
  <si>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</si>
  <si>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</si>
  <si>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</si>
  <si>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</si>
  <si>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</si>
  <si>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</si>
  <si>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</si>
  <si>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</si>
  <si>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</si>
  <si>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</si>
  <si>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</si>
  <si>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</si>
  <si>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Cilji zmanjšanja emisij toplogrednih plinov (v tCO2e)</t>
  </si>
  <si>
    <t>C3 - Metas de reducción de GEI (en tCO2e)</t>
  </si>
  <si>
    <t>template_label_has_the_undertaking_has_established_ghg_emission_reduction_targets</t>
  </si>
  <si>
    <t>Voluntary for undertakings with 10 employees or less - Has  the undertaking has established GHG emission reduction targets?</t>
  </si>
  <si>
    <t>Frivilligt for virksomheder med 10 ansatte eller færre – Har virksomheden fastsat mål for reduktion af drivhusgasudledninger?</t>
  </si>
  <si>
    <t>Frivilligt for virksomheder med 10 ansatte eller færre – Har virksomheden fastsat mål for reduktion af drivhusgasudledninger ?</t>
  </si>
  <si>
    <t>Frivilligt for virksomheder med 10 ansatte eller færre – Har virksomheden fastsat mål for reduktion af drivhusgasudledninger ?</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</si>
  <si>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</si>
  <si>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</si>
  <si>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</si>
  <si>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</si>
  <si>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</si>
  <si>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</si>
  <si>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</si>
  <si>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</si>
  <si>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</si>
  <si>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</si>
  <si>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</si>
  <si>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Tekoče poročevalsko obdobje</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</si>
  <si>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</si>
  <si>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</si>
  <si>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</si>
  <si>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</si>
  <si>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</si>
  <si>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</si>
  <si>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</si>
  <si>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</si>
  <si>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</si>
  <si>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</si>
  <si>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</si>
  <si>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</si>
  <si>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Izhodiščno leto</t>
  </si>
  <si>
    <t>Año de referencia</t>
  </si>
  <si>
    <t>template_label_target_year</t>
  </si>
  <si>
    <t>Target Year</t>
  </si>
  <si>
    <t>Målår</t>
  </si>
  <si>
    <t>Doeljaar</t>
  </si>
  <si>
    <t>Année cible</t>
  </si>
  <si>
    <t>Zieljahr</t>
  </si>
  <si>
    <t>Spriocbhliain</t>
  </si>
  <si>
    <t>Anno-obiettivo</t>
  </si>
  <si>
    <t>Tiksliniai metai</t>
  </si>
  <si>
    <t>Rok docelowy</t>
  </si>
  <si>
    <t>Ano-alvo</t>
  </si>
  <si>
    <t>Ciljno leto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</si>
  <si>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</si>
  <si>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</si>
  <si>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</si>
  <si>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</si>
  <si>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</si>
  <si>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</si>
  <si>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</si>
  <si>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</si>
  <si>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</si>
  <si>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</si>
  <si>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</si>
  <si>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</si>
  <si>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Odstotno zmanjšanje glede na izhodiščno leto</t>
  </si>
  <si>
    <t>Reducción porcentual respecto al año base</t>
  </si>
  <si>
    <t>template_label_year_date</t>
  </si>
  <si>
    <t>Year (date)</t>
  </si>
  <si>
    <t>År (dato)</t>
  </si>
  <si>
    <t>Jaar (datum)</t>
  </si>
  <si>
    <t>Année (date)</t>
  </si>
  <si>
    <t>Jahr (Datum)</t>
  </si>
  <si>
    <t>Bliain (dáta)</t>
  </si>
  <si>
    <t>Anno (data)</t>
  </si>
  <si>
    <t>Metai (data)</t>
  </si>
  <si>
    <t>Rok (data)</t>
  </si>
  <si>
    <t>Ano (data)</t>
  </si>
  <si>
    <t>Leto (datum)</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</si>
  <si>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</si>
  <si>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</si>
  <si>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</si>
  <si>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</si>
  <si>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</si>
  <si>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</si>
  <si>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</si>
  <si>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</si>
  <si>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</si>
  <si>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</si>
  <si>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</si>
  <si>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</si>
  <si>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Bruto emisije toplogrednih plinov obsega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</si>
  <si>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</si>
  <si>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</si>
  <si>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</si>
  <si>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</si>
  <si>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</si>
  <si>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</si>
  <si>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</si>
  <si>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</si>
  <si>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</si>
  <si>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</si>
  <si>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</si>
  <si>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</si>
  <si>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 xml:space="preserve">Bruto lokacijske emisije toplogrednih plinov v okviru obsega 2 </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</si>
  <si>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</si>
  <si>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</si>
  <si>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</si>
  <si>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</si>
  <si>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</si>
  <si>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</si>
  <si>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</si>
  <si>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</si>
  <si>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</si>
  <si>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</si>
  <si>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</si>
  <si>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</si>
  <si>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Bruto tržne emisije toplogrednih plinov obsega 2</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</si>
  <si>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</si>
  <si>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</si>
  <si>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</si>
  <si>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</si>
  <si>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</si>
  <si>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</si>
  <si>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</si>
  <si>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</si>
  <si>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</si>
  <si>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</si>
  <si>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</si>
  <si>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</si>
  <si>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Skupne lokacijske emisije toplogrednih plinov obsega 1 in obsega 2</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</si>
  <si>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</si>
  <si>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</si>
  <si>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</si>
  <si>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</si>
  <si>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</si>
  <si>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</si>
  <si>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</si>
  <si>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</si>
  <si>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</si>
  <si>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</si>
  <si>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</si>
  <si>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Skupne tržne emisije toplogrednih plinov obsega 1 in obsega 2</t>
  </si>
  <si>
    <t>Emisiones totales de GEI de Alcance 1 y Alcance 2 (basadas en el mercado)</t>
  </si>
  <si>
    <t>template_label_is_the_undertaking_disclosing_entity_specific_information_on_scope_3_emissions</t>
  </si>
  <si>
    <t>Voluntary for undertakings with 10 employees or less - Is the undertaking disclosing entity-specific information on Scope 3 emissions (in tCO2e)?</t>
  </si>
  <si>
    <t>Frivilligt for virksomheder med 10 ansatte eller færre – Oplyser virksomheden virksomhedsspecifik information om Scope 3-emissioner (i tCO2e)?</t>
  </si>
  <si>
    <t>Frivilligt for virksomheder med 10 ansatte eller færre – Oplyser virksomheden virksomhedsspecifik information om Scope 3-emissioner (i tCO2e) ?</t>
  </si>
  <si>
    <t>Frivilligt for virksomheder med 10 ansatte eller færre – Oplyser virksomheden virksomhedsspecifik information om Scope 3-emissioner (i tCO2e) ?</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</si>
  <si>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</si>
  <si>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</si>
  <si>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</si>
  <si>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</si>
  <si>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</si>
  <si>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</si>
  <si>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</si>
  <si>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</si>
  <si>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</si>
  <si>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</si>
  <si>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</si>
  <si>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Kupljeno blago in storitve</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</si>
  <si>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</si>
  <si>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</si>
  <si>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</si>
  <si>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</si>
  <si>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</si>
  <si>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</si>
  <si>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</si>
  <si>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</si>
  <si>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</si>
  <si>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</si>
  <si>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</si>
  <si>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</si>
  <si>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Investicijsko blago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</si>
  <si>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</si>
  <si>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</si>
  <si>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</si>
  <si>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</si>
  <si>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</si>
  <si>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</si>
  <si>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</si>
  <si>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</si>
  <si>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</si>
  <si>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</si>
  <si>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</si>
  <si>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</si>
  <si>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Dejavnosti, povezane z gorivi in energijo (ne vključene v obseg 1 ali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</si>
  <si>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</si>
  <si>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</si>
  <si>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</si>
  <si>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</si>
  <si>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</si>
  <si>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</si>
  <si>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</si>
  <si>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</si>
  <si>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</si>
  <si>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</si>
  <si>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</si>
  <si>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</si>
  <si>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Prevoz in distribucija navzgor po vrednostni verigi (upstream)</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</si>
  <si>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</si>
  <si>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</si>
  <si>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</si>
  <si>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</si>
  <si>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</si>
  <si>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</si>
  <si>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</si>
  <si>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</si>
  <si>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</si>
  <si>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</si>
  <si>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</si>
  <si>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</si>
  <si>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Odpadki, nastali pri poslovanju</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</si>
  <si>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</si>
  <si>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</si>
  <si>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</si>
  <si>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</si>
  <si>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</si>
  <si>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</si>
  <si>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</si>
  <si>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</si>
  <si>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</si>
  <si>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</si>
  <si>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</si>
  <si>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</si>
  <si>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Poslovna potovanja</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</si>
  <si>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</si>
  <si>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</si>
  <si>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</si>
  <si>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</si>
  <si>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</si>
  <si>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</si>
  <si>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</si>
  <si>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</si>
  <si>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</si>
  <si>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</si>
  <si>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</si>
  <si>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</si>
  <si>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Prevoz zaposlenih na delo in z dela</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</si>
  <si>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</si>
  <si>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</si>
  <si>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</si>
  <si>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</si>
  <si>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</si>
  <si>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</si>
  <si>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</si>
  <si>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</si>
  <si>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</si>
  <si>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</si>
  <si>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</si>
  <si>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</si>
  <si>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8. Najeta sredstva (upstream)</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</si>
  <si>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</si>
  <si>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</si>
  <si>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</si>
  <si>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</si>
  <si>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</si>
  <si>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</si>
  <si>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</si>
  <si>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</si>
  <si>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</si>
  <si>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</si>
  <si>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</si>
  <si>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</si>
  <si>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Prevoz in distribucija navzdol po vrednostni verigi (downstream)</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</si>
  <si>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</si>
  <si>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</si>
  <si>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</si>
  <si>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</si>
  <si>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</si>
  <si>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</si>
  <si>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</si>
  <si>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</si>
  <si>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</si>
  <si>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</si>
  <si>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</si>
  <si>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</si>
  <si>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Predelava prodanih izdelkov</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</si>
  <si>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</si>
  <si>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</si>
  <si>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</si>
  <si>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</si>
  <si>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</si>
  <si>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</si>
  <si>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</si>
  <si>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</si>
  <si>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</si>
  <si>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</si>
  <si>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</si>
  <si>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</si>
  <si>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Uporaba prodanih izdelkov</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</si>
  <si>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</si>
  <si>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</si>
  <si>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</si>
  <si>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</si>
  <si>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</si>
  <si>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</si>
  <si>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</si>
  <si>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</si>
  <si>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</si>
  <si>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</si>
  <si>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</si>
  <si>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</si>
  <si>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Ravnanje s prodanimi izdelki ob koncu njihove življenjske dobe</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</si>
  <si>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</si>
  <si>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</si>
  <si>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</si>
  <si>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</si>
  <si>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</si>
  <si>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</si>
  <si>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</si>
  <si>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</si>
  <si>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</si>
  <si>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</si>
  <si>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</si>
  <si>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</si>
  <si>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Najeta sredstva navzdol po vrednostni verigi (downstream)</t>
  </si>
  <si>
    <t>13. Activos arrendados aguas abajo</t>
  </si>
  <si>
    <t>template_label_14_franchises</t>
  </si>
  <si>
    <t>14. Franchises</t>
  </si>
  <si>
    <t>14. Franchiseaftaler</t>
  </si>
  <si>
    <t>14. Saincheadúnais</t>
  </si>
  <si>
    <t>14. Franchising</t>
  </si>
  <si>
    <t>14. Franšizės</t>
  </si>
  <si>
    <t>14. Franczyzy</t>
  </si>
  <si>
    <t>14. Franquias</t>
  </si>
  <si>
    <t>14. Franšize</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</si>
  <si>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</si>
  <si>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</si>
  <si>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</si>
  <si>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</si>
  <si>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</si>
  <si>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</si>
  <si>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</si>
  <si>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</si>
  <si>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</si>
  <si>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</si>
  <si>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</si>
  <si>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</si>
  <si>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Naložbe</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</si>
  <si>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</si>
  <si>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</si>
  <si>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</si>
  <si>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</si>
  <si>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</si>
  <si>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</si>
  <si>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</si>
  <si>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</si>
  <si>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</si>
  <si>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</si>
  <si>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</si>
  <si>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</si>
  <si>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Skupne emisije toplogrednih plinov obsega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</si>
  <si>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</si>
  <si>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</si>
  <si>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</si>
  <si>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</si>
  <si>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</si>
  <si>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</si>
  <si>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</si>
  <si>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</si>
  <si>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</si>
  <si>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</si>
  <si>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</si>
  <si>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</si>
  <si>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Skupne lokacijske emisije toplogrednih plinov obsega 1, obsega 2 in obsega 3</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</si>
  <si>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</si>
  <si>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</si>
  <si>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</si>
  <si>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</si>
  <si>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</si>
  <si>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</si>
  <si>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</si>
  <si>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</si>
  <si>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</si>
  <si>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</si>
  <si>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</si>
  <si>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</si>
  <si>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Skupne tržne emisije toplogrednih plinov obsega 1, obsega 2 in obsega 3</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</si>
  <si>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</si>
  <si>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</si>
  <si>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</si>
  <si>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</si>
  <si>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</si>
  <si>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</si>
  <si>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</si>
  <si>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</si>
  <si>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</si>
  <si>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</si>
  <si>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</si>
  <si>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</si>
  <si>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Razkritje seznama glavnih ukrepov, ki jih podjetje želi izvesti za dosego svojih ciljev</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</si>
  <si>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</si>
  <si>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</si>
  <si>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</si>
  <si>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</si>
  <si>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</si>
  <si>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</si>
  <si>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</si>
  <si>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</si>
  <si>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</si>
  <si>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</si>
  <si>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</si>
  <si>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</si>
  <si>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Načrt prehoda za podjetja, ki delujejo v sektorjih z velikim vplivom na podnebje</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</si>
  <si>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</si>
  <si>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</si>
  <si>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</si>
  <si>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</si>
  <si>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</si>
  <si>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</si>
  <si>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</si>
  <si>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</si>
  <si>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</si>
  <si>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</si>
  <si>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</si>
  <si>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</si>
  <si>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Ali podjetje deluje v sektorjih z velikim vplivom na podnebje?</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</si>
  <si>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</si>
  <si>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</si>
  <si>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</si>
  <si>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</si>
  <si>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</si>
  <si>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</si>
  <si>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</si>
  <si>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</si>
  <si>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</si>
  <si>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</si>
  <si>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</si>
  <si>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</si>
  <si>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Stanje izvajanja načrta prehoda za blažitev podnebnih sprememb</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</si>
  <si>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</si>
  <si>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</si>
  <si>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</si>
  <si>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</si>
  <si>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</si>
  <si>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</si>
  <si>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</si>
  <si>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</si>
  <si>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</si>
  <si>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</si>
  <si>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</si>
  <si>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</si>
  <si>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Opis načrta prehoda za blažitev podnebnih sprememb, vključno z razlago, kako prispeva k zmanjšanju emisij toplogrednih plinov</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</si>
  <si>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</si>
  <si>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</si>
  <si>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</si>
  <si>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</si>
  <si>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</si>
  <si>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</si>
  <si>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</si>
  <si>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</si>
  <si>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</si>
  <si>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</si>
  <si>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</si>
  <si>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</si>
  <si>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 xml:space="preserve">Predvideni datum sprejetja načrta prehoda za podjetja, ki ga še niso sprejela </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</si>
  <si>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</si>
  <si>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</si>
  <si>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</si>
  <si>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</si>
  <si>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</si>
  <si>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</si>
  <si>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</si>
  <si>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</si>
  <si>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</si>
  <si>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</si>
  <si>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</si>
  <si>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Leto</t>
  </si>
  <si>
    <t>Año</t>
  </si>
  <si>
    <t>template_label_month</t>
  </si>
  <si>
    <t>Måned</t>
  </si>
  <si>
    <t>Maand</t>
  </si>
  <si>
    <t>Mois</t>
  </si>
  <si>
    <t>Monat</t>
  </si>
  <si>
    <t>Mí</t>
  </si>
  <si>
    <t>Mese</t>
  </si>
  <si>
    <t>Mėnuo</t>
  </si>
  <si>
    <t>Miesiąc</t>
  </si>
  <si>
    <t>Mês</t>
  </si>
  <si>
    <t>Mesec</t>
  </si>
  <si>
    <t>Mes</t>
  </si>
  <si>
    <t>template_label_day</t>
  </si>
  <si>
    <t>Day</t>
  </si>
  <si>
    <t>Dag</t>
  </si>
  <si>
    <t>Jour</t>
  </si>
  <si>
    <t>Tag</t>
  </si>
  <si>
    <t>Lá</t>
  </si>
  <si>
    <t>Giorno</t>
  </si>
  <si>
    <t>Diena</t>
  </si>
  <si>
    <t>Dzień</t>
  </si>
  <si>
    <t>Dia</t>
  </si>
  <si>
    <t>Dan</t>
  </si>
  <si>
    <t>Día</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</si>
  <si>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</si>
  <si>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</si>
  <si>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</si>
  <si>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</si>
  <si>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</si>
  <si>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</si>
  <si>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</si>
  <si>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B4 – Onesnaževanje zraka, vode in tal</t>
  </si>
  <si>
    <t>template_label_required_to_report_to_competent_authorities_by_EU_or_national_law_its_emissions_to_pollutants</t>
  </si>
  <si>
    <t>Is the undertaking already required to report to competent authorities by EU or national law its emissions to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</si>
  <si>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</si>
  <si>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</si>
  <si>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</si>
  <si>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</si>
  <si>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</si>
  <si>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</si>
  <si>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</si>
  <si>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</si>
  <si>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</si>
  <si>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Ali je podjetje že po zakonu ali drugih nacionalnih predpisih dolžno pristojnim organom poročati o svojih emisijah onesnaževal ali pa je o njih že prostovoljno poročalo v skladu s sistemom okoljskega ravnanja?</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</si>
  <si>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</si>
  <si>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</si>
  <si>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</si>
  <si>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</si>
  <si>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</si>
  <si>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</si>
  <si>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</si>
  <si>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</si>
  <si>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</si>
  <si>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</si>
  <si>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</si>
  <si>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</si>
  <si>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Ali je to razkritje že javno dostopno?</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</si>
  <si>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</si>
  <si>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</si>
  <si>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</si>
  <si>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</si>
  <si>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</si>
  <si>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</si>
  <si>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</si>
  <si>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</si>
  <si>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</si>
  <si>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</si>
  <si>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</si>
  <si>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</si>
  <si>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Prosimo, navedite ustrezno povezavo URL ali hiperpovezavo, kjer so te informacije navedene.</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</si>
  <si>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</si>
  <si>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</si>
  <si>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</si>
  <si>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</si>
  <si>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</si>
  <si>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</si>
  <si>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</si>
  <si>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</si>
  <si>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</si>
  <si>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</si>
  <si>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</si>
  <si>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</si>
  <si>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Izberite mersko enoto za podajanje količine (npr. kg ali tono).</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</si>
  <si>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</si>
  <si>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</si>
  <si>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</si>
  <si>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</si>
  <si>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</si>
  <si>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</si>
  <si>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</si>
  <si>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</si>
  <si>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</si>
  <si>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</si>
  <si>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</si>
  <si>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</si>
  <si>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vrstice</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</si>
  <si>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</si>
  <si>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</si>
  <si>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</si>
  <si>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</si>
  <si>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</si>
  <si>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</si>
  <si>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</si>
  <si>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</si>
  <si>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</si>
  <si>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</si>
  <si>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</si>
  <si>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</si>
  <si>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Onesnaževalo</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</si>
  <si>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</si>
  <si>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</si>
  <si>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</si>
  <si>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</si>
  <si>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</si>
  <si>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</si>
  <si>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</si>
  <si>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</si>
  <si>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</si>
  <si>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</si>
  <si>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</si>
  <si>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</si>
  <si>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Emisije v zrak</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</si>
  <si>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</si>
  <si>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</si>
  <si>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</si>
  <si>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</si>
  <si>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</si>
  <si>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</si>
  <si>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</si>
  <si>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</si>
  <si>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</si>
  <si>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</si>
  <si>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</si>
  <si>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</si>
  <si>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Emisije v vodo</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</si>
  <si>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</si>
  <si>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</si>
  <si>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</si>
  <si>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</si>
  <si>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</si>
  <si>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</si>
  <si>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</si>
  <si>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</si>
  <si>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</si>
  <si>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</si>
  <si>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</si>
  <si>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</si>
  <si>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Emisije v tla</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</si>
  <si>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</si>
  <si>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</si>
  <si>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</si>
  <si>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</si>
  <si>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</si>
  <si>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</si>
  <si>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</si>
  <si>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</si>
  <si>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</si>
  <si>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</si>
  <si>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</si>
  <si>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</si>
  <si>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Lokacije na območjih, občutljivih za biotsko raznovrstnost</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</si>
  <si>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</si>
  <si>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</si>
  <si>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</si>
  <si>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</si>
  <si>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</si>
  <si>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</si>
  <si>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</si>
  <si>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</si>
  <si>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</si>
  <si>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</si>
  <si>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</si>
  <si>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</si>
  <si>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Ali ima podjetje lokacije, ki se nahajajo na območjih, občutljivih za biotsko raznovrstnost, ali v njihovi bližini?</t>
  </si>
  <si>
    <t xml:space="preserve">¿La empresa tiene emplazamientos situados en o cerca de zonas sensibles en cuanto a la biodiversidad? 
</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</si>
  <si>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</si>
  <si>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</si>
  <si>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</si>
  <si>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</si>
  <si>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</si>
  <si>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</si>
  <si>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</si>
  <si>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</si>
  <si>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</si>
  <si>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</si>
  <si>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</si>
  <si>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povezanega spletnega mesta (izberite ID z lokacije spletnega mesta, zabeležene v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</si>
  <si>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</si>
  <si>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</si>
  <si>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</si>
  <si>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</si>
  <si>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</si>
  <si>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</si>
  <si>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</si>
  <si>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</si>
  <si>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</si>
  <si>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</si>
  <si>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</si>
  <si>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</si>
  <si>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Lokacija lokacije v bližini območja z visoko biotsko raznovrstnostjo – samodejno izpolnjeno od B1</t>
  </si>
  <si>
    <t xml:space="preserve">Ubicación del sitio cerca de un área de biodiversidad - completado automáticamente desde B1
</t>
  </si>
  <si>
    <t>template_label_name_of_biodiversity_sensitive_area</t>
  </si>
  <si>
    <t>Name of biodiversity sensitive area</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</si>
  <si>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</si>
  <si>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</si>
  <si>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</si>
  <si>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</si>
  <si>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</si>
  <si>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</si>
  <si>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</si>
  <si>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</si>
  <si>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</si>
  <si>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Površina (hektarji ali m² glede na zgornjo izbiro)</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</si>
  <si>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</si>
  <si>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</si>
  <si>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</si>
  <si>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</si>
  <si>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</si>
  <si>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</si>
  <si>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</si>
  <si>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</si>
  <si>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</si>
  <si>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</si>
  <si>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</si>
  <si>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</si>
  <si>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Lokacija na območju, občutljivem za biotsko raznovrstnost</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</si>
  <si>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</si>
  <si>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</si>
  <si>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</si>
  <si>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</si>
  <si>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</si>
  <si>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</si>
  <si>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</si>
  <si>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</si>
  <si>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</si>
  <si>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</si>
  <si>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</si>
  <si>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</si>
  <si>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Lokacija v bližini območja, občutljivega za biotsko raznovrstnost</t>
  </si>
  <si>
    <t>Emplazamiento situado cerca de una zona sensible en cuanto a la biodiversidad</t>
  </si>
  <si>
    <t>template_label_b6_water_withdrawal</t>
  </si>
  <si>
    <t>B6 - Water Withdrawal</t>
  </si>
  <si>
    <t>B6 - Samlede Vandudtag</t>
  </si>
  <si>
    <t>B6 —  Wateronttrekking</t>
  </si>
  <si>
    <t>B6 – Prélèvements d'eau</t>
  </si>
  <si>
    <t>B6 – Wasserentnahme</t>
  </si>
  <si>
    <t>B6 - Aistarraingt Uisce</t>
  </si>
  <si>
    <t>B6 - Prelievo Idrico</t>
  </si>
  <si>
    <t>B6 – Vandens išgavimas</t>
  </si>
  <si>
    <t>B6 – Pobór wody</t>
  </si>
  <si>
    <t>B6 — Captação de água</t>
  </si>
  <si>
    <t>B6 - Odvzem vode</t>
  </si>
  <si>
    <t>B6 - 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</si>
  <si>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</si>
  <si>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</si>
  <si>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</si>
  <si>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</si>
  <si>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</si>
  <si>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</si>
  <si>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</si>
  <si>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</si>
  <si>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</si>
  <si>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</si>
  <si>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</si>
  <si>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Skupna količina odvzete vode z vseh lokacij (kubični metri m³)</t>
  </si>
  <si>
    <t>Cantidad total de agua extraída de todos los emplazamientos (metros cúbicos m³)</t>
  </si>
  <si>
    <t>template_label_b6_water_consumption</t>
  </si>
  <si>
    <t>B6 - Water Consumption</t>
  </si>
  <si>
    <t>B6 - Vandforbrug</t>
  </si>
  <si>
    <t>B6 — Waterverbruik</t>
  </si>
  <si>
    <t>B6 - Consommation d'eau</t>
  </si>
  <si>
    <t>B6 – Wasserverbrauch</t>
  </si>
  <si>
    <t>B6 - Tomhaltas Uisce</t>
  </si>
  <si>
    <t>B6 – Acque</t>
  </si>
  <si>
    <t>B6 – Vandens suvartojimas</t>
  </si>
  <si>
    <t>B6 - Zużycie wody</t>
  </si>
  <si>
    <t>B6 - Consumo de água</t>
  </si>
  <si>
    <t>B6 - Poraba vode</t>
  </si>
  <si>
    <t xml:space="preserve">B6 - Consumo de agua
</t>
  </si>
  <si>
    <t>template_label_does_the_undertaking_have_production_processes_in_place_which_significantly_consume_water</t>
  </si>
  <si>
    <t>Voluntary for undertakings with 10 employees or less - Does the undertaking have production processes in place which significantly consume water (e.g. thermal energy processes like drying or power production production of goods agricultural irrigation etc.)?</t>
  </si>
  <si>
    <t>Frivilligt for virksomheder med 10 ansatte eller færre – Har virksomheden produktionsprocesser, der i væsentlig grad forbruger vand (f.eks. termiske energiprocesser som tørring eller elproduktion, produktion af varer, landbrugsvanding osv.)?</t>
  </si>
  <si>
    <t>Frivilligt for virksomheder med 10 ansatte eller færre – Har virksomheden produktionsprocesser, der i væsentlig grad forbruger vand (f.eks. termiske energiprocesser som tørring eller elproduktion, produktion af varer, landbrugsvanding etc.)?</t>
  </si>
  <si>
    <t>Frivilligt for virksomheder med 10 ansatte eller færre – Har virksomheden produktionsprocesser, der i væsentlig grad forbruger vand (f.eks. termiske energiprocesser som tørring eller elproduktion, produktion af varer, landbrugsvanding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</si>
  <si>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</si>
  <si>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</si>
  <si>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</si>
  <si>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</si>
  <si>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</si>
  <si>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</si>
  <si>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</si>
  <si>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</si>
  <si>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</si>
  <si>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</si>
  <si>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</si>
  <si>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Izpust vode iz proizvodnih postopkov podjetja (m³)</t>
  </si>
  <si>
    <t>Vertido de agua procedente de los procesos de producción de la empresa (m³)</t>
  </si>
  <si>
    <t>template_label_amount_of_water_withdrawn_at_sites_located_in_areas_of_high_water_stress</t>
  </si>
  <si>
    <t>Amount of water consumed at sites located in areas with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</si>
  <si>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</si>
  <si>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</si>
  <si>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</si>
  <si>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</si>
  <si>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</si>
  <si>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</si>
  <si>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</si>
  <si>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</si>
  <si>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</si>
  <si>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Količina odvzete vode na lokacijah, ki se nahajajo na območjih z veliko vodno obremenitvijo (kubični metri m³)</t>
  </si>
  <si>
    <t>Cantidad de agua extraída en emplazamientos situados en zonas con un alto estrés hídrico (metros cúbicos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</si>
  <si>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</si>
  <si>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</si>
  <si>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</si>
  <si>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</si>
  <si>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</si>
  <si>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</si>
  <si>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</si>
  <si>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</si>
  <si>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</si>
  <si>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</si>
  <si>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</si>
  <si>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Skupna poraba vode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</si>
  <si>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</si>
  <si>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</si>
  <si>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</si>
  <si>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</si>
  <si>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</si>
  <si>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</si>
  <si>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</si>
  <si>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</si>
  <si>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</si>
  <si>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</si>
  <si>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</si>
  <si>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</si>
  <si>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Opis načel krožnega gospodarstva</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</si>
  <si>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</si>
  <si>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</si>
  <si>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</si>
  <si>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</si>
  <si>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</si>
  <si>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</si>
  <si>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</si>
  <si>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</si>
  <si>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</si>
  <si>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</si>
  <si>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</si>
  <si>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</si>
  <si>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Podjetje uporablja načela krožnega gospodarstva</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</si>
  <si>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</si>
  <si>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</si>
  <si>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</si>
  <si>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</si>
  <si>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</si>
  <si>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</si>
  <si>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</si>
  <si>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</si>
  <si>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</si>
  <si>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</si>
  <si>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</si>
  <si>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</si>
  <si>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Opis, kako uporablja ta načela</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</si>
  <si>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</si>
  <si>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</si>
  <si>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</si>
  <si>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</si>
  <si>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</si>
  <si>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</si>
  <si>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</si>
  <si>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</si>
  <si>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Rifiuti generati</t>
  </si>
  <si>
    <t>B7 - Išmetamųjų atliekų kiekis</t>
  </si>
  <si>
    <t>B7 - Wytworzone odpady</t>
  </si>
  <si>
    <t>B7 - Resíduos gerados</t>
  </si>
  <si>
    <t>B7 - Nastali odpadki</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</si>
  <si>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</si>
  <si>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</si>
  <si>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</si>
  <si>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</si>
  <si>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</si>
  <si>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</si>
  <si>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</si>
  <si>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</si>
  <si>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</si>
  <si>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</si>
  <si>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</si>
  <si>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</si>
  <si>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Vrsta odpadkov</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</si>
  <si>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</si>
  <si>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</si>
  <si>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</si>
  <si>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</si>
  <si>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</si>
  <si>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</si>
  <si>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</si>
  <si>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</si>
  <si>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</si>
  <si>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</si>
  <si>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</si>
  <si>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Merska enota</t>
  </si>
  <si>
    <t>Unidad de medida</t>
  </si>
  <si>
    <t>template_label_proportion_of_waste_diverted_to_recycling</t>
  </si>
  <si>
    <t xml:space="preserve">Percentage of waste diverted to recycling </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</si>
  <si>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</si>
  <si>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</si>
  <si>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</si>
  <si>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</si>
  <si>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</si>
  <si>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</si>
  <si>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</si>
  <si>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</si>
  <si>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</si>
  <si>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Odpadki, preusmerjeni v recikliranje ali ponovno uporabo</t>
  </si>
  <si>
    <t>Residuos desviados para reciclar o reutilizar</t>
  </si>
  <si>
    <t>template_label_proportion_of_waste_diverted_to_preparation_for_reuse</t>
  </si>
  <si>
    <t>Percentage of waste diverted to preparation for reuse</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</si>
  <si>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</si>
  <si>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</si>
  <si>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</si>
  <si>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</si>
  <si>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</si>
  <si>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</si>
  <si>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</si>
  <si>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</si>
  <si>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</si>
  <si>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Odpadki, namenjeni odstranjevanju</t>
  </si>
  <si>
    <t>Residuos dirigidos a eliminación</t>
  </si>
  <si>
    <t>template_label_weight_or_volume_of_waste_generated</t>
  </si>
  <si>
    <t>Weight or volume of waste generated</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</si>
  <si>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</si>
  <si>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</si>
  <si>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</si>
  <si>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</si>
  <si>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</si>
  <si>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</si>
  <si>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</si>
  <si>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</si>
  <si>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</si>
  <si>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</si>
  <si>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</si>
  <si>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Skupna količina nastalih nevarnih odpadkov (masa)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</si>
  <si>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</si>
  <si>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</si>
  <si>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</si>
  <si>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</si>
  <si>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</si>
  <si>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</si>
  <si>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</si>
  <si>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</si>
  <si>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</si>
  <si>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</si>
  <si>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</si>
  <si>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</si>
  <si>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Skupna količina nastalih odpadkov</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</si>
  <si>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</si>
  <si>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</si>
  <si>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</si>
  <si>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</si>
  <si>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</si>
  <si>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</si>
  <si>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</si>
  <si>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</si>
  <si>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</si>
  <si>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</si>
  <si>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</si>
  <si>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</si>
  <si>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Skupna količina nastalih nenevarnih odpadkov (masa)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</si>
  <si>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</si>
  <si>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</si>
  <si>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</si>
  <si>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</si>
  <si>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</si>
  <si>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</si>
  <si>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</si>
  <si>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</si>
  <si>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</si>
  <si>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</si>
  <si>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</si>
  <si>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</si>
  <si>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Skupna količina nastalih odpadkov (masa)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</si>
  <si>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</si>
  <si>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</si>
  <si>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</si>
  <si>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</si>
  <si>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</si>
  <si>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</si>
  <si>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</si>
  <si>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</si>
  <si>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</si>
  <si>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</si>
  <si>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</si>
  <si>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</si>
  <si>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Skupna količina nastalih nevarnih odpadkov (prostornina)</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</si>
  <si>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</si>
  <si>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</si>
  <si>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</si>
  <si>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</si>
  <si>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</si>
  <si>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</si>
  <si>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</si>
  <si>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</si>
  <si>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</si>
  <si>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</si>
  <si>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</si>
  <si>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</si>
  <si>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kubičnih metrov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</si>
  <si>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</si>
  <si>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</si>
  <si>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</si>
  <si>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</si>
  <si>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</si>
  <si>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</si>
  <si>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</si>
  <si>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</si>
  <si>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</si>
  <si>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</si>
  <si>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</si>
  <si>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Skupna količina nastalih nenevarnih odpadkov (prostornina)</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</si>
  <si>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</si>
  <si>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</si>
  <si>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</si>
  <si>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</si>
  <si>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</si>
  <si>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</si>
  <si>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</si>
  <si>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</si>
  <si>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</si>
  <si>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</si>
  <si>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</si>
  <si>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</si>
  <si>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Skupna količina nastalih odpadkov (prostornina)</t>
  </si>
  <si>
    <t>Residuos totales generados (volumen)</t>
  </si>
  <si>
    <t>template_label_total_waste_percentage_recycling_mass</t>
  </si>
  <si>
    <t>Overall percentage of waste diverted to recycling (mass)</t>
  </si>
  <si>
    <t>Samlet procentdel af affald, der omdirigeres til genbrug (masse)</t>
  </si>
  <si>
    <t>template_label_total_waste_percentage_preparation_mass</t>
  </si>
  <si>
    <t>Overall percentage of waste diverted to preparation for reuse (mass)</t>
  </si>
  <si>
    <t>Samlet procentdel af affald, der omdirigeres til forberedelse til genbrug (masse)</t>
  </si>
  <si>
    <t>Samlet procentdel af affald, der omdirigeres til voorbereiding til genbrug (masse)</t>
  </si>
  <si>
    <t>template_label_total_waste_percentage_recycling_volume</t>
  </si>
  <si>
    <t>Overall percentage of waste diverted to recycling (volume)</t>
  </si>
  <si>
    <t>Samlet procentdel af affald, der omdirigeres til genbrug (volumen)</t>
  </si>
  <si>
    <t>template_label_total_waste_percentage_preparation_volume</t>
  </si>
  <si>
    <t>Overall percentage of waste diverted to preparation for reuse (volume)</t>
  </si>
  <si>
    <t>Samlet procentdel af affald, der omdirigeres til forberedelse til genbrug (volumen)</t>
  </si>
  <si>
    <t>Samlet procentdel af affald, der omdirigeres til voorbereiding til genbrug (volumen)</t>
  </si>
  <si>
    <t>template_label_total_waste_generated_percent</t>
  </si>
  <si>
    <t>Percent (%)</t>
  </si>
  <si>
    <t>Procent (%)</t>
  </si>
  <si>
    <t>Percentage (%)</t>
  </si>
  <si>
    <t>Pourcentage ( %)</t>
  </si>
  <si>
    <t>Pourcentage ( %)</t>
  </si>
  <si>
    <t>Percentuale ( %)</t>
  </si>
  <si>
    <t>Percentual ( %)</t>
  </si>
  <si>
    <t>Odstotek ( %)</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</si>
  <si>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</si>
  <si>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</si>
  <si>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</si>
  <si>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</si>
  <si>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</si>
  <si>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</si>
  <si>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</si>
  <si>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</si>
  <si>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</si>
  <si>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</si>
  <si>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</si>
  <si>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Letni masni pretok zadevnih uporabljenih materialov</t>
  </si>
  <si>
    <t>B7 – Flujo anual de masa de materiales relevantes utilizados</t>
  </si>
  <si>
    <t>template_label_does_the_undertaking_operate_in_a_sector_using_significant_material_flows</t>
  </si>
  <si>
    <t>Voluntary for undertakings with 10 employees or less - Does the undertaking the undertaking operate in a sector using significant material flows (for example manufacturing construction packaging or others)?</t>
  </si>
  <si>
    <t>Frivilligt for virksomheder med 10 ansatte eller færre – opererer virksomheden, virksomheden i en sektor, der bruger betydelige materialestrømme (for eksempel fremstilling af byggeemballage eller andet)?</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</si>
  <si>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</si>
  <si>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</si>
  <si>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</si>
  <si>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</si>
  <si>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</si>
  <si>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</si>
  <si>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</si>
  <si>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</si>
  <si>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Ali podjetje posluje v sektorju, ki uporablja znatne materialne tokove (na primer proizvodnja gradbene embalaže ali drugo)?</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</si>
  <si>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</si>
  <si>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</si>
  <si>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</si>
  <si>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</si>
  <si>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</si>
  <si>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</si>
  <si>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</si>
  <si>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</si>
  <si>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</si>
  <si>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</si>
  <si>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</si>
  <si>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</si>
  <si>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Ime ključnega materiala</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</si>
  <si>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</si>
  <si>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</si>
  <si>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</si>
  <si>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</si>
  <si>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</si>
  <si>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</si>
  <si>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</si>
  <si>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</si>
  <si>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</si>
  <si>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</si>
  <si>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</si>
  <si>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Prostornina</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</si>
  <si>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</si>
  <si>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</si>
  <si>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</si>
  <si>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</si>
  <si>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</si>
  <si>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</si>
  <si>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</si>
  <si>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</si>
  <si>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</si>
  <si>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</si>
  <si>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</si>
  <si>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</si>
  <si>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Skupni letni masni pretok zadevnih uporabljenih materialov (masa v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</si>
  <si>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</si>
  <si>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</si>
  <si>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</si>
  <si>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</si>
  <si>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</si>
  <si>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</si>
  <si>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</si>
  <si>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</si>
  <si>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</si>
  <si>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</si>
  <si>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</si>
  <si>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kilogrami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</si>
  <si>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</si>
  <si>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</si>
  <si>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</si>
  <si>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</si>
  <si>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</si>
  <si>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</si>
  <si>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</si>
  <si>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</si>
  <si>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</si>
  <si>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</si>
  <si>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</si>
  <si>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</si>
  <si>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Skupni letni masni pretok zadevnih uporabljenih materialov (volumen v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</si>
  <si>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</si>
  <si>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</si>
  <si>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</si>
  <si>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</si>
  <si>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</si>
  <si>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</si>
  <si>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</si>
  <si>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</si>
  <si>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</si>
  <si>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</si>
  <si>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</si>
  <si>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Voluntary for undertakings with 10 employees or less - Has the undertaking identified climate-related hazards and climate-related transition events creating gross climate-related risks for the undertaking?</t>
  </si>
  <si>
    <t>Frivilligt for virksomheder med 10 ansatte eller færre – Har virksomheden identificeret klimarelaterede farer og klimarelaterede overgangsbegivenheder, hvilket skaber store klimarelaterede risici for virksomheden?</t>
  </si>
  <si>
    <t>Frivilligt for virksomheder med 10 ansatte eller færre – Har virksomheden identificeret klimarelaterede farer en klimarelaterede overgangsbegivenheder, hvilket skaber store klimarelaterede risici for virksomheden?</t>
  </si>
  <si>
    <t>Frivilligt for virksomheder med 10 ansatte eller færre – Har virksomheden identificeret klimarelaterede farer en klimarelaterede overgangsbegivenheder, hvilket skaber store klimarelaterede risici for virksomheden ?</t>
  </si>
  <si>
    <t>Frivilligt for virksomheder med 10 ansatte eller færre – Har virksomheden identifiziertet klimarelaterede farer en klimarelaterede overgangsbegivenheder, hvilket skaber store klimarelaterede risici for virksomheden ?</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</si>
  <si>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</si>
  <si>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</si>
  <si>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</si>
  <si>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</si>
  <si>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</si>
  <si>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</si>
  <si>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</si>
  <si>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</si>
  <si>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</si>
  <si>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</si>
  <si>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</si>
  <si>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 xml:space="preserve">Opis podnebnih nevarnosti in dogodkov, povezanih s podnebnim prehodom </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</si>
  <si>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</si>
  <si>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</si>
  <si>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</si>
  <si>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</si>
  <si>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</si>
  <si>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</si>
  <si>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</si>
  <si>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</si>
  <si>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</si>
  <si>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</si>
  <si>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</si>
  <si>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</si>
  <si>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Razkritje, kako je podjetje ocenilo izpostavljenost in občutljivost svojih dejavnosti v zvezi s sredstvi in vrednostnimi papirji na podnebne nevarnosti in opredelilo dogodke v zvezi s prehodom</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</si>
  <si>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</si>
  <si>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</si>
  <si>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</si>
  <si>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</si>
  <si>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</si>
  <si>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</si>
  <si>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</si>
  <si>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</si>
  <si>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</si>
  <si>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</si>
  <si>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</si>
  <si>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</si>
  <si>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Časovni okviri morebitnih podnebnih nevarnosti in zaznanih dogodkov v zvezi s podnebnim prehodom</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</si>
  <si>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</si>
  <si>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</si>
  <si>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</si>
  <si>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</si>
  <si>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</si>
  <si>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</si>
  <si>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</si>
  <si>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</si>
  <si>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</si>
  <si>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</si>
  <si>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</si>
  <si>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</si>
  <si>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Razkritje, ali je podjejte sprejelo ukrepe za prilagajanje podnebnim spremembam za morebitne podnebne nevarnosti in dogodke v zvezi s prehodom</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</si>
  <si>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</si>
  <si>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</si>
  <si>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</si>
  <si>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</si>
  <si>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</si>
  <si>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</si>
  <si>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</si>
  <si>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</si>
  <si>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</si>
  <si>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</si>
  <si>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</si>
  <si>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</si>
  <si>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Potencialni negativni učinki podnebnih sprememb, ki lahko vplivajo na finančno uspešnost ali poslovanje kratkoročno, srednjeročno ali dolgoročno, z navedbo, ali podjetje ocenjuje tveganja kot visoka, srednja ali nizka.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</si>
  <si>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</si>
  <si>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</si>
  <si>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</si>
  <si>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Oplysning om andre miljørelaterede og/eller virksomhedsspecifikke miljøoplysninger</t>
  </si>
  <si>
    <t>Rapportage van andere milieugerelateerde en/of entiteitspecifieke  milieurapportages</t>
  </si>
  <si>
    <t>Publication de toute autre information environnementale et/ ou spécifique à l'entité</t>
  </si>
  <si>
    <t>Angabe weiterer umweltbezogener und/oder umweltbezogener unternehmensspezifischer Angaben</t>
  </si>
  <si>
    <t>Nochtadh aon nochtadh comhshaoil eile a bhaineann go sonrach leis an gcomhshaol agus/nó a bhaineann go sonrach le comhshaol</t>
  </si>
  <si>
    <t>Comunicazione di qualsiasi altra informativa ambientale e/o specifica per soggetto</t>
  </si>
  <si>
    <t>Bet kokios kitos aplinkosaugos ir/ar įmonės specifinės aplinkosaugos informacijos atskleidimas</t>
  </si>
  <si>
    <t>Ujawnienie wszelkich innych ujawnień środowiskowych i/lub specyficznych dla jednostki ujawnień środowiskowych</t>
  </si>
  <si>
    <t>Divulgação de quaisquer outras divulgações ambientais e/ou divulgações específicas ambientais da empresa</t>
  </si>
  <si>
    <t>Razkritje vseh drugih okoljskih in/ali za podjetje specifičnih okoljskih razkritij</t>
  </si>
  <si>
    <t>Divulgación de cualquier otra divulgación ambiental y/o ambiental específica de la entidad</t>
  </si>
  <si>
    <t>template_label_employee_counting_methodology_for_the_disclosures_below_headcount_full_time_equivalent</t>
  </si>
  <si>
    <t xml:space="preserve">Employee counting methodology (Headcount or Full time Equivalent  linked from B1) for the disclosures below except specified otherwise </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</si>
  <si>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</si>
  <si>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</si>
  <si>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</si>
  <si>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</si>
  <si>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</si>
  <si>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</si>
  <si>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</si>
  <si>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</si>
  <si>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</si>
  <si>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Metodologija štetja zaposlenih za spodnja razkritja (število zaposlenih ali ekvivalent polnega delovnega časa, povezano z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</si>
  <si>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</si>
  <si>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</si>
  <si>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(At the end of the reporting period or as an average across the reporting period linked from B1) for the disclosures below except specified otherwise</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</si>
  <si>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</si>
  <si>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</si>
  <si>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</si>
  <si>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</si>
  <si>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</si>
  <si>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</si>
  <si>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</si>
  <si>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</si>
  <si>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</si>
  <si>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Metodologija štetja zaposlenih za spodnja razkritja (ob koncu obdobja poročanja ali kot povprečje v celotnem obdobju poročanja, povezano z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</si>
  <si>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</si>
  <si>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</si>
  <si>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</si>
  <si>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</si>
  <si>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</si>
  <si>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</si>
  <si>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</si>
  <si>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</si>
  <si>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</si>
  <si>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</si>
  <si>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</si>
  <si>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</si>
  <si>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 Delovna sila – Splošne značilnosti – Vrsta pogodbe</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</si>
  <si>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</si>
  <si>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</si>
  <si>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</si>
  <si>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</si>
  <si>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</si>
  <si>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</si>
  <si>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</si>
  <si>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</si>
  <si>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</si>
  <si>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</si>
  <si>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</si>
  <si>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</si>
  <si>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Vrsta pogodbe</t>
  </si>
  <si>
    <t>template_label_permanent_contract</t>
  </si>
  <si>
    <t>Permanent contract</t>
  </si>
  <si>
    <t>Tidsubegrænset kontrakt</t>
  </si>
  <si>
    <t>Vast contract</t>
  </si>
  <si>
    <t>Contrat de travail à durée indéterminée</t>
  </si>
  <si>
    <t>Unbefristeter Vertrag</t>
  </si>
  <si>
    <t>Conradh buan</t>
  </si>
  <si>
    <t>Contratto permanente</t>
  </si>
  <si>
    <t>Neterminuota sutartis</t>
  </si>
  <si>
    <t>Umowa na czas nieokreślony</t>
  </si>
  <si>
    <t>Contrato sem termo</t>
  </si>
  <si>
    <t>Pogodba za nedoločen čas</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</si>
  <si>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</si>
  <si>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</si>
  <si>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</si>
  <si>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</si>
  <si>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</si>
  <si>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</si>
  <si>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</si>
  <si>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</si>
  <si>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</si>
  <si>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</si>
  <si>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</si>
  <si>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</si>
  <si>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Začasna pogodba</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</si>
  <si>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</si>
  <si>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</si>
  <si>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</si>
  <si>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</si>
  <si>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</si>
  <si>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</si>
  <si>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</si>
  <si>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</si>
  <si>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</si>
  <si>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</si>
  <si>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</si>
  <si>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</si>
  <si>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Skupaj zaposlenih (vezano na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</si>
  <si>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</si>
  <si>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</si>
  <si>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</si>
  <si>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</si>
  <si>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</si>
  <si>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</si>
  <si>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</si>
  <si>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</si>
  <si>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</si>
  <si>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</si>
  <si>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</si>
  <si>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</si>
  <si>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Delovna sila – Splošne značilnosti – Spol</t>
  </si>
  <si>
    <t>B8 – Trabajadores – Características generales – Género</t>
  </si>
  <si>
    <t>template_label_gender</t>
  </si>
  <si>
    <t>Gender</t>
  </si>
  <si>
    <t>Køn</t>
  </si>
  <si>
    <t>Genre</t>
  </si>
  <si>
    <t>Geschlecht</t>
  </si>
  <si>
    <t>Inscne</t>
  </si>
  <si>
    <t>Genere</t>
  </si>
  <si>
    <t>Lytis</t>
  </si>
  <si>
    <t>Płeć</t>
  </si>
  <si>
    <t>Género</t>
  </si>
  <si>
    <t>Spol</t>
  </si>
  <si>
    <t>template_label_male</t>
  </si>
  <si>
    <t>Male</t>
  </si>
  <si>
    <t>Mand</t>
  </si>
  <si>
    <t>Man</t>
  </si>
  <si>
    <t>Homme</t>
  </si>
  <si>
    <t>Männlich</t>
  </si>
  <si>
    <t>Fireann</t>
  </si>
  <si>
    <t>Uomini</t>
  </si>
  <si>
    <t>Vyrai</t>
  </si>
  <si>
    <t>Mężczyzna</t>
  </si>
  <si>
    <t>Masculino</t>
  </si>
  <si>
    <t>Moški</t>
  </si>
  <si>
    <t>template_label_female</t>
  </si>
  <si>
    <t>Female</t>
  </si>
  <si>
    <t>Kvinde</t>
  </si>
  <si>
    <t>Vrouw</t>
  </si>
  <si>
    <t>Femme</t>
  </si>
  <si>
    <t>Weiblich</t>
  </si>
  <si>
    <t>Baineann</t>
  </si>
  <si>
    <t>Donne</t>
  </si>
  <si>
    <t>Moterys</t>
  </si>
  <si>
    <t>Kobieta</t>
  </si>
  <si>
    <t>Feminino</t>
  </si>
  <si>
    <t>Ženska</t>
  </si>
  <si>
    <t>Femenino</t>
  </si>
  <si>
    <t>template_label_other</t>
  </si>
  <si>
    <t>Andet</t>
  </si>
  <si>
    <t>Overig</t>
  </si>
  <si>
    <t>Autre</t>
  </si>
  <si>
    <t>Andere</t>
  </si>
  <si>
    <t>Eile</t>
  </si>
  <si>
    <t>Altro</t>
  </si>
  <si>
    <t>Kita</t>
  </si>
  <si>
    <t>Inna</t>
  </si>
  <si>
    <t>Outro</t>
  </si>
  <si>
    <t>Drugo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</si>
  <si>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</si>
  <si>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</si>
  <si>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</si>
  <si>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</si>
  <si>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</si>
  <si>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</si>
  <si>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</si>
  <si>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</si>
  <si>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</si>
  <si>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</si>
  <si>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</si>
  <si>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</si>
  <si>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Ni poročano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</si>
  <si>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</si>
  <si>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</si>
  <si>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</si>
  <si>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</si>
  <si>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</si>
  <si>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</si>
  <si>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</si>
  <si>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</si>
  <si>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</si>
  <si>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</si>
  <si>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</si>
  <si>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</si>
  <si>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Delovna sila – Splošne značilnosti – Država zaposlitve</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</si>
  <si>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</si>
  <si>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</si>
  <si>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</si>
  <si>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</si>
  <si>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</si>
  <si>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</si>
  <si>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</si>
  <si>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</si>
  <si>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</si>
  <si>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</si>
  <si>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</si>
  <si>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</si>
  <si>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Država pogodbe o zaposlitvi</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</si>
  <si>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</si>
  <si>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</si>
  <si>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</si>
  <si>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</si>
  <si>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</si>
  <si>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</si>
  <si>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</si>
  <si>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</si>
  <si>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</si>
  <si>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</si>
  <si>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</si>
  <si>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</si>
  <si>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Ali podjetje deluje v več kot eni državi?</t>
  </si>
  <si>
    <t>¿Opera la empresa en más de un país?</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</si>
  <si>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</si>
  <si>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</si>
  <si>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</si>
  <si>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</si>
  <si>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</si>
  <si>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</si>
  <si>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</si>
  <si>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</si>
  <si>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</si>
  <si>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</si>
  <si>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</si>
  <si>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</si>
  <si>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</si>
  <si>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</si>
  <si>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</si>
  <si>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</si>
  <si>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</si>
  <si>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</si>
  <si>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Število zabeleženih nezgod pri delu v poročevalskem obdobju</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</si>
  <si>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</si>
  <si>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</si>
  <si>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</si>
  <si>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</si>
  <si>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</si>
  <si>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</si>
  <si>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</si>
  <si>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</si>
  <si>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</si>
  <si>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</si>
  <si>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</si>
  <si>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</si>
  <si>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Število ur, ki jih je v poročevalskem obdobju opravil en redno zaposleni</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</si>
  <si>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</si>
  <si>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</si>
  <si>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</si>
  <si>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</si>
  <si>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</si>
  <si>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</si>
  <si>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</si>
  <si>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</si>
  <si>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</si>
  <si>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</si>
  <si>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</si>
  <si>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</si>
  <si>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Skupno število ur, ki so jih v enem letu opravili vsi zaposleni v obdobju zaposlovanja</t>
  </si>
  <si>
    <t>Número total de horas trabajadas en un año por todos los empleados en el período de reporte</t>
  </si>
  <si>
    <t>template_label_choice_between_100_or_500_full_time_workers</t>
  </si>
  <si>
    <t xml:space="preserve">Select whether the rate is per 100 or 500  full-time workers over a yearly time frame </t>
  </si>
  <si>
    <t>template_label_rate_per_100_or_500_full_time_workers_over_a_yearly_timeframe</t>
  </si>
  <si>
    <t>Rate per 100 or 500 full-time workers over a yearly timeframe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</si>
  <si>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</si>
  <si>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</si>
  <si>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</si>
  <si>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</si>
  <si>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</si>
  <si>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</si>
  <si>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</si>
  <si>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</si>
  <si>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</si>
  <si>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</si>
  <si>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</si>
  <si>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Stopnja zabeleženih nezgod pri delu v poročevalskem obdobju</t>
  </si>
  <si>
    <t>Tasa de accidentes de trabajo registrables en el período de informe</t>
  </si>
  <si>
    <t>template_label_number_of_fatalities_as_a_result_of_work_related_injuries_and_work_related_ill_health</t>
  </si>
  <si>
    <t>Subject to legal restrictions, the sum of the fatalities as a result of recordable work-related accidents  and recordable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</si>
  <si>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</si>
  <si>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</si>
  <si>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</si>
  <si>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</si>
  <si>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</si>
  <si>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</si>
  <si>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</si>
  <si>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</si>
  <si>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</si>
  <si>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Število smrtnih žrtev zaradi poškodb pri delu in zdravstvenih težav, povezanih z delom</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</si>
  <si>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</si>
  <si>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</si>
  <si>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</si>
  <si>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</si>
  <si>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</si>
  <si>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</si>
  <si>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</si>
  <si>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</si>
  <si>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</si>
  <si>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</si>
  <si>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</si>
  <si>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</si>
  <si>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B10 – Delovna sila – Plačna in Kolektivna pogajanja o plačah in usposabljanje</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</si>
  <si>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</si>
  <si>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</si>
  <si>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</si>
  <si>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</si>
  <si>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</si>
  <si>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</si>
  <si>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</si>
  <si>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</si>
  <si>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</si>
  <si>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</si>
  <si>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</si>
  <si>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</si>
  <si>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Zaposleni prejemajo plačilo, ki je enako ali višje od veljavne minimalne plače, določene neposredno z nacionalnim zakonom o minimalni plači ali s kolektivno pogodbo.</t>
  </si>
  <si>
    <t>Los empleados reciben un sueldo que es igual o superior al salario mínimo aplicable determinado directamente por la ley nacional de salario mínimo o mediante un convenio colectivo.</t>
  </si>
  <si>
    <t>template_label_percentage_gap_in_pay_condition_of_applicability</t>
  </si>
  <si>
    <t>Is the undertaking is already required by EU law or other national regulations to report the percentage gap in pay between its female and male employees ?</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</si>
  <si>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</si>
  <si>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</si>
  <si>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</si>
  <si>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</si>
  <si>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</si>
  <si>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</si>
  <si>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</si>
  <si>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</si>
  <si>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</si>
  <si>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</si>
  <si>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</si>
  <si>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Povprečna bruto urna postavka zaposlenih moških</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</si>
  <si>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</si>
  <si>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</si>
  <si>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</si>
  <si>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</si>
  <si>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</si>
  <si>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</si>
  <si>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</si>
  <si>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</si>
  <si>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</si>
  <si>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</si>
  <si>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</si>
  <si>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</si>
  <si>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Povprečna bruto urna postavka zaposlenih žensk</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</si>
  <si>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</si>
  <si>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</si>
  <si>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</si>
  <si>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</si>
  <si>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</si>
  <si>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</si>
  <si>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</si>
  <si>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</si>
  <si>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</si>
  <si>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</si>
  <si>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</si>
  <si>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</si>
  <si>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Odstotna razlika v plačilu med zaposlenimi in zaposlenimi v podjetju [%]</t>
  </si>
  <si>
    <t>Porcentaje de brecha salarial entre las empleadas y los empleados de la empresa [%]</t>
  </si>
  <si>
    <t>template_label_number_of_employees_covered_by_collective_bargaining_agreements</t>
  </si>
  <si>
    <t>Number of employees covered by collective bargaining agreements (in headcount)</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</si>
  <si>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</si>
  <si>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</si>
  <si>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</si>
  <si>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</si>
  <si>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</si>
  <si>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</si>
  <si>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</si>
  <si>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</si>
  <si>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</si>
  <si>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Število zaposlenih, zajetih v kolektivnih pogodbah</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</si>
  <si>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</si>
  <si>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</si>
  <si>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</si>
  <si>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</si>
  <si>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</si>
  <si>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</si>
  <si>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</si>
  <si>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</si>
  <si>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</si>
  <si>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</si>
  <si>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</si>
  <si>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</si>
  <si>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Odstotek zaposlenih, ki jih pokrivajo kolektivne pogodbe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</si>
  <si>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</si>
  <si>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</si>
  <si>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</si>
  <si>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</si>
  <si>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</si>
  <si>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</si>
  <si>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</si>
  <si>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</si>
  <si>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</si>
  <si>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</si>
  <si>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</si>
  <si>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</si>
  <si>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Število letnih ur usposabljanja na zaposlenega v obdobju usposabljanja</t>
  </si>
  <si>
    <t>B10 – Trabajadores – Número de horas anuales de formación por empleado durante el período de información</t>
  </si>
  <si>
    <t>template_label_total_number_of_training_hours_offered_to_and_completed__by_employees</t>
  </si>
  <si>
    <t>Total number of training hours offered to and completed by employees</t>
  </si>
  <si>
    <t>template_label_total_number_of_employees_in_headcount</t>
  </si>
  <si>
    <t>Total number of employees in headcount</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</si>
  <si>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</si>
  <si>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</si>
  <si>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</si>
  <si>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</si>
  <si>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</si>
  <si>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</si>
  <si>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</si>
  <si>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</si>
  <si>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</si>
  <si>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</si>
  <si>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</si>
  <si>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Povprečno število letnih ur usposabljanja na zaposlenega</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</si>
  <si>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</si>
  <si>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</si>
  <si>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</si>
  <si>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</si>
  <si>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</si>
  <si>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</si>
  <si>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</si>
  <si>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</si>
  <si>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C5 – Dodatne (splošne) značilnosti delovne sile</t>
  </si>
  <si>
    <t>template_label_number_of_employees_who_left_during_the_reporting_period</t>
  </si>
  <si>
    <t>Number of employees who left during the reporting period (in headcount)</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</si>
  <si>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</si>
  <si>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</si>
  <si>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</si>
  <si>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</si>
  <si>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</si>
  <si>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</si>
  <si>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</si>
  <si>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</si>
  <si>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</si>
  <si>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Število zaposlenih, ki so odšli v obdobju poročanja</t>
  </si>
  <si>
    <t>Número de empleados que abandonaron durante el periodo de referencia</t>
  </si>
  <si>
    <t>template_label_number_of_employees_at_the_beginning_of_the_reporting_period</t>
  </si>
  <si>
    <t>Number of employees at the beginning of the reporting period (in headcount)</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</si>
  <si>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</si>
  <si>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</si>
  <si>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</si>
  <si>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</si>
  <si>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</si>
  <si>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</si>
  <si>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</si>
  <si>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</si>
  <si>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</si>
  <si>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Število zaposlenih na začetku poročevalskega obdobja</t>
  </si>
  <si>
    <t>Número de empleados al inicio del período de informe</t>
  </si>
  <si>
    <t>template_label_number_of_employees_at_the_end_of_the_reporting_period</t>
  </si>
  <si>
    <t>Number of employees at the end of the reporting period (in headcount)</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</si>
  <si>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</si>
  <si>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</si>
  <si>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</si>
  <si>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</si>
  <si>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</si>
  <si>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</si>
  <si>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</si>
  <si>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</si>
  <si>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</si>
  <si>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Število zaposlenih ob koncu poročevalskega obdobja</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</si>
  <si>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</si>
  <si>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</si>
  <si>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</si>
  <si>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</si>
  <si>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</si>
  <si>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</si>
  <si>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</si>
  <si>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</si>
  <si>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</si>
  <si>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</si>
  <si>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</si>
  <si>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</si>
  <si>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Stopnja fluktuacije zaposlenih [%] v poročevalskem obdobju</t>
  </si>
  <si>
    <t>Tasa de rotación de empleados [%] durante el período de informe</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</si>
  <si>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</si>
  <si>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</si>
  <si>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</si>
  <si>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</si>
  <si>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</si>
  <si>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</si>
  <si>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</si>
  <si>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</si>
  <si>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</si>
  <si>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</si>
  <si>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</si>
  <si>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Število moških zaposlenih na vodstveni ravni</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</si>
  <si>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</si>
  <si>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</si>
  <si>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</si>
  <si>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</si>
  <si>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</si>
  <si>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</si>
  <si>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</si>
  <si>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</si>
  <si>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</si>
  <si>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</si>
  <si>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</si>
  <si>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</si>
  <si>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Število zaposlenih žensk na vodstveni ravni</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</si>
  <si>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</si>
  <si>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</si>
  <si>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</si>
  <si>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</si>
  <si>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</si>
  <si>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</si>
  <si>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</si>
  <si>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</si>
  <si>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</si>
  <si>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</si>
  <si>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</si>
  <si>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</si>
  <si>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Razmerje med ženskami in moškimi na vodstveni ravni za obdobje poročanja</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</si>
  <si>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</si>
  <si>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</si>
  <si>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</si>
  <si>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</si>
  <si>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</si>
  <si>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</si>
  <si>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</si>
  <si>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</si>
  <si>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</si>
  <si>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</si>
  <si>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</si>
  <si>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</si>
  <si>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Skupno število samozaposlenih brez osebja, ki delajo izključno za podjetje</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</si>
  <si>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</si>
  <si>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</si>
  <si>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</si>
  <si>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</si>
  <si>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</si>
  <si>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</si>
  <si>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</si>
  <si>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</si>
  <si>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</si>
  <si>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</si>
  <si>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</si>
  <si>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</si>
  <si>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Skupno število začasnih delavcev, ki jih zagotavljajo podjetja, ki se ukvarjajo predvsem z zaposlitvenimi dejavnostmi</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</si>
  <si>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</si>
  <si>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</si>
  <si>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</si>
  <si>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</si>
  <si>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</si>
  <si>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</si>
  <si>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</si>
  <si>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</si>
  <si>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</si>
  <si>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</si>
  <si>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C6 - Dodatne informacije o lastni delovni sili – politike in postopki na področju človekovih pravic</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</si>
  <si>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</si>
  <si>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</si>
  <si>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</si>
  <si>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</si>
  <si>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</si>
  <si>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</si>
  <si>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</si>
  <si>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</si>
  <si>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</si>
  <si>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</si>
  <si>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</si>
  <si>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 xml:space="preserve">Ali ima podjetje kodeks ravnanja oziroma politiko za področje človekovih pravic za lastno delovno silo? </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</si>
  <si>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</si>
  <si>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</si>
  <si>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</si>
  <si>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</si>
  <si>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</si>
  <si>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</si>
  <si>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</si>
  <si>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 xml:space="preserve"> </t>
  </si>
  <si>
    <t>In caso affermativo, questo riguarda:</t>
  </si>
  <si>
    <t>Jei taip, ar tai apima:</t>
  </si>
  <si>
    <t>Jeśli tak, czy dokumenty te obejmują takie kwestie jak:</t>
  </si>
  <si>
    <t>Se sim, isso cobre:</t>
  </si>
  <si>
    <t>Če je odgovor pritrdilen, ali to zajema:</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</si>
  <si>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</si>
  <si>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</si>
  <si>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</si>
  <si>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</si>
  <si>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</si>
  <si>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</si>
  <si>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</si>
  <si>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</si>
  <si>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</si>
  <si>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</si>
  <si>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</si>
  <si>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</si>
  <si>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otroško delo</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</si>
  <si>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</si>
  <si>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</si>
  <si>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</si>
  <si>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</si>
  <si>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</si>
  <si>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</si>
  <si>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</si>
  <si>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</si>
  <si>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</si>
  <si>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</si>
  <si>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</si>
  <si>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</si>
  <si>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prisilno delo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</si>
  <si>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</si>
  <si>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</si>
  <si>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</si>
  <si>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</si>
  <si>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</si>
  <si>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</si>
  <si>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</si>
  <si>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</si>
  <si>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</si>
  <si>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</si>
  <si>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</si>
  <si>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</si>
  <si>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trgovina z ljudmi</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</si>
  <si>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</si>
  <si>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</si>
  <si>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</si>
  <si>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</si>
  <si>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</si>
  <si>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</si>
  <si>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</si>
  <si>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</si>
  <si>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</si>
  <si>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</si>
  <si>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</si>
  <si>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</si>
  <si>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</si>
  <si>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</si>
  <si>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</si>
  <si>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</si>
  <si>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</si>
  <si>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</si>
  <si>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</si>
  <si>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</si>
  <si>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</si>
  <si>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</si>
  <si>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</si>
  <si>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preprečevanje nesreč</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</si>
  <si>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</si>
  <si>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</si>
  <si>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</si>
  <si>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</si>
  <si>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</si>
  <si>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</si>
  <si>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</si>
  <si>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</si>
  <si>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</si>
  <si>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</si>
  <si>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</si>
  <si>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</si>
  <si>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drugo? (če da, navedite)</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</si>
  <si>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</si>
  <si>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</si>
  <si>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</si>
  <si>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</si>
  <si>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</si>
  <si>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</si>
  <si>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</si>
  <si>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</si>
  <si>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</si>
  <si>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</si>
  <si>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</si>
  <si>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</si>
  <si>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Navedite druge vrste vsebin, ki jih zajema kodeks ravnanja ali politika človekovih pravic</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</si>
  <si>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</si>
  <si>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</si>
  <si>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</si>
  <si>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</si>
  <si>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</si>
  <si>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</si>
  <si>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</si>
  <si>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</si>
  <si>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</si>
  <si>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</si>
  <si>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</si>
  <si>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</si>
  <si>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Ali ima podjetje mehanizem za obravnavo pritožb za svoje zaposlene?</t>
  </si>
  <si>
    <t>¿Dispone la empresa de un mecanismo de gestión de reclamaciones para su personal propio?</t>
  </si>
  <si>
    <t>template_label_c7_human_rights_incidents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</si>
  <si>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</si>
  <si>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</si>
  <si>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</si>
  <si>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</si>
  <si>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</si>
  <si>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</si>
  <si>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Resni incidenti v zvezi s človekovimi pravicami</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</si>
  <si>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</si>
  <si>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</si>
  <si>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</si>
  <si>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</si>
  <si>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</si>
  <si>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</si>
  <si>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</si>
  <si>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</si>
  <si>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</si>
  <si>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</si>
  <si>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</si>
  <si>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</si>
  <si>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Ali ima je podjetje potrdilo incidente pri lastni delovni sili?</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</si>
  <si>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</si>
  <si>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</si>
  <si>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</si>
  <si>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</si>
  <si>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</si>
  <si>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</si>
  <si>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</si>
  <si>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</si>
  <si>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</si>
  <si>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</si>
  <si>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</si>
  <si>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</si>
  <si>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Če je odgovor pritrdilen, so incidenti povezani z:</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</si>
  <si>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</si>
  <si>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</si>
  <si>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</si>
  <si>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</si>
  <si>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</si>
  <si>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</si>
  <si>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</si>
  <si>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</si>
  <si>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</si>
  <si>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</si>
  <si>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</si>
  <si>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</si>
  <si>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Navedite druge človekove pravice, povezane s potrjenimi incidenti</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</si>
  <si>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</si>
  <si>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</si>
  <si>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</si>
  <si>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</si>
  <si>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</si>
  <si>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</si>
  <si>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</si>
  <si>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</si>
  <si>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</si>
  <si>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</si>
  <si>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</si>
  <si>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</si>
  <si>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Opis ukrepov, sprejetih za obravnavo potrjenih incidentov</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</si>
  <si>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</si>
  <si>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</si>
  <si>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 identified in the reporting period?</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</si>
  <si>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</si>
  <si>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</si>
  <si>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</si>
  <si>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</si>
  <si>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</si>
  <si>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</si>
  <si>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</si>
  <si>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</si>
  <si>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</si>
  <si>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Ali je podjetje seznanjeno s kakršnimi koli potrjenimi incidenti, v katere so vpleteni delavci v vrednostni verigi, prizadete skupnosti, ali potrošniki in končni uporabniki?</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</si>
  <si>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</si>
  <si>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</si>
  <si>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identified in the reporitng period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</si>
  <si>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</si>
  <si>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</si>
  <si>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</si>
  <si>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</si>
  <si>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</si>
  <si>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</si>
  <si>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</si>
  <si>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</si>
  <si>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</si>
  <si>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Specifikacija vseh potrjenih incidentov, v katere so vpleteni delavci v vrednostni verigi, prizadete skupnosti, ali potrošniki in končni uporabniki?</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</si>
  <si>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</si>
  <si>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</si>
  <si>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</si>
  <si>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Oplysninger om andre sociale og/eller virksomhedsspecifikke sociale oplysninger</t>
  </si>
  <si>
    <t xml:space="preserve">
 Rapportage van andere sociale en/of entiteitspecifieke sociale rapportages</t>
  </si>
  <si>
    <t>Publication de toute autre information sociale et/ ou spécifique à l'entité</t>
  </si>
  <si>
    <t>Angabe weiterer sozialer und/oder unternehmensspezifischer sozialer Angaben</t>
  </si>
  <si>
    <t>Nochtadh aon nochtaí sóisialta eile agus/nó sóisialta sonrach don ghnóthas</t>
  </si>
  <si>
    <t>Comunicazione di qualsiasi altra informativa sociale e/o specifica per soggetto</t>
  </si>
  <si>
    <t>Bet kokios kitos socialinės ir/ar įmonės specifinės socialinės informacijos atskleidimas</t>
  </si>
  <si>
    <t>Ujawnienie wszelkich innych ujawnień społecznych i/lub specyficznych dla jednostki ujawnień społecznych</t>
  </si>
  <si>
    <t>Divulgação de quaisquer outras informações de natureza social e/ou divulgações específicas de natureza social da empresa</t>
  </si>
  <si>
    <t>Razkritje vseh drugih družbenih in/ali za podjetje specifičnih družbenih razkritij</t>
  </si>
  <si>
    <t>Divulgación de cualquier otra información social y/o divulgaciones sociales específicas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</si>
  <si>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</si>
  <si>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</si>
  <si>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</si>
  <si>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</si>
  <si>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</si>
  <si>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</si>
  <si>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</si>
  <si>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Obsodbe in globe za korupcijo in podkupovanje</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</si>
  <si>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</si>
  <si>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</si>
  <si>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</si>
  <si>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</si>
  <si>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</si>
  <si>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</si>
  <si>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</si>
  <si>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</si>
  <si>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</si>
  <si>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</si>
  <si>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</si>
  <si>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</si>
  <si>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Ali je podjetje v poročevalskem obdobju utrpelo obsodbe in globe?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</si>
  <si>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</si>
  <si>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</si>
  <si>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</si>
  <si>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</si>
  <si>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</si>
  <si>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</si>
  <si>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</si>
  <si>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</si>
  <si>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</si>
  <si>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</si>
  <si>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</si>
  <si>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</si>
  <si>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Skupno število obsodb zaradi kršitev zakonodaje o proti-korupciji in podkupovanju</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</si>
  <si>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</si>
  <si>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</si>
  <si>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</si>
  <si>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</si>
  <si>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</si>
  <si>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</si>
  <si>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</si>
  <si>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</si>
  <si>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</si>
  <si>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</si>
  <si>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</si>
  <si>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</si>
  <si>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Skupni znesek glob za kršitve zakonodaje o korupciji in podkupovanju</t>
  </si>
  <si>
    <t>Importe total de las multas por infringir las leyes anticorrupción y antisoborno.</t>
  </si>
  <si>
    <t>template_label_c8_revenues_from_certain_sectors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</si>
  <si>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</si>
  <si>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</si>
  <si>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</si>
  <si>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</si>
  <si>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</si>
  <si>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</si>
  <si>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</si>
  <si>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</si>
  <si>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</si>
  <si>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Prihodki od nekaterih dejavnosti</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</si>
  <si>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</si>
  <si>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</si>
  <si>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</si>
  <si>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</si>
  <si>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</si>
  <si>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</si>
  <si>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</si>
  <si>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</si>
  <si>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</si>
  <si>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</si>
  <si>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</si>
  <si>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</si>
  <si>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Ali podjetje ustvarja prihodke iz ene od spodaj naštetih dejavnosti?</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</si>
  <si>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</si>
  <si>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</si>
  <si>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</si>
  <si>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</si>
  <si>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</si>
  <si>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</si>
  <si>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</si>
  <si>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</si>
  <si>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</si>
  <si>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</si>
  <si>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</si>
  <si>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Denarni znesek v</t>
  </si>
  <si>
    <t>Importe monetario en</t>
  </si>
  <si>
    <t>template_label_revenue_derived_from_the_prohibited_weapons_industry</t>
  </si>
  <si>
    <t>Revenue derived from the prohibited weapons industry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</si>
  <si>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</si>
  <si>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</si>
  <si>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</si>
  <si>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</si>
  <si>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</si>
  <si>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</si>
  <si>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</si>
  <si>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</si>
  <si>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</si>
  <si>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Prihodki od spornega orožja (protipehotne mine, kasetno strelivo, kemično orožje in biološko orožje)</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</si>
  <si>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</si>
  <si>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</si>
  <si>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</si>
  <si>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</si>
  <si>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</si>
  <si>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</si>
  <si>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</si>
  <si>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</si>
  <si>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</si>
  <si>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</si>
  <si>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</si>
  <si>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</si>
  <si>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Prihodki od gojenja in proizvodnje tobaka</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</si>
  <si>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</si>
  <si>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</si>
  <si>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</si>
  <si>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</si>
  <si>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</si>
  <si>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</si>
  <si>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</si>
  <si>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</si>
  <si>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</si>
  <si>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</si>
  <si>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</si>
  <si>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</si>
  <si>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Prihodki od premoga</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</si>
  <si>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</si>
  <si>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</si>
  <si>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</si>
  <si>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</si>
  <si>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</si>
  <si>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</si>
  <si>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</si>
  <si>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</si>
  <si>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</si>
  <si>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</si>
  <si>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</si>
  <si>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</si>
  <si>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Prihodki od nafte</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</si>
  <si>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</si>
  <si>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</si>
  <si>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</si>
  <si>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</si>
  <si>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</si>
  <si>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</si>
  <si>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</si>
  <si>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</si>
  <si>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</si>
  <si>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</si>
  <si>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</si>
  <si>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</si>
  <si>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Prihodki od plina</t>
  </si>
  <si>
    <t>Ingresos derivados del gas</t>
  </si>
  <si>
    <t>template_label_total_revenues_derived_from_fossil_fuel_sector</t>
  </si>
  <si>
    <t xml:space="preserve">Total revenues derived from the fossil fuel (coal oil and gas) sector </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</si>
  <si>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</si>
  <si>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</si>
  <si>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</si>
  <si>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</si>
  <si>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</si>
  <si>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</si>
  <si>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</si>
  <si>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</si>
  <si>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</si>
  <si>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Skupni prihodki iz sektorja fosilnih goriv (premog, nafta in plin) (tj. podjetje prejema prihodke od raziskovanja, rudarstva, pridobivanja, proizvodnje, predelave, skladiščenja, rafiniranja ali distribucije, vključno s prevozom, skladiščenjem in trgovino s fosilnimi gorivi, kot je opredeljeno v točki (62) člena 2 Uredbe (EU) 2018/1999 Evropskega parlamenta in Sveta)</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</si>
  <si>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</si>
  <si>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</si>
  <si>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</si>
  <si>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</si>
  <si>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</si>
  <si>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</si>
  <si>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</si>
  <si>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</si>
  <si>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</si>
  <si>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</si>
  <si>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</si>
  <si>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</si>
  <si>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Prihodki od proizvodnje kemikalij</t>
  </si>
  <si>
    <t>Ingresos derivados de la producción de productos químicos</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</si>
  <si>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</si>
  <si>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</si>
  <si>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</si>
  <si>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</si>
  <si>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</si>
  <si>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</si>
  <si>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</si>
  <si>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</si>
  <si>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</si>
  <si>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</si>
  <si>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</si>
  <si>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Nič od naštetega</t>
  </si>
  <si>
    <t>Ninguna de las anteriores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</si>
  <si>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</si>
  <si>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</si>
  <si>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</si>
  <si>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</si>
  <si>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</si>
  <si>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</si>
  <si>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</si>
  <si>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</si>
  <si>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C9 – Razmerje med spoloma v organu upravljanja</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</si>
  <si>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</si>
  <si>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</si>
  <si>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</si>
  <si>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</si>
  <si>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</si>
  <si>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</si>
  <si>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</si>
  <si>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</si>
  <si>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</si>
  <si>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</si>
  <si>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</si>
  <si>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Ali ima podjetje vzpostavljen organ upravljanja?</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</si>
  <si>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</si>
  <si>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</si>
  <si>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</si>
  <si>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</si>
  <si>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</si>
  <si>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</si>
  <si>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</si>
  <si>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</si>
  <si>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</si>
  <si>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</si>
  <si>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</si>
  <si>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</si>
  <si>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Število članic upravnega odbora ob koncu obdobja poročanja</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</si>
  <si>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</si>
  <si>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</si>
  <si>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</si>
  <si>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</si>
  <si>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</si>
  <si>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</si>
  <si>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</si>
  <si>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</si>
  <si>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</si>
  <si>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</si>
  <si>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</si>
  <si>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</si>
  <si>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Število moških članov upravnega odbora ob koncu obdobja poročanja</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</si>
  <si>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</si>
  <si>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</si>
  <si>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</si>
  <si>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</si>
  <si>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</si>
  <si>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</si>
  <si>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</si>
  <si>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</si>
  <si>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</si>
  <si>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</si>
  <si>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</si>
  <si>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Razmerje med spoloma v organu upravljanja</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</si>
  <si>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</si>
  <si>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</si>
  <si>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</si>
  <si>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</si>
  <si>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Rapportage van alle andere governance en/of entiteitsspecifieke governance rapportages</t>
  </si>
  <si>
    <t>Publication de toute autre information de gouvernance et/ ou spécifique à l'entité</t>
  </si>
  <si>
    <t>Angabe weiterer Governance- und/oder unternehmensspezifischer Governance-Angaben</t>
  </si>
  <si>
    <t>Nochtadh aon nochtaí rialachas agus/nó rialachais sonrach don ghnóthas</t>
  </si>
  <si>
    <t>Comunicazione di qualsiasi altra informativa sulla governance e/o specifica per soggetto</t>
  </si>
  <si>
    <t>Bet kokios kitos valdysenos ir/ar įmonės specifinės valdysenos informacijos atskleidimas</t>
  </si>
  <si>
    <t>Ujawnienie wszelkich innych ujawnień dotyczących ładu korporacyjnego i/lub specyficznych dla jednostki ujawnień dotyczących ładu korporacyjnego</t>
  </si>
  <si>
    <t>Divulgação de quaisquer outras informações de governação  e/ou divulgações específicas de governação da empresa</t>
  </si>
  <si>
    <t>Razkritje vseh drugih razkritij o upravljanju in/ali za podjetje specifičnih razkritij, povezanih z upravljanjem</t>
  </si>
  <si>
    <t>Divulgación de cualquier otra información de gobernanza y/o específica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</si>
  <si>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</si>
  <si>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</si>
  <si>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</si>
  <si>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</si>
  <si>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</si>
  <si>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</si>
  <si>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</si>
  <si>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</si>
  <si>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</si>
  <si>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</si>
  <si>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</si>
  <si>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PRETVORNIK GORIVA</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</si>
  <si>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</si>
  <si>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</si>
  <si>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</si>
  <si>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</si>
  <si>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</si>
  <si>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</si>
  <si>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</si>
  <si>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</si>
  <si>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</si>
  <si>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</si>
  <si>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</si>
  <si>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</si>
  <si>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OPOZORILO: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</si>
  <si>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</si>
  <si>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</si>
  <si>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</si>
  <si>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</si>
  <si>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</si>
  <si>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</si>
  <si>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</si>
  <si>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</si>
  <si>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</si>
  <si>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</si>
  <si>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</si>
  <si>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</si>
  <si>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Ta pretvornik je namenjen izključno ponazoritvi, kako se lahko izračuna poraba energije (v MWh) iz različnih vrst goriva. EFRAG ne prevzema nobene odgovornosti za vsebino ali kakršne koli neposredne, posredne ali naključne posledice ali škodo, ki bi nastala zaradi uporabe tega pretvornika goriva.</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</si>
  <si>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</si>
  <si>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</si>
  <si>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</si>
  <si>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</si>
  <si>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</si>
  <si>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</si>
  <si>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</si>
  <si>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</si>
  <si>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</si>
  <si>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</si>
  <si>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</si>
  <si>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</si>
  <si>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Upoštevajte, da so tipične vrednosti neto kalorične vrednosti (NCV) in gostote navedene za vsako vrsto goriva. Vendar se ti parametri lahko razlikujejo glede na dejavnike, kot so nacionalni predpisi, posebne značilnosti ponudnikov goriva ali druge okoliščine. Zato se od uporabnikov pričakuje, da ročno vnesejo ali prilagodijo vrednosti NCV in gostote, da odražajo njihove specifične razmere.</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</si>
  <si>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</si>
  <si>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</si>
  <si>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</si>
  <si>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</si>
  <si>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</si>
  <si>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</si>
  <si>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</si>
  <si>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</si>
  <si>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</si>
  <si>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</si>
  <si>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</si>
  <si>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</si>
  <si>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Poleg tega se uporabnike spodbuja, da določijo status obnovljivosti vsakega goriva na podlagi potrdil o izvoru, kot je določeno v 19. členu Evropske direktive 2018/2001/ES o spodbujanju uporabe energije iz obnovljivih virov. Privzeti status obnovljivosti, ki je naveden za vsako gorivo, je tipična predpostavka in se lahko po potrebi prilagodi glede na geografske ali individualne okoliščine.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</si>
  <si>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</si>
  <si>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</si>
  <si>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</si>
  <si>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</si>
  <si>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</si>
  <si>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</si>
  <si>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</si>
  <si>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</si>
  <si>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</si>
  <si>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</si>
  <si>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</si>
  <si>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</si>
  <si>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Označuje, da bi se moralo polje izpolniti bodisi z izbiro vrednosti iz spustnega menija (npr. Vrsta goriva ali Merska enota) bodisi z vnosom količine.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</si>
  <si>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</si>
  <si>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</si>
  <si>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</si>
  <si>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</si>
  <si>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</si>
  <si>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</si>
  <si>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</si>
  <si>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</si>
  <si>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</si>
  <si>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</si>
  <si>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</si>
  <si>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</si>
  <si>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Vrsta goriva</t>
  </si>
  <si>
    <t>Tipo de combustible</t>
  </si>
  <si>
    <t>template_label_amount</t>
  </si>
  <si>
    <t>Beløb</t>
  </si>
  <si>
    <t>Hoeveelheid</t>
  </si>
  <si>
    <t>Montant</t>
  </si>
  <si>
    <t>Betrag</t>
  </si>
  <si>
    <t>Méid</t>
  </si>
  <si>
    <t>Importo</t>
  </si>
  <si>
    <t>Kiekis</t>
  </si>
  <si>
    <t>Ilość</t>
  </si>
  <si>
    <t>Quantidade</t>
  </si>
  <si>
    <t>Znesek</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</si>
  <si>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</si>
  <si>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</si>
  <si>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</si>
  <si>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</si>
  <si>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</si>
  <si>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</si>
  <si>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</si>
  <si>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</si>
  <si>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</si>
  <si>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</si>
  <si>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</si>
  <si>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Agregatno stanje</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</si>
  <si>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</si>
  <si>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</si>
  <si>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</si>
  <si>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</si>
  <si>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</si>
  <si>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</si>
  <si>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</si>
  <si>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</si>
  <si>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</si>
  <si>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</si>
  <si>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</si>
  <si>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</si>
  <si>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Tipično stanje obnovljivosti</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</si>
  <si>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</si>
  <si>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</si>
  <si>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</si>
  <si>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</si>
  <si>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</si>
  <si>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</si>
  <si>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</si>
  <si>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</si>
  <si>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</si>
  <si>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</si>
  <si>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</si>
  <si>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</si>
  <si>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Izračunana energija v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</si>
  <si>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</si>
  <si>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</si>
  <si>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</si>
  <si>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</si>
  <si>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</si>
  <si>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</si>
  <si>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</si>
  <si>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</si>
  <si>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</si>
  <si>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</si>
  <si>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</si>
  <si>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</si>
  <si>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Uporaba pretvornika goriva:</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</si>
  <si>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</si>
  <si>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</si>
  <si>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</si>
  <si>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</si>
  <si>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</si>
  <si>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</si>
  <si>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</si>
  <si>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</si>
  <si>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</si>
  <si>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</si>
  <si>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</si>
  <si>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</si>
  <si>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V polju A10 izberite uporabljeno gorivo tako, da ga poiščete ali se pomaknete navzdol po prikazanem seznamu s klikom na polje</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</si>
  <si>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</si>
  <si>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</si>
  <si>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</si>
  <si>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</si>
  <si>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</si>
  <si>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</si>
  <si>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</si>
  <si>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</si>
  <si>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</si>
  <si>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</si>
  <si>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</si>
  <si>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</si>
  <si>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V polju B10 izberite uporabljeno mersko enoto</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</si>
  <si>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</si>
  <si>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</si>
  <si>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</si>
  <si>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</si>
  <si>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</si>
  <si>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</si>
  <si>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</si>
  <si>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</si>
  <si>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</si>
  <si>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</si>
  <si>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</si>
  <si>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</si>
  <si>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V polju C10 izberite Količina porabljenega goriva</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</si>
  <si>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</si>
  <si>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</si>
  <si>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</si>
  <si>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</si>
  <si>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</si>
  <si>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</si>
  <si>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</si>
  <si>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</si>
  <si>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</si>
  <si>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</si>
  <si>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</si>
  <si>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</si>
  <si>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V polju D10 je prikazano agregatno stanje izbranega goriva.</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</si>
  <si>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</si>
  <si>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</si>
  <si>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</si>
  <si>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</si>
  <si>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</si>
  <si>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</si>
  <si>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</si>
  <si>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</si>
  <si>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</si>
  <si>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</si>
  <si>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</si>
  <si>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</si>
  <si>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V polju E10 je prikazano tipično stanje obnovljivosti za izbrano gorivo.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</si>
  <si>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</si>
  <si>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</si>
  <si>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</si>
  <si>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</si>
  <si>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</si>
  <si>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</si>
  <si>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</si>
  <si>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</si>
  <si>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</si>
  <si>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</si>
  <si>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</si>
  <si>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</si>
  <si>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V polju F10 je prikazana energija, proizvedena v megavatnih urah z določeno količino goriva.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</si>
  <si>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</si>
  <si>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</si>
  <si>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</si>
  <si>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</si>
  <si>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</si>
  <si>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</si>
  <si>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</si>
  <si>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</si>
  <si>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</si>
  <si>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</si>
  <si>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</si>
  <si>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</si>
  <si>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V polju A29 je prikazana skupna energija v megavatnih urah.</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</si>
  <si>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</si>
  <si>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</si>
  <si>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</si>
  <si>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</si>
  <si>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</si>
  <si>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</si>
  <si>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</si>
  <si>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</si>
  <si>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</si>
  <si>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</si>
  <si>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</si>
  <si>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</si>
  <si>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V polju A32 je prikazana skupna obnovljiva energija v megavatnih urah.</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</si>
  <si>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</si>
  <si>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</si>
  <si>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</si>
  <si>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</si>
  <si>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</si>
  <si>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</si>
  <si>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</si>
  <si>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</si>
  <si>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</si>
  <si>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</si>
  <si>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</si>
  <si>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</si>
  <si>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V polju B32 je prikazana skupna energija iz obnovljivih virov v megavatnih urah.</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</si>
  <si>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</si>
  <si>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</si>
  <si>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</si>
  <si>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</si>
  <si>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</si>
  <si>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</si>
  <si>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</si>
  <si>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</si>
  <si>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</si>
  <si>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</si>
  <si>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</si>
  <si>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</si>
  <si>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Nadaljnje opombe so na voljo spodaj</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</si>
  <si>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</si>
  <si>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</si>
  <si>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</si>
  <si>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</si>
  <si>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</si>
  <si>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</si>
  <si>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</si>
  <si>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</si>
  <si>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</si>
  <si>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</si>
  <si>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</si>
  <si>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</si>
  <si>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Prenesite skupne izračunane rezultate v polje B3 "Poraba energije goriva".</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</si>
  <si>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</si>
  <si>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</si>
  <si>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</si>
  <si>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</si>
  <si>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</si>
  <si>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</si>
  <si>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</si>
  <si>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</si>
  <si>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</si>
  <si>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</si>
  <si>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</si>
  <si>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</si>
  <si>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Skupna energija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</si>
  <si>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</si>
  <si>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</si>
  <si>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</si>
  <si>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</si>
  <si>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</si>
  <si>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</si>
  <si>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</si>
  <si>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</si>
  <si>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</si>
  <si>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</si>
  <si>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</si>
  <si>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</si>
  <si>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Skupna energija iz obnovljivih virov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</si>
  <si>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</si>
  <si>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</si>
  <si>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</si>
  <si>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</si>
  <si>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</si>
  <si>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</si>
  <si>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</si>
  <si>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</si>
  <si>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</si>
  <si>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</si>
  <si>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</si>
  <si>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</si>
  <si>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Skupna energija iz neobnovljivih virov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</si>
  <si>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</si>
  <si>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</si>
  <si>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</si>
  <si>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</si>
  <si>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</si>
  <si>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</si>
  <si>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</si>
  <si>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</si>
  <si>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</si>
  <si>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</si>
  <si>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</si>
  <si>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</si>
  <si>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Nadaljnje opombe:</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</si>
  <si>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</si>
  <si>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</si>
  <si>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</si>
  <si>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</si>
  <si>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</si>
  <si>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</si>
  <si>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</si>
  <si>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</si>
  <si>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</si>
  <si>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</si>
  <si>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</si>
  <si>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</si>
  <si>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Pretvornik ponuja možnost hkratnega izračuna do 10 različnih vrst goriva. Če želite to narediti, razširite skrite stolpce z ikono plus na vrhu dokumenta. Vsak razširjen pretvornik goriva deluje natanko tako, kot je razloženo zgoraj. Pomembno je omeniti, da se samodejni izračun, ki ga izvaja pretvornik goriva, opravi z uporabo kurilnih vrednosti in gostot, ki so značilne za to določeno vrsto goriva. Če podjetje lahko zagotovi specifične kurilne vrednosti in gostote uporabljenih goriv, obstaja možnost izračuna porabe energije na uro v MWh z vdelavo specifičnih vrednosti v formule, ki so avtomatizirane na listu pretvornika goriva. Spodaj so formule, če je rešitev neavtomatiziranega izračuna z uporabo specifičnih vrednosti boljša od tiste, ki jo uporablja pretvornik. Če morate pretvoriti mersko enoto vaših specifičnih meritev, uporabite pretvornik merskih enot.</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</si>
  <si>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</si>
  <si>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</si>
  <si>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</si>
  <si>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</si>
  <si>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</si>
  <si>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</si>
  <si>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</si>
  <si>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</si>
  <si>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</si>
  <si>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</si>
  <si>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</si>
  <si>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</si>
  <si>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Poraba energije na uro v MWh za trdna goriva:</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</si>
  <si>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</si>
  <si>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</si>
  <si>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</si>
  <si>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</si>
  <si>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</si>
  <si>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</si>
  <si>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</si>
  <si>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</si>
  <si>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</si>
  <si>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</si>
  <si>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</si>
  <si>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</si>
  <si>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Energija [MWh] = Masa [t] * NCV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</si>
  <si>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</si>
  <si>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</si>
  <si>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</si>
  <si>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</si>
  <si>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</si>
  <si>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</si>
  <si>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</si>
  <si>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</si>
  <si>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</si>
  <si>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</si>
  <si>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</si>
  <si>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</si>
  <si>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Poraba energije na uro v MWh za tekoča goriva:</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</si>
  <si>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</si>
  <si>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</si>
  <si>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</si>
  <si>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</si>
  <si>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</si>
  <si>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</si>
  <si>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</si>
  <si>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</si>
  <si>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</si>
  <si>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</si>
  <si>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</si>
  <si>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</si>
  <si>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Prostornina [L] * Gostota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</si>
  <si>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</si>
  <si>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</si>
  <si>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</si>
  <si>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</si>
  <si>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</si>
  <si>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</si>
  <si>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</si>
  <si>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</si>
  <si>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</si>
  <si>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</si>
  <si>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</si>
  <si>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Energija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</si>
  <si>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</si>
  <si>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</si>
  <si>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</si>
  <si>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</si>
  <si>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</si>
  <si>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</si>
  <si>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</si>
  <si>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</si>
  <si>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</si>
  <si>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</si>
  <si>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</si>
  <si>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</si>
  <si>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Poraba energije na uro v MWh za plinasta goriva:</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</si>
  <si>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</si>
  <si>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</si>
  <si>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</si>
  <si>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</si>
  <si>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</si>
  <si>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</si>
  <si>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</si>
  <si>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</si>
  <si>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</si>
  <si>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</si>
  <si>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</si>
  <si>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</si>
  <si>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Prostornina [m³] * Gostota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</si>
  <si>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</si>
  <si>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</si>
  <si>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</si>
  <si>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</si>
  <si>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</si>
  <si>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</si>
  <si>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</si>
  <si>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</si>
  <si>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</si>
  <si>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</si>
  <si>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</si>
  <si>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</si>
  <si>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</si>
  <si>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</si>
  <si>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</si>
  <si>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PRETVORNIK MERSKIH ENOT</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</si>
  <si>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</si>
  <si>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</si>
  <si>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</si>
  <si>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</si>
  <si>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</si>
  <si>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</si>
  <si>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</si>
  <si>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</si>
  <si>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</si>
  <si>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</si>
  <si>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</si>
  <si>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 xml:space="preserve"> 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</si>
  <si>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</si>
  <si>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</si>
  <si>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</si>
  <si>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</si>
  <si>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</si>
  <si>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</si>
  <si>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</si>
  <si>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</si>
  <si>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</si>
  <si>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</si>
  <si>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</si>
  <si>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</si>
  <si>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Pretvornik merskih enot mase</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</si>
  <si>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</si>
  <si>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</si>
  <si>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</si>
  <si>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</si>
  <si>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</si>
  <si>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</si>
  <si>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</si>
  <si>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</si>
  <si>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</si>
  <si>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</si>
  <si>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</si>
  <si>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</si>
  <si>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Pretvornik merskih enot za prostornino</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</si>
  <si>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</si>
  <si>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</si>
  <si>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</si>
  <si>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</si>
  <si>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</si>
  <si>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</si>
  <si>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</si>
  <si>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</si>
  <si>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</si>
  <si>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</si>
  <si>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</si>
  <si>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</si>
  <si>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Enota za merjenje porabe energije na uro</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</si>
  <si>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</si>
  <si>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</si>
  <si>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</si>
  <si>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</si>
  <si>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</si>
  <si>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</si>
  <si>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</si>
  <si>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</si>
  <si>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</si>
  <si>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</si>
  <si>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</si>
  <si>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</si>
  <si>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Merska enota pretvornika NCV</t>
  </si>
  <si>
    <t>Unidad de medida del convertidor NCV</t>
  </si>
  <si>
    <t>template_label_mass_to_volume</t>
  </si>
  <si>
    <t>Mass to Volume Converter (or viceversa)</t>
  </si>
  <si>
    <t>Masse-til-volumen-omformer (eller omvendt)</t>
  </si>
  <si>
    <t>Massa-naar-volume-omzetter (of omgekeerd)</t>
  </si>
  <si>
    <t>Convertisseur masse-volume (ou inversement)</t>
  </si>
  <si>
    <t>Masse-Volumen-Umwandler (oder umgekehrt)</t>
  </si>
  <si>
    <t>Tiontaire Aifreann go Imleabhar (nó vice versa)</t>
  </si>
  <si>
    <t>Convertitore massa-volume (o viceversa)</t>
  </si>
  <si>
    <t>Masės ir tūrio keitiklis (arba atvirkščiai)</t>
  </si>
  <si>
    <t>Przetwornica masy do objętości (lub odwrotnie)</t>
  </si>
  <si>
    <t>Conversor de massa para volume (ou vice-versa)</t>
  </si>
  <si>
    <t>Pretvornik mase v volumen (ali obratno)</t>
  </si>
  <si>
    <t>Convertidor de masa a volumen (o viceversa)</t>
  </si>
  <si>
    <t>template_label_density_kg_over_l</t>
  </si>
  <si>
    <t>Density (Kg/L)</t>
  </si>
  <si>
    <t>Densitet (kg/L)</t>
  </si>
  <si>
    <t>Dichtheid (kg/L)</t>
  </si>
  <si>
    <t>Densité (kg/L)</t>
  </si>
  <si>
    <t>Dichte (kg/L)</t>
  </si>
  <si>
    <t>Dlús (kg / l)</t>
  </si>
  <si>
    <t>Densità (kg/l)</t>
  </si>
  <si>
    <t>Tankis (kg/l)</t>
  </si>
  <si>
    <t>Gęstość (kg/l)</t>
  </si>
  <si>
    <t>Densidade (kg/l)</t>
  </si>
  <si>
    <t>Gostota (Kg/L)</t>
  </si>
  <si>
    <t>Densidad (kg/l)</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</si>
  <si>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</si>
  <si>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</si>
  <si>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</si>
  <si>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</si>
  <si>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</si>
  <si>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</si>
  <si>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</si>
  <si>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</si>
  <si>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</si>
  <si>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</si>
  <si>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</si>
  <si>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Pretvornik merskih enot gostote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</si>
  <si>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</si>
  <si>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</si>
  <si>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</si>
  <si>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</si>
  <si>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</si>
  <si>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</si>
  <si>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</si>
  <si>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</si>
  <si>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</si>
  <si>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</si>
  <si>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</si>
  <si>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</si>
  <si>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Uporaba pretvornika merskih enot</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</si>
  <si>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</si>
  <si>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</si>
  <si>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</si>
  <si>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</si>
  <si>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</si>
  <si>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</si>
  <si>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</si>
  <si>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</si>
  <si>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</si>
  <si>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</si>
  <si>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</si>
  <si>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</si>
  <si>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Koraki, ki jih je treba upoštevati pri pripravi tabele mase:</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</si>
  <si>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</si>
  <si>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</si>
  <si>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</si>
  <si>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</si>
  <si>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</si>
  <si>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</si>
  <si>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</si>
  <si>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</si>
  <si>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</si>
  <si>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</si>
  <si>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</si>
  <si>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</si>
  <si>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V polje B5 tabele, ki se nanaša na mersko enoto za pretvornik mase, je treba vstaviti mersko enoto za pretvorbo.</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</si>
  <si>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</si>
  <si>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</si>
  <si>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</si>
  <si>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</si>
  <si>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</si>
  <si>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</si>
  <si>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</si>
  <si>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</si>
  <si>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</si>
  <si>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</si>
  <si>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</si>
  <si>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</si>
  <si>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Nato lahko v polje B6 vnesemo količino mase.</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</si>
  <si>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</si>
  <si>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</si>
  <si>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</si>
  <si>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</si>
  <si>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</si>
  <si>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</si>
  <si>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</si>
  <si>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</si>
  <si>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</si>
  <si>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</si>
  <si>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</si>
  <si>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</si>
  <si>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Končno bi morala biti v polju D5 merska enota, ki nas zanima.</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</si>
  <si>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</si>
  <si>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</si>
  <si>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</si>
  <si>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</si>
  <si>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</si>
  <si>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</si>
  <si>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</si>
  <si>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</si>
  <si>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</si>
  <si>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</si>
  <si>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</si>
  <si>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</si>
  <si>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Rezultat pretvorbe bo prikazan v polju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</si>
  <si>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</si>
  <si>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</si>
  <si>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</si>
  <si>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</si>
  <si>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</si>
  <si>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</si>
  <si>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</si>
  <si>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</si>
  <si>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</si>
  <si>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</si>
  <si>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</si>
  <si>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</si>
  <si>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Koraki, ki jih je treba upoštevati za ostale tabele (Prostornina, Poraba energije, Gostota in NCV), so enaki kot za tabelo Masa.</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</si>
  <si>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</si>
  <si>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</si>
  <si>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</si>
  <si>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</si>
  <si>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</si>
  <si>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</si>
  <si>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</si>
  <si>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</si>
  <si>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</si>
  <si>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</si>
  <si>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</si>
  <si>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</si>
  <si>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Spodaj so navedene vse pretvorbe merskih enot za vsako tabelo.</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</si>
  <si>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</si>
  <si>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</si>
  <si>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</si>
  <si>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</si>
  <si>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</si>
  <si>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</si>
  <si>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</si>
  <si>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</si>
  <si>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</si>
  <si>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</si>
  <si>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</si>
  <si>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Pretvornik merskih enot mase:</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</si>
  <si>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</si>
  <si>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</si>
  <si>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</si>
  <si>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</si>
  <si>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</si>
  <si>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</si>
  <si>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</si>
  <si>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</si>
  <si>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</si>
  <si>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</si>
  <si>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</si>
  <si>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Pretvornik merskih enot za prostornino:</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</si>
  <si>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</si>
  <si>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</si>
  <si>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</si>
  <si>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</si>
  <si>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</si>
  <si>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</si>
  <si>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</si>
  <si>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</si>
  <si>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</si>
  <si>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</si>
  <si>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</si>
  <si>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</si>
  <si>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Merska enota pretvornika energije:</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</si>
  <si>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</si>
  <si>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</si>
  <si>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</si>
  <si>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</si>
  <si>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</si>
  <si>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</si>
  <si>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</si>
  <si>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</si>
  <si>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</si>
  <si>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</si>
  <si>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</si>
  <si>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Pretvornik merskih enot gostote: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</si>
  <si>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</si>
  <si>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</si>
  <si>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</si>
  <si>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</si>
  <si>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</si>
  <si>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</si>
  <si>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</si>
  <si>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</si>
  <si>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</si>
  <si>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</si>
  <si>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</si>
  <si>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Merska enota pretvornika NCV:</t>
  </si>
  <si>
    <t>▪ Unidad de medida del convertidor NCV:</t>
  </si>
  <si>
    <t>template_label_mass_to_volume_instruction</t>
  </si>
  <si>
    <t>Similar steps, with also the specification of the denisty, can be applied to the last table for the conversion from Mass to Volumer (or viceversa).</t>
  </si>
  <si>
    <t>Lignende trin, med også specifikation af denisty, kan anvendes på den sidste tabel for omregningen fra Masse til Volumer (eller omvendt).</t>
  </si>
  <si>
    <t>Vergelijkbare stappen, met ook de specificatie van de dichtheid, kunnen worden toegepast op de laatste tabel voor de omzetting van massa naar volume (of omgekeerd).</t>
  </si>
  <si>
    <t>Des étapes similaires, avec la spécification de la dénitie, peuvent être appliquées à la dernière table pour la conversion de Mass en Volumer (ou inversement).</t>
  </si>
  <si>
    <t>Ähnliche Schritte, auch mit der Angabe der Dichte, können auf die letzte Tabelle für die Umrechnung von Masse zu Volumer (oder umgekehrt) angewendet werden.</t>
  </si>
  <si>
    <t>Is féidir céimeanna den chineál céanna, le sonraíocht an denisty freisin, a chur i bhfeidhm ar an tábla deireanach don chomhshó ó Aifreann go Toirteoir (nó vice versa).</t>
  </si>
  <si>
    <t>Passaggi simili, con la specifica della denisty, possono essere applicati all'ultima tabella per la conversione da Mass a Volumer (o viceversa).</t>
  </si>
  <si>
    <t>Panašūs žingsniai, taip pat nurodant denisty, gali būti taikomi paskutinei lentelei, konvertuojant iš masės į tūrį (arba atvirkščiai).</t>
  </si>
  <si>
    <t>Podobne kroki, wraz ze specyfikacją gęstości, można zastosować do ostatniej tabeli konwersji z Masy na Volumer (lub odwrotnie).</t>
  </si>
  <si>
    <t>Etapas semelhantes, com a especificação da denista, podem ser aplicadas à última tabela para a conversão de Mass para Volumer (ou vice-versa).</t>
  </si>
  <si>
    <t>Podobne korake, prav tako z določitvijo gostote, lahko uporabimo v zadnji tabeli za pretvorbo iz mase v volumen (ali obratno).</t>
  </si>
  <si>
    <t>Pasos similares, con la especificación de la denistad, pueden aplicarse a la última tabla para la conversión de Masa a Volumen (o viceversa).</t>
  </si>
  <si>
    <t>template_label_incomplete</t>
  </si>
  <si>
    <t>INCOMPLETE</t>
  </si>
  <si>
    <t xml:space="preserve">UFÆRDIG </t>
  </si>
  <si>
    <t>ONVOLLEDIG</t>
  </si>
  <si>
    <t>INCOMPLET</t>
  </si>
  <si>
    <t>UNVOLLSTÄNDIG</t>
  </si>
  <si>
    <t>NEAMHIOMLÁN</t>
  </si>
  <si>
    <t>INCOMPLETO</t>
  </si>
  <si>
    <t>NEBAIGTA</t>
  </si>
  <si>
    <t>NIEKOMPLETNY</t>
  </si>
  <si>
    <t>NEPOPOLNO</t>
  </si>
  <si>
    <t>template_label_complete</t>
  </si>
  <si>
    <t>COMPLETE</t>
  </si>
  <si>
    <t xml:space="preserve">FÆRDIG </t>
  </si>
  <si>
    <t>COMPLEET</t>
  </si>
  <si>
    <t>COMPLET</t>
  </si>
  <si>
    <t xml:space="preserve">VOLLSTÄNDIG
</t>
  </si>
  <si>
    <t>CRÍOCHNAITHE</t>
  </si>
  <si>
    <t>COMPLETO</t>
  </si>
  <si>
    <t>Baigta</t>
  </si>
  <si>
    <t>KOMPLETNY</t>
  </si>
  <si>
    <t>POPOLNO</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</si>
  <si>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</si>
  <si>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</si>
  <si>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</si>
  <si>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</si>
  <si>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</si>
  <si>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</si>
  <si>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</si>
  <si>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</si>
  <si>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</si>
  <si>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</si>
  <si>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</si>
  <si>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MANJKAJOČA VREDNOST</t>
  </si>
  <si>
    <t xml:space="preserve">VALOR NO INFORMADO </t>
  </si>
  <si>
    <t>template_label_error</t>
  </si>
  <si>
    <t>ERROR</t>
  </si>
  <si>
    <t>FEJL</t>
  </si>
  <si>
    <t>FOUT</t>
  </si>
  <si>
    <t>ERREUR</t>
  </si>
  <si>
    <t>FEHLER</t>
  </si>
  <si>
    <t>EARRÁID</t>
  </si>
  <si>
    <t>ERRORE</t>
  </si>
  <si>
    <t>KLAIDA</t>
  </si>
  <si>
    <t>BŁĄD</t>
  </si>
  <si>
    <t>ERRO</t>
  </si>
  <si>
    <t>NAPAKA</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</si>
  <si>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</si>
  <si>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</si>
  <si>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</si>
  <si>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</si>
  <si>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</si>
  <si>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</si>
  <si>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</si>
  <si>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</si>
  <si>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</si>
  <si>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</si>
  <si>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</si>
  <si>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NESKLADNOST VREDNOSTI</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</si>
  <si>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</si>
  <si>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</si>
  <si>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</si>
  <si>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</si>
  <si>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</si>
  <si>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</si>
  <si>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</si>
  <si>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</si>
  <si>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</si>
  <si>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</si>
  <si>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</si>
  <si>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</si>
  <si>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NESKLADNOST NAPAKE + VREDNOSTI</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</si>
  <si>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</si>
  <si>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</si>
  <si>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</si>
  <si>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</si>
  <si>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</si>
  <si>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</si>
  <si>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</si>
  <si>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</si>
  <si>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</si>
  <si>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</si>
  <si>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</si>
  <si>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</si>
  <si>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NAPAKA + MANJKAJOČA VREDNOST + NESKLADNOST VREDNOSTI</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</si>
  <si>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</si>
  <si>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</si>
  <si>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</si>
  <si>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</si>
  <si>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</si>
  <si>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</si>
  <si>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</si>
  <si>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</si>
  <si>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</si>
  <si>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</si>
  <si>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</si>
  <si>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</si>
  <si>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NAPAKA + MANJKAJOČA VREDNOST</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</si>
  <si>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</si>
  <si>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</si>
  <si>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</si>
  <si>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</si>
  <si>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</si>
  <si>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</si>
  <si>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</si>
  <si>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</si>
  <si>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</si>
  <si>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</si>
  <si>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</si>
  <si>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</si>
  <si>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MANJKAJOČA VREDNOST + NESKLADNOST VREDNOSTI</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</si>
  <si>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</si>
  <si>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</si>
  <si>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</si>
  <si>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</si>
  <si>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</si>
  <si>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</si>
  <si>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</si>
  <si>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</si>
  <si>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</si>
  <si>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</si>
  <si>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</si>
  <si>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</si>
  <si>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NEVELJAVEN URL</t>
  </si>
  <si>
    <t>URL NO VÁLIDA</t>
  </si>
  <si>
    <t>template_label_ok</t>
  </si>
  <si>
    <t>OK</t>
  </si>
  <si>
    <t>CEART GO LEOR</t>
  </si>
  <si>
    <t>TINKAMA</t>
  </si>
  <si>
    <t>V redu</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</si>
  <si>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</si>
  <si>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</si>
  <si>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</si>
  <si>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</si>
  <si>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</si>
  <si>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</si>
  <si>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</si>
  <si>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</si>
  <si>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</si>
  <si>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</si>
  <si>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</si>
  <si>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</si>
  <si>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ZAUPNI ALI OBČUTLJIVI PODATKI</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</si>
  <si>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</si>
  <si>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</si>
  <si>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</si>
  <si>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</si>
  <si>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</si>
  <si>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</si>
  <si>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</si>
  <si>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</si>
  <si>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</si>
  <si>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</si>
  <si>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</si>
  <si>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</si>
  <si>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Tekoče gorivo: izberite eno mersko enoto med m³ in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</si>
  <si>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</si>
  <si>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</si>
  <si>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</si>
  <si>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</si>
  <si>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</si>
  <si>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</si>
  <si>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</si>
  <si>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</si>
  <si>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</si>
  <si>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</si>
  <si>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</si>
  <si>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</si>
  <si>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Trdno gorivo: izberite eno mersko enoto med Gg, t, Kg in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</si>
  <si>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</si>
  <si>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</si>
  <si>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</si>
  <si>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</si>
  <si>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</si>
  <si>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</si>
  <si>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</si>
  <si>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</si>
  <si>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</si>
  <si>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</si>
  <si>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</si>
  <si>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</si>
  <si>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Plinasto gorivo: izberite eno mersko enoto med m³ in L</t>
  </si>
  <si>
    <t>ℹ️ Combustible gaseoso: seleccione una unidad de medida entre m³ y L</t>
  </si>
  <si>
    <t>template_label_identifier_warning</t>
  </si>
  <si>
    <t xml:space="preserve">ℹ️  The entity identifier is a unique ID, that will enable identifying the company that has reported the information. The Voluntary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</si>
  <si>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</si>
  <si>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</si>
  <si>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</si>
  <si>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</si>
  <si>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</si>
  <si>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</si>
  <si>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</si>
  <si>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</si>
  <si>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</si>
  <si>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ℹ️ Identifikator podjetja je edinstven ID, ki omogoča identifikacijo podjetja, ki je sporočilo podatke. Standard VSME ne zahteva nobenega posebnega identifikatorja. Za digitalno sporočilo je potreben identifikator podjetja.</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</si>
  <si>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</si>
  <si>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</si>
  <si>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</si>
  <si>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</si>
  <si>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</si>
  <si>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</si>
  <si>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</si>
  <si>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</si>
  <si>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</si>
  <si>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</si>
  <si>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</si>
  <si>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</si>
  <si>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Če se na desni prikaže sporočilo NEDOSKLADNOST VREDNOSTI, se prepričajte, da je končni datum obdobja obračunavanja večji od začetnega datuma obdobja obračunavanja.</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</si>
  <si>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</si>
  <si>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</si>
  <si>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</si>
  <si>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</si>
  <si>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</si>
  <si>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</si>
  <si>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</si>
  <si>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</si>
  <si>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</si>
  <si>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</si>
  <si>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</si>
  <si>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</si>
  <si>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Sezname lahko razširite z majhnim gumbom [+] na levi. Če število vrstic ni zadostno, jih lahko dodate tako, da z desno miškino tipko kliknete drugo vrstico in izberete »Vstavi vrstico«.</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</si>
  <si>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</si>
  <si>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</si>
  <si>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</si>
  <si>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</si>
  <si>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</si>
  <si>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</si>
  <si>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</si>
  <si>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</si>
  <si>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</si>
  <si>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</si>
  <si>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</si>
  <si>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</si>
  <si>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Če je kot pravna oblika podjetja izbrana možnost »drugo«, izpolnite spodnjo vrstico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</si>
  <si>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</si>
  <si>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</si>
  <si>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</si>
  <si>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</si>
  <si>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</si>
  <si>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</si>
  <si>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</si>
  <si>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</si>
  <si>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</si>
  <si>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</si>
  <si>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</si>
  <si>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</si>
  <si>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Izberite kodo NACE namesto kategorije, sicer se bo prikazalo sporočilo o NAPAKI.</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</si>
  <si>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</si>
  <si>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</si>
  <si>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</si>
  <si>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</si>
  <si>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</si>
  <si>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</si>
  <si>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</si>
  <si>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</si>
  <si>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</si>
  <si>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</si>
  <si>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</si>
  <si>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</si>
  <si>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Prosimo, pazite, da vsako ulično in hišno številko ločite s poševnico "/" in ne z vejico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</si>
  <si>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</si>
  <si>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</si>
  <si>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</si>
  <si>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</si>
  <si>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</si>
  <si>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</si>
  <si>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</si>
  <si>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</si>
  <si>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</si>
  <si>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</si>
  <si>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</si>
  <si>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</si>
  <si>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Upoštevajte, da se lahko formula v tem polju prepiše, če želi podjetje neposredno navesti vrednost.</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</si>
  <si>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</si>
  <si>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</si>
  <si>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</si>
  <si>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</si>
  <si>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</si>
  <si>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</si>
  <si>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</si>
  <si>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</si>
  <si>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</si>
  <si>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</si>
  <si>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</si>
  <si>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</si>
  <si>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Kategorije obsega 3 v skladu s Protokolom o toplogrednih plinih lahko pomagajo pri izračunu skupnih emisij toplogrednih plinov obsega 3. Če podjetje želi, lahko v ustreznem polju neposredno navede skupne emisije toplogrednih plinov obsega 3.</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</si>
  <si>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</si>
  <si>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</si>
  <si>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</si>
  <si>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</si>
  <si>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</si>
  <si>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</si>
  <si>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</si>
  <si>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</si>
  <si>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</si>
  <si>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</si>
  <si>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</si>
  <si>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</si>
  <si>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Če se prikaže preverjanje, povezano z nedoslednostjo vrednosti, izberite ID spletnega mesta, ki se razlikuje od enega od prej izbranih.</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</si>
  <si>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</si>
  <si>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</si>
  <si>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</si>
  <si>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</si>
  <si>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</si>
  <si>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</si>
  <si>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</si>
  <si>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</si>
  <si>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</si>
  <si>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</si>
  <si>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</si>
  <si>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</si>
  <si>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Izberite vrsto odpadkov (nevarni ali nenevarni) namesto kategorije, sicer se bo prikazalo sporočilo o NAPAKI.</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</si>
  <si>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</si>
  <si>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</si>
  <si>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</si>
  <si>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</si>
  <si>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</si>
  <si>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</si>
  <si>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</si>
  <si>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</si>
  <si>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</si>
  <si>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</si>
  <si>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</si>
  <si>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</si>
  <si>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Prosimo, prepričajte se, da je skupno število zaposlenih enako tistemu, ki je navedeno na zavihku »Splošne informacije«, polju E55.</t>
  </si>
  <si>
    <t>ℹ️ Por favor, asegúrese de que el número total de empleados sea el mismo que el proporcionado en la celda E55 de la hoja "Información General"</t>
  </si>
  <si>
    <t>template_label_health_and_safety_formula_warning</t>
  </si>
  <si>
    <t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</si>
  <si>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</si>
  <si>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</si>
  <si>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</si>
  <si>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</si>
  <si>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</si>
  <si>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</si>
  <si>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</si>
  <si>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</si>
  <si>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</si>
  <si>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Podjetje lahko spremeni vrednost v tem polju, saj 2000 ur temelji na predpostavki, da en delavec s polnim delovnim časom dela 2000 ur na leto. Ta številka se lahko razlikuje glede na državo ali sektor, odvisno od nacionalnih predpisov ali kolektivnih pogodb.</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</si>
  <si>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</si>
  <si>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</si>
  <si>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</si>
  <si>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</si>
  <si>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</si>
  <si>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</si>
  <si>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</si>
  <si>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</si>
  <si>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</si>
  <si>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</si>
  <si>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</si>
  <si>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</si>
  <si>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Kadar je razkritje v celoti izpuščeno zaradi občutljive ali zaupne narave, bo označeno s krepko pisavo.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</si>
  <si>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</si>
  <si>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</si>
  <si>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</si>
  <si>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</si>
  <si>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</si>
  <si>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</si>
  <si>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</si>
  <si>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</si>
  <si>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</si>
  <si>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</si>
  <si>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</si>
  <si>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</si>
  <si>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Za neizčrpen seznam kalkulatorjev toplogrednih plinov preverite spletno stran EFRAG.</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</si>
  <si>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</si>
  <si>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</si>
  <si>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</si>
  <si>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</si>
  <si>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</si>
  <si>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</si>
  <si>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</si>
  <si>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</si>
  <si>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</si>
  <si>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</si>
  <si>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</si>
  <si>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</si>
  <si>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Podporne smernice VSME o razkritju C2 - Celovit modul (Prakse, politike in prihodnje pobude)</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</si>
  <si>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</si>
  <si>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</si>
  <si>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</si>
  <si>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</si>
  <si>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</si>
  <si>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</si>
  <si>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</si>
  <si>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</si>
  <si>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</si>
  <si>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</si>
  <si>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</si>
  <si>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</si>
  <si>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Podporni vodnik VSME o razkritju C3 - Celovit modul (Cilji za zmanjšanje emisij toplogrednih plinov in podnebni prehod)</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</si>
  <si>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</si>
  <si>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</si>
  <si>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</si>
  <si>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</si>
  <si>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</si>
  <si>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</si>
  <si>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</si>
  <si>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</si>
  <si>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</si>
  <si>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</si>
  <si>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</si>
  <si>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</si>
  <si>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Podporni vodnik VSME o razkritju C7 - Celovit modul (Hudi negativni incidenti na področju človekovih pravic (odstavek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</si>
  <si>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</si>
  <si>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</si>
  <si>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</si>
  <si>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</si>
  <si>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</si>
  <si>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</si>
  <si>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</si>
  <si>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</si>
  <si>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</si>
  <si>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</si>
  <si>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</si>
  <si>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</si>
  <si>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OPOZORILO: Informacije so bile vnesene v digitalno predlogo VSME, vendar označene kot zaupne ali občutljive informacije. Prosimo, da te informacije odstranite iz digitalne predloge VSME, sicer bodo pretvorjene v Vgrajeno poročilo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</si>
  <si>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</si>
  <si>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</si>
  <si>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</si>
  <si>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</si>
  <si>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</si>
  <si>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</si>
  <si>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</si>
  <si>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</si>
  <si>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</si>
  <si>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</si>
  <si>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</si>
  <si>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</si>
  <si>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OPOZORILO: Digitalna predloga je bila razvita in preizkušena z uporabo programa Microsoft Excel 365. Funkcionalnost je lahko omejena ali napačna pri uporabi drugih programov za preglednice ali starejših različic programa Excel.</t>
  </si>
  <si>
    <t>ℹ️ ADVERTENCIA: La plantilla digital fue desarrollada y probada usando Microsoft Excel 365. La funcionalidad puede ser limitada o incorrecta al utilizar otras aplicaciones de hojas de cálculo o versiones anteriores de Excel.</t>
  </si>
  <si>
    <t>template_label_buttons_footnotes</t>
  </si>
  <si>
    <t>ℹ️ If needed, the expansion buttons of the left can be used to increase the number of rows and associate the same footnote to several disclosures</t>
  </si>
  <si>
    <t>ℹ️ Hvis nødvendigt kan udvidelsesknapperne til venstre bruges til at øge antallet af rækker og knytte den samme fodnote til flere afsløringer</t>
  </si>
  <si>
    <t>ℹ️ Indien nodig kunnen de uitbreidingsknoppen aan de linkerkant worden gebruikt om het aantal rijen te vergroten en dezelfde voetnoot aan verschillende openbaringen te koppelen</t>
  </si>
  <si>
    <t>ℹ️ Si nécessaire, les boutons d’extension de gauche peuvent être utilisés pour augmenter le nombre de lignes et associer la même note de bas de page à plusieurs divulgations</t>
  </si>
  <si>
    <t>ℹ️ Falls nötig, können die Erweiterungstasten links verwendet werden, um die Anzahl der Zeilen zu erhöhen und dieselbe Fußnote mehreren Offenbarungen zuzuordnen</t>
  </si>
  <si>
    <t>ℹ️ Más gá, is féidir na cnaipí leathnaithe ar chlé a úsáid chun líon na sraitheanna a mhéadú agus an fonóta céanna a cheangal le nochtadh éagsúla</t>
  </si>
  <si>
    <t>ℹ️ Se necessario, i pulsanti di espansione a sinistra possono essere usati per aumentare il numero di righe e associare la stessa nota a diverse dichiarazioni</t>
  </si>
  <si>
    <t>ℹ️ Jei reikia, kairėje esančiais išplėtimo mygtukais galima padidinti eilučių skaičių ir susieti tą pačią išnašą su keliais atskleidimais</t>
  </si>
  <si>
    <t>ℹ️ W razie potrzeby można użyć przycisków rozszerzających po lewej stronie, aby zwiększyć liczbę wierszy i przypisać tę samą przypisę do kilku ujawnień</t>
  </si>
  <si>
    <t>ℹ️ Se necessário, os botões de expansão à esquerda podem ser usados para aumentar o número de linhas e associar a mesma nota de rodapé a várias divulgações</t>
  </si>
  <si>
    <t>ℹ️ Če je potrebno, lahko gumbi za razširitev na levi strani povečajo število vrstic in isto opombo povežejo z več razkritji</t>
  </si>
  <si>
    <t>ℹ️ Si es necesario, los botones de expansión de la izquierda pueden usarse para aumentar el número de filas y asociar la misma nota al pie a varias divulgaciones</t>
  </si>
  <si>
    <t>template_vsme_digital_template_sample</t>
  </si>
  <si>
    <t>VS Digital Template Sample</t>
  </si>
  <si>
    <t>VSME Digital Skabelon Eksempel</t>
  </si>
  <si>
    <t>VSME Digitale Sjabloonvoorbeeld</t>
  </si>
  <si>
    <t>Exemple de modèle numérique VSME</t>
  </si>
  <si>
    <t>Beispiel für eine VSME-Digitalvorlage</t>
  </si>
  <si>
    <t>Sampla Teimpléad Digiteach VSME</t>
  </si>
  <si>
    <t>Esempio di Modello Digitale VSME</t>
  </si>
  <si>
    <t>VSME skaitmeninio šablono pavyzdys</t>
  </si>
  <si>
    <t>Przykładowy szablon cyfrowy VSME</t>
  </si>
  <si>
    <t>Exemplo de Modelo Digital VSME</t>
  </si>
  <si>
    <t>Vzorec digitalne predloge VSME</t>
  </si>
  <si>
    <t>Ejemplo de plantilla digital VSME</t>
  </si>
  <si>
    <t>template_disclaimer_cover_page</t>
  </si>
  <si>
    <t>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t>
  </si>
  <si>
    <t>Ansvarsfraskrivelse: Denne Excel-skabelon er kun beregnet til demonstrationsformål. Alle enheder, navne, data og relaterede oplysninger heri er fuldstændig fiktive. Enhver lighed med faktiske virksomheder eller enkeltpersoner er rent tilfældig. Dette eksempel bør ikke tolkes som et udtryk for virkelige data eller forretning. øvelser.</t>
  </si>
  <si>
    <t>Disclaimer: Deze Excel-sjabloon is uitsluitend bedoeld voor demonstratiedoeleinden. Alle entiteiten, namen, gegevens en gerelateerde informatie die hierin zijn opgenomen, zijn volledig fictief. Elke gelijkenis met echte bedrijven of individuen is puur toevallig. Deze steekproef moet niet worden geïnterpreteerd als een weergave van praktijkgegevens of bedrijfsgegevens. oefeningen.</t>
  </si>
  <si>
    <t>Avertissement : Ce modèle Excel est destiné uniquement à des fins de démonstration. Toutes les entités, noms, données et informations associées contenues ici sont entièrement fictifs. Toute ressemblance avec de véritables entreprises ou individus est purement fortuite. Cet échantillon ne doit pas être interprété comme reflétant des données ou des entreprises réelles. Des entraînements.</t>
  </si>
  <si>
    <t>Haftungsausschluss: Diese Excel-Vorlage dient ausschließlich Demonstrationszwecken. Alle hier enthaltenen Entitäten, Namen, Daten und verwandten Informationen sind vollständig fiktiv. Jede Ähnlichkeit mit tatsächlichen Unternehmen oder Einzelpersonen ist rein zufällig. Diese Stichprobe sollte nicht so interpretiert werden, dass sie reale Daten oder Geschäfte widerspiegelt. Praktiken.</t>
  </si>
  <si>
    <t>Séanadh: Tá an teimpléad Excel seo beartaithe chun críocha taispeána amháin. Tá gach eintiteas, ainmneacha, sonraí agus faisnéis ghaolmhar atá anseo go hiomlán bréagach. Aon chosúlacht le cuideachtaí nó daoine aonair iarbhír is comhtharlú amháin. Níor chóir an sampla seo a léirmhíniú mar léiriú ar shonraí nó gnó fíor-domhain. cleachtais.</t>
  </si>
  <si>
    <t>Disclaimer: Questo modello Excel è destinato esclusivamente a scopi dimostrativi. Tutte le entità, nomi, dati e informazioni correlate qui contenute sono completamente fittizie. Qualsiasi somiglianza con aziende o individui reali è puramente casuale. Questo campione non deve essere interpretato come riflesso di dati reali o di attività commerciali. Pratiche.</t>
  </si>
  <si>
    <t>Atsakomybės apribojimas: Šis "Excel" šablonas skirtas tik demonstraciniams tikslams. Visi čia esantys subjektai, pavadinimai, duomenys ir susijusi informacija yra visiškai fiktyvūs. Bet koks panašumas į tikras įmones ar asmenis yra grynai atsitiktinumas. Ši imtis neturėtų būti interpretuojama kaip atspindinti realius duomenis ar verslą. praktiką.</t>
  </si>
  <si>
    <t>Zastrzeżenie: Ten szablon Excela służy wyłącznie do celów demonstracyjnych. Wszystkie podmioty, nazwy, dane i powiązane informacje zawarte tutaj są całkowicie fikcyjne. Wszelkie podobieństwa do rzeczywistych firm lub osób są czysto przypadkowe. Ta próbka nie powinna być interpretowana jako odzwierciedlenie rzeczywistych danych czy biznesu. praktyki.</t>
  </si>
  <si>
    <t>Aviso: Este modelo em Excel é destinado apenas a fins demonstrativos. Todas as entidades, nomes, dados e informações relacionadas contidas aqui são totalmente fictícias. Qualquer semelhança com empresas ou indivíduos reais é pura coincidência. Esta amostra não deve ser interpretada como refletindo dados ou negócios do mundo real. Práticas.</t>
  </si>
  <si>
    <t>Izjava o omejitvi odgovornosti: Ta predloga programa Excel je namenjena samo predstavitvenim namenom. Vse entitete, imena, podatki in sorodne informacije, ki jih vsebuje ta predloga, so v celoti izmišljene. Vsaka podobnost z dejanskimi podjetji ali posamezniki je zgolj naključna. Tega vzorca ne smete razlagati kot odraz podatkov ali poslovnih praks iz resničnega sveta.</t>
  </si>
  <si>
    <t>Aviso legal: Esta plantilla de Excel está destinada únicamente a fines demostrativos. Todas las entidades, nombres, datos e información relacionada contenida aquí son completamente ficticios. Cualquier parecido con empresas o individuos reales es pura coincidencia. Esta muestra no debe interpretarse como un reflejo de datos o negocios del mundo real. Prácticas.</t>
  </si>
  <si>
    <t>template_label_mass</t>
  </si>
  <si>
    <t>Masse</t>
  </si>
  <si>
    <t>Massa</t>
  </si>
  <si>
    <t>Maise</t>
  </si>
  <si>
    <t>Masė</t>
  </si>
  <si>
    <t>Masowa</t>
  </si>
  <si>
    <t>Masa</t>
  </si>
  <si>
    <t>template_label_volume</t>
  </si>
  <si>
    <t xml:space="preserve">Volume </t>
  </si>
  <si>
    <t>Volumen</t>
  </si>
  <si>
    <t>Toirt</t>
  </si>
  <si>
    <t>Tūris</t>
  </si>
  <si>
    <t xml:space="preserve">Objętość </t>
  </si>
  <si>
    <t>Prostornina</t>
  </si>
  <si>
    <t>template_label_none</t>
  </si>
  <si>
    <t>Ingen</t>
  </si>
  <si>
    <t>Geen enkele</t>
  </si>
  <si>
    <t>Aucun</t>
  </si>
  <si>
    <t>Keine</t>
  </si>
  <si>
    <t>Níl aon cheann</t>
  </si>
  <si>
    <t>Nessuna</t>
  </si>
  <si>
    <t>Nėra</t>
  </si>
  <si>
    <t>Brak</t>
  </si>
  <si>
    <t>Nenhum</t>
  </si>
  <si>
    <t>Nobenega</t>
  </si>
  <si>
    <t>Ninguno</t>
  </si>
  <si>
    <t>template_label_footnote_instructions</t>
  </si>
  <si>
    <t>If you need to add footnotes for the converted VS Digital Template, please select the disclosures in column E and write the related footnote in column C.</t>
  </si>
  <si>
    <t>Hvis du skal tilføje fodnoter til den konverterede VSME Digital Template, vælg venligst oplysningerne i kolonne E og skriv den relaterede fodnote i kolonne C.</t>
  </si>
  <si>
    <t>Als u voetnoten moet toevoegen voor de geconverteerde VSME Digital Template, selecteer dan de openbaarmakingen in kolom E en schrijf de gerelateerde voetnoot in kolom C.</t>
  </si>
  <si>
    <t>Si vous devez ajouter des notes de bas de page pour le modèle numérique VSME converti, veuillez sélectionner les divulgations dans la colonne E et écrire la note de bas de page correspondante dans la colonne C.</t>
  </si>
  <si>
    <t>Wenn Sie Fußnoten für die konvertierte VSME-Digitalvorlage hinzufügen müssen, wählen Sie bitte die Offenlegungen in Spalte E aus und schreiben Sie die zugehörige Fußnote in Spalte C.</t>
  </si>
  <si>
    <t>Más gá duit fonótaí a chur leis don Teimpléad Digiteach VSME tiontaithe, roghnaigh na nochtadh i gcolún E agus scríobh an fonóta gaolmhar i gcolún C.</t>
  </si>
  <si>
    <t>Se avete bisogno di aggiungere note a piè di pagina per il modello digitale VSME convertito, selezionate le dichiarazioni nella colonna E e scrivete la nota correlata nella colonna C.</t>
  </si>
  <si>
    <t>Jei jums reikia pridėti konvertuoto VSME skaitmeninio šablono išnašas, pasirinkite atskleidimus E stulpelyje ir parašykite atitinkamą išnašą C stulpelyje.</t>
  </si>
  <si>
    <t>Jeśli chcesz dodać przypisy do przekonwertowanego szablonu VSME Digital Template, zaznacz ujawnienia w kolumnie E i zapisz powiązaną przypis w kolumnie C.</t>
  </si>
  <si>
    <t>Se precisar adicionar notas de rodapé para o Modelo Digital VSME convertido, selecione as divulgações na coluna E e escreva a nota de rodapé correspondente na coluna C.</t>
  </si>
  <si>
    <t>Če potrebujete dodati opombe pod črto za pretvorjeno VSME digitalno predlogo, prosimo, izberite razkritja v stolpcu E in ustrezno opombo zapišite v stolpec C.</t>
  </si>
  <si>
    <t>Si necesita añadir notas al pie para la Plantilla Digital VSME convertida, por favor seleccione las divulgaciones en la columna E y escriba la nota al pie correspondiente en la columna C.</t>
  </si>
  <si>
    <t>template_label_footnote_id</t>
  </si>
  <si>
    <t>Footnote ID</t>
  </si>
  <si>
    <t>Fodnote-ID</t>
  </si>
  <si>
    <t>Voetnoot-ID</t>
  </si>
  <si>
    <t>ID de la note de bas de page</t>
  </si>
  <si>
    <t>Fußnoten-ID</t>
  </si>
  <si>
    <t>Aitheantas Fonóta</t>
  </si>
  <si>
    <t>ID nota a piè di pagina</t>
  </si>
  <si>
    <t>Išnašos ID</t>
  </si>
  <si>
    <t>Identyfikator przypisu</t>
  </si>
  <si>
    <t>ID de Nota de rodapé</t>
  </si>
  <si>
    <t>ID opombe</t>
  </si>
  <si>
    <t>ID de nota al pie</t>
  </si>
  <si>
    <t>template_label_disclosure_selection</t>
  </si>
  <si>
    <t>Cell to which footnote is associated</t>
  </si>
  <si>
    <t>Celle, som fodnote er tilknyttet</t>
  </si>
  <si>
    <t>Celluliteit waaraan voetnoot is gekoppeld</t>
  </si>
  <si>
    <t>Cellule à laquelle la note de bas de page est associée</t>
  </si>
  <si>
    <t>Zelle, der Fußnote zugeordnet ist</t>
  </si>
  <si>
    <t>Cill a bhfuil baint ag fonóta léi</t>
  </si>
  <si>
    <t>Cella a cui è associata la nota a piè di pagina</t>
  </si>
  <si>
    <t>Langelis, su kuriuo susieta išnaša</t>
  </si>
  <si>
    <t>Komórka, do której przypis przypisany jest</t>
  </si>
  <si>
    <t>Célula à qual a nota de rodapé está associada</t>
  </si>
  <si>
    <t>Celica, s katero je povezana opomba pod črto</t>
  </si>
  <si>
    <t>Celda a la que se asocia la nota al pie</t>
  </si>
  <si>
    <t>template_label_footnote_text</t>
  </si>
  <si>
    <t>Footnote text</t>
  </si>
  <si>
    <t>Fodnotetekst</t>
  </si>
  <si>
    <t>Tekst in de voetnoot</t>
  </si>
  <si>
    <t>Texte de la note de bas de page</t>
  </si>
  <si>
    <t>Fußnotetext</t>
  </si>
  <si>
    <t>Téacs fonóta</t>
  </si>
  <si>
    <t>Testo della nota</t>
  </si>
  <si>
    <t>Išnašos tekstas</t>
  </si>
  <si>
    <t>Tekst przypisu</t>
  </si>
  <si>
    <t>Texto da nota de rodapé</t>
  </si>
  <si>
    <t>Besedilo opombe</t>
  </si>
  <si>
    <t>Texto de la nota al pie</t>
  </si>
  <si>
    <t>template_footnote_technical_name</t>
  </si>
  <si>
    <t>Dimension (technical name)</t>
  </si>
  <si>
    <t>Dimension (teknisk navn)</t>
  </si>
  <si>
    <t>Dimensie (technische naam)</t>
  </si>
  <si>
    <t>Dimension (nom technique)</t>
  </si>
  <si>
    <t>Dimension (technischer Name)</t>
  </si>
  <si>
    <t>Toise (ainm teicniúil)</t>
  </si>
  <si>
    <t>Dimensione (nome tecnico)</t>
  </si>
  <si>
    <t>Matmenys (techninis pavadinimas)</t>
  </si>
  <si>
    <t>Wymiar (nazwa techniczna)</t>
  </si>
  <si>
    <t>Dimensão (nome técnico)</t>
  </si>
  <si>
    <t>Dimenzija (tehnično ime)</t>
  </si>
  <si>
    <t>Dimensión (nombre técnico)</t>
  </si>
  <si>
    <t>template_footnote_expansion_button</t>
  </si>
  <si>
    <t>Click on the expansion button on the left if you need to include more footnotes</t>
  </si>
  <si>
    <t>Klik på udvidelsesknappen til venstre, hvis du skal inkludere flere fodnoter</t>
  </si>
  <si>
    <t>Klik op de uitbreidingsknop links als je meer voetnoten wilt toevoegen</t>
  </si>
  <si>
    <t>Cliquez sur le bouton d’extension à gauche si vous souhaitez ajouter plus de notes de bas de page</t>
  </si>
  <si>
    <t>Klicken Sie auf den Erweiterungsbutton links, wenn Sie weitere Fußnoten hinzufügen möchten</t>
  </si>
  <si>
    <t>Cliceáil ar an gcnaipe leathnaithe ar chlé más gá duit níos mó fonótaí a chur san áireamh</t>
  </si>
  <si>
    <t>Clicca sul pulsante espansione a sinistra se hai bisogno di aggiungere altre note a piè di pagina</t>
  </si>
  <si>
    <t>Spustelėkite išplėtimo mygtuką kairėje, jei reikia įtraukti daugiau išnašų</t>
  </si>
  <si>
    <t>Kliknij przycisk rozszerzenia po lewej, jeśli chcesz dodać więcej przypisów</t>
  </si>
  <si>
    <t>Clique no botão de expansão à esquerda se precisar incluir mais notas de rodapé</t>
  </si>
  <si>
    <t>Kliknite na gumb za razširitev na levi, če potrebujete dodati več opomb</t>
  </si>
  <si>
    <t>Haz clic en el botón de expansión a la izquierda si necesitas incluir más notas al pie</t>
  </si>
  <si>
    <t>Cell/label reference</t>
  </si>
  <si>
    <t>Original text</t>
  </si>
  <si>
    <t>Change</t>
  </si>
  <si>
    <t>For National Standard translation review</t>
  </si>
  <si>
    <t>For Taxonomy Review</t>
  </si>
  <si>
    <t>Taxonomy Excel status</t>
  </si>
  <si>
    <t>VSME Digital Template enable translations into different EU languages.
Please select the language from the dropdown below.</t>
  </si>
  <si>
    <r>
      <t>VS</t>
    </r>
    <r>
      <rPr>
        <strike/>
        <sz val="11"/>
        <color theme="1"/>
        <rFont val="Aptos Narrow"/>
        <family val="2"/>
        <scheme val="minor"/>
      </rPr>
      <t>ME</t>
    </r>
    <r>
      <rPr>
        <sz val="11"/>
        <color theme="1"/>
        <rFont val="Aptos Narrow"/>
        <family val="2"/>
        <scheme val="minor"/>
      </rPr>
      <t xml:space="preserve"> Digital Template enable</t>
    </r>
    <r>
      <rPr>
        <sz val="11"/>
        <color rgb="FFFF0000"/>
        <rFont val="Aptos Narrow"/>
        <family val="2"/>
        <scheme val="minor"/>
      </rPr>
      <t>s</t>
    </r>
    <r>
      <rPr>
        <sz val="11"/>
        <color theme="1"/>
        <rFont val="Aptos Narrow"/>
        <family val="2"/>
        <scheme val="minor"/>
      </rPr>
      <t xml:space="preserve"> translations into different EU languages.
Please select the language from the dropdown below.</t>
    </r>
  </si>
  <si>
    <t>Prepared in accordance with the Voluntary Sustainability Reporting Standard for small and medium-sized undertakings (VSME), released by the European Commission on 30 July 2025.</t>
  </si>
  <si>
    <r>
      <t xml:space="preserve">Prepared in accordance with the  Voluntary </t>
    </r>
    <r>
      <rPr>
        <strike/>
        <sz val="11"/>
        <color theme="1"/>
        <rFont val="Aptos Narrow"/>
        <family val="2"/>
        <scheme val="minor"/>
      </rPr>
      <t>Sustainability Reporting</t>
    </r>
    <r>
      <rPr>
        <sz val="11"/>
        <color theme="1"/>
        <rFont val="Aptos Narrow"/>
        <family val="2"/>
        <scheme val="minor"/>
      </rPr>
      <t xml:space="preserve"> Standard </t>
    </r>
    <r>
      <rPr>
        <sz val="11"/>
        <color rgb="FFFF0000"/>
        <rFont val="Aptos Narrow"/>
        <family val="2"/>
        <scheme val="minor"/>
      </rPr>
      <t>(Annex I of  Commission Delegated Regulation (EU) …/… )</t>
    </r>
    <r>
      <rPr>
        <sz val="11"/>
        <color theme="1"/>
        <rFont val="Aptos Narrow"/>
        <family val="2"/>
        <scheme val="minor"/>
      </rPr>
      <t xml:space="preserve"> </t>
    </r>
    <r>
      <rPr>
        <strike/>
        <sz val="11"/>
        <color theme="1"/>
        <rFont val="Aptos Narrow"/>
        <family val="2"/>
        <scheme val="minor"/>
      </rPr>
      <t>for small and medium-sized undertakings (VSME)</t>
    </r>
    <r>
      <rPr>
        <sz val="11"/>
        <color theme="1"/>
        <rFont val="Aptos Narrow"/>
        <family val="2"/>
        <scheme val="minor"/>
      </rPr>
      <t xml:space="preserve">, </t>
    </r>
    <r>
      <rPr>
        <sz val="11"/>
        <color rgb="FFFF0000"/>
        <rFont val="Aptos Narrow"/>
        <family val="2"/>
        <scheme val="minor"/>
      </rPr>
      <t xml:space="preserve">published in the Official Journal on XX September 2026. </t>
    </r>
    <r>
      <rPr>
        <strike/>
        <sz val="11"/>
        <color theme="1"/>
        <rFont val="Aptos Narrow"/>
        <family val="2"/>
        <scheme val="minor"/>
      </rPr>
      <t>released by the European Commission on 30 July 2025.</t>
    </r>
  </si>
  <si>
    <t>template_label_vsme_digital_template</t>
  </si>
  <si>
    <t>VSME Digital Template</t>
  </si>
  <si>
    <r>
      <t>VS</t>
    </r>
    <r>
      <rPr>
        <strike/>
        <sz val="11"/>
        <color theme="1"/>
        <rFont val="Aptos Narrow"/>
        <family val="2"/>
        <scheme val="minor"/>
      </rPr>
      <t>ME</t>
    </r>
    <r>
      <rPr>
        <sz val="11"/>
        <color theme="1"/>
        <rFont val="Aptos Narrow"/>
        <family val="2"/>
        <scheme val="minor"/>
      </rPr>
      <t xml:space="preserve"> Digital Template</t>
    </r>
  </si>
  <si>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</si>
  <si>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</si>
  <si>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r>
      <t>The purpose of this digital template is to illustrate how VS</t>
    </r>
    <r>
      <rPr>
        <strike/>
        <sz val="11"/>
        <color theme="1"/>
        <rFont val="Aptos Narrow"/>
        <family val="2"/>
        <scheme val="minor"/>
      </rPr>
      <t>ME</t>
    </r>
    <r>
      <rPr>
        <sz val="11"/>
        <color theme="1"/>
        <rFont val="Aptos Narrow"/>
        <family val="2"/>
        <scheme val="minor"/>
      </rPr>
      <t xml:space="preserve"> reporting can be implemented in a digital template. The template reflects the V</t>
    </r>
    <r>
      <rPr>
        <sz val="11"/>
        <color rgb="FFFF0000"/>
        <rFont val="Aptos Narrow"/>
        <family val="2"/>
        <scheme val="minor"/>
      </rPr>
      <t xml:space="preserve">oluntary Standard (Annex I of  Commission Delegated Regulation (EU) …/… ) </t>
    </r>
    <r>
      <rPr>
        <sz val="11"/>
        <color theme="1"/>
        <rFont val="Aptos Narrow"/>
        <family val="2"/>
        <scheme val="minor"/>
      </rPr>
      <t>S</t>
    </r>
    <r>
      <rPr>
        <strike/>
        <sz val="11"/>
        <color theme="1"/>
        <rFont val="Aptos Narrow"/>
        <family val="2"/>
        <scheme val="minor"/>
      </rPr>
      <t>ME Recommendation</t>
    </r>
    <r>
      <rPr>
        <sz val="11"/>
        <color theme="1"/>
        <rFont val="Aptos Narrow"/>
        <family val="2"/>
        <scheme val="minor"/>
      </rPr>
      <t xml:space="preserve"> as published by the European Commission </t>
    </r>
    <r>
      <rPr>
        <sz val="11"/>
        <color rgb="FFFF0000"/>
        <rFont val="Aptos Narrow"/>
        <family val="2"/>
        <scheme val="minor"/>
      </rPr>
      <t>in the Official Journal</t>
    </r>
    <r>
      <rPr>
        <sz val="11"/>
        <color theme="1"/>
        <rFont val="Aptos Narrow"/>
        <family val="2"/>
        <scheme val="minor"/>
      </rPr>
      <t xml:space="preserve"> on</t>
    </r>
    <r>
      <rPr>
        <sz val="11"/>
        <color rgb="FFFF0000"/>
        <rFont val="Aptos Narrow"/>
        <family val="2"/>
        <scheme val="minor"/>
      </rPr>
      <t xml:space="preserve"> XX September 2026</t>
    </r>
    <r>
      <rPr>
        <strike/>
        <sz val="11"/>
        <color theme="1"/>
        <rFont val="Aptos Narrow"/>
        <family val="2"/>
        <scheme val="minor"/>
      </rPr>
      <t>30 July 2025</t>
    </r>
    <r>
      <rPr>
        <sz val="11"/>
        <color theme="1"/>
        <rFont val="Aptos Narrow"/>
        <family val="2"/>
        <scheme val="minor"/>
      </rPr>
      <t>. The template is accompanied by a digital VS</t>
    </r>
    <r>
      <rPr>
        <strike/>
        <sz val="11"/>
        <color theme="1"/>
        <rFont val="Aptos Narrow"/>
        <family val="2"/>
        <scheme val="minor"/>
      </rPr>
      <t>ME</t>
    </r>
    <r>
      <rPr>
        <sz val="11"/>
        <color theme="1"/>
        <rFont val="Aptos Narrow"/>
        <family val="2"/>
        <scheme val="minor"/>
      </rPr>
      <t xml:space="preserve"> XBRL taxonomy, which represents the digital data model of the disclosures and is available on EFRAG's website. </t>
    </r>
    <r>
      <rPr>
        <strike/>
        <sz val="11"/>
        <color theme="1"/>
        <rFont val="Aptos Narrow"/>
        <family val="2"/>
        <scheme val="minor"/>
      </rPr>
      <t>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t>
    </r>
    <r>
      <rPr>
        <sz val="11"/>
        <color theme="1"/>
        <rFont val="Aptos Narrow"/>
        <family val="2"/>
        <scheme val="minor"/>
      </rPr>
      <t xml:space="preserv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 xml:space="preserv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t>
    </r>
    <r>
      <rPr>
        <strike/>
        <sz val="11"/>
        <color theme="1"/>
        <rFont val="Aptos Narrow"/>
        <family val="2"/>
        <scheme val="minor"/>
      </rPr>
      <t>ME</t>
    </r>
    <r>
      <rPr>
        <sz val="11"/>
        <color theme="1"/>
        <rFont val="Aptos Narrow"/>
        <family val="2"/>
        <scheme val="minor"/>
      </rPr>
      <t xml:space="preserve"> Digital Template or the Digital Template to XBRL Converter, please do so by creating an issue in the GitHub project.</t>
    </r>
  </si>
  <si>
    <t>template_label_0_provide_information_that_is_mandatory_in_order_to_generate_the_vsme_and_xbrl_report</t>
  </si>
  <si>
    <t>0. Provide information that is mandatory in order to generate the VSME and XBRL Report.</t>
  </si>
  <si>
    <r>
      <t>0. Provide information that is mandatory in order to generate the VS</t>
    </r>
    <r>
      <rPr>
        <strike/>
        <sz val="11"/>
        <color theme="1"/>
        <rFont val="Aptos Narrow"/>
        <family val="2"/>
        <scheme val="minor"/>
      </rPr>
      <t>ME</t>
    </r>
    <r>
      <rPr>
        <sz val="11"/>
        <color theme="1"/>
        <rFont val="Aptos Narrow"/>
        <family val="2"/>
        <scheme val="minor"/>
      </rPr>
      <t xml:space="preserve"> and XBRL Report.</t>
    </r>
  </si>
  <si>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</si>
  <si>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</si>
  <si>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r>
      <t xml:space="preserve">2. Find more information on the actual disclosure requirements in the </t>
    </r>
    <r>
      <rPr>
        <sz val="11"/>
        <color rgb="FFFF0000"/>
        <rFont val="Aptos Narrow"/>
        <family val="2"/>
        <scheme val="minor"/>
      </rPr>
      <t>Voluntary Standard</t>
    </r>
    <r>
      <rPr>
        <strike/>
        <sz val="11"/>
        <color theme="1"/>
        <rFont val="Aptos Narrow"/>
        <family val="2"/>
        <scheme val="minor"/>
      </rPr>
      <t>SME</t>
    </r>
    <r>
      <rPr>
        <sz val="11"/>
        <color theme="1"/>
        <rFont val="Aptos Narrow"/>
        <family val="2"/>
        <scheme val="minor"/>
      </rPr>
      <t xml:space="preserve"> Standard and the related guidance linked to each cell. Additional or entity-specific disclosures can be provided in each text box at the end of each worksheet.</t>
    </r>
  </si>
  <si>
    <t>template_label_indicates_that_the_disclosure_is_from_the_general_principles_of_the_vsme</t>
  </si>
  <si>
    <t>Indicates that the disclosure is from the general principles of the VSME.</t>
  </si>
  <si>
    <r>
      <t>Indicates that the disclosure is from the general principles of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t>
    </r>
  </si>
  <si>
    <t>template_label_indicates_that_the_disclosure_is_from_the_vsme_basic_module</t>
  </si>
  <si>
    <t>Indicates that the disclosure is from the VSME Basic Module.</t>
  </si>
  <si>
    <r>
      <t>Indicates that the disclosure is from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 xml:space="preserve"> Basic Module.</t>
    </r>
  </si>
  <si>
    <t>template_label_indicates_that_the_disclosure_is_from_the_vsme_comprehensive_module</t>
  </si>
  <si>
    <t>Indicates that the disclosure is from the VSME Comprehensive Module.</t>
  </si>
  <si>
    <r>
      <t>Indicates that the disclosure is from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 xml:space="preserve"> Comprehensive Module.</t>
    </r>
  </si>
  <si>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</si>
  <si>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</si>
  <si>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Indicates that the datapoint (often a condition) will not be included in the </t>
    </r>
    <r>
      <rPr>
        <strike/>
        <sz val="11"/>
        <color theme="1"/>
        <rFont val="Aptos Narrow"/>
        <family val="2"/>
        <scheme val="minor"/>
      </rPr>
      <t>VSME and</t>
    </r>
    <r>
      <rPr>
        <sz val="11"/>
        <color theme="1"/>
        <rFont val="Aptos Narrow"/>
        <family val="2"/>
        <scheme val="minor"/>
      </rPr>
      <t xml:space="preserv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r>
  </si>
  <si>
    <t>template_label_c8_revenues_from_certain_sectors_and_exclusion_from_eu_reference_benchmarks_validation</t>
  </si>
  <si>
    <t>C8 - Revenues from certain activities and exclusion from EU reference benchmarks</t>
  </si>
  <si>
    <r>
      <t xml:space="preserve">C8 - Revenues from certain activities </t>
    </r>
    <r>
      <rPr>
        <strike/>
        <sz val="11"/>
        <color theme="1"/>
        <rFont val="Aptos Narrow"/>
        <family val="2"/>
        <scheme val="minor"/>
      </rPr>
      <t>and exclusion from EU reference benchmarks</t>
    </r>
  </si>
  <si>
    <t>DONE</t>
  </si>
  <si>
    <t>C64 - D69 (GHG Intensity) --&gt;  in Environmental Sheet Deleted
Row 229 to 233 deleted in Translations Sheet</t>
  </si>
  <si>
    <t>Deleted due to alignment with Voluntary Standard</t>
  </si>
  <si>
    <t>Row 24 in Table of Contents and Validation Sheet</t>
  </si>
  <si>
    <t>template_label_list_of_omitted_disclosures_deemed_to_be_classified_or_sensitive_information</t>
  </si>
  <si>
    <r>
      <t xml:space="preserve">List of omitted disclosures </t>
    </r>
    <r>
      <rPr>
        <strike/>
        <sz val="11"/>
        <color theme="1"/>
        <rFont val="Aptos Narrow"/>
        <family val="2"/>
        <scheme val="minor"/>
      </rPr>
      <t>deemed to be classified or sensitive information</t>
    </r>
  </si>
  <si>
    <t>NEW LABEL</t>
  </si>
  <si>
    <t>template_label_circular_economy</t>
  </si>
  <si>
    <r>
      <t xml:space="preserve">Circular economy </t>
    </r>
    <r>
      <rPr>
        <sz val="11"/>
        <color rgb="FFFF0000"/>
        <rFont val="Aptos Narrow"/>
        <family val="2"/>
        <scheme val="minor"/>
      </rPr>
      <t>and Resource Use</t>
    </r>
  </si>
  <si>
    <t>LABEL NAME CHANGE</t>
  </si>
  <si>
    <r>
      <t>template_label_circular_economy</t>
    </r>
    <r>
      <rPr>
        <sz val="11"/>
        <color rgb="FFFF0000"/>
        <rFont val="Aptos Narrow"/>
        <family val="2"/>
        <scheme val="minor"/>
      </rPr>
      <t>_and_resource_use</t>
    </r>
  </si>
  <si>
    <t>template_label_b3_estimated_greenhouse_gas_emissions</t>
  </si>
  <si>
    <t>B3 - Estimated Greenhouse Gas Emissions considering the GHG Protocol Version 2004 (in tCO2e)</t>
  </si>
  <si>
    <r>
      <t xml:space="preserve">B3 - Estimated </t>
    </r>
    <r>
      <rPr>
        <sz val="11"/>
        <color rgb="FFFF0000"/>
        <rFont val="Aptos Narrow"/>
        <family val="2"/>
        <scheme val="minor"/>
      </rPr>
      <t xml:space="preserve">Absolute </t>
    </r>
    <r>
      <rPr>
        <sz val="11"/>
        <color theme="1"/>
        <rFont val="Aptos Narrow"/>
        <family val="2"/>
        <scheme val="minor"/>
      </rPr>
      <t xml:space="preserve">Greenhouse Gas Emissions considering the GHG Protocol </t>
    </r>
    <r>
      <rPr>
        <sz val="11"/>
        <color rgb="FFFF0000"/>
        <rFont val="Aptos Narrow"/>
        <family val="2"/>
        <scheme val="minor"/>
      </rPr>
      <t xml:space="preserve">Corporate Accounting and Reporting  Standard </t>
    </r>
    <r>
      <rPr>
        <strike/>
        <sz val="11"/>
        <color theme="1"/>
        <rFont val="Aptos Narrow"/>
        <family val="2"/>
        <scheme val="minor"/>
      </rPr>
      <t>Version</t>
    </r>
    <r>
      <rPr>
        <sz val="11"/>
        <color theme="1"/>
        <rFont val="Aptos Narrow"/>
        <family val="2"/>
        <scheme val="minor"/>
      </rPr>
      <t xml:space="preserve"> 2004 (in tCO2e</t>
    </r>
    <r>
      <rPr>
        <sz val="11"/>
        <color rgb="FFFF0000"/>
        <rFont val="Aptos Narrow"/>
        <family val="2"/>
        <scheme val="minor"/>
      </rPr>
      <t>q</t>
    </r>
    <r>
      <rPr>
        <sz val="11"/>
        <color theme="1"/>
        <rFont val="Aptos Narrow"/>
        <family val="2"/>
        <scheme val="minor"/>
      </rPr>
      <t>)</t>
    </r>
  </si>
  <si>
    <r>
      <t>template_label_b3_estimated</t>
    </r>
    <r>
      <rPr>
        <sz val="11"/>
        <color rgb="FFFF0000"/>
        <rFont val="Aptos Narrow"/>
        <family val="2"/>
        <scheme val="minor"/>
      </rPr>
      <t>_absolute</t>
    </r>
    <r>
      <rPr>
        <sz val="11"/>
        <color theme="1"/>
        <rFont val="Aptos Narrow"/>
        <family val="2"/>
        <scheme val="minor"/>
      </rPr>
      <t>_greenhouse_gas_emissions</t>
    </r>
  </si>
  <si>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</si>
  <si>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</si>
  <si>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r>
      <t xml:space="preserve">Is the undertaking already required </t>
    </r>
    <r>
      <rPr>
        <strike/>
        <sz val="11"/>
        <color theme="1"/>
        <rFont val="Aptos Narrow"/>
        <family val="2"/>
        <scheme val="minor"/>
      </rPr>
      <t xml:space="preserve">by law or other national regulations </t>
    </r>
    <r>
      <rPr>
        <sz val="11"/>
        <color theme="1"/>
        <rFont val="Aptos Narrow"/>
        <family val="2"/>
        <scheme val="minor"/>
      </rPr>
      <t>to report to competent authorities</t>
    </r>
    <r>
      <rPr>
        <sz val="11"/>
        <color rgb="FFFF0000"/>
        <rFont val="Aptos Narrow"/>
        <family val="2"/>
        <scheme val="minor"/>
      </rPr>
      <t xml:space="preserve"> by EU or national law</t>
    </r>
    <r>
      <rPr>
        <sz val="11"/>
        <color theme="1"/>
        <rFont val="Aptos Narrow"/>
        <family val="2"/>
        <scheme val="minor"/>
      </rPr>
      <t xml:space="preserve"> its emissions </t>
    </r>
    <r>
      <rPr>
        <sz val="11"/>
        <color rgb="FFFF0000"/>
        <rFont val="Aptos Narrow"/>
        <family val="2"/>
        <scheme val="minor"/>
      </rPr>
      <t>to</t>
    </r>
    <r>
      <rPr>
        <sz val="11"/>
        <color theme="1"/>
        <rFont val="Aptos Narrow"/>
        <family val="2"/>
        <scheme val="minor"/>
      </rPr>
      <t xml:space="preserve"> </t>
    </r>
    <r>
      <rPr>
        <strike/>
        <sz val="11"/>
        <color theme="1"/>
        <rFont val="Aptos Narrow"/>
        <family val="2"/>
        <scheme val="minor"/>
      </rPr>
      <t>of</t>
    </r>
    <r>
      <rPr>
        <sz val="11"/>
        <color theme="1"/>
        <rFont val="Aptos Narrow"/>
        <family val="2"/>
        <scheme val="minor"/>
      </rPr>
      <t xml:space="preserve"> pollutants or does it already voluntarily report on them according to an Environmental Management System?</t>
    </r>
  </si>
  <si>
    <t>template_label_required_to_report_to_competent_authorities_by_EU_or_national_law_its_emissions_of_pollutants</t>
  </si>
  <si>
    <t>This looks like it is template only change?</t>
  </si>
  <si>
    <t>template_label_area_hectares_or_m2</t>
  </si>
  <si>
    <t>Area (hectares or m² based on the selection above)</t>
  </si>
  <si>
    <r>
      <rPr>
        <strike/>
        <sz val="11"/>
        <color theme="1"/>
        <rFont val="Aptos Narrow"/>
        <family val="2"/>
        <scheme val="minor"/>
      </rPr>
      <t xml:space="preserve">Area (hectares or m² based on the selection above) </t>
    </r>
    <r>
      <rPr>
        <sz val="11"/>
        <color rgb="FFFF0000"/>
        <rFont val="Aptos Narrow"/>
        <family val="2"/>
        <scheme val="minor"/>
      </rPr>
      <t>Name of biodiversity sensitive area</t>
    </r>
  </si>
  <si>
    <t>Row 96 to 101 on [indication of disclosure] removed in original Translation sheet with related labels deleted</t>
  </si>
  <si>
    <t>Deleted due to streamligning and userfriendliness of template</t>
  </si>
  <si>
    <r>
      <t>template_label_vs</t>
    </r>
    <r>
      <rPr>
        <strike/>
        <sz val="11"/>
        <color theme="1"/>
        <rFont val="Aptos Narrow"/>
        <family val="2"/>
        <scheme val="minor"/>
      </rPr>
      <t>me</t>
    </r>
    <r>
      <rPr>
        <sz val="11"/>
        <color theme="1"/>
        <rFont val="Aptos Narrow"/>
        <family val="2"/>
        <scheme val="minor"/>
      </rPr>
      <t>_digital_template</t>
    </r>
  </si>
  <si>
    <r>
      <t>template_label_the_purpose_of_this_digital_template_is_to_illustrate_how_vs</t>
    </r>
    <r>
      <rPr>
        <strike/>
        <sz val="11"/>
        <color theme="1"/>
        <rFont val="Aptos Narrow"/>
        <family val="2"/>
        <scheme val="minor"/>
      </rPr>
      <t>me</t>
    </r>
    <r>
      <rPr>
        <sz val="11"/>
        <color theme="1"/>
        <rFont val="Aptos Narrow"/>
        <family val="2"/>
        <scheme val="minor"/>
      </rPr>
      <t>_reporting_can_be_implemented_in_a_digital_template</t>
    </r>
  </si>
  <si>
    <t>template_label_please_select_the_unit_used_for_the_area</t>
  </si>
  <si>
    <t>LABEL DELETED</t>
  </si>
  <si>
    <t>Rows 281 - 290 Land Use Change Disclosures of Environmental Sheet Deleted
Subsequently rows 241 to 247 Deleted in Translations Sheet with respective labels</t>
  </si>
  <si>
    <r>
      <t>template_label_0_provide_information_that_is_mandatory_in_order_to_generate_the_vs</t>
    </r>
    <r>
      <rPr>
        <strike/>
        <sz val="11"/>
        <color theme="1"/>
        <rFont val="Aptos Narrow"/>
        <family val="2"/>
        <scheme val="minor"/>
      </rPr>
      <t>me</t>
    </r>
    <r>
      <rPr>
        <sz val="11"/>
        <color theme="1"/>
        <rFont val="Aptos Narrow"/>
        <family val="2"/>
        <scheme val="minor"/>
      </rPr>
      <t>_and_xbrl_report</t>
    </r>
  </si>
  <si>
    <r>
      <t>template_label_2_find_more_information_on_the_actual_disclosure_requirements_in_the_v</t>
    </r>
    <r>
      <rPr>
        <sz val="11"/>
        <color rgb="FFFF0000"/>
        <rFont val="Aptos Narrow"/>
        <family val="2"/>
        <scheme val="minor"/>
      </rPr>
      <t>oluntary</t>
    </r>
    <r>
      <rPr>
        <strike/>
        <sz val="11"/>
        <color theme="1"/>
        <rFont val="Aptos Narrow"/>
        <family val="2"/>
        <scheme val="minor"/>
      </rPr>
      <t>sme</t>
    </r>
    <r>
      <rPr>
        <sz val="11"/>
        <color theme="1"/>
        <rFont val="Aptos Narrow"/>
        <family val="2"/>
        <scheme val="minor"/>
      </rPr>
      <t>_standard</t>
    </r>
  </si>
  <si>
    <r>
      <t>template_label_indicates_that_the_disclosure_is_from_the_general_principles_of_the_vs</t>
    </r>
    <r>
      <rPr>
        <strike/>
        <sz val="11"/>
        <color theme="1"/>
        <rFont val="Aptos Narrow"/>
        <family val="2"/>
        <scheme val="minor"/>
      </rPr>
      <t>me</t>
    </r>
  </si>
  <si>
    <r>
      <t>template_label_indicates_that_the_disclosure_is_from_the_vs</t>
    </r>
    <r>
      <rPr>
        <strike/>
        <sz val="11"/>
        <color theme="1"/>
        <rFont val="Aptos Narrow"/>
        <family val="2"/>
        <scheme val="minor"/>
      </rPr>
      <t>me</t>
    </r>
    <r>
      <rPr>
        <sz val="11"/>
        <color theme="1"/>
        <rFont val="Aptos Narrow"/>
        <family val="2"/>
        <scheme val="minor"/>
      </rPr>
      <t>_basic_module</t>
    </r>
  </si>
  <si>
    <r>
      <t>template_label_indicates_that_the_disclosure_is_from_the_vs</t>
    </r>
    <r>
      <rPr>
        <strike/>
        <sz val="11"/>
        <color theme="1"/>
        <rFont val="Aptos Narrow"/>
        <family val="2"/>
        <scheme val="minor"/>
      </rPr>
      <t>me</t>
    </r>
    <r>
      <rPr>
        <sz val="11"/>
        <color theme="1"/>
        <rFont val="Aptos Narrow"/>
        <family val="2"/>
        <scheme val="minor"/>
      </rPr>
      <t>_comprehensive_module</t>
    </r>
  </si>
  <si>
    <r>
      <t>template_label_indicates_that_the_datapoint_often_a_condition_will_not_be_included_in_the_vs</t>
    </r>
    <r>
      <rPr>
        <strike/>
        <sz val="11"/>
        <color theme="1"/>
        <rFont val="Aptos Narrow"/>
        <family val="2"/>
        <scheme val="minor"/>
      </rPr>
      <t>me</t>
    </r>
    <r>
      <rPr>
        <sz val="11"/>
        <color theme="1"/>
        <rFont val="Aptos Narrow"/>
        <family val="2"/>
        <scheme val="minor"/>
      </rPr>
      <t>_and_digital_xbrl_report</t>
    </r>
  </si>
  <si>
    <t>template_label_c7_severe_negative_human_rights_incidents_validation</t>
  </si>
  <si>
    <r>
      <t>template_label_c7_</t>
    </r>
    <r>
      <rPr>
        <strike/>
        <sz val="11"/>
        <color theme="1"/>
        <rFont val="Aptos Narrow"/>
        <family val="2"/>
        <scheme val="minor"/>
      </rPr>
      <t>severe_negative_</t>
    </r>
    <r>
      <rPr>
        <sz val="11"/>
        <color theme="1"/>
        <rFont val="Aptos Narrow"/>
        <family val="2"/>
        <scheme val="minor"/>
      </rPr>
      <t>human_rights_incidents_validation</t>
    </r>
  </si>
  <si>
    <t>C7 - Severe negative human rights incidents</t>
  </si>
  <si>
    <r>
      <t xml:space="preserve">C7 - </t>
    </r>
    <r>
      <rPr>
        <strike/>
        <sz val="11"/>
        <color theme="1"/>
        <rFont val="Aptos Narrow"/>
        <family val="2"/>
        <scheme val="minor"/>
      </rPr>
      <t>Severe negative h</t>
    </r>
    <r>
      <rPr>
        <strike/>
        <sz val="11"/>
        <color rgb="FFFF0000"/>
        <rFont val="Aptos Narrow"/>
        <family val="2"/>
        <scheme val="minor"/>
      </rPr>
      <t>H</t>
    </r>
    <r>
      <rPr>
        <sz val="11"/>
        <color theme="1"/>
        <rFont val="Aptos Narrow"/>
        <family val="2"/>
        <scheme val="minor"/>
      </rPr>
      <t>uman rights incidents</t>
    </r>
  </si>
  <si>
    <t>template_label_reproduction_and_use_rights_are_strictly_limited</t>
  </si>
  <si>
    <t>Reproduction and use rights are strictly limited. For further details please contact efragsecretariat@efrag.org</t>
  </si>
  <si>
    <r>
      <rPr>
        <strike/>
        <sz val="11"/>
        <color theme="1"/>
        <rFont val="Aptos Narrow"/>
        <family val="2"/>
        <scheme val="minor"/>
      </rPr>
      <t>Reproduction and use rights are strictly limited.</t>
    </r>
    <r>
      <rPr>
        <sz val="11"/>
        <color theme="1"/>
        <rFont val="Aptos Narrow"/>
        <family val="2"/>
        <scheme val="minor"/>
      </rPr>
      <t xml:space="preserve"> For further details please contact efragsecretariat@efrag.org</t>
    </r>
  </si>
  <si>
    <t>Amount of water withdrawn at sites located in areas of high water-stress (cubic meters m³)</t>
  </si>
  <si>
    <r>
      <t xml:space="preserve">Amount of water </t>
    </r>
    <r>
      <rPr>
        <sz val="11"/>
        <color rgb="FFFF0000"/>
        <rFont val="Aptos Narrow"/>
        <family val="2"/>
        <scheme val="minor"/>
      </rPr>
      <t>consumed</t>
    </r>
    <r>
      <rPr>
        <sz val="11"/>
        <color theme="1"/>
        <rFont val="Aptos Narrow"/>
        <family val="2"/>
        <scheme val="minor"/>
      </rPr>
      <t xml:space="preserve"> </t>
    </r>
    <r>
      <rPr>
        <strike/>
        <sz val="11"/>
        <color theme="1"/>
        <rFont val="Aptos Narrow"/>
        <family val="2"/>
        <scheme val="minor"/>
      </rPr>
      <t>withdrawn</t>
    </r>
    <r>
      <rPr>
        <sz val="11"/>
        <color theme="1"/>
        <rFont val="Aptos Narrow"/>
        <family val="2"/>
        <scheme val="minor"/>
      </rPr>
      <t xml:space="preserve"> at sites located in areas </t>
    </r>
    <r>
      <rPr>
        <sz val="11"/>
        <color rgb="FFFF0000"/>
        <rFont val="Aptos Narrow"/>
        <family val="2"/>
        <scheme val="minor"/>
      </rPr>
      <t>with</t>
    </r>
    <r>
      <rPr>
        <sz val="11"/>
        <color theme="1"/>
        <rFont val="Aptos Narrow"/>
        <family val="2"/>
        <scheme val="minor"/>
      </rPr>
      <t xml:space="preserve"> </t>
    </r>
    <r>
      <rPr>
        <strike/>
        <sz val="11"/>
        <color theme="1"/>
        <rFont val="Aptos Narrow"/>
        <family val="2"/>
        <scheme val="minor"/>
      </rPr>
      <t xml:space="preserve">of </t>
    </r>
    <r>
      <rPr>
        <sz val="11"/>
        <color theme="1"/>
        <rFont val="Aptos Narrow"/>
        <family val="2"/>
        <scheme val="minor"/>
      </rPr>
      <t>high water-stress (cubic meters m³)</t>
    </r>
  </si>
  <si>
    <t>template_label_amount_of_water_consumed_at_sites_located_in_areas_with_water_stress</t>
  </si>
  <si>
    <r>
      <t xml:space="preserve">Amount of water </t>
    </r>
    <r>
      <rPr>
        <strike/>
        <sz val="11"/>
        <color theme="1"/>
        <rFont val="Aptos Narrow"/>
        <family val="2"/>
        <scheme val="minor"/>
      </rPr>
      <t>withdrawn</t>
    </r>
    <r>
      <rPr>
        <sz val="11"/>
        <color theme="1"/>
        <rFont val="Aptos Narrow"/>
        <family val="2"/>
        <scheme val="minor"/>
      </rPr>
      <t xml:space="preserve"> </t>
    </r>
    <r>
      <rPr>
        <sz val="11"/>
        <color rgb="FFFF0000"/>
        <rFont val="Aptos Narrow"/>
        <family val="2"/>
        <scheme val="minor"/>
      </rPr>
      <t xml:space="preserve">consumed </t>
    </r>
    <r>
      <rPr>
        <sz val="11"/>
        <color theme="1"/>
        <rFont val="Aptos Narrow"/>
        <family val="2"/>
        <scheme val="minor"/>
      </rPr>
      <t xml:space="preserve">at sites located in areas </t>
    </r>
    <r>
      <rPr>
        <sz val="11"/>
        <color rgb="FFFF0000"/>
        <rFont val="Aptos Narrow"/>
        <family val="2"/>
        <scheme val="minor"/>
      </rPr>
      <t>with</t>
    </r>
    <r>
      <rPr>
        <sz val="11"/>
        <color theme="1"/>
        <rFont val="Aptos Narrow"/>
        <family val="2"/>
        <scheme val="minor"/>
      </rPr>
      <t xml:space="preserve"> </t>
    </r>
    <r>
      <rPr>
        <strike/>
        <sz val="11"/>
        <color theme="1"/>
        <rFont val="Aptos Narrow"/>
        <family val="2"/>
        <scheme val="minor"/>
      </rPr>
      <t>of</t>
    </r>
    <r>
      <rPr>
        <sz val="11"/>
        <color theme="1"/>
        <rFont val="Aptos Narrow"/>
        <family val="2"/>
        <scheme val="minor"/>
      </rPr>
      <t xml:space="preserve"> </t>
    </r>
    <r>
      <rPr>
        <strike/>
        <sz val="11"/>
        <color theme="1"/>
        <rFont val="Aptos Narrow"/>
        <family val="2"/>
        <scheme val="minor"/>
      </rPr>
      <t>high</t>
    </r>
    <r>
      <rPr>
        <sz val="11"/>
        <color theme="1"/>
        <rFont val="Aptos Narrow"/>
        <family val="2"/>
        <scheme val="minor"/>
      </rPr>
      <t xml:space="preserve"> water-stress (cubic meters m³)</t>
    </r>
  </si>
  <si>
    <t>AmountOfWaterWithdrawnAtSitesLocatedInAreasOfHighWaterStress</t>
  </si>
  <si>
    <t>AmountOfWaterConsumedAtSitesLocatedInAreasWithWaterStress</t>
  </si>
  <si>
    <t>Validation of Water Consumption in Areas with Water Stress both in Environmental Sheet as well as in Table of Contents Sheet.
The validation of water withdrawal needs also to be adapted (both in Env Sheet as well in table of Contents Sheet)</t>
  </si>
  <si>
    <t>VALIDATIONS TO BE CHANGED --&gt; SERGIO</t>
  </si>
  <si>
    <t>template_label_waste_diverted_to_recycle_or_reuse</t>
  </si>
  <si>
    <t>Waste diverted to recycle or reuse</t>
  </si>
  <si>
    <r>
      <t xml:space="preserve">Percentage of </t>
    </r>
    <r>
      <rPr>
        <sz val="11"/>
        <rFont val="Aptos Narrow"/>
        <family val="2"/>
        <scheme val="minor"/>
      </rPr>
      <t>waste diverted to recycl</t>
    </r>
    <r>
      <rPr>
        <sz val="11"/>
        <color rgb="FFFF0000"/>
        <rFont val="Aptos Narrow"/>
        <family val="2"/>
        <scheme val="minor"/>
      </rPr>
      <t>ing</t>
    </r>
    <r>
      <rPr>
        <strike/>
        <sz val="11"/>
        <rFont val="Aptos Narrow"/>
        <family val="2"/>
        <scheme val="minor"/>
      </rPr>
      <t>e</t>
    </r>
    <r>
      <rPr>
        <sz val="11"/>
        <rFont val="Aptos Narrow"/>
        <family val="2"/>
        <scheme val="minor"/>
      </rPr>
      <t xml:space="preserve"> </t>
    </r>
    <r>
      <rPr>
        <strike/>
        <sz val="11"/>
        <rFont val="Aptos Narrow"/>
        <family val="2"/>
        <scheme val="minor"/>
      </rPr>
      <t>or reuse</t>
    </r>
  </si>
  <si>
    <t>template_label_waste_directed_to_disposal</t>
  </si>
  <si>
    <t>Waste directed to disposal</t>
  </si>
  <si>
    <r>
      <rPr>
        <sz val="11"/>
        <color rgb="FFFF0000"/>
        <rFont val="Aptos Narrow"/>
        <family val="2"/>
        <scheme val="minor"/>
      </rPr>
      <t>Percentage of</t>
    </r>
    <r>
      <rPr>
        <sz val="11"/>
        <color theme="1"/>
        <rFont val="Aptos Narrow"/>
        <family val="2"/>
        <scheme val="minor"/>
      </rPr>
      <t xml:space="preserve"> waste diverted to </t>
    </r>
    <r>
      <rPr>
        <sz val="11"/>
        <color rgb="FFFF0000"/>
        <rFont val="Aptos Narrow"/>
        <family val="2"/>
        <scheme val="minor"/>
      </rPr>
      <t>preparation for</t>
    </r>
    <r>
      <rPr>
        <sz val="11"/>
        <color theme="1"/>
        <rFont val="Aptos Narrow"/>
        <family val="2"/>
        <scheme val="minor"/>
      </rPr>
      <t xml:space="preserve"> </t>
    </r>
    <r>
      <rPr>
        <strike/>
        <sz val="11"/>
        <color theme="1"/>
        <rFont val="Aptos Narrow"/>
        <family val="2"/>
        <scheme val="minor"/>
      </rPr>
      <t>recyclinge or</t>
    </r>
    <r>
      <rPr>
        <sz val="11"/>
        <color theme="1"/>
        <rFont val="Aptos Narrow"/>
        <family val="2"/>
        <scheme val="minor"/>
      </rPr>
      <t xml:space="preserve"> reuse</t>
    </r>
  </si>
  <si>
    <t>Total weight or volume of waste generated</t>
  </si>
  <si>
    <t>TotalWasteRecycledReusedAndDirectedToDisposalMass</t>
  </si>
  <si>
    <t>REMOVED</t>
  </si>
  <si>
    <t>WasteDirectedToDisposalVolume_unit</t>
  </si>
  <si>
    <t>WasteDirectedToDisposalMass_unit</t>
  </si>
  <si>
    <t>WasteDirectedToRecycleOrReuseMass_unit</t>
  </si>
  <si>
    <t>WasteDirectedToRecycleOrReuseVolume_unit</t>
  </si>
  <si>
    <t>PercentageOfWasteDivertedToRecycling</t>
  </si>
  <si>
    <t>NEW</t>
  </si>
  <si>
    <t>Inserted due to alignment with Voluntary Standard</t>
  </si>
  <si>
    <t>PercentageOfWasteDivertedToPreparationForReuse</t>
  </si>
  <si>
    <t>WasteGeneratedMass</t>
  </si>
  <si>
    <t>WasteGeneratedVolume</t>
  </si>
  <si>
    <t>WasteGeneratedMass_unit</t>
  </si>
  <si>
    <t>WasteGeneratedVolume_unit</t>
  </si>
  <si>
    <t>TotalWasteRecycledReusedAndDirectedToDisposalMass_unit</t>
  </si>
  <si>
    <t>TotalWasteRecycledReusedAndDirectedToDisposalVolume_unit</t>
  </si>
  <si>
    <t>template_label_b8_workforce_general_characteristics_turnover_rate</t>
  </si>
  <si>
    <t>DELETED</t>
  </si>
  <si>
    <t>Deleted due to alignment with Voluntary Standard (embedded under C5)</t>
  </si>
  <si>
    <t>Number of employees at the beginning of the reporting period</t>
  </si>
  <si>
    <r>
      <t xml:space="preserve">Number of employees at the beginning of the reporting period </t>
    </r>
    <r>
      <rPr>
        <sz val="11"/>
        <color rgb="FFFF0000"/>
        <rFont val="Aptos Narrow"/>
        <family val="2"/>
        <scheme val="minor"/>
      </rPr>
      <t>(in headcount)</t>
    </r>
  </si>
  <si>
    <t>Number of employees at the end of the reporting period</t>
  </si>
  <si>
    <r>
      <t xml:space="preserve">Number of employees at the end of the reporting period </t>
    </r>
    <r>
      <rPr>
        <sz val="11"/>
        <color rgb="FFFF0000"/>
        <rFont val="Aptos Narrow"/>
        <family val="2"/>
        <scheme val="minor"/>
      </rPr>
      <t>(in headcount)</t>
    </r>
  </si>
  <si>
    <t>ℹ️  The undertaking can modify the value in this cell as 2,000 hours is based on the assumption that one full-time worker works 2,000 hours per year. This figure may vary by country or sector, depending on national rules or collective bargaining agreements.</t>
  </si>
  <si>
    <t>NEW (Inserted as a result of new formula in the guidance)</t>
  </si>
  <si>
    <t>Number of fatalities as a result of work-related injuries and work-related ill health</t>
  </si>
  <si>
    <r>
      <t xml:space="preserve">Subject to legal restrictions, the sum </t>
    </r>
    <r>
      <rPr>
        <sz val="11"/>
        <rFont val="Aptos Narrow"/>
        <family val="2"/>
        <scheme val="minor"/>
      </rPr>
      <t xml:space="preserve">of </t>
    </r>
    <r>
      <rPr>
        <sz val="11"/>
        <color rgb="FFFF0000"/>
        <rFont val="Aptos Narrow"/>
        <family val="2"/>
        <scheme val="minor"/>
      </rPr>
      <t>the</t>
    </r>
    <r>
      <rPr>
        <sz val="11"/>
        <rFont val="Aptos Narrow"/>
        <family val="2"/>
        <scheme val="minor"/>
      </rPr>
      <t xml:space="preserve"> fatalities as a result of </t>
    </r>
    <r>
      <rPr>
        <sz val="11"/>
        <color rgb="FFFF0000"/>
        <rFont val="Aptos Narrow"/>
        <family val="2"/>
        <scheme val="minor"/>
      </rPr>
      <t xml:space="preserve">recordable </t>
    </r>
    <r>
      <rPr>
        <sz val="11"/>
        <rFont val="Aptos Narrow"/>
        <family val="2"/>
        <scheme val="minor"/>
      </rPr>
      <t xml:space="preserve">work-related </t>
    </r>
    <r>
      <rPr>
        <sz val="11"/>
        <color rgb="FFFF0000"/>
        <rFont val="Aptos Narrow"/>
        <family val="2"/>
        <scheme val="minor"/>
      </rPr>
      <t>accidents</t>
    </r>
    <r>
      <rPr>
        <sz val="11"/>
        <rFont val="Aptos Narrow"/>
        <family val="2"/>
        <scheme val="minor"/>
      </rPr>
      <t xml:space="preserve"> </t>
    </r>
    <r>
      <rPr>
        <strike/>
        <sz val="11"/>
        <rFont val="Aptos Narrow"/>
        <family val="2"/>
        <scheme val="minor"/>
      </rPr>
      <t>injuries</t>
    </r>
    <r>
      <rPr>
        <sz val="11"/>
        <rFont val="Aptos Narrow"/>
        <family val="2"/>
        <scheme val="minor"/>
      </rPr>
      <t xml:space="preserve"> and </t>
    </r>
    <r>
      <rPr>
        <sz val="11"/>
        <color rgb="FFFF0000"/>
        <rFont val="Aptos Narrow"/>
        <family val="2"/>
        <scheme val="minor"/>
      </rPr>
      <t xml:space="preserve">recordable </t>
    </r>
    <r>
      <rPr>
        <sz val="11"/>
        <rFont val="Aptos Narrow"/>
        <family val="2"/>
        <scheme val="minor"/>
      </rPr>
      <t>work-related ill health</t>
    </r>
  </si>
  <si>
    <t>LABEL CHANGE</t>
  </si>
  <si>
    <t>template_label_subject_to_legal_restrictions_sum_of_fatalities_as_a_result_of_recordable_work_related_accidents_and_recordable_work_related_ill_health</t>
  </si>
  <si>
    <t>NumberOfFatalitiesAsAResultOfWorkRelatedInjuriesAndWorkRelatedIllHealth</t>
  </si>
  <si>
    <t>SumOfFatalitiesAsAResultOfRecordableWorkRelatedAccidentsAndRecordableWorkRelatedIllHealth</t>
  </si>
  <si>
    <t>Number of employees covered by collective bargaining agreements</t>
  </si>
  <si>
    <r>
      <t xml:space="preserve">Number of employees covered by collective bargaining agreements </t>
    </r>
    <r>
      <rPr>
        <sz val="11"/>
        <color rgb="FFFF0000"/>
        <rFont val="Aptos Narrow"/>
        <family val="2"/>
        <scheme val="minor"/>
      </rPr>
      <t>(in headcount)</t>
    </r>
  </si>
  <si>
    <t>AverageNumberOfAnnualTrainingHoursPerFemaleEmployee</t>
  </si>
  <si>
    <t>AverageNumberOfAnnualTrainingHoursPerMaleEmployee</t>
  </si>
  <si>
    <t>AverageNumberOfAnnualTrainingHoursPerNonReportedGenderEmployee</t>
  </si>
  <si>
    <t>AverageNumberOfAnnualTrainingHoursPerOtherGenderEmployee</t>
  </si>
  <si>
    <t>Inserted due to alignment with EFRAG guidance</t>
  </si>
  <si>
    <t>AverageNumberOfAnnualTrainingHoursPerEmployee</t>
  </si>
  <si>
    <t>Number of employees who left during the reporting period</t>
  </si>
  <si>
    <r>
      <t xml:space="preserve">Number of employees who left during the reporting period </t>
    </r>
    <r>
      <rPr>
        <sz val="11"/>
        <color rgb="FFFF0000"/>
        <rFont val="Aptos Narrow"/>
        <family val="2"/>
        <scheme val="minor"/>
      </rPr>
      <t>(in headcount)</t>
    </r>
  </si>
  <si>
    <t>Employee counting methodology for the disclosures below (Headcount or Full time Equivalent linked from B1</t>
  </si>
  <si>
    <r>
      <t xml:space="preserve">Employee counting methodology (Headcount or Full time Equivalent linked from B1) for the disclosures below </t>
    </r>
    <r>
      <rPr>
        <sz val="11"/>
        <color rgb="FFFF0000"/>
        <rFont val="Aptos Narrow"/>
        <family val="2"/>
        <scheme val="minor"/>
      </rPr>
      <t>except specified otherwise</t>
    </r>
    <r>
      <rPr>
        <sz val="11"/>
        <color theme="1"/>
        <rFont val="Aptos Narrow"/>
        <family val="2"/>
        <scheme val="minor"/>
      </rPr>
      <t xml:space="preserve"> </t>
    </r>
  </si>
  <si>
    <t>Employee counting methodology for the disclosures below (At the end of the reporting period or as an average across the reporting period linked from B1)</t>
  </si>
  <si>
    <r>
      <t xml:space="preserve">Employee counting methodology (At the end of the reporting period or as an average across the reporting period linked from B1) for the disclosures below </t>
    </r>
    <r>
      <rPr>
        <sz val="11"/>
        <color rgb="FFFF0000"/>
        <rFont val="Aptos Narrow"/>
        <family val="2"/>
        <scheme val="minor"/>
      </rPr>
      <t>except specified otherwise</t>
    </r>
  </si>
  <si>
    <t>template_label_c7_severe_negative_human_rights_incidents</t>
  </si>
  <si>
    <r>
      <t xml:space="preserve">C7 - </t>
    </r>
    <r>
      <rPr>
        <strike/>
        <sz val="11"/>
        <color theme="1"/>
        <rFont val="Aptos Narrow"/>
        <family val="2"/>
        <scheme val="minor"/>
      </rPr>
      <t>Severe negative</t>
    </r>
    <r>
      <rPr>
        <sz val="11"/>
        <color theme="1"/>
        <rFont val="Aptos Narrow"/>
        <family val="2"/>
        <scheme val="minor"/>
      </rPr>
      <t xml:space="preserve"> </t>
    </r>
    <r>
      <rPr>
        <sz val="11"/>
        <color rgb="FFFF0000"/>
        <rFont val="Aptos Narrow"/>
        <family val="2"/>
        <scheme val="minor"/>
      </rPr>
      <t>H</t>
    </r>
    <r>
      <rPr>
        <sz val="11"/>
        <color theme="1"/>
        <rFont val="Aptos Narrow"/>
        <family val="2"/>
        <scheme val="minor"/>
      </rPr>
      <t>uman rights incidents</t>
    </r>
  </si>
  <si>
    <t>Is the undertaking aware of any confirmed incidents involving workers in the value chain affected communities consumers and end-users?</t>
  </si>
  <si>
    <r>
      <t xml:space="preserve">Is the undertaking aware of any confirmed incidents involving workers in the value chain affected communities consumers and end-users </t>
    </r>
    <r>
      <rPr>
        <sz val="11"/>
        <color rgb="FFFF0000"/>
        <rFont val="Aptos Narrow"/>
        <family val="2"/>
        <scheme val="minor"/>
      </rPr>
      <t>identified in the reporting period?</t>
    </r>
  </si>
  <si>
    <t>Specification of any confirmed incident involving workers in the value chain affected communities consumers and end-users</t>
  </si>
  <si>
    <r>
      <t xml:space="preserve">Specification of any confirmed incident </t>
    </r>
    <r>
      <rPr>
        <sz val="11"/>
        <color rgb="FFFF0000"/>
        <rFont val="Aptos Narrow"/>
        <family val="2"/>
        <scheme val="minor"/>
      </rPr>
      <t xml:space="preserve">identified in the reporitng period </t>
    </r>
    <r>
      <rPr>
        <sz val="11"/>
        <color theme="1"/>
        <rFont val="Aptos Narrow"/>
        <family val="2"/>
        <scheme val="minor"/>
      </rPr>
      <t>involving workers in the value chain affected communities consumers and end-users</t>
    </r>
  </si>
  <si>
    <t>template_label_revenue_derived_from_controversial_weapons</t>
  </si>
  <si>
    <t>Revenue derived from controversial weapons (anti-personnel mines cluster munitions chemical weapons and biological weapons)</t>
  </si>
  <si>
    <r>
      <t xml:space="preserve">Revenue derived from </t>
    </r>
    <r>
      <rPr>
        <sz val="11"/>
        <color rgb="FFFF0000"/>
        <rFont val="Aptos Narrow"/>
        <family val="2"/>
        <scheme val="minor"/>
      </rPr>
      <t xml:space="preserve">the prohibited weapons industry </t>
    </r>
    <r>
      <rPr>
        <strike/>
        <sz val="11"/>
        <color theme="1"/>
        <rFont val="Aptos Narrow"/>
        <family val="2"/>
        <scheme val="minor"/>
      </rPr>
      <t>controversial weapons</t>
    </r>
    <r>
      <rPr>
        <sz val="11"/>
        <color theme="1"/>
        <rFont val="Aptos Narrow"/>
        <family val="2"/>
        <scheme val="minor"/>
      </rPr>
      <t xml:space="preserve"> (anti-personnel mines cluster munitions chemical weapons and biological weapons)</t>
    </r>
  </si>
  <si>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</si>
  <si>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r>
      <t xml:space="preserve">Total revenues derived from </t>
    </r>
    <r>
      <rPr>
        <sz val="11"/>
        <color rgb="FFFF0000"/>
        <rFont val="Aptos Narrow"/>
        <family val="2"/>
        <scheme val="minor"/>
      </rPr>
      <t xml:space="preserve">the </t>
    </r>
    <r>
      <rPr>
        <sz val="11"/>
        <color theme="1"/>
        <rFont val="Aptos Narrow"/>
        <family val="2"/>
        <scheme val="minor"/>
      </rPr>
      <t xml:space="preserve">fossil fuel (coal oil and gas) sector </t>
    </r>
    <r>
      <rPr>
        <strike/>
        <sz val="11"/>
        <color theme="1"/>
        <rFont val="Aptos Narrow"/>
        <family val="2"/>
        <scheme val="minor"/>
      </rPr>
      <t>(i.e.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r>
  </si>
  <si>
    <t>UndertakingsAreExcludedFromAnyEuReferenceBenchmarksThatAreAlignedWithTheParisAgreement</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</si>
  <si>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</si>
  <si>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</si>
  <si>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</si>
  <si>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</si>
  <si>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</si>
  <si>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</si>
  <si>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template_label_undertakings_are_excluded_from_any_eu_reference_benchmarks_that_are_aligned_with_the_paris_agreement</t>
  </si>
  <si>
    <t>RevenueDerivedFromControversialWeaponsAntiPersonnelMinesClusterMunitionsChemicalWeaponsAndBiologicalWeapons</t>
  </si>
  <si>
    <t>CHANGED</t>
  </si>
  <si>
    <r>
      <t>RevenueDerivedFrom</t>
    </r>
    <r>
      <rPr>
        <sz val="11"/>
        <color rgb="FFFF0000"/>
        <rFont val="Aptos Narrow"/>
        <family val="2"/>
        <scheme val="minor"/>
      </rPr>
      <t>TheProhibitedWeaponsIndustry</t>
    </r>
    <r>
      <rPr>
        <sz val="11"/>
        <color theme="1"/>
        <rFont val="Aptos Narrow"/>
        <family val="2"/>
        <scheme val="minor"/>
      </rPr>
      <t>AntiPersonnelMinesClusterMunitionsChemicalWeaponsAndBiologicalWeapons</t>
    </r>
  </si>
  <si>
    <t xml:space="preserve">ℹ️  The entity identifier is a unique ID, that will enable identifying the company that has reported the information. The VSME Standard does not require any specific identifier. An entity identifier is required for the digital reporting. </t>
  </si>
  <si>
    <r>
      <t>ℹ️  The entity identifier is a unique ID, that will enable identifying the company that has reported the information. The V</t>
    </r>
    <r>
      <rPr>
        <sz val="11"/>
        <color rgb="FFFF0000"/>
        <rFont val="Aptos Narrow"/>
        <family val="2"/>
        <scheme val="minor"/>
      </rPr>
      <t>oluntary</t>
    </r>
    <r>
      <rPr>
        <strike/>
        <sz val="11"/>
        <color theme="1"/>
        <rFont val="Aptos Narrow"/>
        <family val="2"/>
        <scheme val="minor"/>
      </rPr>
      <t>SME</t>
    </r>
    <r>
      <rPr>
        <sz val="11"/>
        <color theme="1"/>
        <rFont val="Aptos Narrow"/>
        <family val="2"/>
        <scheme val="minor"/>
      </rPr>
      <t xml:space="preserve"> Standard does not require any specific identifier. An entity identifier is required for the digital reporting. </t>
    </r>
  </si>
  <si>
    <t>ℹ️ WARNING: Information inserted in VSME Digital Template but marked as classified or sensitive information. Please make sure to remove such information from the VSME Digital Template, else it will converted in the Inline XBRL report.</t>
  </si>
  <si>
    <r>
      <t>ℹ️ WARNING: Information inserted in VS</t>
    </r>
    <r>
      <rPr>
        <strike/>
        <sz val="11"/>
        <color theme="1"/>
        <rFont val="Aptos Narrow"/>
        <family val="2"/>
        <scheme val="minor"/>
      </rPr>
      <t>ME</t>
    </r>
    <r>
      <rPr>
        <sz val="11"/>
        <color theme="1"/>
        <rFont val="Aptos Narrow"/>
        <family val="2"/>
        <scheme val="minor"/>
      </rPr>
      <t xml:space="preserve"> Digital Template but marked as classified or sensitive information. Please make sure to remove such information from the VSME Digital Template, else it will converted in the Inline XBRL report.</t>
    </r>
  </si>
  <si>
    <t>VSME Digital Template Sample</t>
  </si>
  <si>
    <r>
      <t>VS</t>
    </r>
    <r>
      <rPr>
        <strike/>
        <sz val="11"/>
        <color theme="1"/>
        <rFont val="Aptos Narrow"/>
        <family val="2"/>
        <scheme val="minor"/>
      </rPr>
      <t>ME</t>
    </r>
    <r>
      <rPr>
        <sz val="11"/>
        <color theme="1"/>
        <rFont val="Aptos Narrow"/>
        <family val="2"/>
        <scheme val="minor"/>
      </rPr>
      <t xml:space="preserve"> Digital Template Sample</t>
    </r>
  </si>
  <si>
    <t>template_vs_digital_template_sample</t>
  </si>
  <si>
    <t>If you need to add footnotes for the converted VSME Digital Template, please select the disclosures in column E and write the related footnote in column C.</t>
  </si>
  <si>
    <r>
      <t>If you need to add footnotes for the converted VS</t>
    </r>
    <r>
      <rPr>
        <strike/>
        <sz val="11"/>
        <color theme="1"/>
        <rFont val="Aptos Narrow"/>
        <family val="2"/>
        <scheme val="minor"/>
      </rPr>
      <t>ME</t>
    </r>
    <r>
      <rPr>
        <sz val="11"/>
        <color theme="1"/>
        <rFont val="Aptos Narrow"/>
        <family val="2"/>
        <scheme val="minor"/>
      </rPr>
      <t xml:space="preserve"> Digital Template, please select the disclosures in column E and write the related footnote in column C.</t>
    </r>
  </si>
  <si>
    <t>TotalLocationBasedGreenhouseGasEmissionsIntensityValue</t>
  </si>
  <si>
    <t>Deleted</t>
  </si>
  <si>
    <t>TotalMarketBasedGreenhouseGasEmissionsIntensityValue</t>
  </si>
  <si>
    <t>TotalNatureOrientedAreaOffSite</t>
  </si>
  <si>
    <t>TotalNatureOrientedAreaOffSite_unit</t>
  </si>
  <si>
    <t>TotalNatureOrientedAreaOnSite</t>
  </si>
  <si>
    <t>TotalNatureOrientedAreaOnSite_unit</t>
  </si>
  <si>
    <t>ListOfOmittedDisclosuresDeemedToBeClassifiedOrSensitiveInformation</t>
  </si>
  <si>
    <t>Renamed</t>
  </si>
  <si>
    <r>
      <t>ListOfOmittedDisclosures</t>
    </r>
    <r>
      <rPr>
        <strike/>
        <sz val="11"/>
        <color theme="1"/>
        <rFont val="Aptos Narrow"/>
        <family val="2"/>
        <scheme val="minor"/>
      </rPr>
      <t>DeemedToBeClassifiedOrSensitiveInformation</t>
    </r>
  </si>
  <si>
    <t>ExplicitStatementOfCompliance</t>
  </si>
  <si>
    <t>[Sergio] B7 table, reviewing and amending validations</t>
  </si>
  <si>
    <t>For all the validations to be aligned with Align with VS and the introduction of the new exemption for undertakings with less than 10 employees, three main changes have been done:
NEW CONDITIONAL FORMATTING [=AND('General Information'!$E$285&lt;=10; 'General Information'!$E$285&lt;&gt;"")]
Cells affected:
General Information -&gt; E528, E529, E530
Environmental Disclosures -&gt; M5, D22, D23, D24, D285, D293, D298, D305:K404, G405, J405:J411, J413
Social Disclosures -&gt; D157, D158, D159, D168, D177, D180, D189
Governance Disclosures -&gt;
NEW CONDITION IN VALIDATION FORMULA ['General Information'!E285&lt;=10]
Cells affected:
General Information -&gt; H528, H529, H530
Environmental Disclosures -&gt; G5, L19, L22, L23, L24, E285, E293, H298, M305
Social Disclosures -&gt; I157, I158, I159, I168, I177, I181, I189
Governance Disclosures -&gt;
CHANGE FO LABELS [adding "Voluntary for undertakings with 10 employees or less" in front of labels]
Labels affected:
template_label_has_the_undertaking_obtained_the_necessary_information_to_provide_an_energy_consumption_breakdown
template_label_has_the_undertaking_has_established_ghg_emission_reduction_targets
template_label_does_the_undertaking_have_production_processes_in_place_which_significantly_consume_water
template_label_does_the_undertaking_operate_in_a_sector_using_significant_material_flows
template_label_has_the_strategy_key_elements_that_relate_to_or_affect_sustainability_issues
template_label_is_the_undertaking_disclosing_entity_specific_information_on_scope_3_emissions
template_label_has_the_undertaking_identified_climate_related_hazards_and_climate_related_transition_events</t>
  </si>
  <si>
    <t>New lines (411:414) for overall percentages, moreover amended the design of the entire B7 - Waste generated" table and its validations, in order to align it with the new VS text</t>
  </si>
  <si>
    <t>MATHIAS TO INSERT LINKS TO KNOWLEDGE HUB PARAGRAPHS</t>
  </si>
  <si>
    <t>[Sergio] To fix "List of omitted disclosures" in "B1 - Basis for Preparation &amp; Module"</t>
  </si>
  <si>
    <t>Modified the "mirrored" Table of Contents in the Technical Sheet to enable again the automatic fetching of the omitted values in the "List of omitted disclosures" in "B1 - Basis for Preparation &amp; Module"</t>
  </si>
  <si>
    <t>[Sergio] To check all validations (particularly for table of contents) and do a consistency check</t>
  </si>
  <si>
    <t>Done, but to be double checked with Mathias</t>
  </si>
  <si>
    <t>[Sergio] Focus on Table of Contents sheet, to make sure that after all the changes there are no broken validations</t>
  </si>
  <si>
    <t>Most senior level within its employees that is accountable for implementing the policies when this has been determined by the undertaking</t>
  </si>
  <si>
    <r>
      <t xml:space="preserve">Most senior level </t>
    </r>
    <r>
      <rPr>
        <strike/>
        <sz val="11"/>
        <color theme="1"/>
        <rFont val="Aptos Narrow"/>
        <family val="2"/>
        <scheme val="minor"/>
      </rPr>
      <t>with</t>
    </r>
    <r>
      <rPr>
        <sz val="11"/>
        <color theme="1"/>
        <rFont val="Aptos Narrow"/>
        <family val="2"/>
        <scheme val="minor"/>
      </rPr>
      <t xml:space="preserve">in </t>
    </r>
    <r>
      <rPr>
        <sz val="11"/>
        <color rgb="FFFF0000"/>
        <rFont val="Aptos Narrow"/>
        <family val="2"/>
        <scheme val="minor"/>
      </rPr>
      <t>the undertaking (i.e. a person or a body)</t>
    </r>
    <r>
      <rPr>
        <strike/>
        <sz val="11"/>
        <color theme="1"/>
        <rFont val="Aptos Narrow"/>
        <family val="2"/>
        <scheme val="minor"/>
      </rPr>
      <t xml:space="preserve"> its employees</t>
    </r>
    <r>
      <rPr>
        <sz val="11"/>
        <color theme="1"/>
        <rFont val="Aptos Narrow"/>
        <family val="2"/>
        <scheme val="minor"/>
      </rPr>
      <t xml:space="preserve"> that is accountable for implementing th</t>
    </r>
    <r>
      <rPr>
        <sz val="11"/>
        <color rgb="FFFF0000"/>
        <rFont val="Aptos Narrow"/>
        <family val="2"/>
        <scheme val="minor"/>
      </rPr>
      <t>os</t>
    </r>
    <r>
      <rPr>
        <sz val="11"/>
        <color theme="1"/>
        <rFont val="Aptos Narrow"/>
        <family val="2"/>
        <scheme val="minor"/>
      </rPr>
      <t>e</t>
    </r>
    <r>
      <rPr>
        <strike/>
        <sz val="11"/>
        <color theme="1"/>
        <rFont val="Aptos Narrow"/>
        <family val="2"/>
        <scheme val="minor"/>
      </rPr>
      <t xml:space="preserve">e </t>
    </r>
    <r>
      <rPr>
        <sz val="11"/>
        <color theme="1"/>
        <rFont val="Aptos Narrow"/>
        <family val="2"/>
        <scheme val="minor"/>
      </rPr>
      <t xml:space="preserve">  </t>
    </r>
    <r>
      <rPr>
        <sz val="11"/>
        <color rgb="FFFF0000"/>
        <rFont val="Aptos Narrow"/>
        <family val="2"/>
        <scheme val="minor"/>
      </rPr>
      <t xml:space="preserve">practices, </t>
    </r>
    <r>
      <rPr>
        <sz val="11"/>
        <color theme="1"/>
        <rFont val="Aptos Narrow"/>
        <family val="2"/>
        <scheme val="minor"/>
      </rPr>
      <t>policies</t>
    </r>
    <r>
      <rPr>
        <sz val="11"/>
        <color rgb="FFFF0000"/>
        <rFont val="Aptos Narrow"/>
        <family val="2"/>
        <scheme val="minor"/>
      </rPr>
      <t xml:space="preserve">, and future initiatives </t>
    </r>
    <r>
      <rPr>
        <sz val="11"/>
        <color theme="1"/>
        <rFont val="Aptos Narrow"/>
        <family val="2"/>
        <scheme val="minor"/>
      </rPr>
      <t xml:space="preserve"> when this has been determined by the undertaking</t>
    </r>
  </si>
  <si>
    <t>MostSeniorLevelAccountableForImplementationOfPolicies</t>
  </si>
  <si>
    <t>MostSeniorLevelInTheUndertakingAccountableForImplementationOfPracticesPoliciesAndFutureInitiatives</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</si>
  <si>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</si>
  <si>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</si>
  <si>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</si>
  <si>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</si>
  <si>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</si>
  <si>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</si>
  <si>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</si>
  <si>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</si>
  <si>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</si>
  <si>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</si>
  <si>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</si>
  <si>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</si>
  <si>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</si>
  <si>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</si>
  <si>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sensitive information disclosures</t>
  </si>
  <si>
    <t>Disclosure of any other general and or entity specific information on the reporting period</t>
  </si>
  <si>
    <t>B2 - Practices policies and future initiatives for transitioning towards a more sustainable economy</t>
  </si>
  <si>
    <t>Disclosure of any other environmental and or entity specific environmental disclosures</t>
  </si>
  <si>
    <t>Disclosure of any other social and or entity specific social disclosures</t>
  </si>
  <si>
    <t>Disclosure of any other governance and or entity specific governance disclosures</t>
  </si>
  <si>
    <t>INTERACTIVE LIST FOR DOCX FEATURE</t>
  </si>
  <si>
    <t>INDEX</t>
  </si>
  <si>
    <t>List of narrative disclusures</t>
  </si>
  <si>
    <t>List of narrative disclusures (with contextual info)</t>
  </si>
  <si>
    <t>DisclosureOfAnyOtherGeneralAndOrEntitySpecificInformation</t>
  </si>
  <si>
    <t>template_checkbox_introduction_docx</t>
  </si>
  <si>
    <t>DescriptionOfSustainabilityRelatedCertificationsOrLabels</t>
  </si>
  <si>
    <t>Introduction: disclosure of any other general and/or entity specific information on the reporting period from 2026-01-01 to 2026-12-31 [May (optional)]    </t>
  </si>
  <si>
    <t>DescriptionOfHowCircularEconomyPrinciplesAreApplied</t>
  </si>
  <si>
    <t>General Information, Cell: C17</t>
  </si>
  <si>
    <t>DescriptionOfSignificantGroupsOfProductsAndOrServicesOffered</t>
  </si>
  <si>
    <t>DescriptionOfSignificantMarketsTheUndertakingOperatesIn</t>
  </si>
  <si>
    <t>template_checkbox_b1_certifications_or_labels_docx</t>
  </si>
  <si>
    <t>DescriptionOfMainBusinessRelationships</t>
  </si>
  <si>
    <t>B1 - Disclosure of sustainability-related certification(s) or label(s) from 2026-01-01 to 2026-12-31 [If applicable]</t>
  </si>
  <si>
    <t>DescriptionOfKeyElementsOfStrategyThatRelatesToOrAffectsSustainabilityIssues</t>
  </si>
  <si>
    <r>
      <t xml:space="preserve">Description of sustainability-related certification(s) or label(s) including where relevant the issuers of the certification or label date and rating score - </t>
    </r>
    <r>
      <rPr>
        <b/>
        <sz val="11"/>
        <color theme="1"/>
        <rFont val="Aptos Narrow"/>
        <family val="2"/>
        <scheme val="minor"/>
      </rPr>
      <t>General Information, Cell: E397</t>
    </r>
  </si>
  <si>
    <t>DescriptionOfPracticesPoliciesAndOrFutureInitiatives</t>
  </si>
  <si>
    <t>DescriptionOfATargetRelatedToAPolicy</t>
  </si>
  <si>
    <t>template_checkbox_b7_description_of_circular_economy_principles_docx</t>
  </si>
  <si>
    <t>B7 - Description of circular economy principles from 2026-01-01 to 2026-12-31 [Always to be reported]        </t>
  </si>
  <si>
    <t>DisclosureOfListOfMainActionsTheEntitySeeksInOrderToAchieveItsTargets</t>
  </si>
  <si>
    <r>
      <t xml:space="preserve">Description of how it applies these principles - </t>
    </r>
    <r>
      <rPr>
        <b/>
        <sz val="11"/>
        <color theme="1"/>
        <rFont val="Aptos Narrow"/>
        <family val="2"/>
        <scheme val="minor"/>
      </rPr>
      <t>Environmental Disclosures, Cell: D317</t>
    </r>
  </si>
  <si>
    <t>DescriptionOfATransitionPlanForClimateChangeMitigationIncludingAnExplanationOfHowItIsContributingToReduceGhgEmissions</t>
  </si>
  <si>
    <t>DescriptionOfClimateRelatedHazardsAndClimateRelatedTransitionEvents</t>
  </si>
  <si>
    <t>template_checkbox_c1_strategy_business_model_and_sustainability_initiatives_docx</t>
  </si>
  <si>
    <t>DisclosureOfHowItHasAssessedTheExposureAndSensitivityOfItsAssetsActivitiesAndValueChainToTheseHazardsAndTransitionEvents</t>
  </si>
  <si>
    <t>C1 - Strategy: Business Model and Sustainability - Related Initiatives from 2026-01-01 to 2026-12-31 [Always to be reported + If applicable]</t>
  </si>
  <si>
    <t>TimeHorizonsOfAnyClimateRelatedHazardsAndTransitionEventsIdentified</t>
  </si>
  <si>
    <r>
      <t xml:space="preserve">Description of significant groups of products and or services offered - </t>
    </r>
    <r>
      <rPr>
        <b/>
        <sz val="11"/>
        <color theme="1"/>
        <rFont val="Aptos Narrow"/>
        <family val="2"/>
        <scheme val="minor"/>
      </rPr>
      <t>General Information, Cell: E527</t>
    </r>
  </si>
  <si>
    <t>PotentialAdverseEffectsOfClimateRisksThatMayAffectItsFinancialPerformanceOrBusinessOperationsInTheShortMediumOrLongTermIndicatingWhetherItAssessesTheRisksToBeHighMediumOrLow</t>
  </si>
  <si>
    <r>
      <t xml:space="preserve">Description of significant market(s) the undertaking operates in (e.g. B2B, wholesale, retail, countries) - </t>
    </r>
    <r>
      <rPr>
        <b/>
        <sz val="11"/>
        <color theme="1"/>
        <rFont val="Aptos Narrow"/>
        <family val="2"/>
        <scheme val="minor"/>
      </rPr>
      <t>General Information, Cell: E528</t>
    </r>
  </si>
  <si>
    <t>SpecificationOfOtherTypesOfContentCoveredByTheCodeOfConductOrHumanRightsPolicy</t>
  </si>
  <si>
    <r>
      <t xml:space="preserve">Description of main business relationships (such as key suppliers, customers, distribution channels) - </t>
    </r>
    <r>
      <rPr>
        <b/>
        <sz val="11"/>
        <color theme="1"/>
        <rFont val="Aptos Narrow"/>
        <family val="2"/>
        <scheme val="minor"/>
      </rPr>
      <t>General Information, Cell: E529</t>
    </r>
  </si>
  <si>
    <t>SpecificationOfOtherHumanRightsRelatedToTheConfirmedIncident</t>
  </si>
  <si>
    <r>
      <t xml:space="preserve">Description of those key elements in the strategy that relate or affect sustainability issues - </t>
    </r>
    <r>
      <rPr>
        <b/>
        <sz val="11"/>
        <color theme="1"/>
        <rFont val="Aptos Narrow"/>
        <family val="2"/>
        <scheme val="minor"/>
      </rPr>
      <t>General Information, Cell: E531</t>
    </r>
  </si>
  <si>
    <t>DescriptionOfActionsTakeToAddressTheConfirmedIncidents</t>
  </si>
  <si>
    <t>SpecificationOfAnyConfirmedIncidentInvolvingWorkersInTheValueChainAffectedCommunitiesConsumersAndEndUsers</t>
  </si>
  <si>
    <t>template_checkbox_c2_description_of_practices_policies_and_future_initiatives_docx</t>
  </si>
  <si>
    <t>DisclosureOfAnyOtherEnvironmentalAndOrEntitySpecificEnvironmentalDisclosures</t>
  </si>
  <si>
    <t>C2 - Description of practices policies and future initiatives for transitioning towards a more sustainable economy from 2026-01-01 to 2026-12-31 [If applicable linked with B2]</t>
  </si>
  <si>
    <t>DisclosureOfAnyOtherSocialAndOrEntitySpecificSocialDisclosures</t>
  </si>
  <si>
    <r>
      <t xml:space="preserve">Description of a practice policy and or future initiative towards a more sustainable future (In case the practice  policy  future initiative covers suppliers or clients the undertaking shall mention it) - </t>
    </r>
    <r>
      <rPr>
        <b/>
        <sz val="11"/>
        <color theme="1"/>
        <rFont val="Aptos Narrow"/>
        <family val="2"/>
        <scheme val="minor"/>
      </rPr>
      <t>General Information, Cell: E521</t>
    </r>
  </si>
  <si>
    <t>DisclosureOfAnyOtherGovernanceAndOrEntitySpecificGovernanceDisclosures</t>
  </si>
  <si>
    <r>
      <t xml:space="preserve">Description of target related to a policy - </t>
    </r>
    <r>
      <rPr>
        <b/>
        <sz val="11"/>
        <color theme="1"/>
        <rFont val="Aptos Narrow"/>
        <family val="2"/>
        <scheme val="minor"/>
      </rPr>
      <t>General Information, Cell: E522</t>
    </r>
  </si>
  <si>
    <t>List of narrative disclusure to include thorugh the DOCX</t>
  </si>
  <si>
    <r>
      <t xml:space="preserve">Most senior level within its employees that is accountable for implementing the policies when this has been determined by the undertaking - </t>
    </r>
    <r>
      <rPr>
        <b/>
        <sz val="11"/>
        <color theme="1"/>
        <rFont val="Aptos Narrow"/>
        <family val="2"/>
        <scheme val="minor"/>
      </rPr>
      <t>General Information, Cell: E523</t>
    </r>
  </si>
  <si>
    <t>template_checkbox_c3_list_of_main_actions_to_achieve_targets_docx</t>
  </si>
  <si>
    <t>C3 - Disclosure of list of main actions the entity seeks in order to achieve its targets from 2026-01-01 to 2026-12-31 [If applicable]</t>
  </si>
  <si>
    <t>Environmental Disclosures, Cell: C52</t>
  </si>
  <si>
    <t>template_checkbox_c3_transition_plan_docx</t>
  </si>
  <si>
    <t>C3 - Transition plan for undertakings operating in high climate impact sectors from 2026-01-01 to 2026-12-31 [If applicable]</t>
  </si>
  <si>
    <r>
      <t xml:space="preserve">Description of a transition plan for climate change mitigation including an explanation of how it is contributing to reduce GHG emissions - May (optional) - </t>
    </r>
    <r>
      <rPr>
        <b/>
        <sz val="11"/>
        <color theme="1"/>
        <rFont val="Aptos Narrow"/>
        <family val="2"/>
        <scheme val="minor"/>
      </rPr>
      <t>Environmental Disclosures, Cell: D58</t>
    </r>
  </si>
  <si>
    <t>C4 - Climate risks from 2026-01-01 to 2026-12-31 [If applicable]</t>
  </si>
  <si>
    <r>
      <t xml:space="preserve">Description of climate-related hazards and climate-related transition events - </t>
    </r>
    <r>
      <rPr>
        <b/>
        <sz val="11"/>
        <color theme="1"/>
        <rFont val="Aptos Narrow"/>
        <family val="2"/>
        <scheme val="minor"/>
      </rPr>
      <t>Environmental Disclosures, Cell: E540</t>
    </r>
  </si>
  <si>
    <r>
      <t xml:space="preserve">Disclosure of how it has assessed the exposure and sensitivity of its assets activities and value chain to these hazards and transition events - </t>
    </r>
    <r>
      <rPr>
        <b/>
        <sz val="11"/>
        <color theme="1"/>
        <rFont val="Aptos Narrow"/>
        <family val="2"/>
        <scheme val="minor"/>
      </rPr>
      <t>Environmental Disclosures, Cell: E541</t>
    </r>
  </si>
  <si>
    <r>
      <t xml:space="preserve">Time horizons of any climate-related hazards and transition events identified - </t>
    </r>
    <r>
      <rPr>
        <b/>
        <sz val="11"/>
        <color theme="1"/>
        <rFont val="Aptos Narrow"/>
        <family val="2"/>
        <scheme val="minor"/>
      </rPr>
      <t>Environmental Disclosures, Cell: E542</t>
    </r>
  </si>
  <si>
    <t>template_checkbox_c6_additional_own_workforce_information_docx</t>
  </si>
  <si>
    <t>C6 - Additional own workforce information - Human rights policies and processes from 2026-01-01 to 2026-12-31 [Always to be reported]          </t>
  </si>
  <si>
    <r>
      <t xml:space="preserve">Specify other types of content covered by the code of conduct or human rights policy - </t>
    </r>
    <r>
      <rPr>
        <b/>
        <sz val="11"/>
        <color theme="1"/>
        <rFont val="Aptos Narrow"/>
        <family val="2"/>
        <scheme val="minor"/>
      </rPr>
      <t>Social Disclosures, Cell: D180</t>
    </r>
  </si>
  <si>
    <t>template_checkbox_c7_severe_negative_human_rights_incidents_docx</t>
  </si>
  <si>
    <t>C7 - Severe negative human rights incidents from 2026-01-01 to 2026-12-31 [Always to be reported]</t>
  </si>
  <si>
    <r>
      <t xml:space="preserve">Specify other human rights related to the confirmed incidents - </t>
    </r>
    <r>
      <rPr>
        <b/>
        <sz val="11"/>
        <color theme="1"/>
        <rFont val="Aptos Narrow"/>
        <family val="2"/>
        <scheme val="minor"/>
      </rPr>
      <t>Social Disclosures, Cell: D191</t>
    </r>
  </si>
  <si>
    <r>
      <t xml:space="preserve">Description of actions taken to address the confirmed incidents - </t>
    </r>
    <r>
      <rPr>
        <b/>
        <sz val="11"/>
        <color theme="1"/>
        <rFont val="Aptos Narrow"/>
        <family val="2"/>
        <scheme val="minor"/>
      </rPr>
      <t>Social Disclosures, Cell: D192</t>
    </r>
  </si>
  <si>
    <t>template_checkbox_entity_specific_environmental_disclosures_docx</t>
  </si>
  <si>
    <t>Disclosure of any other environmental and/or entity specific environmental disclosures from 2026-01-01 to 2026-12-31 [May (optional)]</t>
  </si>
  <si>
    <t>Environmental Disclosures, Cell: C548</t>
  </si>
  <si>
    <t>template_checkbox_entity_specific_social_disclosures_docx</t>
  </si>
  <si>
    <t>Disclosure of any other social and/or entity specific social disclosures from 2026-01-01 to 2026-12-31 [May (optional)]</t>
  </si>
  <si>
    <t>Social Disclosures, Cell: C200</t>
  </si>
  <si>
    <t>Disclosure of any other governance and/or entity specific governance disclosures from 2026-01-01 to 2026-12-31 [May (optional)]</t>
  </si>
  <si>
    <t>Social Disclosures, Cell: C38</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</si>
  <si>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</si>
  <si>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</si>
  <si>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</si>
  <si>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</si>
  <si>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</si>
  <si>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</si>
  <si>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</si>
  <si>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</si>
  <si>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</si>
  <si>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</si>
  <si>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</si>
  <si>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</si>
  <si>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</si>
  <si>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</si>
  <si>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</si>
  <si>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</si>
  <si>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</si>
  <si>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List of Taxonomy Labels for Footnotes</t>
  </si>
  <si>
    <t>Danish - Reviewed translation by Danish Standard Setter [da]</t>
  </si>
  <si>
    <t>Dutch - Reviewed translation by Ducth Standard Setter [nl]</t>
  </si>
  <si>
    <t>French - Reviewed translation by French Standard Setter [fr]</t>
  </si>
  <si>
    <t>German - Reviewed translation by German Standard Setter [de]</t>
  </si>
  <si>
    <t>Irish - Reviewed translation by Irish Standard Setter [ga]</t>
  </si>
  <si>
    <t>Italian - Reviewed translation by Italian Standard Setter [it]</t>
  </si>
  <si>
    <t>Lithuanian - Reviewed translation by Lithuanian Standard Setter [lt]</t>
  </si>
  <si>
    <t>Polish - Reviewed translation by Polish Standard Setter [pl]</t>
  </si>
  <si>
    <t>Portuguese - Reviewed translation by Portuguese Standard Setter [pt]</t>
  </si>
  <si>
    <t>Slovenian - Reviewed translation by Slovenian Standard Setter [sl]</t>
  </si>
  <si>
    <t>Spanish - Reviewed translation by Spanish Standard Setter [es]</t>
  </si>
  <si>
    <t>Grundlag for udarbejdelse (Kun Basismodul eller Basis &amp; Udvidet Modul)</t>
  </si>
  <si>
    <t>Grondslag voor het opstellen van informatie (alleen basismodule of basismodule &amp; uitgebreide module)</t>
  </si>
  <si>
    <t>Base de préparation (Module de base uniquement ou Module de base et module complet)</t>
  </si>
  <si>
    <t>Grundlagen für die Erstellung (nur Basismodul oder Basismodul &amp; Zusatzmodul)</t>
  </si>
  <si>
    <t>An Bunús leis an ullmhú (Bunmhodúl Bunúsach Amháin nó Bunmhodúl Bunúsach agus Cuimsitheach)</t>
  </si>
  <si>
    <t>Criteri per la redazione (solo modulo base o modulo base e modulo onnicomprensivo)</t>
  </si>
  <si>
    <t>Pagrindas parengimui (tik bazinis modulis arba bazinis ir išsamusis modulis)</t>
  </si>
  <si>
    <t>Podstawa sporządzenia (Tylko Moduł podstawowy lub Moduł podstawowy i kompleksowy)</t>
  </si>
  <si>
    <t>Base para la elaboración (Solo Módulo Básico o Módulo Básico y Exhaustivo)</t>
  </si>
  <si>
    <t>Podlaga za pripravo (le osnovni modul ali osnovni in celovit modul)</t>
  </si>
  <si>
    <t>Base para a elaboração (Apenas Módulo Básico ou Módulo Básico e Abrangente)</t>
  </si>
  <si>
    <t>Grundlag for rapportering (konsolideret eller individuel basis)</t>
  </si>
  <si>
    <t>Grondslag voor rapportering (op geconsolideerde of  enkelvoudige basis)</t>
  </si>
  <si>
    <t>Bunús don tuairisciú (bonn comhtháite nó aonair)</t>
  </si>
  <si>
    <t>Base per la redazione (su base consolidata o individuale)</t>
  </si>
  <si>
    <t>Podstawa sporządzenia (w ujęciu skonsolidowanym lub jednostkowym)</t>
  </si>
  <si>
    <t>Podlaga za poročanje (konsolidirana ali posamična osnova)</t>
  </si>
  <si>
    <t>Base para reporte (base consolidada o individual)</t>
  </si>
  <si>
    <t>Report contains disclosures from the previous reporting period that remain unchanged</t>
  </si>
  <si>
    <t>Rapporten indeholder oplysninger fra den foregående rapporteringsperiode, som forbliver uændrede.</t>
  </si>
  <si>
    <t>Rapport bevat  rapportages uit de vorige rapportageperiode die ongewijzigd blijven.</t>
  </si>
  <si>
    <t>Dieser Bericht enthält Angaben, die sich gegenüber dem vorherigen Berichtszeitraum nicht verändert haben.</t>
  </si>
  <si>
    <t>Tá nochtaí ón tréimhse tuairiscithe roimhe sin sa tuarascáil atá fós gan athrú</t>
  </si>
  <si>
    <t>La Relazione contiene le informative del periodo di riferimento precedente che rimangono invariate</t>
  </si>
  <si>
    <t>Atskleidimų, dėl kurių nepateikta pakeitimų, palyginti su ankstesnio laikotarpio ataskaita, sąrašas</t>
  </si>
  <si>
    <t>Sprawozdanie zawiera ujawnienia z poprzedniego okresu sprawozdawczego, które pozostają bez zmian.</t>
  </si>
  <si>
    <t>El informe contiene divulgaciones del período de información anterior que permanecen sin cambios.</t>
  </si>
  <si>
    <t>Poročilo vsebuje razkritja iz prejšnjega poročevalskega obdobja, ki ostajajo nespremenjena</t>
  </si>
  <si>
    <t>O relatório contém divulgações do período de reporte anterior que permanecem inalteradas</t>
  </si>
  <si>
    <t xml:space="preserve">List of disclosures for which no changes are reported compared to the previous period reporting </t>
  </si>
  <si>
    <t>Liste over oplysninger, hvor der ikke rapporteres ændringer i forhold til den foregående periode.</t>
  </si>
  <si>
    <t xml:space="preserve">Lijst van  rapportages waarvoor geen wijzigingen worden gerapporteerd ten opzichte van de verslaglegging over de vorige periode
</t>
  </si>
  <si>
    <t>Liste des informations pour lesquelles aucun changement n’est signalé par rapport à la déclaration de la période précédente</t>
  </si>
  <si>
    <t>Liosta de na nochtaí nár tuairiscíodh aon athruithe orthu i gcomparáid leis an tréimhse thuairiscithe roimhe seo</t>
  </si>
  <si>
    <t xml:space="preserve">Elenco delle informative per le quali non sono segnalate modifiche rispetto al periodo di riferimento precedente 
</t>
  </si>
  <si>
    <t>Atskleidimų, kuriems nepasikeitė duomenys palyginti su ankstesnio laikotarpio ataskaita, sąrašas</t>
  </si>
  <si>
    <t>Listado de divulgaciones para las cuales no se reportan cambios en comparación con el periodo anterior de reporte</t>
  </si>
  <si>
    <t>Seznam razkritij, za katera se v primerjavi s poročanjem v prejšnjem obdobju ne poroča o spremembah</t>
  </si>
  <si>
    <t>Lista de informações divulgadas para as quais não são relatadas alterações em comparação com o relatório do período anterior</t>
  </si>
  <si>
    <t>Link til tidligere rapport, der indeholder oplysninger, som forbliver uændrede</t>
  </si>
  <si>
    <t xml:space="preserve">Verwijzing naar het vorige  rapport met daarin de  rapportages die ongewijzigd blijven
</t>
  </si>
  <si>
    <t>Link zum vorherigen Bericht mit Angaben, die unverändert bleiben (einhietlich mit oben)</t>
  </si>
  <si>
    <t>Nasc chuig an tuarascáil roimhe seo ina bhfuil nochtaí atá fós gan athrú</t>
  </si>
  <si>
    <t>Nuoroda į ankstesnį ataskaitą, kurios atskleidimai liko nepakitę</t>
  </si>
  <si>
    <t>Povezava do prejšnjega poročila, ki vsebuje razkritja, ki ostajajo nespremenjena</t>
  </si>
  <si>
    <t>Link para o relatório anterior contendo divulgações que permanecem inalteradas</t>
  </si>
  <si>
    <t>List of omitted disclosures deemed to be classified or sensitive information</t>
  </si>
  <si>
    <t>Lijst van weggelaten  rapportages die worden beschouwd als gerubriceerde of gevoelige informatie</t>
  </si>
  <si>
    <t>Elenco delle informative omesse ritenute informazioni classificate o sensibili</t>
  </si>
  <si>
    <t>Lista ujawnień pominiętych uznanych za informacje niejawne lub informacje szczególnie chronione</t>
  </si>
  <si>
    <t>Lista de divulgaciones omitidas consideradas información clasificada o sensible</t>
  </si>
  <si>
    <t>Seznam izpuščenih razkritij, ki veljajo za tajne ali občutljive podatke</t>
  </si>
  <si>
    <t>Lista de divulgações omitidas consideradas informações classificadas ou sensíveis</t>
  </si>
  <si>
    <t>Virksomheders juridiske form</t>
  </si>
  <si>
    <t xml:space="preserve"> Rechtsvorm van de onderneming</t>
  </si>
  <si>
    <t>Forme juridique des entreprises</t>
  </si>
  <si>
    <t>Foirm dhlíthiúil an ghnóthais</t>
  </si>
  <si>
    <t>Forma jurídica de las empresas</t>
  </si>
  <si>
    <t>Pravna oblika podjetij</t>
  </si>
  <si>
    <t>Other undertaking's legal form</t>
  </si>
  <si>
    <t>Anden virksomheds juridiske form</t>
  </si>
  <si>
    <t>Rechtsvorm van de andere onderneming</t>
  </si>
  <si>
    <t>Foirm dhlíthiúil gnóthais eile</t>
  </si>
  <si>
    <t>Altra forma giuridica dell'impresa</t>
  </si>
  <si>
    <t>Kitos įmonės teisinė forma</t>
  </si>
  <si>
    <t>Inna forma prawna jednostki</t>
  </si>
  <si>
    <t>Otra personalidad jurídica de la empresa</t>
  </si>
  <si>
    <t>Pravna oblika drugega podjetja</t>
  </si>
  <si>
    <t>Forma jurídica de outra entidade</t>
  </si>
  <si>
    <t>NACE sector classification codes</t>
  </si>
  <si>
    <t>NACE-sektorklassifikationskoder</t>
  </si>
  <si>
    <t>NACE-sectorclassificatiecodes</t>
  </si>
  <si>
    <t>Cóid aicmiúcháin earnála NACE</t>
  </si>
  <si>
    <t>Codici di classificazione settoriale NACE</t>
  </si>
  <si>
    <t>NACE sektorių klasifikacijos kodai</t>
  </si>
  <si>
    <t>Kody klasyfikacji sektorowej NACE</t>
  </si>
  <si>
    <t>Šifre klasifikacije sektorjev NACE</t>
  </si>
  <si>
    <t>Códigos de classificação sectorial NACE</t>
  </si>
  <si>
    <t>Assets</t>
  </si>
  <si>
    <t>Aktiver</t>
  </si>
  <si>
    <t>Activa</t>
  </si>
  <si>
    <t>Actifs</t>
  </si>
  <si>
    <t>Vermögenswerte</t>
  </si>
  <si>
    <t>Sócmhainní</t>
  </si>
  <si>
    <t>Attività</t>
  </si>
  <si>
    <t>Turtas</t>
  </si>
  <si>
    <t>Aktywa</t>
  </si>
  <si>
    <t>Activos</t>
  </si>
  <si>
    <t>Sredstva</t>
  </si>
  <si>
    <t>Ativos</t>
  </si>
  <si>
    <t>Turnover</t>
  </si>
  <si>
    <t>Omsætning</t>
  </si>
  <si>
    <t>Omzet</t>
  </si>
  <si>
    <t>Chiffre d'affaires</t>
  </si>
  <si>
    <t>Umsatzerlöse</t>
  </si>
  <si>
    <t>Lámhdeachas</t>
  </si>
  <si>
    <t>Apyvarta</t>
  </si>
  <si>
    <t>Obrót</t>
  </si>
  <si>
    <t>Volumen de negocio</t>
  </si>
  <si>
    <t>Prihodek</t>
  </si>
  <si>
    <t>Volume de negócios</t>
  </si>
  <si>
    <t>Beschäftigtenzahl</t>
  </si>
  <si>
    <t>Número de empleados</t>
  </si>
  <si>
    <t>Employee counting methodology</t>
  </si>
  <si>
    <t>Metode til optælling af ansatte</t>
  </si>
  <si>
    <t>Gehanteerde methode voor het berekenen aantal personeelsleden</t>
  </si>
  <si>
    <t>Méthodologie de comptage des effectifs</t>
  </si>
  <si>
    <t>Art der Zählung von Beschäftigten</t>
  </si>
  <si>
    <t>Modheolaíocht chomhaireamh fostaithe</t>
  </si>
  <si>
    <t>Metodologia di conteggio dei dipendenti</t>
  </si>
  <si>
    <t>Darbuotojų skaičiavimo metodika</t>
  </si>
  <si>
    <t>Metodyka liczenia pracowników</t>
  </si>
  <si>
    <t>Metodología de recuento de empleados</t>
  </si>
  <si>
    <t>Metodologija štetja zaposlenih</t>
  </si>
  <si>
    <t>Metodologia de contagem de empregados</t>
  </si>
  <si>
    <t>Type of number of employees</t>
  </si>
  <si>
    <t>Type of number of employees = Type af ansættelseskontrakt</t>
  </si>
  <si>
    <t>Soort aantal werknemers</t>
  </si>
  <si>
    <t>Type de nombre de salariés</t>
  </si>
  <si>
    <t xml:space="preserve">Art der Anzahl der Beschäftigten </t>
  </si>
  <si>
    <t>Cineál líon na bhfostaithe</t>
  </si>
  <si>
    <t>Tipo di numero di dipendenti</t>
  </si>
  <si>
    <t>Darbuotojų skaičiaus rūšis</t>
  </si>
  <si>
    <t>Rodzaj liczby pracowników</t>
  </si>
  <si>
    <t>Tipo de número de empleados</t>
  </si>
  <si>
    <t>Vrsta števila zaposlenih</t>
  </si>
  <si>
    <t>Tipo de número de empregados</t>
  </si>
  <si>
    <t>Country of primary operations and location of significant assets</t>
  </si>
  <si>
    <t>Land van hoofdactiviteiten en locatie van belangrijke activa</t>
  </si>
  <si>
    <t>Pays où sont exercées les activités principales et localisation des actifs présentant un intérêt significatif</t>
  </si>
  <si>
    <t>Tír na príomhghníomhaíochtaí agus suíomh na bhfóntais shuntasacha</t>
  </si>
  <si>
    <t>Pagrindinių veiklų šalis ir reikšmingo turto buvimo vieta</t>
  </si>
  <si>
    <t>País de operaciones principales y ubicación de activos significativos</t>
  </si>
  <si>
    <t>Država glavnega poslovanja in lokacija pomembnih sredstev</t>
  </si>
  <si>
    <t>País das operações principais e localização dos ativos significativos</t>
  </si>
  <si>
    <t>Description of sustainability-related certification(s) or label(s)</t>
  </si>
  <si>
    <t>Beskrivelse af bæredygtighedsrelaterede certificeringer eller mærkninger</t>
  </si>
  <si>
    <t>Beschrijving van duurzaamheidsgerelateerde certificering(en) of label(s)</t>
  </si>
  <si>
    <t>Description brève de la ou des certification(s) ou label(s) liés à la durabilité</t>
  </si>
  <si>
    <t xml:space="preserve">Beschreibung der nachhaltigkeitsbezogenen Zertifizierung(en) oder des/der Siegel(s) </t>
  </si>
  <si>
    <t>Cur síos ar dheimhnithe nó lipéid a bhaineann le hinbhuanaitheacht</t>
  </si>
  <si>
    <t>Descrizione della/e certificazione/i o marchio/i di sostenibilità</t>
  </si>
  <si>
    <t>Tvarumo sertifikato(-ų) arba ženklo(-ų) aprašymas</t>
  </si>
  <si>
    <t>Opis certyfikatów lub oznaczeń związanych ze zrównoważonym rozwojem</t>
  </si>
  <si>
    <t>Descripción de la(s) certificación(es) o etiqueta(s) relacionada(s) con la sostenibilidad</t>
  </si>
  <si>
    <t>To razkritje bi moralo po potrebi vključevati izdajatelje certifikata ali znaka, datum in oceno</t>
  </si>
  <si>
    <t>Descrição da(s) certificação(ões) ou rótulo(s) relacionados com a sustentabilidade</t>
  </si>
  <si>
    <t>Name of the subsidiary</t>
  </si>
  <si>
    <t>Navn på datterselskab</t>
  </si>
  <si>
    <t>Naam van de dochteronderneming</t>
  </si>
  <si>
    <t>Nom de la filiale</t>
  </si>
  <si>
    <t>Name des Tochterunternehmens</t>
  </si>
  <si>
    <t>Ainm an fhochuideachta</t>
  </si>
  <si>
    <t>Nome della impresa figlia</t>
  </si>
  <si>
    <t>Dukterinės įmonės pavadinimas</t>
  </si>
  <si>
    <t>Nazwa jednostki zależnej</t>
  </si>
  <si>
    <t>Nombre de la filial</t>
  </si>
  <si>
    <t>Firma odvisne družbe</t>
  </si>
  <si>
    <t>Nome da subsidiária</t>
  </si>
  <si>
    <t>Registered address of the subsidiary</t>
  </si>
  <si>
    <t>Den registrerede adresse for datterselskabet</t>
  </si>
  <si>
    <t>Geregistreerd adres van de dochteronderneming</t>
  </si>
  <si>
    <t>Adresse enregistrée de la filiale</t>
  </si>
  <si>
    <t>Eingetragene Adresse des Tochterunternehmens</t>
  </si>
  <si>
    <t>Seoladh cláraithe na fochuideachta</t>
  </si>
  <si>
    <t>Sede legale della impresa figlia</t>
  </si>
  <si>
    <t>Dukterinės įmonės registruotos buveinės adresas</t>
  </si>
  <si>
    <t>Zarejestrowany adres jednostki zależnej</t>
  </si>
  <si>
    <t>Dirección registrada de la filial</t>
  </si>
  <si>
    <t>Registrirani sedež odvisne družbe</t>
  </si>
  <si>
    <t>Morada registada da subsidiária</t>
  </si>
  <si>
    <t>Address of site</t>
  </si>
  <si>
    <t xml:space="preserve">Adresse på lokation </t>
  </si>
  <si>
    <t>Adres van vestiging</t>
  </si>
  <si>
    <t>Adresse du site</t>
  </si>
  <si>
    <t>Adresse des Standorts</t>
  </si>
  <si>
    <t>Seoladh an láithreáin</t>
  </si>
  <si>
    <t>Indirizzo del sito</t>
  </si>
  <si>
    <t>Objekto adresas</t>
  </si>
  <si>
    <t>Adres lokalizacji</t>
  </si>
  <si>
    <t>Dirección del emplazamiento</t>
  </si>
  <si>
    <t>Ime, ulica, hišna številka, številka stavbe</t>
  </si>
  <si>
    <t>Endereço do local</t>
  </si>
  <si>
    <t>Postal code of site</t>
  </si>
  <si>
    <t>Postnummerr for lokation</t>
  </si>
  <si>
    <t>Postcode van vestiging</t>
  </si>
  <si>
    <t>Code postal du site</t>
  </si>
  <si>
    <t>Postleitzahl des Standorts</t>
  </si>
  <si>
    <t xml:space="preserve">Cód poist nó éirchód na láithreáin </t>
  </si>
  <si>
    <t>Codice postale del sito</t>
  </si>
  <si>
    <t>Objekto pašto kodas</t>
  </si>
  <si>
    <t>Kod pocztowy lokalizacji</t>
  </si>
  <si>
    <t>Código postal del emplazamiento</t>
  </si>
  <si>
    <t>Poštna številka lokacije</t>
  </si>
  <si>
    <t>Código postal do local</t>
  </si>
  <si>
    <t>City of site</t>
  </si>
  <si>
    <t>By for lokation</t>
  </si>
  <si>
    <t>"Plaats van vestiging"</t>
  </si>
  <si>
    <t>Ville du site</t>
  </si>
  <si>
    <t>Stadt des Standorts</t>
  </si>
  <si>
    <t>Cathair an tsuímh</t>
  </si>
  <si>
    <t>Città del sito</t>
  </si>
  <si>
    <t>Objekto miestas</t>
  </si>
  <si>
    <t>Miasto lokalizacji</t>
  </si>
  <si>
    <t>Ciudad del emplazamiento</t>
  </si>
  <si>
    <t>Kraj lokacije</t>
  </si>
  <si>
    <t>Cidade do local</t>
  </si>
  <si>
    <t>Country of site</t>
  </si>
  <si>
    <t>Land for lokation</t>
  </si>
  <si>
    <t>Land van de  vestiging</t>
  </si>
  <si>
    <t>Pays du site</t>
  </si>
  <si>
    <t>Land des Standorts</t>
  </si>
  <si>
    <t>Tír an tsuímh</t>
  </si>
  <si>
    <t>Paese del sito</t>
  </si>
  <si>
    <t>Objekto šalis</t>
  </si>
  <si>
    <t>Kraj lokalizacji</t>
  </si>
  <si>
    <t>País del emplazamiento</t>
  </si>
  <si>
    <t>Država lokacije</t>
  </si>
  <si>
    <t>País do local</t>
  </si>
  <si>
    <t>GPS Location of site</t>
  </si>
  <si>
    <t>Geolokation af lokation</t>
  </si>
  <si>
    <t>GPS-locatie van de vestiging</t>
  </si>
  <si>
    <t>Localisation GPS du site</t>
  </si>
  <si>
    <t>GPS-Koordinaten des Standorts</t>
  </si>
  <si>
    <t>Suíomh GPS an láithreáin</t>
  </si>
  <si>
    <t>Coordinate (geolocalizzazione) del sito</t>
  </si>
  <si>
    <t>Objekto koordinatės</t>
  </si>
  <si>
    <t>Współrzędne GPS lokalizacji</t>
  </si>
  <si>
    <t>Localización GPS del emplazamiento</t>
  </si>
  <si>
    <t>GPS-lokacija kraja</t>
  </si>
  <si>
    <t>Localização GPS do local</t>
  </si>
  <si>
    <t>Sustainability issues addressed by practice, policy and/or future initiative</t>
  </si>
  <si>
    <t>Praksisser, politikker og/eller fremtidige initiativer, der adresserer bæredygtighedsrelaterede udfordringer</t>
  </si>
  <si>
    <t>Duurzaamheidskwesties die worden aangepakt door praktijk, beleid en/of toekomstige initiatieven</t>
  </si>
  <si>
    <t>Enjeux de durabilité traités par la pratique, la politique et/ou l'initiative future</t>
  </si>
  <si>
    <t>Nachhaltigkeitsaspekte, die durch Verfahrensweisen, Richtlinien und/oder künftige Initiativen, die das Unternehmen eingeführt hat, adressiert werden</t>
  </si>
  <si>
    <t>Saincheisteanna inbhuanaitheachta a chlúdaítear trí chleachtas, beartas agus/nó tionscnamh amach anseo</t>
  </si>
  <si>
    <t xml:space="preserve">Questioni attinenti alla sostenibilità affrontate da pratiche, politiche e/o iniziative future
</t>
  </si>
  <si>
    <t>Tvarumo klausimai, sprendžiami praktika, politika ir (arba) būsimomis iniciatyvomis</t>
  </si>
  <si>
    <t>Kwestie związane ze zrównoważonym rozwojem uwzględniane w praktykach, politykach i/lub przyszłych inicjatywach</t>
  </si>
  <si>
    <t>Cuestiones de sostenibilidad abordadas mediante prácticas, políticas y/o iniciativas futuras</t>
  </si>
  <si>
    <t>Trajnostnostne zadeve, ki jih obravnava praksa, politika in/ali prihodnja pobuda</t>
  </si>
  <si>
    <t>Questões de sustentabilidade abordadas por prática, política e/ou iniciativa futura</t>
  </si>
  <si>
    <t>Practice, policy and/or future initiative is publicly available</t>
  </si>
  <si>
    <t>Praksis, politik og/eller fremtidigt initiativ er offentligt tilgængeligt</t>
  </si>
  <si>
    <t>Praktijk, beleid en/of toekomstig initiatief is  publiek beschikbaar</t>
  </si>
  <si>
    <t>La pratique, la politique et/ou l'initiative future sont accessibles au public</t>
  </si>
  <si>
    <t xml:space="preserve">Verfahrensweise, Richtlinie und/oder künftige Initiative ist öffentlich verfügbar </t>
  </si>
  <si>
    <t>Tá cleachtas, beartas agus/nó tionscnamh le haghaidh amach anseo ar fáil go poiblí</t>
  </si>
  <si>
    <t>La pratica, la politica e/o l'iniziativa futura sono disponibili al pubblico</t>
  </si>
  <si>
    <t>Praktika, politika ir (arba) būsimos iniciatyvos yra viešai prieinamos</t>
  </si>
  <si>
    <t>Praktyki, polityki i/lub przyszłe inicjatywy są publicznie dostępne</t>
  </si>
  <si>
    <t>La práctica, política y/o iniciativa futura está públicamente disponible</t>
  </si>
  <si>
    <t>Praksa, politika in/ali prihodnja pobuda je javno dostopna</t>
  </si>
  <si>
    <t>Prática, política e/ou iniciativa futura está publicamente disponível</t>
  </si>
  <si>
    <t xml:space="preserve">Virksomheden har fastsat mål, der er tilknyttet en politik </t>
  </si>
  <si>
    <t>De onderneming heeft een doel gesteld dat betrekking heeft op een beleid.</t>
  </si>
  <si>
    <t>L'entreprise a fixé une cible qui est liée à une politique</t>
  </si>
  <si>
    <t>Das Unternehmen hat ein Ziel festgelegt, das mit einer Richtlinie in Zusammenhang steht.</t>
  </si>
  <si>
    <t>Tá sprioc socraithe ag an ngnóthas a bhaineann le beartas</t>
  </si>
  <si>
    <t>L'impresa ha fissato un obiettivo correlato a una politica.</t>
  </si>
  <si>
    <t xml:space="preserve">Įmonė nustatė tikslą, kuris susijęs su politika.
</t>
  </si>
  <si>
    <t>Jednostka ustaliła cel, który jest powiązany z polityką</t>
  </si>
  <si>
    <t>La empresa ha establecido un objetivo que está relacionado con una política.</t>
  </si>
  <si>
    <t>Podjetje je določilo cilj, ki je povezan s politiko</t>
  </si>
  <si>
    <t>A entidade estabeleceu uma meta relacionada a uma política</t>
  </si>
  <si>
    <t>Description of the effective participation of workers, users or other interested parties or communities in governance</t>
  </si>
  <si>
    <t>Beskrivelse af den faktiske deltagelse af arbejdstagere, brugere eller andre interessenter eller lokalsamfund i ledelsen</t>
  </si>
  <si>
    <t xml:space="preserve"> Beschrijving van de effectieve  deelname van werknemers, gebruikers of andere belanghebbenden of gemeenschappen aan het bestuur</t>
  </si>
  <si>
    <t>Description de la participation effective des travailleurs, des utilisateurs ou d'autres parties ou communautés intéressées à la gouvernance</t>
  </si>
  <si>
    <t>Beschreibung der wirksamen Beteiligung von Arbeitskräften, Nutzern oder anderen interessierten Parteien oder Gemeinschaften an der Governance</t>
  </si>
  <si>
    <t xml:space="preserve"> Tuairisc ar an rannpháirtíocht éifeachtach oibrithe, úsáideoirí nó páirtithe nó pobail leasmhara eile maidir le rialachas</t>
  </si>
  <si>
    <t>Descrizione della partecipazione effettiva alla governancedei lavoratori, degli utilizzatori e altre parti o comunità interessate</t>
  </si>
  <si>
    <t>Darbuotojų, naudotojų ar kitų suinteresuotųjų šalių / bendruomenių dalyvavimo valdymo procesuose aprašymas.</t>
  </si>
  <si>
    <t>Opis efektywnego udziału pracowników, użytkowników lub innych zainteresowanych stron lub społeczności w ładzie korporacyjnym</t>
  </si>
  <si>
    <t>La participación efectiva de los trabajadores, usuarios u otras partes interesadas o comunidades en la gobernanza</t>
  </si>
  <si>
    <t>Opis učinkovitega sodelovanja delavcev, uporabnikov ali drugih zainteresiranih strani ali skupnosti pri upravljanju</t>
  </si>
  <si>
    <t>Participação efetiva dos trabalhadores, usuários ou outras partes interessadas ou comunidades na governação</t>
  </si>
  <si>
    <t>Financial investment in the capital or assets of social economy entities</t>
  </si>
  <si>
    <t>Finansiel investering i kapitalen eller aktiver i socialøkonomiske enheder</t>
  </si>
  <si>
    <t xml:space="preserve">Investeringen in het kapitaal of activa van sociale ondernemingen </t>
  </si>
  <si>
    <t>Investissements financiers dans le capital ou les actifs des entités de l’économie sociale</t>
  </si>
  <si>
    <t>Die finanzielle Investition in das Kapital oder die Vermögenswerte sozialwirtschaftlicher Einrichtungen</t>
  </si>
  <si>
    <t>Infheistíocht airgeadais i gcaipiteal nó i sócmhainní ghnóthas geilleagair shóisialta</t>
  </si>
  <si>
    <t>L'investimento finanziario nel capitale o negli attivi dei soggetti dell'economia sociale</t>
  </si>
  <si>
    <t>Inwestycje finansowe w kapitał lub aktywa podmiotów gospodarki społecznej</t>
  </si>
  <si>
    <t>Inversión financiera en el capital o los activos de las entidades de economía social</t>
  </si>
  <si>
    <t>Navedeno v priporočilu Sveta z dne 29. septembra 2023 (brez donacij in prispevkov)</t>
  </si>
  <si>
    <t>O investimento financeiro no capital ou nos ativos de entidades da economia social</t>
  </si>
  <si>
    <t>Description of limits to the distribution of profits connected to the mutualistic nature or to the nature of the activities consisting in services of general economic interest (SGEI)</t>
  </si>
  <si>
    <t>Beskrivelse af begrænsninger for fordeling af overskud, som er knyttet til den gensidige karakter eller til karakteren af de aktiviteter, der består i tjenesteydelser af almen økonomisk interesse (SGEI)</t>
  </si>
  <si>
    <t>Beschrijving van beperkingen voor de winstuitkering verbonden aan het wederzijdse karakter of aan de aard van de activiteiten bestaande uit diensten van algemeen economisch belang (DAEB)</t>
  </si>
  <si>
    <t>Description des limites à la distribution des bénéfices liées à la nature mutualiste ou à la nature des activités consistant en des services d’intérêt économique général (SIEG)</t>
  </si>
  <si>
    <t>Beschreibung von Beschränkungen der Gewinnausschüttung im Zusammenhang mit dem gegenseitigen Charakter oder der Art der Tätigkeiten, die in Dienstleistungen von allgemeinem wirtschaftlichem Interesse (DAWI)</t>
  </si>
  <si>
    <t>Cur síos ar theorainneacha maidir le dáileadh brabús a bhaineann leis an nádúr frithpháirteach nó le cineál na ngníomhaíochtaí arb é atá iontu seirbhísí leasa eacnamaíoch ghinearálta (SLEI)</t>
  </si>
  <si>
    <t>Descrizione dei limiti alla distribuzione degli utili connessi alla natura mutualistica o alla natura delle attività che consistono in servizi di interesse economico generale (SIEG)</t>
  </si>
  <si>
    <t>Pelno paskirstymo apribojimų, susijusių su viešuoju interesu arba su veikla, kuri sudaro bendrojo ekonominio intereso paslaugą (SGEI), aprašymas</t>
  </si>
  <si>
    <t>Opis wszelkich ograniczeń w podziale zysków związanych z wzajemnym charakterem lub specyfiką działalności polegającej na świadczeniu usług świadczonych w ogólnym interesie gospodarczym (UOIG)</t>
  </si>
  <si>
    <t>"Cualquier límite a la distribución de beneficios relacionado con la naturaleza mutualista o con la naturaleza de las actividades que consisten en servicios de interés económico general (SGEI)"</t>
  </si>
  <si>
    <t>Opis omejitev pri razdelitvi dobička, glede na vzajemnost ali naravo dejavnosti, ki obsegajo storitve splošnega gospodarskega pomena (SSGP)</t>
  </si>
  <si>
    <t>Eventual descrição dos limites à distribuição dos lucros relacionados com o caráter mutualista ou com a natureza das atividades que consistem em serviços de interesse económico geral (SIEG)</t>
  </si>
  <si>
    <t>Total energy consumption</t>
  </si>
  <si>
    <t>Totale energieconsumptie</t>
  </si>
  <si>
    <t>Consommation totale d'énergie</t>
  </si>
  <si>
    <t>Tomhaltas iomlán fuinnimh</t>
  </si>
  <si>
    <t>Totale consumo di energia</t>
  </si>
  <si>
    <t>Consumo total de energía</t>
  </si>
  <si>
    <t>Energy consumption from electricity</t>
  </si>
  <si>
    <t>Energiforbrug fra elektricitet</t>
  </si>
  <si>
    <t>Electriciteitsverbruik</t>
  </si>
  <si>
    <t>Consommation d'énergie provenant de l'électricité</t>
  </si>
  <si>
    <t>Energieverbrauch aus Strom</t>
  </si>
  <si>
    <t>Tomhaltas fuinnimh ó leictreachas</t>
  </si>
  <si>
    <t>Consumo di energia elettrica</t>
  </si>
  <si>
    <t>Elektros energijos suvartojimas</t>
  </si>
  <si>
    <t>Zużycie energii elektrycznej</t>
  </si>
  <si>
    <t>Consumo de energía procedente de la electricidad</t>
  </si>
  <si>
    <t>Kot je razvidno iz računov za komunalne storitve</t>
  </si>
  <si>
    <t>Consumo de energia elétrica</t>
  </si>
  <si>
    <t>Energy consumption from self-generated electricity</t>
  </si>
  <si>
    <t>Energiforbrug fra selvproduceret elektricitet</t>
  </si>
  <si>
    <t>Energieverbruik  van zelfopgewekte elektriciteit</t>
  </si>
  <si>
    <t>Consommation d'énergie provenant de l'électricité auto-produite</t>
  </si>
  <si>
    <t>Energieverbrauch aus selbst erzeugtem Strom</t>
  </si>
  <si>
    <t>Tomhaltas fuinnimh ó leictreachas féinghinte</t>
  </si>
  <si>
    <t>Consumo di energia da energia elettrica autoprodotta</t>
  </si>
  <si>
    <t>Energijos suvartojimas iš savos gamybos elektros energijos</t>
  </si>
  <si>
    <t>Zużycie energii elektrycznej z energii produkowanej samodzielnie</t>
  </si>
  <si>
    <t>Consumo de energía procedente de electricidad autogenerada</t>
  </si>
  <si>
    <t>Poraba energije iz lastne proizvedene električne energije</t>
  </si>
  <si>
    <t>Consumo de energia a partir de eletricidade auto-gerada</t>
  </si>
  <si>
    <t>Energy consumption from fuels</t>
  </si>
  <si>
    <t>Energiforbrug fra brændstoffer</t>
  </si>
  <si>
    <t>"Energieverbruik uit brandstoffen"</t>
  </si>
  <si>
    <t>Consommation d'énergie provenant des combustibles</t>
  </si>
  <si>
    <t>Energieverbrauch aus Brennstoffen</t>
  </si>
  <si>
    <t>Tomhaltas fuinnimh ó bhreoslaí</t>
  </si>
  <si>
    <t>Consumo di energia da combustibili</t>
  </si>
  <si>
    <t>Energijos suvartojimas iš degalų</t>
  </si>
  <si>
    <t>Zużycie energii z paliw</t>
  </si>
  <si>
    <t>Consumo de energía procedente de combustibles</t>
  </si>
  <si>
    <t>Poraba energije iz goriv</t>
  </si>
  <si>
    <t>Consumo de energia proveniente de combustíveis</t>
  </si>
  <si>
    <t>Gross Scope 1 greenhouse gas emissions</t>
  </si>
  <si>
    <t>Brutto Scope 1 drivhusgasudledninger</t>
  </si>
  <si>
    <t>Bruto Scope 1 broeikasgasemissies</t>
  </si>
  <si>
    <t>Émissions brutes des émissions de gaz à effet de serre du scope 1</t>
  </si>
  <si>
    <t>Astaíochtaí comhlána gás ceaptha teasa Raon Feidhme 1</t>
  </si>
  <si>
    <t>Bendros pirmos apimties šiltnamio efektą sukeliančių dujų emisijos</t>
  </si>
  <si>
    <t>Emisje brutto gazów cieplarnianych zakresu 1</t>
  </si>
  <si>
    <t>Emisiones brutas de gases de efecto invernadero (GEI) de alcance 1</t>
  </si>
  <si>
    <t>Emissões brutas de gases com efeito de estufa de Âmbito 1</t>
  </si>
  <si>
    <t>Gross location-based Scope 2 greenhouse gas emissions</t>
  </si>
  <si>
    <t>Brutto Scope 2  drivhusgasudledninger  (lokationsbaseret)</t>
  </si>
  <si>
    <t>Bruto Scope 2 locatiegebaseerde broeikasgasemissies</t>
  </si>
  <si>
    <t>Émissions brutes des émissions de gaz à effet de serre du scope 2 basées sur la localisation</t>
  </si>
  <si>
    <t>Astaíochtaí gás ceaptha teasa comhlána Raon Feidhme 2 bunaithe ar shuíomh</t>
  </si>
  <si>
    <t>Emissioni lorde di gas a effetto serra di ambito 2 (basate sulla posizione)</t>
  </si>
  <si>
    <t>Bendros vietos metodu apskaičiuotos antros apimties  šiltnamio efektą sukeliančių dujų emisijos</t>
  </si>
  <si>
    <t>Emisiones brutas de gases de efecto invernadero (GEI) de Alcance 2 basadas en la ubicación</t>
  </si>
  <si>
    <t>Bruto lokacijske emisije toplogrednih plinov obsega 2</t>
  </si>
  <si>
    <t>Emissões brutas de gases com efeito de estufa (GEE) do Escopo 2 baseadas na localização</t>
  </si>
  <si>
    <t>Gross market-based Scope 2 greenhouse gas emissions</t>
  </si>
  <si>
    <t>Brutto Scope 2 drivhusgasudledninger(markedsbaseret)</t>
  </si>
  <si>
    <t xml:space="preserve">Bruto  marktgebaseerde Scope 2 broeikasgasemissies
</t>
  </si>
  <si>
    <t>Émissions brutes des émissions de gaz à effet de serre du scope 2 basées sur le marché</t>
  </si>
  <si>
    <t xml:space="preserve">Astaíochtaí gás ceaptha teasa comhlána Raon Feidhme 2 bunaithe ar an margadh </t>
  </si>
  <si>
    <t>Emissioni lorde di gas a effetto serra di ambito 2 (basate sul mercato)</t>
  </si>
  <si>
    <t>Bendros rinkos metodu apskaičiuotos antros apimties  šiltnamio efektą sukeliančių dujų emisijos</t>
  </si>
  <si>
    <t>Emissões brutas de gases com efeito de estufa (GEE) de âmbito 2 baseadas no mercado</t>
  </si>
  <si>
    <t>Total (gross) location-based Scope 1 and Scope 2 GHG emissions</t>
  </si>
  <si>
    <t>Samlede (brutto) Scope 1- og Scope 2-drivhusgasudledninger (lokationsbaseret)</t>
  </si>
  <si>
    <t>Totale (bruto) locatiegebaseerde broeikasgasemissies van Scope 1 en Scope 2</t>
  </si>
  <si>
    <t>Émissions totales (brutes) de GES des scopes 1 et 2 basées sur la localisation</t>
  </si>
  <si>
    <t>Gesamte standortbezogene Scope 1- und Scope 2-Brutto-Treibhausgasemissionen</t>
  </si>
  <si>
    <t>Astaíochtaí iomlána (comhlánacha) gás ceaptha teasa Raon feidhme 1 agus Raon feidhme 2 atá bunaithe ar shuíomh</t>
  </si>
  <si>
    <t>Emissioni totali (lorde) di gas a effetto serra di ambito 1 e ambito 2 (basate sulla posizione)</t>
  </si>
  <si>
    <t>Bendros pirmos apimties ir antros apimties vietos metodu apskaičiuotos šiltnamio efektą sukeliančių dujų emisijos</t>
  </si>
  <si>
    <t>Całkowite (brutto) emisje gazów cieplarnianych zakresu 1 i zakresu 2 według metody opartej na lokalizacji</t>
  </si>
  <si>
    <t>Emisiones totales (brutas) de GEI de Alcance 1 y Alcance 2 basadas en la ubicación</t>
  </si>
  <si>
    <t>Skupne (bruto) lokacijske emisije TGP obsega 1 in obsega 2</t>
  </si>
  <si>
    <t>Emissões totais (brutas) de gases com efeito de estufa (GEE) do âmbito 1 e âmbito 2 baseadas na localização</t>
  </si>
  <si>
    <t>Total (gross) market-based Scope 1 and Scope 2 GHG emissions</t>
  </si>
  <si>
    <t>Samlede (brutto) Scope 1- og Scope 2-drivhusgasudledninger (markedsbaseret)</t>
  </si>
  <si>
    <t>Totale (bruto) marktgebaseerde Scope 1 en Scope 2 broeikasgasemissies</t>
  </si>
  <si>
    <t>Émissions totales (brutes) de GES des scopes 1 et 2 basées sur le marché</t>
  </si>
  <si>
    <t>Gesamte marktbasierte Scope 1- und Scope 2-Brutto-Treibhausgasemissionen</t>
  </si>
  <si>
    <t>Astaíochtaí iomlána (comhlánacha) gás ceaptha teasa Raon feidhme 1 agus Raon feidhme 2 atá bunaithe ar an margadh</t>
  </si>
  <si>
    <t>Emissioni totali (lorde) di gas a effetto serra di ambito 1 e ambito 2 (basate sul mercato)</t>
  </si>
  <si>
    <t>Bendros pirmos apimties ir antros apimties rinkos metodu apskaičiuotos šiltnamio efektą sukeliančių dujų emisijos</t>
  </si>
  <si>
    <t>Całkowite (brutto) emisje gazów cieplarnianych zakresu 1 i zakresu 2 według metody opartej na rynku</t>
  </si>
  <si>
    <t>Emisiones totales (brutas) de GEI (alcance 1 y 2 basadas en el mercado)</t>
  </si>
  <si>
    <t>Skupne (bruto) tržne emisije TGP obsega 1 in obsega 2</t>
  </si>
  <si>
    <t>Emissões brutas totais de GEE de Escopo 1 e Escopo 2 baseadas no mercado</t>
  </si>
  <si>
    <t>Gross Scope 3 greenhouse gas emissions</t>
  </si>
  <si>
    <t>Brutto Scope 3 drivhusgasudledninger</t>
  </si>
  <si>
    <t>Bruto broeikasgasemissies Scope 3</t>
  </si>
  <si>
    <t>Émissions brutes de gaz à effet de serre du scope 3</t>
  </si>
  <si>
    <t>Scope 3-Brutto-Treibhausgasemissionen</t>
  </si>
  <si>
    <t>Astaíochtaí comhlána gás ceaptha teasa Raon Feidhme 3</t>
  </si>
  <si>
    <t>Emissioni lorde di gas a effetto serra di ambito 3</t>
  </si>
  <si>
    <t>Bendros trečios apimties šiltnamio efektą sukeliančių dujų emisijos</t>
  </si>
  <si>
    <t>Emisje brutto gazów cieplarnianych zakresu 3</t>
  </si>
  <si>
    <t>Emisiones brutas de gases de efecto invernadero (GEI) de alcance 3</t>
  </si>
  <si>
    <t>Bruto emisije toplogrednih plinov obsega 3</t>
  </si>
  <si>
    <t>Emissões brutas de gases com efeito de estufa de Escopo 3</t>
  </si>
  <si>
    <t>Total (gross) location-based GHG emissions</t>
  </si>
  <si>
    <t>Samlede (brutto) drivhusgasudledninger (lokationsbaseret)</t>
  </si>
  <si>
    <t>Totale (bruto) locatiegebaseerde broeikasgasemissies</t>
  </si>
  <si>
    <t>Émissions totales (brutes) de GES basées sur la localisation</t>
  </si>
  <si>
    <t>Gesamte (Brutto) standortbezogene Treibhausgasemissionen</t>
  </si>
  <si>
    <t>Astaíochtaí comhlána GCT bunaithe ar shuíomh</t>
  </si>
  <si>
    <t>Emissioni totali (lorde) di gas a effetto serra basate sulla posizione</t>
  </si>
  <si>
    <t>Iš viso (bendros) vietos metodu apskaičiuotos ŠESD emisijos</t>
  </si>
  <si>
    <t>Całkowite (brutto) emisje gazów cieplarnianych według metody opartej na lokalizacji</t>
  </si>
  <si>
    <t>Emisiones totales brutas de gases de efecto invernadero (GEI) basadas en la ubicación</t>
  </si>
  <si>
    <t>Izračun: Emisije toplogrednih plinov obsega 1 + obsega 2 + obsega 3 (na podlagi lokacije)</t>
  </si>
  <si>
    <t>Emissões brutas totais de GEE baseadas na localização</t>
  </si>
  <si>
    <t>Total (gross) market-based GHG emissions</t>
  </si>
  <si>
    <t>Samlede (brutto) drivhusgasudledninger (markedsbaseret)</t>
  </si>
  <si>
    <t>Totale (bruto) marktgebaseerde broeikasgasemissies</t>
  </si>
  <si>
    <t>Émissions totales (brutes) de gaz à GES basées sur le marché</t>
  </si>
  <si>
    <t>Gesamte (Brutto) marktbasierte Treibhausgasemissionen</t>
  </si>
  <si>
    <t>Astaíochtaí comhlána GCT bunaithe ar an margadh</t>
  </si>
  <si>
    <t>Emissioni totali (lorde) di gas a effetto serra basate sul mercato</t>
  </si>
  <si>
    <t>Iš viso (bendros) rinkos metodu apskaičiuotos ŠESD emisijos</t>
  </si>
  <si>
    <t>Całkowite (brutto) emisje gazów cieplarnianych według metody opartej na rynku</t>
  </si>
  <si>
    <t>Emisiones totales (brutas) de gases de efecto invernadero (GEI) basadas en el mercado</t>
  </si>
  <si>
    <t>Izračun: Emisije toplogrednih plinov obsega 1 + obsega 2 + obsega 3 (tržno utemeljene)</t>
  </si>
  <si>
    <t>Emissões totais brutas de gases com efeito de estufa baseadas no mercado</t>
  </si>
  <si>
    <t>Location-based Scope 1 and Scope 2 Greenhouse Gas Emissions intensity</t>
  </si>
  <si>
    <t>Scope 1 og Scope 2 drivhusgasintensitet (lokationsbaseret)</t>
  </si>
  <si>
    <t>Locatiegebaseerde  broeikasgasemissies-intensiteit van Scope 1 en Scope 2</t>
  </si>
  <si>
    <t>Intensité des émissions de gaz à effet de serre des scopes 1 et 2 basées sur la localisation</t>
  </si>
  <si>
    <t>Standortbezogene Scope 1- und Scope 2-Treibhausgas-Emissionsintensität</t>
  </si>
  <si>
    <t>Déine Astaíochtaí Gáis Cheaptha Teasa Raon Feidhme 1 agus Raon Feidhme 2 Bunaithe ar Shuíomh</t>
  </si>
  <si>
    <t>Intensità delle emissioni di gas a effetto serra di ambito 1 e ambito 2 basate sulla posizione</t>
  </si>
  <si>
    <t>1 ir 2 apimčių (vietos metodu) bendras ŠESD emisijų intensyvumas</t>
  </si>
  <si>
    <t>Intensywność emisji gazów cieplarnianych z zakresu 1 i zakresu 2 według metody opartej na lokalizacji</t>
  </si>
  <si>
    <t>Intensidad de emisiones de gases de efecto invernadero de Alcance 1 y Alcance 2 basadas en la ubicación</t>
  </si>
  <si>
    <t>Izračun: (emisije toplogrednih plinov obsega 1 + obsega 2 na podlagi lokacije) / promet</t>
  </si>
  <si>
    <t>Intensidade das emissões de gases com efeito de estufa de Escopo 1 e Escopo 2 baseadas na localização</t>
  </si>
  <si>
    <t>Market-based Scope 1 and Scope 2 Greenhouse Gas Emissions intensity</t>
  </si>
  <si>
    <t>Scope 1 og Scope 2 drivhusgasintensitet (markedsbaseret)</t>
  </si>
  <si>
    <t>Marktgebaseerde broeikasgasemissies-intensiteit van Scope 1 en Scope 2</t>
  </si>
  <si>
    <t>Intensité des émissions de gaz à effet de serre des scopes 1 et 2 basées sur le marché</t>
  </si>
  <si>
    <t>Marktbasierte Scope 1- und Scope 2-Treibhausgas-Emissionsintensität</t>
  </si>
  <si>
    <t>Déine Astaíochtaí Gáis Cheaptha Teasa Raon Feidhme 1 agus Raon Feidhme 2 Bunaithe ar an margadh</t>
  </si>
  <si>
    <t>Intensità delle emissioni di gas a effetto serra di ambito 1 e ambito 2 basate sul mercato</t>
  </si>
  <si>
    <t>1 ir 2 apimčių (rinkos metodu) bendras ŠESD emisijų intensyvumas</t>
  </si>
  <si>
    <t>Intensywność emisji gazów cieplarnianych z zakresu 1 i zakresu 2 według metody opartej na rynku</t>
  </si>
  <si>
    <t>Intensidad de las emisiones de gases de efecto invernadero de alcance 1 y alcance 2 basada en el mercado</t>
  </si>
  <si>
    <t>Izračun: (emisije toplogrednih plinov obsega 1 + obsega 2 na podlagi trga) / promet</t>
  </si>
  <si>
    <t>Intensidade das emissões de gases com efeito de estufa de Âmbito 1 e Âmbito 2 baseadas no mercado</t>
  </si>
  <si>
    <t>Total location-based Greenhouse Gas Emissions intensity</t>
  </si>
  <si>
    <t>Total drivhusgasintensitet (lokationsbaseret)</t>
  </si>
  <si>
    <t>Totale locatiegebaseerde broeikasgasemissie-intensiteit</t>
  </si>
  <si>
    <t>Intensité des émissions de gaz à effet de serre totales basées sur la localisation</t>
  </si>
  <si>
    <t>Gesamte standortbezogene Treibhausgas-Emissionsintensität</t>
  </si>
  <si>
    <t>Déine iomlán astaíochtaí gás ceaptha teasa de réir suímh</t>
  </si>
  <si>
    <t>Intensità delle emissioni totali di gas a effetto serra basate sulla posizione</t>
  </si>
  <si>
    <t>Bendras vietos metodu ŠESD emisijų intensyvumas</t>
  </si>
  <si>
    <t>Całkowita intensywność emisji gazów cieplarnianych według metody opartej na lokalizacji</t>
  </si>
  <si>
    <t>Intensidad total de emisiones de gases de efecto invernadero basadas en la ubicación</t>
  </si>
  <si>
    <t>Izračun: (emisije toplogrednih plinov območja 1 + območja 2 + območja 3 na podlagi lokacije) / promet</t>
  </si>
  <si>
    <t>Intensidade total das emissões de gases com efeito de estufa baseadas na localização</t>
  </si>
  <si>
    <t>Total market-based Greenhouse Gas Emissions intensity</t>
  </si>
  <si>
    <t>Total drivhusgasintensitet (markedsbaseret)</t>
  </si>
  <si>
    <t>Totale marktgebaseerde broeikasgasemissies-intensiteit</t>
  </si>
  <si>
    <t>Intensité des émissions de gaz à effet de serre totales basées sur le marché</t>
  </si>
  <si>
    <t>Gesamte marktbasierte Treibhausgas-Emissionsintensität</t>
  </si>
  <si>
    <t>Déine iomlán astaíochtaí gás ceaptha teasa de réir margaidh</t>
  </si>
  <si>
    <t>Intensità delle emissioni totali di gas a effetto serra basate sul mercato</t>
  </si>
  <si>
    <t>Bendras rinkos metodu ŠESD emisijų intensyvumas</t>
  </si>
  <si>
    <t>Całkowita intensywność emisji gazów cieplarnianych według metody opartej na rynku</t>
  </si>
  <si>
    <t>Intensidad total de las emisiones de gases de efecto invernadero basadas en el mercado</t>
  </si>
  <si>
    <t>Izračun: (obseg 1 + obseg 2 + obseg 3 emisije toplogrednih plinov na podlagi trga) / promet</t>
  </si>
  <si>
    <t>Intensidade total das emissões de gases com efeito de estufa baseadas no mercado</t>
  </si>
  <si>
    <t>Publicly available disclosure</t>
  </si>
  <si>
    <t>Offentligt tilgængelig oplysning</t>
  </si>
  <si>
    <t>Publiek beschikbare rapportage</t>
  </si>
  <si>
    <t>Information accessible au public</t>
  </si>
  <si>
    <t>Angabe ist öffentlich verfügbar</t>
  </si>
  <si>
    <t>Nochtadh atá ar fáil go poiblí</t>
  </si>
  <si>
    <t>Informativa disponibile al pubblico</t>
  </si>
  <si>
    <t>Viešai prieinamas atskleidimas</t>
  </si>
  <si>
    <t>Publicznie dostępne ujawnienie</t>
  </si>
  <si>
    <t>Divulgación de acceso público</t>
  </si>
  <si>
    <t>Javno dostopno razkritje</t>
  </si>
  <si>
    <t>Divulgação disponível publicamente</t>
  </si>
  <si>
    <t>URL or link to the publicly available disclosure</t>
  </si>
  <si>
    <t>URL eller link til den offentligt tilgængelige oplysning</t>
  </si>
  <si>
    <t>"URL of link naar de  publiek beschikbare rapportage"</t>
  </si>
  <si>
    <t>URL ou lien vers l'information accessible au public</t>
  </si>
  <si>
    <t>URL oder Link zur öffentlich verfügbaren Angabe</t>
  </si>
  <si>
    <t>URL nó nasc chuig an nochtadh atá ar fáil go poiblí</t>
  </si>
  <si>
    <t>URL o collegamento all'informativa disponibile al pubblico</t>
  </si>
  <si>
    <t>Viešai prieinamo atskleidimo URL arba nuoroda</t>
  </si>
  <si>
    <t>URL lub odnośnik do publicznie dostępnego ujawnienia</t>
  </si>
  <si>
    <t>Enlace URL o vínculo a la divulgación disponible públicamente</t>
  </si>
  <si>
    <t>URL ali povezava do javno dostopnega razkritja</t>
  </si>
  <si>
    <t>Ligação URL ou link para a divulgação publicamente disponível</t>
  </si>
  <si>
    <t>Amount of emission to air</t>
  </si>
  <si>
    <t>Mængde af udledning til luft</t>
  </si>
  <si>
    <t>Hoeveelheid  emissie naar de lucht</t>
  </si>
  <si>
    <t>Quantité de rejets dans l'air</t>
  </si>
  <si>
    <t>an die Luft abgegebene Emissionsmenge</t>
  </si>
  <si>
    <t>Méid na n-astaíochtaí amach san aer</t>
  </si>
  <si>
    <t>Quantità di emissioni nell'aria</t>
  </si>
  <si>
    <t>Išlakų kiekis</t>
  </si>
  <si>
    <t>Ilość emisji do powietrza</t>
  </si>
  <si>
    <t>Cantidad de emisiones al aire</t>
  </si>
  <si>
    <t>Količina emisije v zrak</t>
  </si>
  <si>
    <t>Quantidade de emissões para o ar</t>
  </si>
  <si>
    <t>Amount of emission to water</t>
  </si>
  <si>
    <t>Mængde af udledning til vand</t>
  </si>
  <si>
    <t>Hoeveelheid emissie naar water</t>
  </si>
  <si>
    <t>Quantité de rejets dans l'eau</t>
  </si>
  <si>
    <t>an das Wasser abgegebene Emissionsmenge</t>
  </si>
  <si>
    <t>Méid na n-astaíochtaí isteach san uisece</t>
  </si>
  <si>
    <t>Quantità di emissioni nell'acqua</t>
  </si>
  <si>
    <t>Išmetamųjų teršalų kiekis į vandenį</t>
  </si>
  <si>
    <t>Ilość emisji do wody</t>
  </si>
  <si>
    <t>Cantidad de emisiones al agua</t>
  </si>
  <si>
    <t>Količina emisije v vodo</t>
  </si>
  <si>
    <t>Quantidade de emissões para a água</t>
  </si>
  <si>
    <t>Amount of emission to soil</t>
  </si>
  <si>
    <t xml:space="preserve">Mængde af udledning til jord </t>
  </si>
  <si>
    <t>Hoeveelheid emissie naar de bodem</t>
  </si>
  <si>
    <t>Quantité de rejets dans les sols</t>
  </si>
  <si>
    <t>in den Boden abgegebene Emissionsmenge</t>
  </si>
  <si>
    <t>Méid na n-astaíochtaí go hithir</t>
  </si>
  <si>
    <t>Quantità di emissioni nel suolo</t>
  </si>
  <si>
    <t>Išmetamųjų teršalų kiekis į dirvožemį</t>
  </si>
  <si>
    <t>Ilość emisji do gleby</t>
  </si>
  <si>
    <t>Cantidad de emisiones al suelo</t>
  </si>
  <si>
    <t>Količina emisije v prst</t>
  </si>
  <si>
    <t>Quantidade de emissões para o solo</t>
  </si>
  <si>
    <t>Area of site in biodiversity sensitive area</t>
  </si>
  <si>
    <t xml:space="preserve">Areal af lokation i biodiversitetsfølsomt område </t>
  </si>
  <si>
    <t>Oppervlakte van de  vestiging in biodiversiteitsgevoelig gebied</t>
  </si>
  <si>
    <t>Surface du site situé dans une zone sensible pour la biodiversité</t>
  </si>
  <si>
    <t xml:space="preserve">Fläche des Standorts in einem Gebiet mit schutzbedürftiger Biodiversität </t>
  </si>
  <si>
    <t>Achar an láithreáin atá suite i limistéir atá íogair ó thaobh na bithéagsúlachta de</t>
  </si>
  <si>
    <t>Superficie del sito all'interno di un'area sensibile sotto il profilo della biodiversità</t>
  </si>
  <si>
    <t>Objekto plotas biologinei įvairovei jautrioje teritorijoje</t>
  </si>
  <si>
    <t>Obszar lokalizacji na obszarze wrażliwym pod względem bioróżnorodności</t>
  </si>
  <si>
    <t>Área del emplazamiento en zona sensible en cuanto a la biodiversidad</t>
  </si>
  <si>
    <t>Površina lokacije na območju z občutljivo biotsko raznovrstnostjo</t>
  </si>
  <si>
    <t>Área do sítio localizado em zona sensível à biodiversidade</t>
  </si>
  <si>
    <t xml:space="preserve">Lokation beliggende i  et biodiversitetsfølsomt område </t>
  </si>
  <si>
    <t>Standort in einem Gebiet mit schutzbedürftiger Biodiversität gelegen</t>
  </si>
  <si>
    <t>Láithreán atá suite i limistéar atá íogair ó thaobh na bithéagsúlachta de</t>
  </si>
  <si>
    <t>Lokalizacja na obszarze wrażliwym pod względem bioróżnorodności</t>
  </si>
  <si>
    <t>Emplazamiento ubicado en un área sensible a la biodiversidad</t>
  </si>
  <si>
    <t>Lokacija na območju z občutljivo biotsko raznovrstnostjo</t>
  </si>
  <si>
    <t>Sítio localizado em zona sensível à biodiversidade</t>
  </si>
  <si>
    <t>Lokation beliggende nær et biodiversitetsfølsomt område</t>
  </si>
  <si>
    <t>Standort in der Nähe von einem Gebiet mit schutzbedürftiger Biodiversität gelegen</t>
  </si>
  <si>
    <t>Láithreán atá suite in aice le limistéar atá íogair ó thaobh na bithéagsúlachta de</t>
  </si>
  <si>
    <t>Objektas, esantis netoli biologinei įvairovei jautrioje teritorijoje</t>
  </si>
  <si>
    <t>Emplazamiento ubicado cerca de una zona sensible en cuanto a la biodiversidad</t>
  </si>
  <si>
    <t>Lokacija v bližini območja z občutljivo biotsko raznovrstnostjo</t>
  </si>
  <si>
    <t>Sítio localizado próximo de zona sensível à biodiversidade</t>
  </si>
  <si>
    <t>Total sealed area</t>
  </si>
  <si>
    <t xml:space="preserve">Samlet befæstet areal </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</si>
  <si>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</si>
  <si>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</si>
  <si>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</si>
  <si>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</si>
  <si>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</si>
  <si>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</si>
  <si>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</si>
  <si>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Superficie sellada total</t>
  </si>
  <si>
    <t>Skupno zatesnjeno območje</t>
  </si>
  <si>
    <t>Superfície total de área confinada</t>
  </si>
  <si>
    <t>Total nature oriented area on-site</t>
  </si>
  <si>
    <t>Total naturorienteret område på lokationen</t>
  </si>
  <si>
    <t>Totale natuurgerichte oppervlakte op devestigingslocatie</t>
  </si>
  <si>
    <t>Surface totale respectueuse de la nature sur le site</t>
  </si>
  <si>
    <t>Gesamte naturnahe Fläche am Standort</t>
  </si>
  <si>
    <t>An t-achar iomlán atá dírithe ar an dúlra ar an láthair.</t>
  </si>
  <si>
    <t>Superficie totale orientata alla natura nel sito</t>
  </si>
  <si>
    <t>Bendras gamtai palankių teritorijų plotas objekto teritorijoje</t>
  </si>
  <si>
    <t>Całkowity obszar ukierunkowany na naturę w danej lokalizacji</t>
  </si>
  <si>
    <t>Superficie total en el emplazamiento orientada según la naturaleza</t>
  </si>
  <si>
    <t>Celotno območje, usmerjeno v naravo, na lokaciji</t>
  </si>
  <si>
    <t>Superfície total de zona orientada para a natureza no local de atividade</t>
  </si>
  <si>
    <t>Total nature oriented area off-site</t>
  </si>
  <si>
    <t>Samlet naturorienteret område uden for lokationen</t>
  </si>
  <si>
    <t>Totale natuurgerichte oppervlakte buiten de vestigingslocatie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</si>
  <si>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</si>
  <si>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</si>
  <si>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</si>
  <si>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</si>
  <si>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</si>
  <si>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</si>
  <si>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Superficie total fuera del emplazamiento orientada según la naturaleza</t>
  </si>
  <si>
    <t>Celotno območje, usmerjeno v naravo, zunaj lokacije</t>
  </si>
  <si>
    <t>Superfície total de zona orientada para a natureza, fora do local de atividade</t>
  </si>
  <si>
    <t>Total use of land</t>
  </si>
  <si>
    <t>Samlet arealanvendelse</t>
  </si>
  <si>
    <t>Totaal gebruik van land</t>
  </si>
  <si>
    <t>Utilisation totale des terres</t>
  </si>
  <si>
    <t>Gesamter Flächenverbrauch</t>
  </si>
  <si>
    <t>Úsáid iomlán talún</t>
  </si>
  <si>
    <t>Uso totale del suolo</t>
  </si>
  <si>
    <t>Bendras žemės naudojimas</t>
  </si>
  <si>
    <t>Całkowite użytkowanie gruntów</t>
  </si>
  <si>
    <t>Uso total de la tierra</t>
  </si>
  <si>
    <t>Skupna raba zemljišč</t>
  </si>
  <si>
    <t>Utilização total do solo</t>
  </si>
  <si>
    <t>Total amount of water withdrawn from all sites</t>
  </si>
  <si>
    <t>Samlede vandudtag for alle lokationer</t>
  </si>
  <si>
    <t>Totaal opgenomen water uit alle vestigingen</t>
  </si>
  <si>
    <t>Quantité totale d'eau prélevée sur tous les sites</t>
  </si>
  <si>
    <t>Gesamtmenge der Wasserentnahme aus allen Standorten</t>
  </si>
  <si>
    <t>Aistarraingt uisce iomlán ó iomlán na láithreán</t>
  </si>
  <si>
    <t>Quantità totale di acqua prelevata da tutti i siti</t>
  </si>
  <si>
    <t xml:space="preserve">Bendras vandens kiekis, paimtas iš visų vietovių </t>
  </si>
  <si>
    <t>Całkowita ilość wody pobranej ze wszystkich lokalizacji</t>
  </si>
  <si>
    <t>Cantidad total de agua extraída de todos los emplazamientos</t>
  </si>
  <si>
    <t>Skupna količina odvzete vode z vseh lokacij</t>
  </si>
  <si>
    <t>Quantidade total de água retirada de todos os locais</t>
  </si>
  <si>
    <t>Amount of water withdrawn at sites located in areas of high water-stress</t>
  </si>
  <si>
    <t>Samlede vandudtag fra steder beliggende i områder med høj vandstress</t>
  </si>
  <si>
    <t>Hoeveelheid water onttrokken op locaties in gebieden met grote waterstress</t>
  </si>
  <si>
    <t>Quantité d’eau prélevée sur les sites qui se situent dans des zones exposées à un stress hydrique élevé</t>
  </si>
  <si>
    <t xml:space="preserve">Menge des an Standorten entnommenen Wassers in Gebieten mit hohem Wasserstress. </t>
  </si>
  <si>
    <t>An méid uisce arna aistarraingt ag láithreáin atá suite i limistéir ina bhfuil ardstrus maidir le huisce</t>
  </si>
  <si>
    <t>Quantità di acqua prelevata presso siti ubicati in aree ad elevato stress idrico</t>
  </si>
  <si>
    <t xml:space="preserve">Imamo vandens kiekis vietose, esančiose didelio vandens stygiaus zonose </t>
  </si>
  <si>
    <t>Ilość wody pobranej w lokalizacjach znajdujących się na obszarach o znacznym deficycie wody</t>
  </si>
  <si>
    <t>Cantidad de agua extraída en emplazamientos situados en zonas con un alto estrés hídrico</t>
  </si>
  <si>
    <t>Količina odvzete vode na lokacijah, ki se nahajajo na območjih z visoko vodno obremenitvijo</t>
  </si>
  <si>
    <t>Quantidade de água captada em locais situados em áreas com elevado stress hídrico</t>
  </si>
  <si>
    <t>Water discharge from undertaking production processes</t>
  </si>
  <si>
    <t>Vandudledning fra virksomhedens produktionsprocesser</t>
  </si>
  <si>
    <t>Waterlozing van productieprocessen van de onderneming</t>
  </si>
  <si>
    <t>Rejets d’eau provenant des processus de production de l’entreprise</t>
  </si>
  <si>
    <t>Wasserableitung aus den Produktionsprozessen des Unternehmens</t>
  </si>
  <si>
    <t>Scaoileadh uisce ó phróisis táirgthe</t>
  </si>
  <si>
    <t>Scarico di acque risultante dai processi di produzione dell'impresa</t>
  </si>
  <si>
    <t>Vandens išleidimas iš įmonės gamybos procesų</t>
  </si>
  <si>
    <t>Zrzut wody w ramach procesów produkcyjnych jednostki</t>
  </si>
  <si>
    <t>Vertido de agua de los procesos de producción de la empresa</t>
  </si>
  <si>
    <t>Izpust vode iz proizvodnih procesov</t>
  </si>
  <si>
    <t>Descarga de água dos processos de produção da empresa</t>
  </si>
  <si>
    <t>Total water consumption</t>
  </si>
  <si>
    <t>Vandforbrug</t>
  </si>
  <si>
    <t>Totaal waterverbruik</t>
  </si>
  <si>
    <t>Consommation totale d’eau</t>
  </si>
  <si>
    <t>Gesamtwasserverbrauch</t>
  </si>
  <si>
    <t>Tomhaltas iomlán uisce</t>
  </si>
  <si>
    <t>Consumo idrico totale</t>
  </si>
  <si>
    <t>Bendras vandens suvartojimas</t>
  </si>
  <si>
    <t>Całkowite zużycie wody</t>
  </si>
  <si>
    <t>Consumo total de agua</t>
  </si>
  <si>
    <t>Skupna poraba vode</t>
  </si>
  <si>
    <t>Consumo total de água</t>
  </si>
  <si>
    <t>Virksomheden anvender principperne for den cirkulære økonomi</t>
  </si>
  <si>
    <t>De onderneming past circulaire economieprincipes toe</t>
  </si>
  <si>
    <t>Das Unternehmen wendet Grundsätze der Kreislaufwirtschaft an.</t>
  </si>
  <si>
    <t>La empresa aplica los principios de la economía circular</t>
  </si>
  <si>
    <t>Description of how circular economy principles are applied</t>
  </si>
  <si>
    <t>Beskrivelse af, hvordan principperne for cirkulær økonomi anvendes</t>
  </si>
  <si>
    <t>Beschrijving van hoe de beginselen van de circulaire economie worden toegepast</t>
  </si>
  <si>
    <t>Description de la manière dont les principes de l’économie circulaire sont appliqués</t>
  </si>
  <si>
    <t>Beschreibung, wie die Grundsätze der Kreislaufwirtschaft angewendet werden</t>
  </si>
  <si>
    <t>Cur síos ar chonas a gcuirtear prionsabail an gheilleagair chiorclaigh i bhfeidhm</t>
  </si>
  <si>
    <t>Descrizione di come sono applicati i principi dell'economia circolare</t>
  </si>
  <si>
    <t>Aprašymas, kaip taikomi žiedinės ekonomikos principai</t>
  </si>
  <si>
    <t>Opis sposobu stosowania zasad gospodarki o obiegu zamkniętym</t>
  </si>
  <si>
    <t>Descripción de cómo se aplican los principios de la economía circular</t>
  </si>
  <si>
    <t>Opis načina uporabe načel krožnega gospodarstva</t>
  </si>
  <si>
    <t>Descrição de como os princípios da economia circular são aplicados</t>
  </si>
  <si>
    <t>Waste diverted to recycle or reuse (volume)</t>
  </si>
  <si>
    <t>Affald omdirigeret til genanvendelse eller genbrug (volumen)</t>
  </si>
  <si>
    <t>Afval  herbestemd voor recycling of hergebruik (volume)</t>
  </si>
  <si>
    <t>Déchets destinés à être recyclés ou réutilisés (en volume)</t>
  </si>
  <si>
    <t>Abfälle, die zum Recycling oder zur Wiederverwendung umgeleitet werden (Volumen)</t>
  </si>
  <si>
    <t>Dramhaíl atreoraithe chuig athchúrsáil nó athúsáid (toirt)</t>
  </si>
  <si>
    <t>Rifiuti reindirizzati al riciclaggio o riutilizzo (volume)</t>
  </si>
  <si>
    <t>Atliekos, nukreiptos perdirbti arba pakartotinai naudoti (tūris)</t>
  </si>
  <si>
    <t>Odpady kierowane do recyklingu lub ponownego użycia (objętość)</t>
  </si>
  <si>
    <t>Residuos desviados para su reciclaje o reutilización (volumen)</t>
  </si>
  <si>
    <t>Odpadki, preusmerjeni v recikliranje ali ponovno uporabo (prostornina)</t>
  </si>
  <si>
    <t>Resíduos desviados para reciclagem ou reutilização (volume)</t>
  </si>
  <si>
    <t>Waste diverted to recycle or reuse (mass)</t>
  </si>
  <si>
    <t>Affald omdirigeret til genanvendelse eller genbrug (masse)</t>
  </si>
  <si>
    <t>Afval herbestemd voor recycling of hergebruik (massa)</t>
  </si>
  <si>
    <t>Déchets destinés à être recyclés ou réutilisés (en masse)</t>
  </si>
  <si>
    <t>Abfälle, die zum Recycling oder zur Wiederverwendung umgeleitet werden (Masse)</t>
  </si>
  <si>
    <t>Dramhaíl atreoraithe chuig athchúrsáil nó athúsáid (mais)</t>
  </si>
  <si>
    <t>Rifiuti reindirizzati al riciclaggio o riutilizzo (massa)</t>
  </si>
  <si>
    <t>Atliekos, nukreiptos perdirbti arba pakartotinai naudoti (masė)</t>
  </si>
  <si>
    <t>Odpady kierowane do recyklingu lub ponownego użycia (masa)</t>
  </si>
  <si>
    <t>Residuos desviados para su reciclaje o reutilización (masa)</t>
  </si>
  <si>
    <t>Odpadki, preusmerjeni v recikliranje ali ponovno uporabo (masa)</t>
  </si>
  <si>
    <t>Resíduos desviados para reciclagem ou reutilização (massa)</t>
  </si>
  <si>
    <t>Waste directed to disposal (volume)</t>
  </si>
  <si>
    <t>Affald sendt til bortskaffelse (volume)</t>
  </si>
  <si>
    <t>Restafval (niet recyclebaar/herbruikbaar) (volume)</t>
  </si>
  <si>
    <t>Déchets destinés à être éliminés (en volume)</t>
  </si>
  <si>
    <t>Abfälle, die der Beseitigung zugeführt werden (Volumen)</t>
  </si>
  <si>
    <t>Dramhaíl arna treorú chuig diúscairt (toirt)</t>
  </si>
  <si>
    <t>Rifiuti destinati allo smaltimento (volume)</t>
  </si>
  <si>
    <t>Atliekos, nukreiptos šalinimui (tūris)</t>
  </si>
  <si>
    <t>Odpady kierowane do unieszkodliwienia (objętość)</t>
  </si>
  <si>
    <t>Residuos dirigidos a la eliminación (volumen)</t>
  </si>
  <si>
    <t>Odpadki, namenjeni za odstranjevanje (prostornina)</t>
  </si>
  <si>
    <t>Resíduos destinados à eliminação (volume)</t>
  </si>
  <si>
    <t>Waste directed to disposal (mass)</t>
  </si>
  <si>
    <t>Affald sendt til bortskaffelse (masse)</t>
  </si>
  <si>
    <t>Restafval (niet recyclebaar/herbruikbaar) (massa)</t>
  </si>
  <si>
    <t>Déchets destinés à être éliminés (en masse)</t>
  </si>
  <si>
    <t>Abfälle, die der Beseitigung zugeführt werden (Masse)</t>
  </si>
  <si>
    <t>Rifiuti destinati allo smaltimento (massa)</t>
  </si>
  <si>
    <t>Atliekos, nukreiptos šalinimui (masė)</t>
  </si>
  <si>
    <t>Odpady kierowane do unieszkodliwienia (masa)</t>
  </si>
  <si>
    <t>Residuos destinados a eliminación (masa)</t>
  </si>
  <si>
    <t>Odpadki, namenjeni za odstranjevanje (masa)</t>
  </si>
  <si>
    <t>Resíduos destinados à eliminação (massa)</t>
  </si>
  <si>
    <t>Total waste recycled, reused and directed to disposal (volume)</t>
  </si>
  <si>
    <t xml:space="preserve">Samlet mængde affald genanvendt, genbrugt og sendt til bortskaffelse (volume) </t>
  </si>
  <si>
    <t>Totale hoeveelheid afval die wordt gerecycled, hergebruikt en bestemd is voor verwijdering (volume)</t>
  </si>
  <si>
    <t>Total des déchets recyclés, réutilisés et destinés à être éliminés (en volume)</t>
  </si>
  <si>
    <t>Gesamt-Abfallaufkommen, das recycelt, wiederverwendet und der Beseitigung zugeführt wird (Volumen)</t>
  </si>
  <si>
    <t>Iomlán na dramhaíola atá athchúrsáilte, athúsáidte agus treoraithe chun diúscartha (toirt)</t>
  </si>
  <si>
    <t>Totale rifiuti riciclati, riutilizzati e destinati allo smaltimento (volume)</t>
  </si>
  <si>
    <t>Bendras atliekų kiekis, kuris buvo perdirbtas, pakartotinai panaudotas ir nukreiptas šalinimui (tūris)</t>
  </si>
  <si>
    <t>Całkowita ilość odpadów poddanych recyklingowi, ponownemu użyciu oraz unieszkodliwieniu (objętość)</t>
  </si>
  <si>
    <t>Residuos totales reciclados, reutilizados y dirigidos a eliminación (volumen)</t>
  </si>
  <si>
    <t>Izračun: odpadki, preusmerjeni v recikliranje ali ponovno uporabo + odpadki, preusmerjeni v odstranjevanje (prostornina)</t>
  </si>
  <si>
    <t>Resíduos totais reciclados, reutilizados e encaminhados para eliminação (volume)</t>
  </si>
  <si>
    <t>Total waste recycled, reused and directed to disposal (mass)</t>
  </si>
  <si>
    <t xml:space="preserve">Samlet mængde affald genanvendt, genbrugt og sendt til bortskaffelse (masse) </t>
  </si>
  <si>
    <t>Totale hoeveelheid afval gerecycled, hergebruikt en bestemd voor verwijdering (massa)</t>
  </si>
  <si>
    <t>Total des déchets recyclés, réutilisés et destinés à être éliminés (en masse)</t>
  </si>
  <si>
    <t>Gesamt-Abfallaufkommen, das recycelt, wiederverwendet und der Beseitigung zugeführt wird (Masse)</t>
  </si>
  <si>
    <t>Iomlán na dramhaíola atá athchúrsáilte, athúsáidte agus treoraithe chun diúscartha (mais)</t>
  </si>
  <si>
    <t>Bendras atliekų kiekis, kuris buvo perdirbtas, pakartotinai panaudotas ir nukreiptas šalinimui (masė)</t>
  </si>
  <si>
    <t>Całkowita ilość odpadów poddanych recyklingowi, ponownemu użyciu oraz skierowanych do unieszkodliwienia (masa)</t>
  </si>
  <si>
    <t>Residuos totales reciclados, reutilizados y dirigidos a la eliminación (masa)</t>
  </si>
  <si>
    <t>Izračun: odpadki, preusmerjeni v recikliranje ali ponovno uporabo + odpadki, preusmerjeni v odstranjevanje (masa)</t>
  </si>
  <si>
    <t>Total de resíduos reciclados, reutilizados e destinados à eliminação (massa)</t>
  </si>
  <si>
    <t>Samlet mængde farligt affald genereret (masse)</t>
  </si>
  <si>
    <t>Totale hoeveelheid  gegenereerd gevaarlijk afval (massa)</t>
  </si>
  <si>
    <t>Gesamtaufkommen gefährlicher Abfälle (Masse)</t>
  </si>
  <si>
    <t>Iomlán na dramhaíola guaisí a ghintear (mais)</t>
  </si>
  <si>
    <t>Bendras pavojingų atliekų kiekis (masė)</t>
  </si>
  <si>
    <t>Residuos peligrosos totales generados (masa)</t>
  </si>
  <si>
    <t>Total de resíduos perigosos gerados (massa)</t>
  </si>
  <si>
    <t>Samlet mængde ikke-farligt affald genereret (masse)</t>
  </si>
  <si>
    <t>Totale hoeveelheid gegenereerd niet-gevaarlijk afval (massa)</t>
  </si>
  <si>
    <t>Gesamtaufkommen nicht gefährlicher Abfälle (Masse)</t>
  </si>
  <si>
    <t>Dramhaíl neamhghuaiseach iomlán a ghintear (mais)</t>
  </si>
  <si>
    <t>Residuos no peligrosos totales generados (masa)</t>
  </si>
  <si>
    <t>Total de resíduos não perigosos gerados (massa)</t>
  </si>
  <si>
    <t xml:space="preserve">Samlet mængde affald genereret (masse) </t>
  </si>
  <si>
    <t>Totale hoeveelheid  gegenereerd afval (massa)</t>
  </si>
  <si>
    <t>Gesamtabfallaufkommen (Masse)</t>
  </si>
  <si>
    <t>Iomlán na dramhaíola a ghintear (mais)</t>
  </si>
  <si>
    <t>Bendras susidariusių atliekų kiekis (masė)</t>
  </si>
  <si>
    <t>Całkowita ilość wytworzonych odpadów (masa)</t>
  </si>
  <si>
    <t>Izračun: skupna količina nastalih nevarnih odpadkov + skupna količina nastalih nenevarnih odpadkov (masa)</t>
  </si>
  <si>
    <t>Total de resíduos gerados (massa)</t>
  </si>
  <si>
    <t>Samlet mængde farligt affald genereret (volume)</t>
  </si>
  <si>
    <t>Totale hoeveelheid  gegenereerd gevaarlijk afval (volume)</t>
  </si>
  <si>
    <t>Iomlán na dramhaíola guaisí a ghintear (toirt)</t>
  </si>
  <si>
    <t>Bendras susidariusių pavojingųjų atliekų kiekis (tūris)</t>
  </si>
  <si>
    <t>Residuos peligrosos totales generados (volumen)</t>
  </si>
  <si>
    <t>Total de resíduos perigosos gerados (volume)</t>
  </si>
  <si>
    <t>Samlet mængde ikke-farligt affald genereret (volume)</t>
  </si>
  <si>
    <t>Totale hoeveelheid gegenereerd niet-gevaarlijk afval  (volume)</t>
  </si>
  <si>
    <t>Dramhaíl Neamhghuaiseach Iomlán a gineadh (toirt)</t>
  </si>
  <si>
    <t>Bendras susidariusi nepavojingųjų atliekų kiekis (tūris)</t>
  </si>
  <si>
    <t>Total de resíduos não perigosos gerados (volume)</t>
  </si>
  <si>
    <t xml:space="preserve">Samlet mængde affald genereret (volume) </t>
  </si>
  <si>
    <t>Totale hoeveelheid gegenereerd afval  (volume)</t>
  </si>
  <si>
    <t>Iomlán na dramhaíola a ghintear (toirt)</t>
  </si>
  <si>
    <t>Całkowita ilość wytworzonych odpadów (objętość)</t>
  </si>
  <si>
    <t>Total de residuos generados (volumen)</t>
  </si>
  <si>
    <t>skupno število nastalih nevarnih odpadkov + skupno število nastalih nenevarnih odpadkov (prostornina)</t>
  </si>
  <si>
    <t>Total de resíduos gerados (volume)</t>
  </si>
  <si>
    <t>Name of the material used</t>
  </si>
  <si>
    <t>Navn på det anvendte materiale</t>
  </si>
  <si>
    <t>Naam van het gebruikte materiaal</t>
  </si>
  <si>
    <t>Nom de la matière utilisée</t>
  </si>
  <si>
    <t>Name des verwendeten Materials</t>
  </si>
  <si>
    <t>Ainm an ábhair a úsáideadh</t>
  </si>
  <si>
    <t>Nome del materiale utilizzato</t>
  </si>
  <si>
    <t>Naudojamos medžiagos pavadinimas</t>
  </si>
  <si>
    <t>Nazwa wykorzystanego materiału</t>
  </si>
  <si>
    <t>Nombre del material utilizado</t>
  </si>
  <si>
    <t>Ime uporabljenega materiala</t>
  </si>
  <si>
    <t>Nome do material utilizado</t>
  </si>
  <si>
    <t>Weight of material used</t>
  </si>
  <si>
    <t>Vægt af anvendt materiale</t>
  </si>
  <si>
    <t>Gewicht van het gebruikte materiaal</t>
  </si>
  <si>
    <t>Poids de la matière utilisée</t>
  </si>
  <si>
    <t>Gewicht des verwendeten Materials</t>
  </si>
  <si>
    <t>Meáchan an ábhair a úsáideadh</t>
  </si>
  <si>
    <t>Peso del materiale utilizzato</t>
  </si>
  <si>
    <t>Naudotos medžiagos masė</t>
  </si>
  <si>
    <t>Waga wykorzystanego materiału</t>
  </si>
  <si>
    <t>Peso del material utilizado</t>
  </si>
  <si>
    <t>Masa uporabljenega materiala</t>
  </si>
  <si>
    <t>Peso do material utilizado</t>
  </si>
  <si>
    <t>Volume of material used</t>
  </si>
  <si>
    <t>Volumen af anvendt materiale</t>
  </si>
  <si>
    <t xml:space="preserve">Volume van het gebruikte materiaal </t>
  </si>
  <si>
    <t>Volume de la matière utilisée</t>
  </si>
  <si>
    <t>Volumen des verwendeten Materials</t>
  </si>
  <si>
    <t>Toirt an ábhair a úsáideadh</t>
  </si>
  <si>
    <t>Volume del materiale utilizzato</t>
  </si>
  <si>
    <t>Naudotos medžiagos tūris</t>
  </si>
  <si>
    <t>Objętość wykorzystanego materiału</t>
  </si>
  <si>
    <t>Volumen de material utilizado</t>
  </si>
  <si>
    <t>Prostornina uporabljenega materiala</t>
  </si>
  <si>
    <t>Volume de material utilizado</t>
  </si>
  <si>
    <t>Total weight of material used</t>
  </si>
  <si>
    <t>Samlet vægt af anvendt materiale</t>
  </si>
  <si>
    <t>Totaal gewicht van het gebruikte materiaal</t>
  </si>
  <si>
    <t>Poids total de la matière utilisée</t>
  </si>
  <si>
    <t>Gesamtgewicht des verwendeten Materials</t>
  </si>
  <si>
    <t>Meáchan iomlán an ábhair a úsáideadh</t>
  </si>
  <si>
    <t>Peso totale del materiale utilizzato</t>
  </si>
  <si>
    <t>Visų naudotų medžiagų masė</t>
  </si>
  <si>
    <t>Całkowita masa wykorzystanego materiału</t>
  </si>
  <si>
    <t>Peso total del material utilizado</t>
  </si>
  <si>
    <t>Skupna masa uporabljenega materiala</t>
  </si>
  <si>
    <t>Peso total do material utilizado</t>
  </si>
  <si>
    <t>Total volume of material used</t>
  </si>
  <si>
    <t>Samlet mængde af anvendt materiale</t>
  </si>
  <si>
    <t xml:space="preserve">Totaal volume van het gebruikte materiaal </t>
  </si>
  <si>
    <t>Volume total de la matière utilisée</t>
  </si>
  <si>
    <t>Gesamtvolumen des verwendeten Materials</t>
  </si>
  <si>
    <t>Toirt iomlán an ábhair a úsáideadh</t>
  </si>
  <si>
    <t>Volume totale del materiale utilizzato</t>
  </si>
  <si>
    <t>Visų naudotų medžiagų tūris</t>
  </si>
  <si>
    <t xml:space="preserve">Całkowita objętość wykorzystanego materiału </t>
  </si>
  <si>
    <t>Volumen total de material utilizado</t>
  </si>
  <si>
    <t>Skupna prostornina uporabljenega materiala</t>
  </si>
  <si>
    <t>Fluxo mássico total dos materiais utilizados</t>
  </si>
  <si>
    <t>Number of permanent contact employees</t>
  </si>
  <si>
    <t xml:space="preserve">Antal ansatte med tidsubegrænset kontrakt </t>
  </si>
  <si>
    <t>Aantal werknemers met een vast contract</t>
  </si>
  <si>
    <t>Nombre de salariés en contrat de travail à durée indéterminée</t>
  </si>
  <si>
    <t>Anzahl der Beschäftigten mit unbefristetem Vertrag</t>
  </si>
  <si>
    <t>Líon na bhfostaithe ar chonradh buan</t>
  </si>
  <si>
    <t>Numero di dipendenti con contratto permanente</t>
  </si>
  <si>
    <t>Darbuotojų, turinčių neterminuotą sutartį, skaičius</t>
  </si>
  <si>
    <t>Liczba pracowników zatrudnionych na umowę na czas nieokreślony</t>
  </si>
  <si>
    <t>Número de empleados con contrato indefinido</t>
  </si>
  <si>
    <t>Število zaposlenih za nedoločen čas</t>
  </si>
  <si>
    <t>Número de trabalhadores com contrato sem termo</t>
  </si>
  <si>
    <t>Number of temporary contract employees</t>
  </si>
  <si>
    <t xml:space="preserve">Antal ansatte med midlertidige kontrakter </t>
  </si>
  <si>
    <t>Aantal werknemers met een tijdelijk contract</t>
  </si>
  <si>
    <t>Nombre de salariés en contrat de travail à durée déterminée</t>
  </si>
  <si>
    <t>Anzahl der Beschäftigten mit befristetem Vertrag</t>
  </si>
  <si>
    <t>Líon na bhfostaithe ar chonradh sealadach</t>
  </si>
  <si>
    <t>Numero di dipendenti con contratto temporaneo</t>
  </si>
  <si>
    <t>Darbuotojų, turinčių terminuotą sutartį, skaičius</t>
  </si>
  <si>
    <t>Liczba pracowników zatrudnionych na umowę na czas określony</t>
  </si>
  <si>
    <t>Número de empleados con contrato temporal</t>
  </si>
  <si>
    <t>Število zaposlenih za določen čas</t>
  </si>
  <si>
    <t>Número de trabalhadores com contrato a termo certo</t>
  </si>
  <si>
    <t>Number of male employees</t>
  </si>
  <si>
    <t>Antal mandlige ansatte</t>
  </si>
  <si>
    <t>Aantal mannelijke werknemers</t>
  </si>
  <si>
    <t>Nombre de salariés hommes</t>
  </si>
  <si>
    <t>Anzahl der männlicher Beschäftigten</t>
  </si>
  <si>
    <t>Líon na bhfostaithe fireann</t>
  </si>
  <si>
    <t>Numero di dipendenti uomini</t>
  </si>
  <si>
    <t>Vyrų darbuotojų skaičius</t>
  </si>
  <si>
    <t>Liczba pracowników płci męskiej</t>
  </si>
  <si>
    <t>Número de empleados masculinos</t>
  </si>
  <si>
    <t>Število zaposlenih moških</t>
  </si>
  <si>
    <t>Número de trabalhadores do sexo masculino</t>
  </si>
  <si>
    <t>Number of female employees</t>
  </si>
  <si>
    <t>Antal kvindelige ansatte</t>
  </si>
  <si>
    <t>Aantal vrouwelijke werknemers</t>
  </si>
  <si>
    <t>Nombre de salariés femmes</t>
  </si>
  <si>
    <t>Anzahl der weiblichen Beschäftigten</t>
  </si>
  <si>
    <t>Líon na bhfostaithe baineann</t>
  </si>
  <si>
    <t>Numero di dipendenti donne</t>
  </si>
  <si>
    <t>Moterų darbuotojų skaičius</t>
  </si>
  <si>
    <t xml:space="preserve">Liczba pracowników płci żeńskiej </t>
  </si>
  <si>
    <t>Número de empleadas</t>
  </si>
  <si>
    <t>Število zaposlenih žensk</t>
  </si>
  <si>
    <t>Número de trabalhadores do sexo feminino</t>
  </si>
  <si>
    <t>Number of other gender employees</t>
  </si>
  <si>
    <t>Antal ansatte af andet køn</t>
  </si>
  <si>
    <t>Aantal werknemers van overig gender</t>
  </si>
  <si>
    <t>Nombre de salariés d'autres genres</t>
  </si>
  <si>
    <t>Anzahl der Beschäftigten anderen Geschlechts</t>
  </si>
  <si>
    <t>Líon na bhfostaithe de chuid inscne eile</t>
  </si>
  <si>
    <t>Numero di dipendenti altro genere</t>
  </si>
  <si>
    <t>Kitos lyties darbuotojų skaičius</t>
  </si>
  <si>
    <t>Liczba pracowników innej płci</t>
  </si>
  <si>
    <t>Número de empleados de otro género</t>
  </si>
  <si>
    <t>Število zaposlenih oseb drug spol</t>
  </si>
  <si>
    <t>Número de trabalhadores de outro género</t>
  </si>
  <si>
    <t>Number of non-reported gender employees</t>
  </si>
  <si>
    <t>Antal ansatte med ikke-oplyst køn</t>
  </si>
  <si>
    <t>Aantal werknemers waarvan het gender niet is gerapporteerd</t>
  </si>
  <si>
    <t>Nombre d'employés dont le genre n'est pas communiqué</t>
  </si>
  <si>
    <t>Anzahl der Beschäftigten mit nicht angegebenem Geschlecht</t>
  </si>
  <si>
    <t>Líon na bhfostaithe nár tuairiscíodh a gcuid inscne</t>
  </si>
  <si>
    <t>Numero di dipendenti di genere non comunicato</t>
  </si>
  <si>
    <t>Nenurodytos lyties darbuotojų skaičius</t>
  </si>
  <si>
    <t>Liczba pracowników, których płeć nie została zgłoszona</t>
  </si>
  <si>
    <t>Número de empleados con género no notificado</t>
  </si>
  <si>
    <t>Število zaposlenih oseb nerazkriti spol</t>
  </si>
  <si>
    <t>Número de trabalhadores cujo género não foi comunicado</t>
  </si>
  <si>
    <t xml:space="preserve">Number of employees for country of employment contract </t>
  </si>
  <si>
    <t>Antal ansatte for landet, hvor ansættelseskontrakten er indgået</t>
  </si>
  <si>
    <t>Aantal werknemers per land van arbeidsovereenkomst</t>
  </si>
  <si>
    <t>Nombre de salariés pour le pays du contrat de travail</t>
  </si>
  <si>
    <t>Anzahl der Beschäftigten nach Land des Arbeitsvertrags</t>
  </si>
  <si>
    <t>Líon na bhfostaithe don tír ina bhfuil an conradh fostaíochta</t>
  </si>
  <si>
    <t>Numero di dipendenti per paese del contratto di lavoro</t>
  </si>
  <si>
    <t>Darbuotojų skaičius pagal įdarbinimo šalį</t>
  </si>
  <si>
    <t>Liczba pracowników według kraju umowy o pracę</t>
  </si>
  <si>
    <t>Número de empleados por país del contrato de trabajo</t>
  </si>
  <si>
    <t>Število zaposlenih za državo pogodbe o zaposlitvi</t>
  </si>
  <si>
    <t>Número de trabalhadores por país do contrato de trabalho</t>
  </si>
  <si>
    <t>Employee turnover rate</t>
  </si>
  <si>
    <t>Medarbejderomsætning</t>
  </si>
  <si>
    <t>Medewerkerverlooppercentage</t>
  </si>
  <si>
    <t>Taux de rotation du personnel</t>
  </si>
  <si>
    <t>Fluktuationsrate der Beschäftigten</t>
  </si>
  <si>
    <t>Ráta lámhdeachais fostaithe</t>
  </si>
  <si>
    <t>Tasso di avvicendamento dei dipendenti</t>
  </si>
  <si>
    <t>Darbuotojų kaitos rodiklis</t>
  </si>
  <si>
    <t>Wskaźnik rotacji pracowników</t>
  </si>
  <si>
    <t>Tasa de rotación de empleados</t>
  </si>
  <si>
    <t>Izračun: (število zaposlenih, ki so odšli v poročevalskem obdobju / povprečno število zaposlenih v poročevalskem obdobju) * 100</t>
  </si>
  <si>
    <t>Taxa de rotatividade do trabalhador</t>
  </si>
  <si>
    <t>Number of recordable work related accidents in the reporting period</t>
  </si>
  <si>
    <t xml:space="preserve">Antallet af arbejdsrelaterede ulykker i rapporteringsperioden, der kan registreres </t>
  </si>
  <si>
    <t>Aantal registreerbare arbeidsongevallen  in de rapportageperiode</t>
  </si>
  <si>
    <t>Líon na dtimpistí oibre intaifeadta a tharla sa sa thréimhse thuairiscithe</t>
  </si>
  <si>
    <t>Registruojamų su darbu susijusių įvykių, kuriuose įvyko nelaimingų atsitikimų skaičius ataskaitiniu laikotarpiu</t>
  </si>
  <si>
    <t>Número de accidentes de trabajo registrables en el periodo de información</t>
  </si>
  <si>
    <t>Število priglašenih nezgod pri delu v obdobju poročanja</t>
  </si>
  <si>
    <t>Número de acidentes de trabalho passíveis de registo no período de relato</t>
  </si>
  <si>
    <t>Rate of recordable work related accidents in the reporting period</t>
  </si>
  <si>
    <t>Andelen af arbejdsrelaterede ulykker i rapporteringsperioden, der kan registreres</t>
  </si>
  <si>
    <t xml:space="preserve">Tarieven van registreerbare arbeidsongevallen  in de rapportageperiode
</t>
  </si>
  <si>
    <t>Ráta timpistí intaifeadta a bhaineann leis an obair sa thréimhse thuairiscithe</t>
  </si>
  <si>
    <t xml:space="preserve">Tasso di infortuni registrabili connessi al lavoro nel periodo di riferimento
</t>
  </si>
  <si>
    <t>Izračun: (število zabeleženih nezgod pri delu v poročevalnem letu / skupno število ur, ki so jih v letu opravili vsi zaposleni) * 200000. Znesek 200000 ur predstavlja skupne letne delovne ure 100 zaposlenih (40 ur na teden, 50 tednov na leto) in služi kot standardna osnova za izračun stopnje incidence v enem letu, ki velja za podjetja z do 250 zaposlenimi.</t>
  </si>
  <si>
    <t>Taxa de acidentes de trabalho passíveis de registo no período de relato</t>
  </si>
  <si>
    <t>Antallet af dødsfald som følge af arbejdsrelaterede skader og arbejdsrelateret dårligt helbred</t>
  </si>
  <si>
    <t>Het aantal sterfgevallen als gevolg van arbeidsongevallen en beroepsziekten</t>
  </si>
  <si>
    <t>Nombre de décès dus à des accidents du travail ou à des problèmes de santé liés au travail</t>
  </si>
  <si>
    <t>Líon na mbásanna de thoradh gortuithe atá bainteach leis an obair agus drochshláinte atá bainteach leis an obair.</t>
  </si>
  <si>
    <t>Número de fallecimientos como consecuencia de lesiones y problemas de salud relacionados con el trabajo</t>
  </si>
  <si>
    <t>Število smrtnih žrtev zaradi poškodb pri delu in z delom povezanih bolezni</t>
  </si>
  <si>
    <t>Employees receive pay equal or above minimum wage determined by national law or collective bargaining agreement</t>
  </si>
  <si>
    <t>De ansatte modtager en løn, der er lig med eller højere end den gældende mindsteløn for det land, der 
rapporteres om, som fastsat direkte ved national lov om mindsteløn eller gennem en kollektiv overenskomst?</t>
  </si>
  <si>
    <t>Werknemers ontvangen een beloning die gelijk is aan of hoger is dan het minimumloon zoals bepaald  in de nationale wetgeving of collectieve arbeidsovereenkomst.</t>
  </si>
  <si>
    <t>Les salariés perçoivent une rémunération égale ou supérieure au salaire minimum déterminé par la législation nationale ou par une convention collective</t>
  </si>
  <si>
    <t>Beschäftigte erhalten eine Vergütung, die dem durch nationales Recht oder Tarifvertrag festgelegten Mindestlohn entspricht oder darüber liegt.</t>
  </si>
  <si>
    <t>Faigheann fostaithe pá atá cothrom le nó os cionn an íosphá a chinntear de réir an dlí náisiúnta nó comhaontú cómhargála</t>
  </si>
  <si>
    <t xml:space="preserve">I dipendenti percepiscono una retribuzione pari o superiore al salario minimo determinato dal diritto nazionale o mediante contrattazione collettiva
</t>
  </si>
  <si>
    <t>Darbuotojai gauna užmokestį, kuris yra lygus arba aukštesnis už šalyje nustatytą minimalųjį darbo užmokestį pagal nacionalinį įstatymą arba kolektyvinę sutartį.</t>
  </si>
  <si>
    <t>Pracownicy otrzymują wynagrodzenie równe lub wyższe od minimalnego wynagrodzenia określonego przez prawo krajowe lub układ zbiorowy pracy</t>
  </si>
  <si>
    <t>Los empleados reciben un salario igual o superior al salario mínimo determinado por la ley nacional o el convenio colectivo.</t>
  </si>
  <si>
    <t>Zaposleni prejemajo plačilo, ki je enako ali višje od minimalne plače, določene z nacionalno zakonodajo ali kolektivno pogodbo</t>
  </si>
  <si>
    <t>Os trabalhadores recebem uma remuneração igual ou superior ao salário mínimo estabelecido pela legislação nacional ou por convenção coletiva de trabalho</t>
  </si>
  <si>
    <t>Percentage gap in pay between female and male employees</t>
  </si>
  <si>
    <t>Procentvis lønforskel mellem kvindelige og mandlige ansatte</t>
  </si>
  <si>
    <t>Procentueel beloningsverschil tussen vrouwelijke en mannelijke werknemers</t>
  </si>
  <si>
    <t>Écart de rémunération en pourcentage entre les salariés femmes et hommes</t>
  </si>
  <si>
    <t>Bearna phá chéatadánach idir fostaithe fireanna agus baineanna</t>
  </si>
  <si>
    <t>Percentuale del divario retributivo tra dipendenti di sesso femminile e dipendenti di sesso maschile</t>
  </si>
  <si>
    <t>Darbuotojų moterų ir vyrų užmokesčio skirtumas procentais</t>
  </si>
  <si>
    <t>Luka płacowa między pracownikami płci żeńskiej i męskiej w ujęciu procentowym</t>
  </si>
  <si>
    <t>Porcentaje de brecha salarial entre las empleadas y los empleados</t>
  </si>
  <si>
    <t>Izračun: ((povprečna bruto urna postavka zaposlenih moških - povprečna bruto urna postavka zaposlenih žensk) / povprečna bruto urna postavka zaposlenih moških) * 100</t>
  </si>
  <si>
    <t>Diferença percentual na remuneração entre trabalhadores do sexo feminino e masculino</t>
  </si>
  <si>
    <t>Percentage of employees covered by collective bargaining agreements</t>
  </si>
  <si>
    <t>Procentdelen af ansatte, der er omfattet af kollektive overenskomster</t>
  </si>
  <si>
    <t xml:space="preserve">Percentage werknemers dat onder een collectieve arbeidsovereenkomst valt </t>
  </si>
  <si>
    <t>Pourcentage des salariés couverts par des conventions collectives</t>
  </si>
  <si>
    <t>Prozentsatz der Beschäftigten, die durch Tarifverträge abgedeckt sind</t>
  </si>
  <si>
    <t>Céatadán na bhfostaithe a chumhdaítear le comhaontuithe cómhargála</t>
  </si>
  <si>
    <t>Percentuale di dipendenti coperti da contratti collettivi</t>
  </si>
  <si>
    <t>Darbuotojų, kuriems taikomos kolektyvinės sutartys, procentinė dalis</t>
  </si>
  <si>
    <t>Odsetek pracowników objętych układami zbiorowymi pracy</t>
  </si>
  <si>
    <t>Porcentaje de empleados cubiertos por convenios colectivos</t>
  </si>
  <si>
    <t>Izračun: (število zaposlenih, za katere veljajo kolektivne pogodbe / skupno število zaposlenih) * 100</t>
  </si>
  <si>
    <t>Percentagem de trabalhadores abrangidos por convenções coletivas de trabalho</t>
  </si>
  <si>
    <t>Average number of annual training hours per male employee</t>
  </si>
  <si>
    <t>Gennemsnitligt antal årlige uddannelsesstimer pr. mandlig medarbejder</t>
  </si>
  <si>
    <t>Gemiddeld aantal jaarlijkse trainingsuren per mannelijke werknemer</t>
  </si>
  <si>
    <t>Nombre moyen d’heures annuelles de formation par salarié homme</t>
  </si>
  <si>
    <t>Duchschnittliche Anzahl der jährlichen Schulungsstunden je männlichem Beschäftigtem</t>
  </si>
  <si>
    <t>An meánlíon uaireanta oiliúna bliantúla in aghaidh an fhostaí fireann</t>
  </si>
  <si>
    <t>Numero medio annuo di ore di formazione per dipendente di sesso maschile</t>
  </si>
  <si>
    <t>Vidutinis metinis mokymų valandų skaičius vienam darbuotojui (vyrui)</t>
  </si>
  <si>
    <t>Średnia liczba godzin szkoleń w ciągu roku na pracownika płci męskiej</t>
  </si>
  <si>
    <t>Número medio de horas anuales de formación por empleado masculino</t>
  </si>
  <si>
    <t>Povprečno število ur usposabljanja na leto na zaposlenega moškega</t>
  </si>
  <si>
    <t>Número médio de horas de formação anual por trabalhador do sexo masculino</t>
  </si>
  <si>
    <t>Average number of annual training hours per female employee</t>
  </si>
  <si>
    <t>Gennemsnitligt antal årlige uddannelsesstimer pr. kvindelig medarbejder</t>
  </si>
  <si>
    <t>Gemiddeld aantal jaarlijkse trainingsuren per vrouwelijke werknemer</t>
  </si>
  <si>
    <t>Nombre moyen d’heures annuelles de formation par salarié femme</t>
  </si>
  <si>
    <t>Durchschnittliche Anzahl der jährlichen Schulungsstunden je weiblicher Beschäftigter</t>
  </si>
  <si>
    <t>An meánlíon uaireanta oiliúna bliantúla in aghaidh an fhostaí baineann</t>
  </si>
  <si>
    <t>Numero medio annuo di ore di formazione per dipendente di sesso femminile</t>
  </si>
  <si>
    <t>Vidutinis metinis mokymų valandų skaičius vienam darbuotojui (moteriai)</t>
  </si>
  <si>
    <t>Średnia liczba godzin szkoleń w ciągu roku na pracownika płci żeńskiej</t>
  </si>
  <si>
    <t>Número medio de horas anuales de formación por empleada</t>
  </si>
  <si>
    <t>Povprečno število ur usposabljanja na leto na zaposleno žensko</t>
  </si>
  <si>
    <t>Número médio de horas  de formação anual por trabalhador do sexo feminino</t>
  </si>
  <si>
    <t>Average number of annual training hours per other gender employee</t>
  </si>
  <si>
    <t>Gennemsnitligt antal årlige uddannelsesstimer pr. medarbejder med andet køn</t>
  </si>
  <si>
    <t>Gemiddeld aantal jaarlijkse trainingsuren per werknemer van een ander gender</t>
  </si>
  <si>
    <t>Nombre moyen d’heures annuelles de formation par salarié d’un autre genre</t>
  </si>
  <si>
    <t>Durchschnittliche Anzahl der jährlichen Schulungsstunden je Beschäftigtem mit anderem Geschlecht</t>
  </si>
  <si>
    <t>An meánlíon uaireanta oiliúna bliantúla in aghaidh an fhostaí de chuid inscne eile</t>
  </si>
  <si>
    <t>Numero medio annuo di ore di formazione per dipendente di altro genere</t>
  </si>
  <si>
    <t>Vidutinis metinis mokymų valandų skaičius vienam kitos lyties darbuotojui</t>
  </si>
  <si>
    <t>Średnia liczba godzin szkoleń w ciągu roku na pracownika innej płci</t>
  </si>
  <si>
    <t>Número medio de horas anuales de formación por empleado de otro género</t>
  </si>
  <si>
    <t>Povprečno število ur usposabljanja na leto na zaposleno osebo drug spol</t>
  </si>
  <si>
    <t>Número médio de horas de formação anual  por trabalhador de outro género</t>
  </si>
  <si>
    <t>Average number of annual training hours per non-reported gender employee</t>
  </si>
  <si>
    <t>Gennemsnitligt antal årlige uddannelsestimer pr. medarbejder uden oplyst køn</t>
  </si>
  <si>
    <t>Gemiddeld aantal jaarlijkse trainingsuren per werknemer met niet-gerapporteerd geslacht</t>
  </si>
  <si>
    <t xml:space="preserve">Nombre moyen d’heures annuelles de formation par salarié dont le genre n'est pas communiqué </t>
  </si>
  <si>
    <t>Durchschnittliche Anzahl der jährlichen Schulungsstunden je Beschäftigtem mit nicht angegebenem Geschlecht</t>
  </si>
  <si>
    <t>An meánlíon uaireanta oiliúna bliantúla in aghaidh an fhostaí nár tuairscíodh a gcuid inscne</t>
  </si>
  <si>
    <t>Numero medio annuo di ore di formazione per dipendente di genere non comunicato</t>
  </si>
  <si>
    <t>Vidutinis metinis mokymų valandų skaičius vienam neatskleistos lyties darbuotojui</t>
  </si>
  <si>
    <t>Średnia liczba godzin szkoleń w ciągu roku na pracownika, którego płeć nie została ujawniona</t>
  </si>
  <si>
    <t>Número medio de horas de formación anual por empleado de género no declarado</t>
  </si>
  <si>
    <t>Povprečno število ur usposabljanja na leto na zaposleno osebo nerazkriti spol</t>
  </si>
  <si>
    <t>Número médio de horas de formação anual por trabalhador cujo género não foi declarado</t>
  </si>
  <si>
    <t>Total number of convictions for the violation of anti-corruption and anti-bribery laws</t>
  </si>
  <si>
    <t>Samlet antal domfældelser for overtrædelse af love om bekæmpelse af korruption og bestikkelse</t>
  </si>
  <si>
    <t xml:space="preserve">Totaal aantal veroordelingen wegens overtreding van de anti-corruptie- en antiomkopingswetten. </t>
  </si>
  <si>
    <t>Líon iomlán na gciontuithe as sárú ar dhlíthe frith-éillithe agus frithbhreabaireachta</t>
  </si>
  <si>
    <t>Numero totale di condanne per violazione delle leggi in materia di lotta alla corruzione passiva e attiva</t>
  </si>
  <si>
    <t>Bendras apkaltinamųjų nuosprendžių skaičius už kovos su korupcija ir kyšininkavimu įstatymų pažeidimus</t>
  </si>
  <si>
    <t>Całkowita liczba skazań za naruszenie przepisów antykorupcyjnych i przepisów w sprawie zwalczania przekupstwa</t>
  </si>
  <si>
    <t>Skupno število obsodb za kršitev zakonodaje o boju proti korupciji in podkupovanju</t>
  </si>
  <si>
    <t>Total amount of fines for the violation of anticorruption and antibribery laws</t>
  </si>
  <si>
    <t xml:space="preserve">Totaalbedrag van boetes voor overtreding van anticorruptie- en antiomkopingswetten
</t>
  </si>
  <si>
    <t>An méid iomlán fíneálacha as sárú ar dhlíthe frith-éillithe agus frithbhreabaireachta</t>
  </si>
  <si>
    <t>Importo complessivo delle ammende per violazione delle leggi in materia di lotta alla corruzione passiva e attiva</t>
  </si>
  <si>
    <t>Bendras baudų už korupcijos ir kyšininkavimo įstatymų pažeidimus dydis</t>
  </si>
  <si>
    <t>Cantidad total de multas por la violación de las leyes anticorrupción y de soborno</t>
  </si>
  <si>
    <t>Skupni znesek glob za kršitev zakonodaje o boju proti korupciji in podkupovanju</t>
  </si>
  <si>
    <t>Montante total de multas por violação das leis anticorrupção e antissuborno</t>
  </si>
  <si>
    <t>Description of significant groups of products and/or services offered</t>
  </si>
  <si>
    <t xml:space="preserve">Beskrivelse af væsentlige grupper af produkter og/eller tjenesteydelser, som virksomheden tilbyder </t>
  </si>
  <si>
    <t>Tuairisc ar ghrúpaí suntasacha táirgí agus/nó seirbhísí arna dtairiscint</t>
  </si>
  <si>
    <t>Aprašymas apie reikšmingus siūlomus produktus ir (arba) paslaugų grupes</t>
  </si>
  <si>
    <t>Descripción de grupos significativos de productos y/o servicios ofrecidos</t>
  </si>
  <si>
    <t>Opis pomembnih skupin ponujenih proizvodov in/ali storitev</t>
  </si>
  <si>
    <t>Description of significant market(s) the undertaking operates in</t>
  </si>
  <si>
    <t>Beskrivelse af det eller de væsentlige markeder, som virksomheden operer på</t>
  </si>
  <si>
    <t xml:space="preserve"> Beschrijving van de belangrijkste markt(en) waarin  de onderneming actief is</t>
  </si>
  <si>
    <t xml:space="preserve">Description du ou des grands marchés sur lesquels l'entreprise exerce ses activités </t>
  </si>
  <si>
    <t>Beschreibung des bedeutenden Marktes bzw. der bedeutenden Märkte, auf denen das Unternehmen tätig ist</t>
  </si>
  <si>
    <t>Tuairisc ar mhargaí suntasacha ina n-oibríonn an gnóthas</t>
  </si>
  <si>
    <t>Descrizione del/i mercato/i significativo/i in cui l'impresa opera</t>
  </si>
  <si>
    <t>Aprašymas apie reikšmingas rinkas (-ų), kuriose veikia įmonė</t>
  </si>
  <si>
    <t>Opis istotnych rynków, na których jednostka prowadzi działalność</t>
  </si>
  <si>
    <t>Descripción del o los mercados significativos en los que opera la empresa</t>
  </si>
  <si>
    <t>npr. B2B, veleprodaja, maloprodaja, države</t>
  </si>
  <si>
    <t>Descrição do(s) mercado(s) significativo(s) em que a empresa opera</t>
  </si>
  <si>
    <t>Description of main business relationships (e.g. key suppliers, customers distribution channels)</t>
  </si>
  <si>
    <t>Beschrijving van de belangrijkste zakelijke relaties (bijv. belangrijkste leveranciers, klanten, distributiekanalen)</t>
  </si>
  <si>
    <t>Description des principales relations d’affaires (par ex. principaux fournisseurs, clients, canaux de distribution)</t>
  </si>
  <si>
    <t>Beschreibung der wesentlichen Geschäftsbeziehungen (z.B. zentrale Lieferanten, Kunden, Vertriebskanäle)</t>
  </si>
  <si>
    <t>Aprašymas apie pagrindinius verslo santykius (pvz., pagrindiniai tiekėjai, klientai, platinimo kanalai)</t>
  </si>
  <si>
    <t>Descripción de las principales relaciones comerciales (p. ej., proveedores clave, canales de distribución de clientes)</t>
  </si>
  <si>
    <t>npr. ključni dobavitelji, kupci, distribucijski kanali in potrošniki</t>
  </si>
  <si>
    <t>Description of key elements of strategy that relates to or affects sustainability issues</t>
  </si>
  <si>
    <t>Beschrijving van de belangrijkste elementen van de strategie die betrekking hebben op of invloed hebben op duurzaamheidskwesties</t>
  </si>
  <si>
    <t>Tuairisc ar na príomheilimintí straitéise a bhaineann le le saincheisteanna inbhuanaitheachta nó a dhéanann difear dóibh</t>
  </si>
  <si>
    <t>Descrizione degli elementi chiave della strategia che riguardano o hanno ripercussioni su questioni attinenti alla sostenibilità</t>
  </si>
  <si>
    <t>Strategijos pagrindinių elementų, susijusių su tvarumo klausimais arba juos veikiančių, aprašymas</t>
  </si>
  <si>
    <t>Opis kluczowych elementów strategii odnoszących się do lub mających wpływ na kwestie zrównoważonego rozwoju</t>
  </si>
  <si>
    <t>Descripción de los elementos clave de la estrategia que se refieren o afectan a cuestiones de sostenibilidad</t>
  </si>
  <si>
    <t>Opis ključnih elementov strategije, ki se nanašajo na trajnostnostne zadeve ali nanje vplivajo</t>
  </si>
  <si>
    <t>Descrição dos elementos fundamentais da estratégia que estão relacionados com ou que afetam questões de sustentabilidade</t>
  </si>
  <si>
    <t>Description of practices, policies and/or future initiatives</t>
  </si>
  <si>
    <t>Beskrivelse af praksisser, politikker og/eller fremtidige initiativer</t>
  </si>
  <si>
    <t>Beschrijving van praktijken, beleid en toekomstige initiatieven</t>
  </si>
  <si>
    <t>Description des pratiques, politiques et/ou initiatives futures</t>
  </si>
  <si>
    <t>Beschreibung von Verfahrensweisen, Richtlinien und/oder künftigen Initiativen</t>
  </si>
  <si>
    <t>Tuairisc ar chleachtais, beartais agus tionscnaimh amach anseo</t>
  </si>
  <si>
    <t>Descrizione di pratiche, politiche e/o iniziative future</t>
  </si>
  <si>
    <t>Perėjimo prie tvaresnės ekonomikos praktikos, politikos ir (arba) būsimų iniciatyvų aprašymas</t>
  </si>
  <si>
    <t>Opis praktyk, polityk i/lub przyszłych inicjatyw</t>
  </si>
  <si>
    <t>Descripción de prácticas, políticas e iniciativas futuras</t>
  </si>
  <si>
    <t>Opis praks, politik in/ali prihodnjih pobud</t>
  </si>
  <si>
    <t>Descrição das práticas, políticas e/ou iniciativas futuras</t>
  </si>
  <si>
    <t>Most senior level within its employees that is accountable for policies</t>
  </si>
  <si>
    <t>Det højeste ledelsesniveau blandt sine ansatte, der er ansvarlig for gennemførelsen af 
politikkerne, når dette er fastlagt af virksomheden</t>
  </si>
  <si>
    <t>Het meest senior niveau binnen haar werknemers dat verantwoordelijk is voor het implementeren van het beleid</t>
  </si>
  <si>
    <t>Niveau hiérarchique le plus élevé parmi les salariés qui est responsable des politiques</t>
  </si>
  <si>
    <t>Höchste Personalebene, die für die Umsetzung der Richtlinien verantwortlich ist</t>
  </si>
  <si>
    <t>An leibhéal is sinsearaí i measc a chuid fostaithe atá freagrach as na beartais a chur chun feidhme</t>
  </si>
  <si>
    <t>Il livello gerarchico più elevato tra i suoi dipendenti cui spetta la responsabilità delle politiche</t>
  </si>
  <si>
    <t>Aukščiausias darbuotojų hierarchijos lygmuo, atsakingas už politikų įgyvendinimą</t>
  </si>
  <si>
    <t>Najwyższy szczebel wśród pracowników, który jest odpowiedzialny za polityki</t>
  </si>
  <si>
    <t>El nivel más alto dentro de sus empleados que es responsable de las políticas</t>
  </si>
  <si>
    <t>Najvišja raven med zaposlenimi, ki je odgovorna za politike</t>
  </si>
  <si>
    <t>Nível hierárquico mais elevado entre os trabalhadores responsáveis pelas políticas</t>
  </si>
  <si>
    <t>Description of the target of practices, policies or future initiatives</t>
  </si>
  <si>
    <t>Beskrivelse af målet for praksisser, politikker eller fremtidige initiativer</t>
  </si>
  <si>
    <t>Beschrijving van het doel van praktijken, beleid of toekomstige initiatieven</t>
  </si>
  <si>
    <t>Description des cibles des pratiques, politiques ou initiatives futures</t>
  </si>
  <si>
    <t>Beschreibung des Ziels von Verfahrensweisen, Richtlinien oder künftigen Initiativen</t>
  </si>
  <si>
    <t>Tuairisc ar sprioc na gcleachtas, na mbeartas nó na dtionscnamh amach anseo</t>
  </si>
  <si>
    <t>Descrizione dell'obiettivo delle pratiche, politiche o iniziative future</t>
  </si>
  <si>
    <t>Perėjimo prie tvaresnės ekonomikos praktikų, politikos ar būsimų iniciatyvų tikslų aprašymas</t>
  </si>
  <si>
    <t>Opis celu praktyk, polityk lub przyszłych inicjatyw</t>
  </si>
  <si>
    <t>Descripción del objetivo de las prácticas, políticas o iniciativas futuras</t>
  </si>
  <si>
    <t>Opis cilja praks, politik ali prihodnjih pobud</t>
  </si>
  <si>
    <t>Descrição do alvo das práticas, políticas ou iniciativas futuras</t>
  </si>
  <si>
    <t>Greenhouse gas emission reduction target base year</t>
  </si>
  <si>
    <t>Basisår for mål for reduktion af drivhusgasudledninger</t>
  </si>
  <si>
    <t xml:space="preserve"> Basisjaar voor het reductiedoel van broeikasgasemissies</t>
  </si>
  <si>
    <t>Année de référence de la cible de réduction des émissions de gaz à effet de serre</t>
  </si>
  <si>
    <t>Basisjahr der Ziele zur Verringerung der Treibhausgasemissionen</t>
  </si>
  <si>
    <t>Bonnbhliain sprioc laghdaithe astaíochtaí gás ceaptha teasa</t>
  </si>
  <si>
    <t>Anno base per l'obiettivo di riduzione delle emissioni di gas a effetto serra</t>
  </si>
  <si>
    <t>Šiltnamio efektą sukeliančių dujų išmetimo mažinimo tikslo baziniai metai</t>
  </si>
  <si>
    <t>Rok bazowy celu redukcji emisji gazów cieplarnianych</t>
  </si>
  <si>
    <t>Año base del objetivo de reducción de emisiones de gases de efecto invernadero</t>
  </si>
  <si>
    <t>Izhodiščno leto cilja zmanjšanja emisij toplogrednih plinov</t>
  </si>
  <si>
    <t>Ano base da meta de redução das emissões de gases com efeito de estufa</t>
  </si>
  <si>
    <t>Greenhouse gas emission reduction target year</t>
  </si>
  <si>
    <t>Målår for mål for reduktion af drivhusgasudledninger</t>
  </si>
  <si>
    <t>Doeljaar voor broeikasgasemissiereductie</t>
  </si>
  <si>
    <t>Année cible de la cible de réduction des émissions de gaz à effet de serre</t>
  </si>
  <si>
    <t>Zieljahr der Ziele zur Verringerung der Treibhausgasemissionen</t>
  </si>
  <si>
    <t>Spriocbhliain laghdaithe astaíochtaí gás ceaptha teasa</t>
  </si>
  <si>
    <t>Anno-obiettivo di riduzione delle emissioni di gas a effetto serra</t>
  </si>
  <si>
    <t>ŠESD emisijų mažinimo tiksliniai metai</t>
  </si>
  <si>
    <t>Rok docelowy redukcji emisji gazów cieplarnianych</t>
  </si>
  <si>
    <t>Año objetivo de reducción de emisiones de gases de efecto invernadero</t>
  </si>
  <si>
    <t>Ciljno leto za zmanjšanje emisij toplogrednih plinov</t>
  </si>
  <si>
    <t>Ano alvo para a redução das emissões de gases com efeito de estufa</t>
  </si>
  <si>
    <t>Disclosure of list of main actions the entity seeks in order to achieve its targets</t>
  </si>
  <si>
    <t xml:space="preserve"> Liste over de vigtigste foranstaltninger, som virksomheden søger at gennemføre for at nå sine mål</t>
  </si>
  <si>
    <t xml:space="preserve">Rapportage van een  lijst van de belangrijkste acties die de entiteit nastreeft om haar doelstellingen te bereiken
</t>
  </si>
  <si>
    <t>Publication de la liste des principales actions que l'entreprise entend mettre en œuvre pour atteindre ses cibles</t>
  </si>
  <si>
    <t>Angabe der wesentlichen Maßnahmen, die das Unternehmen ergreift, um seine Ziele zu erreichen</t>
  </si>
  <si>
    <t xml:space="preserve">Nochtadh de liosta príomhghníomhartha a fhéachann an gnóthas lena gcur chun feidhme chun a spriocanna a bhaint amach </t>
  </si>
  <si>
    <t>Elenco delle principali azioni che l'impresa intende attuare per conseguire i propri obiettivi</t>
  </si>
  <si>
    <t>Pagrindinių veiksmų, kuriuos įmonė numato/ketina vykdyti savo tikslams pasiekti, sąrašo atskleidimas</t>
  </si>
  <si>
    <t>Lista głównych działań, które jednostka zamierza wdrożyć, aby osiągnąć swoje cele</t>
  </si>
  <si>
    <t>Divulgación de la lista de las principales actuaciones que la entidad busca implementar para alcanzar sus metas</t>
  </si>
  <si>
    <t>Razkritje seznama glavnih ukrepov, s katerimi si subjekt prizadeva doseči svoje cilje</t>
  </si>
  <si>
    <t>Divulgação da lista das principais ações que a entidade pretende executar para alcançar as suas metas</t>
  </si>
  <si>
    <t>Description of a transition plan for climate change mitigation, including an explanation of how it is contributing to reduce GHG emissions</t>
  </si>
  <si>
    <t>Oplysninger om omstillingsplanen for modvirkning af klimaændringer, herunder en redegørelse for, hvordan den bidrager til at reducere drivhusgasudledninger</t>
  </si>
  <si>
    <t>Beschrijving van een transitieplan voor klimaatmitigatie, inclusief een toelichting op hoe dit bijdraagt aan de vermindering van broeikasgasemissies</t>
  </si>
  <si>
    <t>Description d’un plan de transition pour l’atténuation du changement climatique comprenant une explication de la manière dont il contribue à réduire les émissions de gaz à effet de serre (GES)</t>
  </si>
  <si>
    <t>Tuairisc ar phlean aistrithe maidir le maolú ar an athrú aeráide, lena n-áirítear míniú ar an gcaoi a bhfuil sé ag rannchuidiú chun a chuid astaíochtaí GCT a laghdú</t>
  </si>
  <si>
    <t>Descrizione di un piano di transizione per la mitigazione dei cambiamenti climatici, compresa una spiegazione del modo in cui il piano sta contribuendo a ridurre le emissioni di gas a effetto serra</t>
  </si>
  <si>
    <t>Perėjimo plano klimato kaitos švelninimui aprašymas, įskaitant paaiškinimą, kaip jis prisideda prie ŠESD emisijų mažinimo.</t>
  </si>
  <si>
    <t>Opis planu transformacji na potrzeby łagodzenia zmiany klimatu, w tym wyjaśnienie, w jaki sposób przyczynia się on do redukcji emisji gazów cieplarnianych</t>
  </si>
  <si>
    <t>Descripción de un plan de transición para la mitigación del cambio climático, incluida una explicación de cómo contribuye a la reducción de las emisiones de GEI</t>
  </si>
  <si>
    <t>Opis načrta prehoda za blažitev podnebnih sprememb, vključno z opisom, kako prispeva k zmanjšanju emisij toplogrednih plinov</t>
  </si>
  <si>
    <t>Descrição do plano de transição para a mitigação das alterações climáticas, incluindo uma explicação sobre como contribui para a redução das emissões de gases com efeito de estufa</t>
  </si>
  <si>
    <t>Date of adoption of transition plan for undertaking not having adopted transition plan yet</t>
  </si>
  <si>
    <t>Tidspunkt for vedtagelse af omstillingsplan for virksomheder, der endnu ikke har vedtaget en omstillingsplan</t>
  </si>
  <si>
    <t>Datum van vaststellingvan het transitieplan voor de onderneming die nog geen transitieplan heeft aangenomen</t>
  </si>
  <si>
    <t>Date d’adoption du plan de transition pour l’entreprise n’ayant pas encore adopté de plan de transition</t>
  </si>
  <si>
    <t>Datum der Annahme des Übergangsplans für Unternehmen, die noch keinen Übergangsplan angenommen haben</t>
  </si>
  <si>
    <t>Dáta a ghlacfaidh le plean aistrithe do ghnóthas nach bhfuil plean aistrithe i bhfeidhm fós aige</t>
  </si>
  <si>
    <t>Data di adozione del piano di transizione per l’impresa che non ha ancora adottato un piano di transizione</t>
  </si>
  <si>
    <t>Planuojama perėjimo plano patvirtinimo data, jei dar nepatvirtinta</t>
  </si>
  <si>
    <t>Data przyjęcia planu transformacji dla jednostki, która jeszcze nie przyjęła planu transformacji</t>
  </si>
  <si>
    <t>Fecha de adopción del plan de transición para la empresa que aún no ha adoptado un plan de transición</t>
  </si>
  <si>
    <t>Datum sprejetja načrta prehoda za podjetje, ki ga še ni sprejelo</t>
  </si>
  <si>
    <t>Data de adoção do plano de transição quando ainda não foi adotado um plano de transição</t>
  </si>
  <si>
    <t>Beschrijving van klimaatgerelateerde gevaren en klimaatgerelateerde transitiegebeurtenissen</t>
  </si>
  <si>
    <t>Description des aléas liés au changement climatique et événements liés à la transition climatique</t>
  </si>
  <si>
    <t>Beschreibung klimabedingter Gefahren und klimabedingter Übergangsereignisse</t>
  </si>
  <si>
    <t>Tuairisc ar na guaiseacha a bhaineann leis an aeráid agus ar na teagmhais aistrithe a bhaineann leis an aeráid</t>
  </si>
  <si>
    <t>Su klimatu susijusių ir pereinamojo laikotarpio rizikų aprašymas</t>
  </si>
  <si>
    <t>Opis zagrożeń związanych z klimatem i zdarzeń dotyczących przejścia związanego z klimatem</t>
  </si>
  <si>
    <t>Descripción de los peligros relacionados con el clima y de los sucesos de transición relacionados con el clima</t>
  </si>
  <si>
    <t>Opis s podnebjem povezanih nevarnosti in s podnebjem povezanih prehodnih dogodkov</t>
  </si>
  <si>
    <t>Descrição dos perigos relacionados com o clima e eventos de transição relacionados com o clima</t>
  </si>
  <si>
    <t>Disclosure of how it has assessed the exposure and sensitivity of its assets, activities and value chain to these hazards and transition events</t>
  </si>
  <si>
    <t xml:space="preserve"> Rapportage van hoe zij de blootstelling aan en gevoeligheid van haar activa, activiteiten en waardeketen met betrekking tot deze gevaren en transitiegebeurtenissen heeft beoordeeld.</t>
  </si>
  <si>
    <t>Angabe, wie es die Exposition und Anfälligkeit seiner Vermögenswerte, Tätigkeiten und Wertschöpfungskette gegenüber diesen Gefahren und Übergangsereignissen bewertet hat</t>
  </si>
  <si>
    <t xml:space="preserve">Nochtadh ar an gcaoi a ndearna sé measúnú ar neamhchosaint agus íogaireacht a chuid sócmhainní, gníomhaíochtaí agus </t>
  </si>
  <si>
    <t xml:space="preserve">Comunicazione del modo in cui ha valutato l'esposizione e la sensibilità dei suoi attivi, delle sue attività e della sua catena del valore a tali pericoli ed eventi di transizione
</t>
  </si>
  <si>
    <t>Atskleidimas, kaip įvertintas turto, veiklos ir vertės grandinės poveikio mastas ir jautrumas klimato ir pereinamojo laikotarpio rizikoms.</t>
  </si>
  <si>
    <t>Divulgación de cómo ha evaluado la exposición y sensibilidad de sus activos, actividades y cadena de valor a estos peligros y sucesos de transición</t>
  </si>
  <si>
    <t>Razkritje načina ocenjevanja izpostavljenosti in občutljivosti svojih sredstev, dejavnosti in vrednostne verige tem nevarnostim in prehodnim dogodkom</t>
  </si>
  <si>
    <t>Tidshorisonterne for eventuelle identificerede klimarelaterede farer og omstillingshændelser</t>
  </si>
  <si>
    <t>Tijdshorizonten van geïdentificeerde klimaatgerelateerde gevaren en transitiegebeurtenissen</t>
  </si>
  <si>
    <t>Na tréimhsí ama d’aon ghuais a bhaineann leis an aeráid agus d’aon teagmhas aistrithe arna sainaithint a nochtadh</t>
  </si>
  <si>
    <t>Indica gli orizzonti temporali di eventuali pericoli ed eventi di transizione legati al clima individuati</t>
  </si>
  <si>
    <t>Nustatytų su klimatu susijusių ir pereinamojo laikotarpio laiko horizontai.</t>
  </si>
  <si>
    <t>Horizontes temporales de cualquier peligro relacionado con el clima y eventos de transición identificados</t>
  </si>
  <si>
    <t>Časovna obdobja vseh opredeljenih s podnebjem povezanih nevarnosti in prehodnih dogodkov</t>
  </si>
  <si>
    <t>Disclosure of whether it has undertaken climate change adaptation actions for any climate related hazards and transition events</t>
  </si>
  <si>
    <t>Oplysning om, hvorvidt virksomheden har gennemført tilpasningstiltag til klimaforandringer for klimarelaterede farer og omstillingshændelser</t>
  </si>
  <si>
    <t xml:space="preserve"> Rapportage over of zij maatregelen voor aanpassing aan de klimaatverandering heeft genomen voor klimaatgerelateerde gevaren en transitiegebeurtenissen.</t>
  </si>
  <si>
    <t xml:space="preserve">Nochtadh cé acu atá nó nach bhfuil gníomhartha oiriúnaithe don athrú aeráide déanta aige le haghaidh aon ghuaise a bhaineann leis an aeráid agus teagmhais aistrithe </t>
  </si>
  <si>
    <t xml:space="preserve">Atskleidimas, ar įmonė ėmėsi veiksmų prisitaikyti prie klimato kaitos dėl bet kokių su klimatu susijusių ir pereinamojo laikotarpio rizikų.
</t>
  </si>
  <si>
    <t>Divulgación de si ha emprendido actuaciones de adaptación al cambio climático con respecto a cualquier peligro y suceso de transición relacionado con el clima.</t>
  </si>
  <si>
    <t>Razkritje, ali je sprejelo ukrepe za prilagajanje podnebnim spremembam za katero koli s podnebjem povezano nevarnost in prehodni dogodek</t>
  </si>
  <si>
    <t>Divulgação de se a empresa empreendeu ações de adaptação às alterações climáticas para quaisquer perigos relacionados com o clima e eventos de transição.</t>
  </si>
  <si>
    <t>Potential adverse effects of climate risks that may affect its financial performance or business operations in the short-, medium- or long-term, indicating whether it assesses the risks to be high, medium or low</t>
  </si>
  <si>
    <t>Oplysninger om de potentielle negative virkninger af klimarisici, der kan påvirke dens finansielle 
resultater eller forretningsaktiviteter på kort, mellemlang eller lang sigt, og angive, om den vurderer risiciene som  høje, mellemstore eller lave.</t>
  </si>
  <si>
    <t xml:space="preserve">De potentiële negatieve effecten van klimaatrisico’s die van invloed kunnen zijn op haar financiële prestaties of bedrijfsactiviteiten op korte, middellange of lange termijn, waarbij zij aangeeft of zij de risico’s als hoog, gemiddeld of laag beoordeelt. 
</t>
  </si>
  <si>
    <t>Potenziell nachteilige Auswirkungen von klimabedingten Risiken, die seine finanzielle Leistungsfähigkeit oder Geschäftstätigkeit kurz-, mittel- oder langfristig beeinträchtigen können, unter der Angabe, ob es die Risiken als hoch, mittel oder niedrig einschätzt.</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</si>
  <si>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</si>
  <si>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Galimas neigiamas klimato rizikų poveikis, galintis paveikti įmonės finansinius rezultatus ar veiklą trumpuoju, vidutiniu ar ilguoju laikotarpiu, nurodant, ar rizikos vertinamos kaip didelės, vidutinės ar mažos.</t>
  </si>
  <si>
    <t>Los posibles efectos adversos de los riesgos climáticos que puedan afectar a su rendimiento financiero o a sus operaciones empresariales a corto, medio o largo plazo, indicando si considera que dichos riesgos son elevados, medios o bajos.</t>
  </si>
  <si>
    <t>Morebitni škodljivi učinki podnebnih tveganj, ki lahko kratko-, srednje- ali dolgoročno vplivajo na finančno uspešnost ali poslovanje, z navedbo, ali tveganja ocenjuje kot visoka, srednja ali nizka</t>
  </si>
  <si>
    <t>Efeitos adversos potenciais dos riscos climáticos que possam afetar o desempenho financeiro ou as operações da empresa a curto, médio ou longo prazo, indicando se avalia esses riscos como elevados, médios ou baixos</t>
  </si>
  <si>
    <t>Vrouw-man verhouding op managementniveau voor de  rapportageperiode</t>
  </si>
  <si>
    <t>Ratio de femmes par rapport aux hommes au niveau de l’encadrement pour la période de reporting</t>
  </si>
  <si>
    <t>Cóimheas idir mná agus fir a nochtadh ar leibhéal bainistíochta don tréimhse tuairiscithe</t>
  </si>
  <si>
    <t>Vadovų lygmens moterų ir vyrų santykis ataskaitiniu laikotarpiu</t>
  </si>
  <si>
    <t>Ratio mujeres/hombres a nivel directivo durante el periodo de reporte</t>
  </si>
  <si>
    <t>Izračun: število zaposlenih žensk na vodstveni ravni / število zaposlenih moških na vodstveni ravni</t>
  </si>
  <si>
    <t>Rácio entre mulheres e homens a nível dos quadros superiores para o período de relato</t>
  </si>
  <si>
    <t>Total number of self-employed workers without personnel that are working exclusively for the undertaking</t>
  </si>
  <si>
    <t>Antallet af selvstændige uden personale, der udelukkende arbejder for virksomheden</t>
  </si>
  <si>
    <t xml:space="preserve">Totaal aantal zelfstandigen zonder personeel dat uitsluitend voor de onderneming werkt
</t>
  </si>
  <si>
    <t>Nombre total des travailleurs indépendants sans personnel qui travaillent exclusivement pour l’entreprise</t>
  </si>
  <si>
    <t>Gesamtzahl der Selbstständigen, die ausschließlich für das Unternehmen tätig sind und kein eigenes Personal haben</t>
  </si>
  <si>
    <t>An líon daoine féinfhostaithe seachas daoine atá ag obair don ghnóthas ar bhonn eisiach</t>
  </si>
  <si>
    <t xml:space="preserve">Número total de trabajadores autónomos sin personal que trabajan exclusivamente para la empresa
</t>
  </si>
  <si>
    <t>Skupno število samozaposlenih delavcev brez osebja, ki delajo izključno za podjetje</t>
  </si>
  <si>
    <t>Número total de trabalhadores independentes, sem pessoal ao seu cargo, que trabalham exclusivamente para a empresa</t>
  </si>
  <si>
    <t>Total number of temporary-workers provided by undertakings primarily engaged in employment activities</t>
  </si>
  <si>
    <t xml:space="preserve">Totaal aantal tijdelijke arbeidskrachten, uitgezonden door ondernemingen die zich voornamelijk bezighouden met arbeidsbemiddeling en personeelswerk
</t>
  </si>
  <si>
    <t>Nombre total de travailleurs temporaires mis à disposition par des entreprises exerçant principalement des activités liées à l’emploi</t>
  </si>
  <si>
    <t>Gesamtzahl der Zeitarbeitskräfte, die von Unternehmen bereitgestellt werden, die in erster Linie im Bereich der Vermittlung und Überlassung von Arbeitskräften tätig sind</t>
  </si>
  <si>
    <t>An líon oibrithe sealadacha arna gcur ar fáil ag gnóthais a bhíonn gafa den chuid is mó le ‘gníomhaíochtaí fostaíochta’</t>
  </si>
  <si>
    <t>Skupno število začasnih delavcev, ki jih zagotovijo podjetja, ki se ukvarjajo predvsem z dejavnostmi zaposlovanja</t>
  </si>
  <si>
    <t>Número total de trabalhadores temporários fornecidos por empresas principalmente envolvidas em atividades de emprego</t>
  </si>
  <si>
    <t>Undertaking has a code of conduct or human rights policy for its own workforce</t>
  </si>
  <si>
    <t>Virksomheden har en adfærdskodeks eller menneskerettighedspolitik for sin egen arbejdsstyrke</t>
  </si>
  <si>
    <t>De onderneming beschikt over een gedragscode of een mensenrechtenbeleid voor haar eigen personeel</t>
  </si>
  <si>
    <t>L’entreprise dispose d’un code de conduite ou d’une politique en matière de droits de l’homme pour son personnel</t>
  </si>
  <si>
    <t>Das Unternehmen verfügt über einen Verhaltenskodex oder Richtlinien für die Achtung der Menschenrechte bei seinen eigenen Arbeitskräften</t>
  </si>
  <si>
    <t>Cód iompair nó beartas um chearta an duine ag an ngnóthas dá lucht saothair féin</t>
  </si>
  <si>
    <t>Įmonė turi elgesio kodeksą arba žmogaus teisių politiką savo darbuotojams</t>
  </si>
  <si>
    <t>Jednostka posiada kodeks postępowania lub politykę dotyczącą praw człowieka dla własnych pracowników</t>
  </si>
  <si>
    <t>Podjetje ima kodeks ravnanja ali politiko na področju človekovih pravic za lastno delovno silo</t>
  </si>
  <si>
    <t>A empresa dispõe de um código de conduta ou de uma política de direitos humanos para a sua própria mão-de-obra</t>
  </si>
  <si>
    <t>Type of content covered by the code of conduct or human rights policy for its own workforce</t>
  </si>
  <si>
    <t>Type af indhold omfattet af adfærdskodeks eller menneskerettighedspolitik for egen arbejdsstyrke</t>
  </si>
  <si>
    <t>Type inhoud die wordt bestreken door de gedragscode of het mensenrechtenbeleid voor het eigen personeel</t>
  </si>
  <si>
    <t>Type de contenu couvert par le code de conduite ou la politique en matière de droits de l’homme pour son personnel</t>
  </si>
  <si>
    <t>Art des Inhalts, der vom Verhaltenskodex oder den Richtlinien für die Achtung der Menschenrechte bei den eigenen Arbeitskräften abgedeckt ist</t>
  </si>
  <si>
    <t>Cineál ábhair a chlúdaítear faoin gcód iompair nó beartas um chearta an duine ag an ngnóthas dá lucht saothair féin</t>
  </si>
  <si>
    <t>Tipologia di contenuti coperti dal codice di condotta o dalla politica in materia di diritti umani per la forza lavoro propria</t>
  </si>
  <si>
    <t>Koks turinys  apimamas elgesio kodekso ar žmogaus teisių politikos darbuotojams</t>
  </si>
  <si>
    <t>Rodzaj treści objętych kodeksem postępowania lub polityką dotyczącą praw człowieka wobec własnych zasobów pracowniczych</t>
  </si>
  <si>
    <t>Tipo de contenido cubierto por el código de conducta o la política de derechos humanos para su personal propio</t>
  </si>
  <si>
    <t>Vrsta vsebine, ki jo zajema kodeks ravnanja ali politika na področju človekovih pravic za lastno delovno silo</t>
  </si>
  <si>
    <t>Tipo de conteúdo abrangido pelo código de conduta ou pela política de direitos humanos para a sua própria mão-de-obra</t>
  </si>
  <si>
    <t>Specification other types of content covered by the code of conduct or human rights policy</t>
  </si>
  <si>
    <t>Specifikation af andre typer indhold, der er omfattet af adfærdskodeks eller menneskerettighedspolitik</t>
  </si>
  <si>
    <t>Specificatie van andere typen inhoud die onder de gedragscode of mensenrechtenbeleid vallen</t>
  </si>
  <si>
    <t>Spécification des autres types de contenu couverts par le code de conduite ou la politique en matière de droits de l’homme</t>
  </si>
  <si>
    <t>Erläuterung anderer Arten von Inhalten, die vom Verhaltenskodex oder den Richtlinien für die Achtung der Menschenrechte bei den eigenen Arbeitskräften abgedeckt sind</t>
  </si>
  <si>
    <t>Sonraíocht cineálacha eile ábhar atá clúdaithe ag an gcód iompair nó beartas um chearta an duine</t>
  </si>
  <si>
    <t>Specifica altri tipi di contenuto coperti dal codice di condotta o dalla politica in materia di diritti umani</t>
  </si>
  <si>
    <t>Nurodykite papildomą turinį, kurį apima elgesio kodeksas / žmogaus teisių politika</t>
  </si>
  <si>
    <t>Specyfikacja innych rodzajów treści objętych kodeksem postępowania lub polityką dotyczącą praw człowieka</t>
  </si>
  <si>
    <t>Especificación de otros tipos de contenido cubiertos por el código de conducta o la política de derechos humanos</t>
  </si>
  <si>
    <t>Navedba drugih vrst vsebin, ki jih zajema kodeks ravnanja ali politika na področju človekovih pravic</t>
  </si>
  <si>
    <t>Especificação de outros tipos de conteúdo abrangidos pelo código de conduta ou política de direitos humanos</t>
  </si>
  <si>
    <t>Undertaking has a complaint handling mechanism for its own workforce</t>
  </si>
  <si>
    <t>Virksomheden har en mekanisme til behandling af klager fra sin egen arbejdsstyrke</t>
  </si>
  <si>
    <t>De onderneming heeft een klachtenbehandelingsmechanisme voor haar eigen personeel.</t>
  </si>
  <si>
    <t xml:space="preserve">L’entreprise dispose d’un mécanisme de traitement des plaintes pour son personnel </t>
  </si>
  <si>
    <t>Das Unternehmen verfügt über ein Verfahren zur Bearbeitung von Beschwerden der eigenen Arbeitskräfte</t>
  </si>
  <si>
    <t>Tá sásra láimhsithe gearán ag an ngnóthas dá lucht saothair féin</t>
  </si>
  <si>
    <t>Įmonėje veikia skundų nagrinėjimo mechanizmas jos darbuotojams</t>
  </si>
  <si>
    <t>Jednostka posiada mechanizm rozpatrywania skarg dla własnych zasobów pracowniczych</t>
  </si>
  <si>
    <t>Podjetje ima mehanizem za obravnavanje pritožb lastne delovne sile</t>
  </si>
  <si>
    <t>A empresa possui um mecanismo de tratamento de reclamações para a sua própria mão-de-obra</t>
  </si>
  <si>
    <t>Undertaking has confirmed human rights incidents in its own workforce</t>
  </si>
  <si>
    <t>Virksomheden har bekræftede negative hændelser relateret til menneskerettigheder i sin egen arbejdsstyrke</t>
  </si>
  <si>
    <t xml:space="preserve">De onderneming heeft incidenten met betrekking tot mensenrechten bevestigd binnen haar eigen personeel. 
</t>
  </si>
  <si>
    <t>L’entreprise a confirmé des incidents en matière de droits de l’homme au sein de son personnel</t>
  </si>
  <si>
    <t>Das Unternehmen hat bestätigte Vorfälle im Zusammenhang mit Menschenrechten bei seinen eigenen Arbeitskräften.</t>
  </si>
  <si>
    <t>Teagmhais dheimhnithe ag an ngnóthas dá lucht saothair féin</t>
  </si>
  <si>
    <t>L'impresa ha confermato incidenti in seno alla forza lavoro propria relativi a violazioni dei diritti umani.</t>
  </si>
  <si>
    <t>Patvirtinti žmogaus teisių pažeidimų incidentai įmonės darbuotojų tarpe</t>
  </si>
  <si>
    <t>Jednostka potwierdziła incydenty naruszeń praw człowieka wśród własnych zasobów pracowniczych</t>
  </si>
  <si>
    <t>La entidad ha confirmado incidentes de derechos humanos en su personal propio.</t>
  </si>
  <si>
    <t>Podjetje ima potrjene incidente na področju človekovih pravic lastne delovne sile</t>
  </si>
  <si>
    <t>A entidade confirmou incidentes de direitos humanos na sua própria mão-de-obra</t>
  </si>
  <si>
    <t>Type of human right related to the confirmed incident</t>
  </si>
  <si>
    <t xml:space="preserve">
Type af menneskerettighed relateret til den bekræftede hændelse
</t>
  </si>
  <si>
    <t>Soort mensenrecht gerelateerd aan het bevestigde incident</t>
  </si>
  <si>
    <t>Type de droit de l'homme auquel se rattache l'incident confirmé</t>
  </si>
  <si>
    <t>Art des Menschenrechts im Zusammenhang mit dem bestätigten Vorfall</t>
  </si>
  <si>
    <t>Cineál cearta daonna a bhaineann leis an eachtra deimhnithe</t>
  </si>
  <si>
    <t>Tipo di diritto umano relativo all’incidente confermato</t>
  </si>
  <si>
    <t>Žmogaus teisių sritis, kuriai priskiriamas patvirtintas incidentas</t>
  </si>
  <si>
    <t>Rodzaj prawa człowieka związany z potwierdzonym incydentem</t>
  </si>
  <si>
    <t>Tipo de derecho humano relacionado con el incidente confirmado</t>
  </si>
  <si>
    <t>Vrsta človekove pravice, povezane s potrjenim incidentom</t>
  </si>
  <si>
    <t>Tipo de direito humano relacionado ao incidente confirmado</t>
  </si>
  <si>
    <t>Specification of other human rights related to the confirmed incident</t>
  </si>
  <si>
    <t>Specifikation af andre menneskerettigheder relateret til den bekræftede hændelse</t>
  </si>
  <si>
    <t>Specificatie van andere mensenrechten gerelateerd aan het bevestigde incident</t>
  </si>
  <si>
    <t>Spécification des autres droits humains auxquels se rattache l'incident confirmé</t>
  </si>
  <si>
    <t>Angabe weiterer Menschenrechte im Zusammenhang mit dem bestätigten Vorfall</t>
  </si>
  <si>
    <t>Sonraíocht ar chearta eile an duine a bhaineann leis an teagmhas</t>
  </si>
  <si>
    <t>Specificazione di altri diritti umani relativi all'incidente confermato</t>
  </si>
  <si>
    <t>Kitos žmogaus teisės, susijusios su patvirtintu incidentu (nurodyti ir detalizuoti)</t>
  </si>
  <si>
    <t>Specyfikacja innych praw człowieka związanych z potwierdzonym incydentem</t>
  </si>
  <si>
    <t>Especificación de otros derechos humanos relacionados con el incidente confirmado</t>
  </si>
  <si>
    <t>Navedba drugih človekovih pravic, povezanih s potrjenim incidentom</t>
  </si>
  <si>
    <t xml:space="preserve">Especificação de outros direitos humanos relacionados com o incidente confirmado
</t>
  </si>
  <si>
    <t>Description of actions take to address the confirmed incidents</t>
  </si>
  <si>
    <t xml:space="preserve">Beskrivelse af de handlinger, der er truffet for at imødekomme de bekræftede hændelser
</t>
  </si>
  <si>
    <t>Beschrijving van de genomen acties ter aanpak van de bevestigde incidenten</t>
  </si>
  <si>
    <t>Tuairisc a thabhairt ar na gníomhartha a bhfuiltear á ndéanamh chun aghaidh a thabhairt ar na teagmhais deimhnithe</t>
  </si>
  <si>
    <t>Aprašymai, kokių veiksmų imtasi patvirtintiems incidentams spręsti</t>
  </si>
  <si>
    <t>Opis działań podjętych w celu zaradzenia potwierdzonym incydentom</t>
  </si>
  <si>
    <t>Descripción de las acciones tomadas para abordar los incidentes confirmados</t>
  </si>
  <si>
    <t>Undertaking aware of any confirmed incidents involving workers in the value chain, affected communities, consumers and end-users</t>
  </si>
  <si>
    <t>Virksomheden er bekendt med bekræftede hændelser, der involverer arbejdstagere i værdikæden, berørte lokalsamfund, forbrugere og slutbrugere</t>
  </si>
  <si>
    <t>Is de onderneming op de hoogte van bevestigde incidenten waarbij werknemers in de waardeketen, getroffen gemeenschappen, consumenten en eindgebruikers betrokken waren? Zo ja, licht toe.</t>
  </si>
  <si>
    <t>L’entreprise a connaissance d’incidents confirmés impliquant des travailleurs de la chaîne de valeur, des communautés affectées, des consommateurs et des utilisateurs finaux</t>
  </si>
  <si>
    <t>Dem Unternehmen sind bestätigte Vorfälle bekannt, an denen Arbeitskräfte in der Wertschöpfungskette, betroffene Gemeinschaften, Verbraucher und Endnutzer beteiligt sind</t>
  </si>
  <si>
    <t>An feasach don ghnóthas aon teagmhas deimhnithe lena mbaineann oibrithe sa slabhra luacha, pobail dá ndéantar difear, tomhaltóirí agus úsáideoirí deiridh?</t>
  </si>
  <si>
    <t>L'impresa è a conoscenza di incidenti confermati che coinvolgono lavoratori nella catena del valore, comunità interessate, consumatori e utilizzatori finali</t>
  </si>
  <si>
    <t>Įmonė, kuri žino apie bet kokius patvirtintus incidentus, susijusius su vertės grandinės darbuotojais, paveiktais bendruomenėmis, vartotojais ir galutiniais naudotojais</t>
  </si>
  <si>
    <t>Jednostka posiada wiedzę na temat potwierdzonych incydentówdotyczących osób wykonujących pracę w łańcuchu wartości, dotkniętych społeczności, konsumentów i użytkowników końcowych</t>
  </si>
  <si>
    <t xml:space="preserve">¿Tiene conocimiento la empresa de cualquier incidente confirmado en el que estén involucrados trabajadores de la cadena de valor, colectivos afectados, consumidores y usuarios finales? En caso afirmativo, especifíquese. 
</t>
  </si>
  <si>
    <t>Podjetje je seznanjeno z vsemi potrjenimi incidenti, v katere so vključeni delavci v vrednostni verigi, prizadete skupnosti, potrošniki in končni uporabniki</t>
  </si>
  <si>
    <t>Empresa ciente de quaisquer incidentes confirmados que envolvam trabalhadores da cadeia de valor, comunidades afetadas, consumidores e utilizadores finais</t>
  </si>
  <si>
    <t>Specification of any confirmed incident involving workers in the value chain, affected communities, consumers and end-users</t>
  </si>
  <si>
    <t>Specificering af enhver bekræftet hændelse, der involverer arbejdstagere i værdikæden, berørte lokalsamfund, forbrugere og slutbrugere</t>
  </si>
  <si>
    <t>Specificatie van elk bevestigd incident waarbij werknemers in de waardeketen, getroffen gemeenschappen, consumenten en eindgebruikers betrokken zijn geweest</t>
  </si>
  <si>
    <t>Spécification de tout incident confirmé impliquant des travailleurs dans la chaîne de valeur, des communautés affectées, des consommateurs et des utilisateurs finaux</t>
  </si>
  <si>
    <t>Sonraíocht ar aon teagmhas deimhnithe lena mbaineann oibrithe sa slabhra luacha, pobail dá ndéantar difear, tomhaltóirí agus úsáideoirí deiridh</t>
  </si>
  <si>
    <t>Specificazione di qualsiasi incidente confermato che coinvolge i lavoratori nella catena del valore, le comunità interessate, i consumatori e gli utilizzatori finali.</t>
  </si>
  <si>
    <t>Bet kurio patvirtinto incidento, susijusio su vertės grandinės darbuotojais, paveiktomis bendruomenėmis, vartotojais ir galutiniais naudotojais, aprašymas</t>
  </si>
  <si>
    <t>Navedba vseh potrjenih incidentov, v katere so vključeni delavci v vrednostni verigi, prizadete skupnosti, potrošniki in končni uporabniki</t>
  </si>
  <si>
    <t>Especificação de quaisquer incidentes confirmados envolvendo trabalhadores da cadeia de valor, comunidades afetadas, consumidores e utilizadores finais</t>
  </si>
  <si>
    <t xml:space="preserve">Revenue derived from controversial weapons (anti-personnel mines, cluster munitions, chemical weapons and biological weapons) </t>
  </si>
  <si>
    <t>Indægter fra kontroversielle våben (personelminer, klyngeammunition, kemiske våben og biologiske våben)</t>
  </si>
  <si>
    <t xml:space="preserve"> Inkomsten uit controversiële wapens (antipersoonsmijnen, clustermunitie, chemische wapens en biologische wapens)</t>
  </si>
  <si>
    <t>Ioncam a dhíorthaítear as airm chonspóideacha (mianaigh frithphearsanra, cnuas-mhuinisin, airm cheimiceacha agus airm 
bhitheolaíocha)</t>
  </si>
  <si>
    <t>Pajamos, gautos iš prieštaringai vertinamų ginklų (pėstininkų minų, kasetinių šaudmenų, cheminių ir biologinių ginklų).</t>
  </si>
  <si>
    <t>Rédito proveniente de armas controversas (minas anti-pessoais, munições de fragmentação, armas químicas e armas biológicas)</t>
  </si>
  <si>
    <t>Inkomsten uit de teelt en productie van tabak</t>
  </si>
  <si>
    <t>Ioncam a dhíorthaítear as saothrú agus táirgeadh tobac</t>
  </si>
  <si>
    <t>Ricavi derivanti dalla coltivazione e produzione del tabacco</t>
  </si>
  <si>
    <t>Pajamos iš tabako auginimo ir gamybos</t>
  </si>
  <si>
    <t>Los ingresos derivados del cultivo y la producción de tabaco</t>
  </si>
  <si>
    <t>Total revenues derived from fossil (fuel, coal and gas) sector</t>
  </si>
  <si>
    <t>Indtægter fra fossile brændstoffer (kul, olie og gas) sektor</t>
  </si>
  <si>
    <t>Totale inkomsten  uit de fossiele sector (olie, kolen en gas)</t>
  </si>
  <si>
    <t xml:space="preserve">	
Chiffre d'affaire total réalisé à partir du secteur des combustibles fossiles (charbon, pétrole et gaz)</t>
  </si>
  <si>
    <t>Gesamtumsatzerlöse aus dem Sektor der fossilen (Kohle, Erdöl und Erdgas) Brennstoffe</t>
  </si>
  <si>
    <t xml:space="preserve">Ioncam iomlán a dhíorthaítear ó earnáil an bhreosla iontaise (gual, ola agus gás) </t>
  </si>
  <si>
    <t>Ricavi totali derivanti dal settore dei combustibili fossili (carbone, petrolio e gas)</t>
  </si>
  <si>
    <t>Bendros pajamos, gautos iš iškastinio kuro (naftos, anglies ir dujų) sektoriaus</t>
  </si>
  <si>
    <t>Całkowite przychody z sektora paliw kopalnych (węgiel, ropa i gaz)</t>
  </si>
  <si>
    <t>Ingresos totales derivados del sector de combustibles fósiles (combustible, carbón y gas)</t>
  </si>
  <si>
    <t>Skupni prihodki iz sektorja fosilnih goriv (gorivo, premog in plin)</t>
  </si>
  <si>
    <t>Rendimentos totais provenientes do setor dos combustíveis fósseis (combustível, carvão e gás)</t>
  </si>
  <si>
    <t>Indtægter fra kul</t>
  </si>
  <si>
    <t>Ioncam a dhíorthaítear ó ghual</t>
  </si>
  <si>
    <t>Pajamos, gautos iš anglių</t>
  </si>
  <si>
    <t>Rédito proveniente do carvão</t>
  </si>
  <si>
    <t>Indtægter fra olie</t>
  </si>
  <si>
    <t>Ioncam a dhíorthaítear ó ola</t>
  </si>
  <si>
    <t>Rédito proveniente do petróleo</t>
  </si>
  <si>
    <t>Indtægter fra gas</t>
  </si>
  <si>
    <t xml:space="preserve">
Inkomsten uit gas
</t>
  </si>
  <si>
    <t>Ioncam a dhíorthaítear ó ghás</t>
  </si>
  <si>
    <t>Rédito proveniente do gás</t>
  </si>
  <si>
    <t>Revenue derived from chemical production</t>
  </si>
  <si>
    <t>Indtægter fra produktion af kemikalier</t>
  </si>
  <si>
    <t>Inkomsten uit  de chemische productie</t>
  </si>
  <si>
    <t>Ingresos derivados de la producción química</t>
  </si>
  <si>
    <t>Prihodki iz proizvodnje kemikalij</t>
  </si>
  <si>
    <t>Rédito proveniente da produção química</t>
  </si>
  <si>
    <t xml:space="preserve">Undertakings are excluded from any EU reference benchmarks that are aligned with the Paris Agreement </t>
  </si>
  <si>
    <t>Virksomheder er udelukket fra alle EU-referencebenchmarks, der er tilpasset Parisaftalen.</t>
  </si>
  <si>
    <t>Ondernemingen zijn uitgesloten van op de Overeenkomst van Parijs afgestemde EU-referentiebenchmarks.</t>
  </si>
  <si>
    <t>Exclusion des indices de référence  « accord de Paris » de l'Union européenne</t>
  </si>
  <si>
    <t>Unternehmen sind von allen EU-Referenzwerten, die mit dem Pariser Abkommen in Einklang stehen, ausgeschlossen.</t>
  </si>
  <si>
    <t>Gnóthais a eisiatar ó na Tagarmharcanna AE atá ailínithe le Comhaontú Pháras</t>
  </si>
  <si>
    <t>Le imprese sono escluse dagli indici di riferimento UE allineati con l'accordo di Parigi.</t>
  </si>
  <si>
    <t>Įmonės yra pašalintos iš bet kokių ES lyginamųjų etalonų, suderintų su Paryžiaus susitarimu</t>
  </si>
  <si>
    <t>Jednostki są wykluczone z jakichkolwiek unijnych wskaźników referencyjnych, które są zgodne z porozumieniem paryskim.</t>
  </si>
  <si>
    <t>Las empresas están excluidas de cualquier índice de referencia de la UE que esté alineado con el Acuerdo de París.</t>
  </si>
  <si>
    <t>Podjetja so izključena iz vseh referenčnih vrednosti EU, usklajenih s Pariškim sporazumom</t>
  </si>
  <si>
    <t>Empresas excluídas de quaisquer índices de referência da UE que estejam alinhados com o Acordo de Paris</t>
  </si>
  <si>
    <t>Kønsfordeling i ledelsesorganet</t>
  </si>
  <si>
    <t>Genderdiversiteitsverhouding  in het bestuursorgaan</t>
  </si>
  <si>
    <t>Ratio de mixité au sein de l'organe de gouvernance</t>
  </si>
  <si>
    <t>Geschlechtervielfalt im Leitungsorgan</t>
  </si>
  <si>
    <t>Cóimheas éagsúlachta inscne sa chomhlacht rialachais</t>
  </si>
  <si>
    <t>Lyčių įvairovės rodiklis valdymo organe</t>
  </si>
  <si>
    <t>Izračun: število članic upravnega odbora / število članov upravnega odbora</t>
  </si>
  <si>
    <t>Disclosure of any other general and/or entity specific information</t>
  </si>
  <si>
    <t xml:space="preserve">Oplysning af øvrige generelle og/eller virksomhedsspecifik information
</t>
  </si>
  <si>
    <t xml:space="preserve"> 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</si>
  <si>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</si>
  <si>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</si>
  <si>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</si>
  <si>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</si>
  <si>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</si>
  <si>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</si>
  <si>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Divulgación de cualquier otra información general y/o específica de la entidad</t>
  </si>
  <si>
    <t>Razkritje vseh drugih splošnih in/ali za subjekt specifičnih informacij o obdobju poročanja</t>
  </si>
  <si>
    <t>Divulgação de quaisquer outras informações gerais e/ou específicas da empresa</t>
  </si>
  <si>
    <t>Disclosure of any other environmental and or/entity specific environmental disclosures</t>
  </si>
  <si>
    <t xml:space="preserve"> Rapportage van andere milieugerelateerde en/of entiteitspecifieke  milieurapportages</t>
  </si>
  <si>
    <t>Nochtadh aon nochtaí comhshaoil eile agus/nó comhshaoil sonrach don ghnóthas</t>
  </si>
  <si>
    <t>Razkritje vseh drugih okoljskih in/ali za subjekt specifičnih okoljskih razkritij</t>
  </si>
  <si>
    <t>Disclosure of any other social and or/entity specific social disclosures</t>
  </si>
  <si>
    <t xml:space="preserve">Oplysninger om andre sociale og/eller virksomhedsspecifikke sociale oplysninger </t>
  </si>
  <si>
    <t xml:space="preserve">
 Rapportage van andere sociale en/of entiteitspecifieke sociale rapportages
</t>
  </si>
  <si>
    <t>Razkritje vseh drugih socialnih in/ali za subjekt specifičnih socialnih razkritij</t>
  </si>
  <si>
    <t>Disclosure of any other governance and or/entity specific governance disclosures</t>
  </si>
  <si>
    <t>Razkritje vseh drugih upravljavskih in/ali za subjekt specifičnih upravljavskih razkritij</t>
  </si>
  <si>
    <t>[Sergio] To insert validations associated to exemptions for undertakings with less than 10 employees</t>
  </si>
  <si>
    <t>template_label_disclosure_part_of_vs_guidance</t>
  </si>
  <si>
    <t>[Disclosure stemming from EFRAG non-mandatory guidance]</t>
  </si>
  <si>
    <t>Undertaking with 10 or less employees: Please note that certain cells will be greyed out in the template</t>
  </si>
  <si>
    <t>Label inserted for those disclosures that are not part of the Voluntary Standard but part of the EFRAG non mandatory guidance</t>
  </si>
  <si>
    <t>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</si>
</sst>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000000"/>
  </numFmts>
  <fonts count="56">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
      <b/>
      <sz val="72"/>
      <color theme="1"/>
      <name val="Aptos Narrow"/>
      <family val="2"/>
      <scheme val="minor"/>
    </font>
    <font>
      <b/>
      <sz val="48"/>
      <color theme="1"/>
      <name val="Aptos Narrow"/>
      <family val="2"/>
      <scheme val="minor"/>
    </font>
    <font>
      <b/>
      <sz val="10"/>
      <color theme="1"/>
      <name val="Aptos Narrow"/>
      <family val="2"/>
      <scheme val="minor"/>
    </font>
    <font>
      <b/>
      <sz val="28"/>
      <color theme="1"/>
      <name val="Symbol"/>
      <family val="1"/>
      <charset val="2"/>
    </font>
    <font>
      <sz val="15"/>
      <color theme="1"/>
      <name val="Aptos Narrow"/>
      <family val="2"/>
      <scheme val="minor"/>
    </font>
    <font>
      <b/>
      <u/>
      <sz val="14"/>
      <color theme="1"/>
      <name val="Aptos Narrow"/>
      <family val="2"/>
      <scheme val="minor"/>
    </font>
    <font>
      <b/>
      <sz val="24"/>
      <color theme="1"/>
      <name val="Symbol"/>
      <family val="1"/>
      <charset val="2"/>
    </font>
    <font>
      <b/>
      <sz val="20"/>
      <color theme="1"/>
      <name val="Aptos Narrow"/>
      <family val="2"/>
      <scheme val="minor"/>
    </font>
    <font>
      <sz val="10"/>
      <color theme="1"/>
      <name val="Arial Unicode MS"/>
    </font>
    <font>
      <sz val="11"/>
      <color rgb="FFFF0000"/>
      <name val="Aptos Narrow"/>
      <family val="2"/>
      <scheme val="minor"/>
    </font>
    <font>
      <b/>
      <sz val="12"/>
      <color theme="1"/>
      <name val="Aptos"/>
      <family val="2"/>
    </font>
    <font>
      <strike/>
      <sz val="11"/>
      <color theme="1"/>
      <name val="Aptos Narrow"/>
      <family val="2"/>
      <scheme val="minor"/>
    </font>
    <font>
      <strike/>
      <sz val="11"/>
      <color rgb="FFFF0000"/>
      <name val="Aptos Narrow"/>
      <family val="2"/>
      <scheme val="minor"/>
    </font>
    <font>
      <strike/>
      <sz val="11"/>
      <name val="Aptos Narrow"/>
      <family val="2"/>
      <scheme val="minor"/>
    </font>
  </fonts>
  <fills count="28">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1"/>
        <bgColor indexed="64"/>
      </patternFill>
    </fill>
    <fill>
      <patternFill patternType="solid">
        <fgColor theme="0" tint="-4.9989318521683403E-2"/>
        <bgColor indexed="64"/>
      </patternFill>
    </fill>
    <fill>
      <patternFill patternType="solid">
        <fgColor rgb="FF00B0F0"/>
        <bgColor indexed="64"/>
      </patternFill>
    </fill>
  </fills>
  <borders count="9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9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0" fontId="2" fillId="0" borderId="70" xfId="0" applyFont="1" applyBorder="1"/>
    <xf numFmtId="0" fontId="2" fillId="0" borderId="70" xfId="0" applyFont="1" applyBorder="1" applyAlignment="1">
      <alignment horizontal="center" vertical="center" wrapText="1"/>
    </xf>
    <xf numFmtId="0" fontId="2" fillId="0" borderId="73"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0"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2"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8"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79" xfId="0" applyFont="1" applyFill="1" applyBorder="1"/>
    <xf numFmtId="0" fontId="2" fillId="0" borderId="11" xfId="0" applyFont="1" applyBorder="1" applyAlignment="1">
      <alignment horizontal="center" vertical="center"/>
    </xf>
    <xf numFmtId="0" fontId="4" fillId="7" borderId="65" xfId="0" applyFont="1" applyFill="1" applyBorder="1"/>
    <xf numFmtId="9" fontId="1" fillId="12" borderId="11" xfId="1" applyFill="1" applyBorder="1" applyAlignment="1" applyProtection="1">
      <alignment horizontal="right"/>
    </xf>
    <xf numFmtId="0" fontId="4" fillId="7" borderId="82"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8"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2" borderId="14" xfId="0" applyNumberFormat="1" applyFill="1" applyBorder="1" applyAlignment="1">
      <alignment horizontal="center"/>
    </xf>
    <xf numFmtId="0" fontId="2" fillId="0" borderId="18" xfId="0" applyFont="1" applyBorder="1" applyAlignment="1">
      <alignment horizontal="center" vertical="center" wrapText="1"/>
    </xf>
    <xf numFmtId="0" fontId="0" fillId="12"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8"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8" borderId="18" xfId="0" applyFont="1" applyFill="1" applyBorder="1" applyAlignment="1">
      <alignment horizontal="left" vertical="center"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8"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8"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8"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70"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0"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6"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5" borderId="18" xfId="0" applyNumberFormat="1" applyFill="1" applyBorder="1" applyAlignment="1" applyProtection="1">
      <alignment horizontal="left"/>
      <protection locked="0"/>
    </xf>
    <xf numFmtId="2" fontId="0" fillId="15" borderId="1" xfId="0" applyNumberFormat="1" applyFill="1" applyBorder="1" applyAlignment="1" applyProtection="1">
      <alignment horizontal="left"/>
      <protection locked="0"/>
    </xf>
    <xf numFmtId="0" fontId="2" fillId="18" borderId="70" xfId="0" applyFont="1" applyFill="1" applyBorder="1" applyAlignment="1">
      <alignment horizontal="center" vertical="center" wrapText="1"/>
    </xf>
    <xf numFmtId="0" fontId="2" fillId="18" borderId="66" xfId="0" applyFont="1" applyFill="1" applyBorder="1" applyAlignment="1">
      <alignment horizontal="center" vertical="center" wrapText="1"/>
    </xf>
    <xf numFmtId="0" fontId="2" fillId="18" borderId="33" xfId="0" applyFont="1" applyFill="1" applyBorder="1" applyAlignment="1">
      <alignment horizontal="center" vertical="center" wrapText="1"/>
    </xf>
    <xf numFmtId="170" fontId="0" fillId="18" borderId="7" xfId="0" applyNumberFormat="1" applyFill="1" applyBorder="1" applyAlignment="1">
      <alignment vertical="center" wrapText="1"/>
    </xf>
    <xf numFmtId="170" fontId="0" fillId="18" borderId="8" xfId="0" applyNumberFormat="1" applyFill="1" applyBorder="1" applyAlignment="1">
      <alignment vertical="center" wrapText="1"/>
    </xf>
    <xf numFmtId="170" fontId="0" fillId="18" borderId="9" xfId="0" applyNumberFormat="1" applyFill="1" applyBorder="1" applyAlignment="1">
      <alignment vertical="center" wrapText="1"/>
    </xf>
    <xf numFmtId="170" fontId="0" fillId="18" borderId="18" xfId="0" applyNumberFormat="1" applyFill="1" applyBorder="1" applyAlignment="1">
      <alignment vertical="center" wrapText="1"/>
    </xf>
    <xf numFmtId="170" fontId="0" fillId="18" borderId="1" xfId="0" applyNumberFormat="1" applyFill="1" applyBorder="1" applyAlignment="1">
      <alignment vertical="center" wrapText="1"/>
    </xf>
    <xf numFmtId="170" fontId="0" fillId="18" borderId="11" xfId="0" applyNumberFormat="1" applyFill="1" applyBorder="1" applyAlignment="1">
      <alignment vertical="center" wrapText="1"/>
    </xf>
    <xf numFmtId="170" fontId="0" fillId="18" borderId="19" xfId="0" applyNumberFormat="1" applyFill="1" applyBorder="1" applyAlignment="1">
      <alignment vertical="center" wrapText="1"/>
    </xf>
    <xf numFmtId="170" fontId="0" fillId="18" borderId="20" xfId="0" applyNumberFormat="1" applyFill="1" applyBorder="1" applyAlignment="1">
      <alignment vertical="center" wrapText="1"/>
    </xf>
    <xf numFmtId="170" fontId="0" fillId="18"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2" borderId="21" xfId="0" applyFill="1" applyBorder="1" applyAlignment="1" applyProtection="1">
      <alignment horizontal="center" wrapText="1"/>
      <protection locked="0"/>
    </xf>
    <xf numFmtId="0" fontId="0" fillId="12" borderId="56" xfId="0" applyFill="1" applyBorder="1" applyAlignment="1" applyProtection="1">
      <alignment horizontal="center" wrapText="1"/>
      <protection locked="0"/>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19" borderId="1" xfId="0" applyNumberFormat="1" applyFill="1" applyBorder="1" applyProtection="1">
      <protection locked="0"/>
    </xf>
    <xf numFmtId="0" fontId="2" fillId="0" borderId="70" xfId="0" applyFont="1" applyBorder="1" applyAlignment="1" applyProtection="1">
      <alignment horizontal="center" vertical="center"/>
      <protection locked="0"/>
    </xf>
    <xf numFmtId="2" fontId="0" fillId="19" borderId="2" xfId="0" applyNumberFormat="1" applyFill="1" applyBorder="1" applyProtection="1">
      <protection locked="0"/>
    </xf>
    <xf numFmtId="2" fontId="0" fillId="15"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5" borderId="39" xfId="0" applyNumberFormat="1" applyFill="1" applyBorder="1" applyAlignment="1" applyProtection="1">
      <alignment horizontal="left"/>
      <protection locked="0"/>
    </xf>
    <xf numFmtId="2" fontId="0" fillId="15" borderId="48" xfId="0" applyNumberFormat="1" applyFill="1" applyBorder="1" applyAlignment="1" applyProtection="1">
      <alignment horizontal="left"/>
      <protection locked="0"/>
    </xf>
    <xf numFmtId="2" fontId="0" fillId="15"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2" borderId="14" xfId="1" applyFont="1" applyFill="1" applyBorder="1" applyAlignment="1" applyProtection="1">
      <alignment horizontal="right"/>
    </xf>
    <xf numFmtId="9" fontId="0" fillId="12"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0" fillId="7" borderId="66" xfId="0" applyFill="1" applyBorder="1"/>
    <xf numFmtId="0" fontId="0" fillId="7" borderId="86" xfId="0" applyFill="1" applyBorder="1"/>
    <xf numFmtId="0" fontId="0" fillId="7" borderId="73"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2" borderId="20" xfId="0" applyNumberFormat="1" applyFill="1" applyBorder="1" applyAlignment="1" applyProtection="1">
      <alignment horizontal="right" vertical="center"/>
      <protection locked="0"/>
    </xf>
    <xf numFmtId="2" fontId="0" fillId="12" borderId="6" xfId="2" applyFont="1" applyFill="1" applyBorder="1" applyAlignment="1">
      <alignment horizontal="right" vertical="center"/>
    </xf>
    <xf numFmtId="2" fontId="0" fillId="12"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2"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0" borderId="20" xfId="0" applyNumberFormat="1" applyBorder="1" applyAlignment="1" applyProtection="1">
      <alignment horizontal="right"/>
      <protection locked="0"/>
    </xf>
    <xf numFmtId="2" fontId="0" fillId="12"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8" borderId="11" xfId="1" applyFont="1" applyFill="1" applyBorder="1" applyAlignment="1" applyProtection="1">
      <alignment horizontal="right"/>
    </xf>
    <xf numFmtId="0" fontId="2" fillId="0" borderId="1" xfId="0" applyFont="1" applyBorder="1" applyAlignment="1">
      <alignment horizontal="center" vertical="center" wrapText="1"/>
    </xf>
    <xf numFmtId="2" fontId="0" fillId="12" borderId="11" xfId="2" applyFont="1" applyFill="1" applyBorder="1" applyAlignment="1">
      <alignment horizontal="right"/>
    </xf>
    <xf numFmtId="2" fontId="0" fillId="12" borderId="14" xfId="2" applyFont="1" applyFill="1" applyBorder="1" applyAlignment="1">
      <alignment horizontal="right"/>
    </xf>
    <xf numFmtId="2" fontId="0" fillId="16" borderId="6" xfId="0" applyNumberFormat="1" applyFill="1" applyBorder="1"/>
    <xf numFmtId="2" fontId="0" fillId="16" borderId="43" xfId="0" applyNumberFormat="1" applyFill="1" applyBorder="1"/>
    <xf numFmtId="2" fontId="0" fillId="16" borderId="2" xfId="0" applyNumberFormat="1" applyFill="1" applyBorder="1"/>
    <xf numFmtId="2" fontId="21" fillId="16" borderId="2" xfId="0" applyNumberFormat="1" applyFont="1" applyFill="1" applyBorder="1" applyAlignment="1">
      <alignment horizontal="right"/>
    </xf>
    <xf numFmtId="2" fontId="0" fillId="16" borderId="1" xfId="0" applyNumberFormat="1" applyFill="1" applyBorder="1"/>
    <xf numFmtId="2" fontId="2" fillId="16" borderId="2" xfId="0" applyNumberFormat="1" applyFont="1" applyFill="1" applyBorder="1"/>
    <xf numFmtId="2" fontId="0" fillId="16" borderId="48" xfId="0" applyNumberFormat="1" applyFill="1" applyBorder="1"/>
    <xf numFmtId="2" fontId="0" fillId="16" borderId="46" xfId="0" applyNumberFormat="1" applyFill="1" applyBorder="1"/>
    <xf numFmtId="0" fontId="2" fillId="0" borderId="70" xfId="0" applyFont="1" applyBorder="1" applyAlignment="1">
      <alignment horizontal="left" vertical="center"/>
    </xf>
    <xf numFmtId="0" fontId="0" fillId="7" borderId="26" xfId="0" applyFill="1" applyBorder="1" applyAlignment="1">
      <alignment horizontal="center"/>
    </xf>
    <xf numFmtId="2" fontId="0" fillId="19"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2"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0" fontId="0" fillId="10" borderId="0" xfId="0" applyFill="1"/>
    <xf numFmtId="0" fontId="15" fillId="10" borderId="0" xfId="0" applyFont="1" applyFill="1"/>
    <xf numFmtId="0" fontId="15" fillId="0" borderId="0" xfId="0" applyFont="1"/>
    <xf numFmtId="0" fontId="22" fillId="10" borderId="0" xfId="0" applyFont="1" applyFill="1" applyAlignment="1">
      <alignment vertical="center" wrapText="1"/>
    </xf>
    <xf numFmtId="0" fontId="19" fillId="10" borderId="0" xfId="0" applyFont="1" applyFill="1" applyAlignment="1">
      <alignment horizontal="left" vertical="center" wrapText="1"/>
    </xf>
    <xf numFmtId="0" fontId="26" fillId="10"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0" borderId="0" xfId="0" applyFont="1" applyFill="1" applyAlignment="1">
      <alignment vertical="center" wrapText="1"/>
    </xf>
    <xf numFmtId="0" fontId="18" fillId="10" borderId="0" xfId="0" applyFont="1" applyFill="1" applyAlignment="1">
      <alignment vertical="top" wrapText="1"/>
    </xf>
    <xf numFmtId="0" fontId="0" fillId="0" borderId="0" xfId="0" applyAlignment="1">
      <alignment vertical="top"/>
    </xf>
    <xf numFmtId="0" fontId="26" fillId="20" borderId="2" xfId="0" applyFont="1" applyFill="1" applyBorder="1" applyAlignment="1">
      <alignment horizontal="left" vertical="center"/>
    </xf>
    <xf numFmtId="0" fontId="14" fillId="0" borderId="0" xfId="0" applyFont="1" applyAlignment="1">
      <alignment horizontal="center" vertical="center"/>
    </xf>
    <xf numFmtId="0" fontId="26" fillId="11"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2" borderId="2" xfId="0" applyFont="1" applyFill="1" applyBorder="1" applyAlignment="1">
      <alignment horizontal="left" vertical="center" wrapText="1"/>
    </xf>
    <xf numFmtId="0" fontId="18" fillId="0" borderId="0" xfId="0" applyFont="1" applyAlignment="1">
      <alignment vertical="center" wrapText="1"/>
    </xf>
    <xf numFmtId="0" fontId="27" fillId="18"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9" borderId="2" xfId="0" applyFont="1" applyFill="1" applyBorder="1" applyAlignment="1">
      <alignment horizontal="left" vertical="center" wrapText="1"/>
    </xf>
    <xf numFmtId="0" fontId="26" fillId="8" borderId="2" xfId="0" applyFont="1" applyFill="1" applyBorder="1" applyAlignment="1">
      <alignment horizontal="left" vertical="center"/>
    </xf>
    <xf numFmtId="0" fontId="19" fillId="7" borderId="67"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5" borderId="88" xfId="0" applyFill="1" applyBorder="1" applyAlignment="1" applyProtection="1">
      <alignment horizontal="center"/>
      <protection locked="0"/>
    </xf>
    <xf numFmtId="0" fontId="0" fillId="15" borderId="56" xfId="0" applyFill="1" applyBorder="1" applyAlignment="1" applyProtection="1">
      <alignment horizontal="center"/>
      <protection locked="0"/>
    </xf>
    <xf numFmtId="0" fontId="26" fillId="7" borderId="74" xfId="0" applyFont="1" applyFill="1" applyBorder="1"/>
    <xf numFmtId="0" fontId="2" fillId="7" borderId="0" xfId="0" applyFont="1" applyFill="1"/>
    <xf numFmtId="0" fontId="28" fillId="7" borderId="0" xfId="0" applyFont="1" applyFill="1" applyAlignment="1">
      <alignment horizontal="left" wrapText="1"/>
    </xf>
    <xf numFmtId="2" fontId="0" fillId="15" borderId="70" xfId="0" applyNumberFormat="1" applyFill="1" applyBorder="1" applyAlignment="1">
      <alignment horizontal="center"/>
    </xf>
    <xf numFmtId="0" fontId="18" fillId="7" borderId="0" xfId="0" applyFont="1" applyFill="1" applyAlignment="1">
      <alignment vertical="center" wrapText="1"/>
    </xf>
    <xf numFmtId="166" fontId="0" fillId="12" borderId="70" xfId="2" applyNumberFormat="1" applyFont="1" applyFill="1" applyBorder="1" applyAlignment="1">
      <alignment horizontal="center" vertical="center"/>
    </xf>
    <xf numFmtId="0" fontId="0" fillId="7" borderId="41" xfId="0" applyFill="1" applyBorder="1"/>
    <xf numFmtId="0" fontId="2" fillId="0" borderId="70" xfId="0" applyFont="1" applyBorder="1" applyAlignment="1">
      <alignment horizontal="center"/>
    </xf>
    <xf numFmtId="166" fontId="0" fillId="12" borderId="56" xfId="0" applyNumberFormat="1" applyFill="1" applyBorder="1" applyAlignment="1">
      <alignment horizontal="center"/>
    </xf>
    <xf numFmtId="166" fontId="0" fillId="12" borderId="88" xfId="0" applyNumberFormat="1" applyFill="1" applyBorder="1" applyAlignment="1">
      <alignment horizontal="center"/>
    </xf>
    <xf numFmtId="166" fontId="0" fillId="12" borderId="49" xfId="0" applyNumberFormat="1" applyFill="1" applyBorder="1" applyAlignment="1">
      <alignment horizontal="center"/>
    </xf>
    <xf numFmtId="0" fontId="2" fillId="0" borderId="62" xfId="0" applyFont="1" applyBorder="1" applyAlignment="1">
      <alignment horizontal="center"/>
    </xf>
    <xf numFmtId="166" fontId="0" fillId="12" borderId="21" xfId="0" applyNumberFormat="1" applyFill="1" applyBorder="1" applyAlignment="1">
      <alignment horizontal="center"/>
    </xf>
    <xf numFmtId="166" fontId="0" fillId="12" borderId="63" xfId="0" applyNumberFormat="1" applyFill="1" applyBorder="1" applyAlignment="1">
      <alignment horizontal="center"/>
    </xf>
    <xf numFmtId="0" fontId="0" fillId="7" borderId="0" xfId="0" applyFill="1" applyAlignment="1">
      <alignment wrapText="1"/>
    </xf>
    <xf numFmtId="166" fontId="0" fillId="12" borderId="36" xfId="0" applyNumberFormat="1" applyFill="1" applyBorder="1" applyAlignment="1">
      <alignment horizontal="center"/>
    </xf>
    <xf numFmtId="166" fontId="0" fillId="12" borderId="87" xfId="0" applyNumberFormat="1" applyFill="1" applyBorder="1" applyAlignment="1">
      <alignment horizontal="center"/>
    </xf>
    <xf numFmtId="166" fontId="2" fillId="12" borderId="62"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indent="2"/>
    </xf>
    <xf numFmtId="0" fontId="0" fillId="0" borderId="0" xfId="0" applyAlignment="1">
      <alignment horizontal="left" indent="1"/>
    </xf>
    <xf numFmtId="0" fontId="0" fillId="6" borderId="1" xfId="0" applyFill="1" applyBorder="1" applyProtection="1">
      <protection locked="0"/>
    </xf>
    <xf numFmtId="0" fontId="0" fillId="12"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7" borderId="46" xfId="0" applyFill="1" applyBorder="1"/>
    <xf numFmtId="0" fontId="0" fillId="7" borderId="5" xfId="0" applyFill="1" applyBorder="1"/>
    <xf numFmtId="0" fontId="0" fillId="7" borderId="53" xfId="0" applyFill="1" applyBorder="1"/>
    <xf numFmtId="0" fontId="0" fillId="15" borderId="70" xfId="0" applyFill="1" applyBorder="1" applyAlignment="1">
      <alignment horizontal="center" vertical="center"/>
    </xf>
    <xf numFmtId="0" fontId="0" fillId="7" borderId="54" xfId="0" applyFill="1" applyBorder="1"/>
    <xf numFmtId="0" fontId="0" fillId="12" borderId="70"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5" borderId="59" xfId="0" applyFill="1" applyBorder="1" applyAlignment="1">
      <alignment horizontal="center"/>
    </xf>
    <xf numFmtId="0" fontId="2" fillId="7" borderId="54" xfId="0" applyFont="1" applyFill="1" applyBorder="1"/>
    <xf numFmtId="0" fontId="0" fillId="15" borderId="61" xfId="0" applyFill="1" applyBorder="1" applyAlignment="1">
      <alignment horizontal="center"/>
    </xf>
    <xf numFmtId="0" fontId="0" fillId="7" borderId="40" xfId="0" applyFill="1" applyBorder="1"/>
    <xf numFmtId="0" fontId="2" fillId="12"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5" borderId="87" xfId="0" applyFill="1" applyBorder="1" applyAlignment="1" applyProtection="1">
      <alignment horizontal="center"/>
      <protection locked="0"/>
    </xf>
    <xf numFmtId="0" fontId="0" fillId="15" borderId="36" xfId="0" applyFill="1" applyBorder="1" applyAlignment="1" applyProtection="1">
      <alignment horizontal="center"/>
      <protection locked="0"/>
    </xf>
    <xf numFmtId="166" fontId="0" fillId="12"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2"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8" borderId="11" xfId="0" applyFill="1" applyBorder="1" applyAlignment="1">
      <alignment horizontal="left" vertical="top" wrapText="1"/>
    </xf>
    <xf numFmtId="0" fontId="0" fillId="18" borderId="11" xfId="0" applyFill="1" applyBorder="1" applyAlignment="1">
      <alignment horizontal="left" vertical="center" wrapText="1"/>
    </xf>
    <xf numFmtId="0" fontId="0" fillId="18"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2"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2" borderId="1" xfId="2" applyFont="1" applyFill="1" applyAlignment="1">
      <alignment horizontal="right" vertical="center"/>
    </xf>
    <xf numFmtId="0" fontId="10" fillId="0" borderId="18" xfId="0" applyFont="1" applyBorder="1" applyAlignment="1">
      <alignment horizontal="center" vertical="center" wrapText="1"/>
    </xf>
    <xf numFmtId="2" fontId="0" fillId="12" borderId="48" xfId="2" applyFont="1" applyFill="1" applyBorder="1" applyAlignment="1">
      <alignment horizontal="right" vertical="center"/>
    </xf>
    <xf numFmtId="9" fontId="1" fillId="12" borderId="51" xfId="1" applyFill="1" applyBorder="1" applyAlignment="1" applyProtection="1">
      <alignment horizontal="right"/>
    </xf>
    <xf numFmtId="9" fontId="0" fillId="7" borderId="65"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4" xfId="0" applyFont="1" applyBorder="1" applyAlignment="1">
      <alignment horizontal="center" vertical="center" wrapText="1"/>
    </xf>
    <xf numFmtId="2" fontId="0" fillId="12"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4" fillId="18" borderId="30" xfId="0" applyFont="1" applyFill="1" applyBorder="1" applyAlignment="1">
      <alignment horizontal="left" vertical="center"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2" fillId="0" borderId="70" xfId="0" applyFont="1" applyBorder="1" applyAlignment="1">
      <alignment horizontal="center" vertical="center"/>
    </xf>
    <xf numFmtId="0" fontId="2" fillId="7" borderId="35" xfId="0" applyFont="1" applyFill="1" applyBorder="1" applyAlignment="1">
      <alignment horizontal="center" vertical="center"/>
    </xf>
    <xf numFmtId="0" fontId="2" fillId="7" borderId="70" xfId="0" applyFont="1" applyFill="1" applyBorder="1" applyAlignment="1">
      <alignment horizontal="center" vertical="center"/>
    </xf>
    <xf numFmtId="0" fontId="2" fillId="7" borderId="33" xfId="0" applyFont="1" applyFill="1" applyBorder="1" applyAlignment="1">
      <alignment horizontal="center" vertical="center"/>
    </xf>
    <xf numFmtId="0" fontId="33" fillId="6" borderId="61" xfId="0" applyFont="1" applyFill="1" applyBorder="1" applyAlignment="1">
      <alignment wrapText="1"/>
    </xf>
    <xf numFmtId="0" fontId="33" fillId="6" borderId="86" xfId="0" applyFont="1" applyFill="1" applyBorder="1" applyAlignment="1">
      <alignment wrapText="1"/>
    </xf>
    <xf numFmtId="0" fontId="2" fillId="6" borderId="66" xfId="0" applyFont="1" applyFill="1" applyBorder="1" applyAlignment="1">
      <alignment horizontal="center" vertical="center"/>
    </xf>
    <xf numFmtId="0" fontId="2" fillId="6" borderId="61" xfId="0" applyFont="1" applyFill="1" applyBorder="1" applyAlignment="1">
      <alignment horizontal="center" vertical="center"/>
    </xf>
    <xf numFmtId="0" fontId="0" fillId="0" borderId="50" xfId="0" applyBorder="1"/>
    <xf numFmtId="0" fontId="2" fillId="21" borderId="50" xfId="0" applyFont="1" applyFill="1" applyBorder="1" applyAlignment="1">
      <alignment horizontal="center" vertical="center" wrapText="1"/>
    </xf>
    <xf numFmtId="0" fontId="0" fillId="12"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26" fillId="21"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3" xfId="0" applyFont="1" applyFill="1" applyBorder="1" applyAlignment="1">
      <alignment horizontal="center" vertical="center"/>
    </xf>
    <xf numFmtId="0" fontId="33" fillId="0" borderId="86" xfId="0" applyFont="1" applyBorder="1" applyAlignment="1">
      <alignment horizontal="center" vertical="center"/>
    </xf>
    <xf numFmtId="0" fontId="2" fillId="7" borderId="86"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6" xfId="0" applyFont="1" applyBorder="1" applyAlignment="1">
      <alignment horizontal="center" vertical="center"/>
    </xf>
    <xf numFmtId="0" fontId="2" fillId="7" borderId="88" xfId="0" applyFont="1" applyFill="1" applyBorder="1" applyAlignment="1">
      <alignment horizontal="center" vertical="center"/>
    </xf>
    <xf numFmtId="0" fontId="2" fillId="6" borderId="86" xfId="0" applyFont="1" applyFill="1" applyBorder="1" applyAlignment="1">
      <alignment horizontal="center" vertical="center"/>
    </xf>
    <xf numFmtId="0" fontId="0" fillId="7" borderId="86" xfId="0" applyFill="1" applyBorder="1" applyProtection="1">
      <protection locked="0"/>
      <extLst>
        <ext xmlns:xfpb="http://schemas.microsoft.com/office/spreadsheetml/2022/featurepropertybag" uri="{C7286773-470A-42A8-94C5-96B5CB345126}">
          <xfpb:xfComplement i="0"/>
        </ext>
      </extLst>
    </xf>
    <xf numFmtId="0" fontId="0" fillId="7" borderId="73" xfId="0" applyFill="1" applyBorder="1" applyProtection="1">
      <protection locked="0"/>
      <extLst>
        <ext xmlns:xfpb="http://schemas.microsoft.com/office/spreadsheetml/2022/featurepropertybag" uri="{C7286773-470A-42A8-94C5-96B5CB345126}">
          <xfpb:xfComplement i="0"/>
        </ext>
      </extLst>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2" borderId="61" xfId="0" applyFont="1" applyFill="1" applyBorder="1" applyAlignment="1">
      <alignment horizontal="center" vertical="center"/>
    </xf>
    <xf numFmtId="0" fontId="2" fillId="22" borderId="86" xfId="0" applyFont="1" applyFill="1" applyBorder="1" applyAlignment="1">
      <alignment horizontal="center" vertical="center"/>
    </xf>
    <xf numFmtId="0" fontId="2" fillId="22" borderId="59" xfId="0" applyFont="1" applyFill="1" applyBorder="1" applyAlignment="1">
      <alignment horizontal="center" vertical="center"/>
    </xf>
    <xf numFmtId="0" fontId="2" fillId="22" borderId="73" xfId="0" applyFont="1" applyFill="1" applyBorder="1" applyAlignment="1">
      <alignment horizontal="center" vertical="center"/>
    </xf>
    <xf numFmtId="0" fontId="2" fillId="22" borderId="88" xfId="0" applyFont="1" applyFill="1" applyBorder="1" applyAlignment="1">
      <alignment horizontal="center" vertical="center"/>
    </xf>
    <xf numFmtId="0" fontId="2" fillId="22" borderId="66" xfId="0" applyFont="1" applyFill="1" applyBorder="1" applyAlignment="1">
      <alignment horizontal="center" vertical="center"/>
    </xf>
    <xf numFmtId="0" fontId="0" fillId="7" borderId="86" xfId="0" applyFill="1" applyBorder="1" applyAlignment="1">
      <alignment wrapText="1"/>
      <extLst>
        <ext xmlns:xfpb="http://schemas.microsoft.com/office/spreadsheetml/2022/featurepropertybag" uri="{C7286773-470A-42A8-94C5-96B5CB345126}">
          <xfpb:xfComplement i="0"/>
        </ext>
      </extLst>
    </xf>
    <xf numFmtId="0" fontId="0" fillId="7" borderId="86" xfId="0" applyFill="1" applyBorder="1">
      <extLst>
        <ext xmlns:xfpb="http://schemas.microsoft.com/office/spreadsheetml/2022/featurepropertybag" uri="{C7286773-470A-42A8-94C5-96B5CB345126}">
          <xfpb:xfComplement i="0"/>
        </ext>
      </extLst>
    </xf>
    <xf numFmtId="0" fontId="2" fillId="7" borderId="61" xfId="0" applyFont="1" applyFill="1" applyBorder="1" applyAlignment="1">
      <alignment horizontal="center" vertical="center"/>
    </xf>
    <xf numFmtId="0" fontId="0" fillId="7" borderId="61" xfId="0" applyFill="1" applyBorder="1"/>
    <xf numFmtId="0" fontId="0" fillId="7" borderId="59" xfId="0" applyFill="1" applyBorder="1"/>
    <xf numFmtId="0" fontId="0" fillId="7" borderId="66" xfId="0" applyFill="1" applyBorder="1" applyProtection="1">
      <protection locked="0"/>
    </xf>
    <xf numFmtId="0" fontId="6" fillId="0" borderId="48" xfId="3" applyFill="1" applyBorder="1" applyAlignment="1">
      <alignment horizontal="center" vertical="center"/>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8" xfId="0" applyFont="1" applyFill="1" applyBorder="1" applyAlignment="1">
      <alignment horizontal="center"/>
    </xf>
    <xf numFmtId="0" fontId="34" fillId="0" borderId="88"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0" fillId="0" borderId="86" xfId="0" applyFont="1" applyBorder="1" applyAlignment="1">
      <alignment horizontal="center" vertical="center"/>
    </xf>
    <xf numFmtId="0" fontId="41" fillId="7" borderId="15" xfId="0" applyFont="1" applyFill="1" applyBorder="1" applyAlignment="1">
      <alignment horizontal="center" vertical="center"/>
    </xf>
    <xf numFmtId="0" fontId="41" fillId="7" borderId="59" xfId="0" applyFont="1" applyFill="1" applyBorder="1" applyAlignment="1">
      <alignment horizontal="center" vertical="center"/>
    </xf>
    <xf numFmtId="0" fontId="41" fillId="0" borderId="59" xfId="0" quotePrefix="1" applyFont="1" applyBorder="1" applyAlignment="1">
      <alignment horizontal="center" vertical="center" wrapText="1"/>
    </xf>
    <xf numFmtId="0" fontId="32" fillId="7" borderId="25" xfId="3" applyFont="1" applyFill="1" applyBorder="1" applyAlignment="1" applyProtection="1">
      <alignment horizontal="left" wrapText="1" indent="1"/>
    </xf>
    <xf numFmtId="0" fontId="32" fillId="7" borderId="25" xfId="3" quotePrefix="1" applyFont="1" applyFill="1" applyBorder="1" applyAlignment="1" applyProtection="1">
      <alignment horizontal="left" vertical="center" wrapText="1"/>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7" borderId="0" xfId="0" applyFill="1" applyAlignment="1">
      <alignment vertical="center"/>
    </xf>
    <xf numFmtId="0" fontId="6" fillId="7" borderId="25" xfId="3" quotePrefix="1" applyFill="1" applyBorder="1" applyAlignment="1" applyProtection="1">
      <alignment horizontal="left" vertical="center" wrapText="1"/>
    </xf>
    <xf numFmtId="0" fontId="32" fillId="7" borderId="25" xfId="3" quotePrefix="1" applyFont="1" applyFill="1" applyBorder="1" applyAlignment="1">
      <alignment horizontal="left" wrapText="1"/>
    </xf>
    <xf numFmtId="0" fontId="6" fillId="7" borderId="25" xfId="3" quotePrefix="1" applyFill="1" applyBorder="1" applyAlignment="1">
      <alignment horizontal="left" wrapText="1"/>
    </xf>
    <xf numFmtId="0" fontId="0" fillId="0" borderId="0" xfId="0"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wrapText="1"/>
    </xf>
    <xf numFmtId="0" fontId="0" fillId="0" borderId="1" xfId="0" applyBorder="1" applyAlignment="1">
      <alignment horizont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0" xfId="0" applyAlignment="1">
      <alignment horizontal="left" wrapText="1"/>
    </xf>
    <xf numFmtId="0" fontId="9" fillId="0" borderId="0" xfId="0" applyFont="1" applyAlignment="1">
      <alignment horizontal="left" vertical="top" wrapText="1"/>
    </xf>
    <xf numFmtId="0" fontId="0" fillId="0" borderId="22" xfId="0" applyBorder="1" applyAlignment="1">
      <alignment horizontal="left" vertical="center" wrapText="1"/>
    </xf>
    <xf numFmtId="0" fontId="0" fillId="0" borderId="22" xfId="0" quotePrefix="1" applyBorder="1" applyAlignment="1">
      <alignment horizontal="left" vertical="center" wrapText="1"/>
    </xf>
    <xf numFmtId="0" fontId="0" fillId="0" borderId="22" xfId="0" applyBorder="1" applyAlignment="1">
      <alignment horizontal="left" wrapText="1"/>
    </xf>
    <xf numFmtId="0" fontId="9" fillId="0" borderId="22" xfId="0" applyFont="1" applyBorder="1" applyAlignment="1">
      <alignment horizontal="left" vertical="top" wrapText="1"/>
    </xf>
    <xf numFmtId="0" fontId="0" fillId="0" borderId="22" xfId="0" applyBorder="1" applyAlignment="1">
      <alignment wrapText="1"/>
    </xf>
    <xf numFmtId="0" fontId="38" fillId="0" borderId="0" xfId="0" applyFont="1" applyAlignment="1">
      <alignment wrapText="1"/>
    </xf>
    <xf numFmtId="0" fontId="0" fillId="0" borderId="18" xfId="0" applyBorder="1" applyAlignment="1">
      <alignment vertical="center" wrapText="1"/>
    </xf>
    <xf numFmtId="0" fontId="38" fillId="0" borderId="22" xfId="0" applyFont="1" applyBorder="1" applyAlignment="1">
      <alignment wrapText="1"/>
    </xf>
    <xf numFmtId="165" fontId="1" fillId="15" borderId="1" xfId="2" applyNumberFormat="1" applyFill="1" applyAlignment="1" applyProtection="1">
      <alignment horizontal="center" vertical="center"/>
      <protection locked="0"/>
    </xf>
    <xf numFmtId="0" fontId="0" fillId="15" borderId="8" xfId="0" applyFill="1" applyBorder="1" applyAlignment="1" applyProtection="1">
      <alignment horizontal="center"/>
      <protection locked="0"/>
    </xf>
    <xf numFmtId="0" fontId="0" fillId="15" borderId="9" xfId="0" applyFill="1" applyBorder="1" applyAlignment="1" applyProtection="1">
      <alignment horizontal="center"/>
      <protection locked="0"/>
    </xf>
    <xf numFmtId="165" fontId="1" fillId="15" borderId="20" xfId="2" applyNumberFormat="1" applyFill="1" applyBorder="1" applyAlignment="1" applyProtection="1">
      <alignment horizontal="center" vertical="center"/>
      <protection locked="0"/>
    </xf>
    <xf numFmtId="167" fontId="1" fillId="12" borderId="14" xfId="2" applyNumberFormat="1" applyFill="1" applyBorder="1" applyAlignment="1">
      <alignment horizontal="center" vertical="center"/>
    </xf>
    <xf numFmtId="167" fontId="1" fillId="12" borderId="11" xfId="2" applyNumberFormat="1" applyFill="1" applyBorder="1" applyAlignment="1">
      <alignment horizontal="center" vertical="center"/>
    </xf>
    <xf numFmtId="165" fontId="1" fillId="7" borderId="22" xfId="2" applyNumberFormat="1" applyFill="1" applyBorder="1" applyAlignment="1">
      <alignment horizontal="center" vertical="center"/>
    </xf>
    <xf numFmtId="165" fontId="1" fillId="12" borderId="14" xfId="2" applyNumberFormat="1" applyFill="1" applyBorder="1" applyAlignment="1">
      <alignment horizontal="center" vertical="center"/>
    </xf>
    <xf numFmtId="166" fontId="1" fillId="12" borderId="14" xfId="2" applyNumberFormat="1" applyFill="1" applyBorder="1" applyAlignment="1">
      <alignment horizontal="center" vertical="center"/>
    </xf>
    <xf numFmtId="0" fontId="0" fillId="17" borderId="6" xfId="0" applyFill="1" applyBorder="1" applyAlignment="1">
      <alignment horizontal="center"/>
    </xf>
    <xf numFmtId="167" fontId="1" fillId="12" borderId="44" xfId="2" applyNumberFormat="1" applyFill="1" applyBorder="1" applyAlignment="1">
      <alignment horizontal="center" vertical="center"/>
    </xf>
    <xf numFmtId="0" fontId="0" fillId="23" borderId="0" xfId="0" applyFill="1"/>
    <xf numFmtId="0" fontId="42" fillId="23" borderId="0" xfId="0" applyFont="1" applyFill="1" applyAlignment="1">
      <alignment vertical="top"/>
    </xf>
    <xf numFmtId="0" fontId="0" fillId="0" borderId="5" xfId="0" applyBorder="1"/>
    <xf numFmtId="0" fontId="42" fillId="23" borderId="25" xfId="0" applyFont="1" applyFill="1" applyBorder="1" applyAlignment="1">
      <alignment vertical="top"/>
    </xf>
    <xf numFmtId="0" fontId="45" fillId="22" borderId="62" xfId="0" applyFont="1" applyFill="1" applyBorder="1" applyAlignment="1">
      <alignment horizontal="right"/>
    </xf>
    <xf numFmtId="0" fontId="44" fillId="23" borderId="0" xfId="0" applyFont="1" applyFill="1" applyAlignment="1">
      <alignment vertical="top"/>
    </xf>
    <xf numFmtId="0" fontId="2" fillId="0" borderId="70" xfId="0" applyFont="1" applyBorder="1" applyAlignment="1">
      <alignment wrapText="1"/>
    </xf>
    <xf numFmtId="0" fontId="0" fillId="0" borderId="6" xfId="0" applyBorder="1" applyAlignment="1">
      <alignment wrapText="1"/>
    </xf>
    <xf numFmtId="0" fontId="0" fillId="0" borderId="1" xfId="0" applyBorder="1" applyAlignment="1">
      <alignment wrapText="1"/>
    </xf>
    <xf numFmtId="0" fontId="0" fillId="0" borderId="44" xfId="0" applyBorder="1" applyAlignment="1">
      <alignment wrapText="1"/>
    </xf>
    <xf numFmtId="0" fontId="0" fillId="0" borderId="11" xfId="0" applyBorder="1" applyAlignment="1">
      <alignment wrapText="1"/>
    </xf>
    <xf numFmtId="0" fontId="0" fillId="0" borderId="20" xfId="0" applyBorder="1" applyAlignment="1">
      <alignment wrapText="1"/>
    </xf>
    <xf numFmtId="0" fontId="0" fillId="0" borderId="14" xfId="0" applyBorder="1" applyAlignment="1">
      <alignment wrapText="1"/>
    </xf>
    <xf numFmtId="0" fontId="2" fillId="0" borderId="35" xfId="0" applyFont="1" applyBorder="1" applyAlignment="1">
      <alignment wrapText="1"/>
    </xf>
    <xf numFmtId="0" fontId="0" fillId="0" borderId="40" xfId="0" applyBorder="1" applyAlignment="1">
      <alignment wrapText="1"/>
    </xf>
    <xf numFmtId="0" fontId="0" fillId="0" borderId="4" xfId="0" applyBorder="1" applyAlignment="1">
      <alignment wrapText="1"/>
    </xf>
    <xf numFmtId="0" fontId="0" fillId="0" borderId="13" xfId="0" applyBorder="1" applyAlignment="1">
      <alignment wrapText="1"/>
    </xf>
    <xf numFmtId="0" fontId="2" fillId="6" borderId="70" xfId="0" applyFont="1" applyFill="1" applyBorder="1" applyAlignment="1">
      <alignment horizontal="center"/>
    </xf>
    <xf numFmtId="0" fontId="0" fillId="7" borderId="0" xfId="0" applyFill="1" applyAlignment="1">
      <alignment vertical="center" wrapText="1"/>
    </xf>
    <xf numFmtId="0" fontId="16" fillId="7" borderId="0" xfId="0" applyFont="1" applyFill="1"/>
    <xf numFmtId="0" fontId="0" fillId="6" borderId="34" xfId="0" applyFill="1" applyBorder="1"/>
    <xf numFmtId="0" fontId="0" fillId="6" borderId="35" xfId="0" applyFill="1" applyBorder="1"/>
    <xf numFmtId="0" fontId="33" fillId="7" borderId="0" xfId="0" applyFont="1" applyFill="1" applyAlignment="1">
      <alignment vertical="center" wrapText="1"/>
    </xf>
    <xf numFmtId="0" fontId="33" fillId="7" borderId="29" xfId="0" applyFont="1" applyFill="1" applyBorder="1" applyAlignment="1">
      <alignment vertical="center" wrapText="1"/>
    </xf>
    <xf numFmtId="0" fontId="0" fillId="0" borderId="34" xfId="0" applyBorder="1"/>
    <xf numFmtId="0" fontId="9" fillId="22" borderId="1" xfId="0" applyFont="1" applyFill="1" applyBorder="1" applyAlignment="1">
      <alignment wrapText="1"/>
    </xf>
    <xf numFmtId="0" fontId="0" fillId="22" borderId="1" xfId="0" applyFill="1" applyBorder="1" applyAlignment="1">
      <alignment wrapText="1"/>
    </xf>
    <xf numFmtId="14" fontId="16" fillId="0" borderId="0" xfId="0" applyNumberFormat="1" applyFont="1" applyAlignment="1">
      <alignment horizontal="left"/>
    </xf>
    <xf numFmtId="0" fontId="0" fillId="0" borderId="22" xfId="0" applyBorder="1" applyAlignment="1">
      <alignment vertical="center" wrapText="1"/>
    </xf>
    <xf numFmtId="0" fontId="0" fillId="0" borderId="34" xfId="0" applyBorder="1" applyAlignment="1">
      <alignment wrapText="1"/>
    </xf>
    <xf numFmtId="0" fontId="0" fillId="0" borderId="29" xfId="0" applyBorder="1" applyAlignment="1">
      <alignment wrapText="1"/>
    </xf>
    <xf numFmtId="0" fontId="0" fillId="0" borderId="29" xfId="0" quotePrefix="1" applyBorder="1" applyAlignment="1">
      <alignment horizontal="left" vertical="center" wrapText="1"/>
    </xf>
    <xf numFmtId="0" fontId="6" fillId="0" borderId="0" xfId="3" applyFill="1" applyProtection="1"/>
    <xf numFmtId="0" fontId="0" fillId="7" borderId="30" xfId="0" applyFill="1" applyBorder="1"/>
    <xf numFmtId="0" fontId="0" fillId="25" borderId="0" xfId="0" applyFill="1"/>
    <xf numFmtId="0" fontId="0" fillId="25" borderId="50" xfId="0" applyFill="1" applyBorder="1"/>
    <xf numFmtId="0" fontId="47" fillId="24" borderId="35" xfId="0" applyFont="1" applyFill="1" applyBorder="1" applyAlignment="1">
      <alignment vertical="center" wrapText="1"/>
    </xf>
    <xf numFmtId="0" fontId="48" fillId="22" borderId="78" xfId="0" applyFont="1" applyFill="1" applyBorder="1" applyAlignment="1">
      <alignment horizontal="right" vertical="center"/>
    </xf>
    <xf numFmtId="0" fontId="47" fillId="24" borderId="70" xfId="0" applyFont="1" applyFill="1" applyBorder="1" applyAlignment="1">
      <alignment vertical="center" wrapText="1"/>
    </xf>
    <xf numFmtId="0" fontId="0" fillId="6" borderId="70" xfId="0" applyFill="1" applyBorder="1"/>
    <xf numFmtId="0" fontId="0" fillId="7" borderId="63" xfId="0" applyFill="1" applyBorder="1" applyProtection="1">
      <protection locked="0"/>
    </xf>
    <xf numFmtId="0" fontId="0" fillId="0" borderId="56" xfId="0" applyBorder="1" applyProtection="1">
      <protection locked="0"/>
    </xf>
    <xf numFmtId="0" fontId="0" fillId="7" borderId="87" xfId="0" applyFill="1" applyBorder="1" applyProtection="1">
      <protection locked="0"/>
    </xf>
    <xf numFmtId="0" fontId="0" fillId="7" borderId="88" xfId="0" applyFill="1" applyBorder="1" applyProtection="1">
      <protection locked="0"/>
    </xf>
    <xf numFmtId="0" fontId="0" fillId="21" borderId="0" xfId="0" applyFill="1"/>
    <xf numFmtId="0" fontId="0" fillId="7" borderId="25" xfId="0" applyFill="1" applyBorder="1" applyProtection="1">
      <protection locked="0"/>
      <extLst>
        <ext xmlns:xfpb="http://schemas.microsoft.com/office/spreadsheetml/2022/featurepropertybag" uri="{C7286773-470A-42A8-94C5-96B5CB345126}">
          <xfpb:xfComplement i="0"/>
        </ext>
      </extLst>
    </xf>
    <xf numFmtId="0" fontId="0" fillId="12" borderId="25" xfId="0" applyFill="1" applyBorder="1" applyAlignment="1">
      <alignment vertical="center" wrapText="1"/>
      <extLst>
        <ext xmlns:xfpb="http://schemas.microsoft.com/office/spreadsheetml/2022/featurepropertybag" uri="{C7286773-470A-42A8-94C5-96B5CB345126}">
          <xfpb:xfComplement i="0"/>
        </ext>
      </extLst>
    </xf>
    <xf numFmtId="0" fontId="0" fillId="6" borderId="25" xfId="0" applyFill="1" applyBorder="1" applyAlignment="1">
      <alignment horizontal="left" vertical="center"/>
    </xf>
    <xf numFmtId="0" fontId="0" fillId="0" borderId="25"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2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2" borderId="25" xfId="0" applyFill="1" applyBorder="1" applyAlignment="1">
      <alignment vertical="center"/>
      <extLst>
        <ext xmlns:xfpb="http://schemas.microsoft.com/office/spreadsheetml/2022/featurepropertybag" uri="{C7286773-470A-42A8-94C5-96B5CB345126}">
          <xfpb:xfComplement i="0"/>
        </ext>
      </extLst>
    </xf>
    <xf numFmtId="0" fontId="0" fillId="12" borderId="25" xfId="0" applyFill="1" applyBorder="1">
      <extLst>
        <ext xmlns:xfpb="http://schemas.microsoft.com/office/spreadsheetml/2022/featurepropertybag" uri="{C7286773-470A-42A8-94C5-96B5CB345126}">
          <xfpb:xfComplement i="0"/>
        </ext>
      </extLst>
    </xf>
    <xf numFmtId="0" fontId="0" fillId="7" borderId="25"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49" fillId="0" borderId="59" xfId="0" quotePrefix="1" applyFont="1" applyBorder="1" applyAlignment="1">
      <alignment horizontal="center" vertical="center" wrapText="1"/>
    </xf>
    <xf numFmtId="0" fontId="2" fillId="7" borderId="0" xfId="0" applyFont="1" applyFill="1" applyAlignment="1">
      <alignment vertical="center" wrapText="1"/>
    </xf>
    <xf numFmtId="0" fontId="2" fillId="0" borderId="0" xfId="0" applyFont="1" applyAlignment="1">
      <alignment vertical="center"/>
    </xf>
    <xf numFmtId="0" fontId="0" fillId="7" borderId="45" xfId="0" applyFill="1" applyBorder="1" applyProtection="1">
      <protection locked="0"/>
      <extLst>
        <ext xmlns:xfpb="http://schemas.microsoft.com/office/spreadsheetml/2022/featurepropertybag" uri="{C7286773-470A-42A8-94C5-96B5CB345126}">
          <xfpb:xfComplement i="0"/>
        </ext>
      </extLst>
    </xf>
    <xf numFmtId="0" fontId="33" fillId="6" borderId="52" xfId="0" applyFont="1" applyFill="1" applyBorder="1" applyAlignment="1">
      <alignment wrapText="1"/>
    </xf>
    <xf numFmtId="0" fontId="33" fillId="6" borderId="25" xfId="0" applyFont="1" applyFill="1" applyBorder="1" applyAlignment="1">
      <alignment wrapText="1"/>
    </xf>
    <xf numFmtId="0" fontId="2" fillId="6" borderId="28" xfId="0" applyFont="1" applyFill="1" applyBorder="1" applyAlignment="1">
      <alignment horizontal="center" vertical="center"/>
    </xf>
    <xf numFmtId="0" fontId="2" fillId="6" borderId="52" xfId="0" applyFont="1" applyFill="1" applyBorder="1" applyAlignment="1">
      <alignment horizontal="center" vertical="center"/>
    </xf>
    <xf numFmtId="0" fontId="0" fillId="6" borderId="52" xfId="0" applyFill="1" applyBorder="1"/>
    <xf numFmtId="0" fontId="0" fillId="6" borderId="15" xfId="0" applyFill="1" applyBorder="1"/>
    <xf numFmtId="0" fontId="0" fillId="6" borderId="28" xfId="0" applyFill="1" applyBorder="1" applyProtection="1">
      <protection locked="0"/>
    </xf>
    <xf numFmtId="0" fontId="0" fillId="22" borderId="86" xfId="0" applyFill="1" applyBorder="1" applyAlignment="1">
      <alignment horizontal="center" vertical="center"/>
    </xf>
    <xf numFmtId="0" fontId="0" fillId="22" borderId="73" xfId="0" applyFill="1" applyBorder="1" applyAlignment="1">
      <alignment horizontal="center" vertical="center"/>
    </xf>
    <xf numFmtId="0" fontId="0" fillId="7" borderId="86" xfId="0" applyFill="1" applyBorder="1" applyAlignment="1">
      <alignment horizontal="center" vertical="center"/>
      <extLst>
        <ext xmlns:xfpb="http://schemas.microsoft.com/office/spreadsheetml/2022/featurepropertybag" uri="{C7286773-470A-42A8-94C5-96B5CB345126}">
          <xfpb:xfComplement i="0"/>
        </ext>
      </extLst>
    </xf>
    <xf numFmtId="0" fontId="0" fillId="7" borderId="73" xfId="0" applyFill="1" applyBorder="1" applyAlignment="1">
      <alignment horizontal="center" vertical="center"/>
      <extLst>
        <ext xmlns:xfpb="http://schemas.microsoft.com/office/spreadsheetml/2022/featurepropertybag" uri="{C7286773-470A-42A8-94C5-96B5CB345126}">
          <xfpb:xfComplement i="0"/>
        </ext>
      </extLst>
    </xf>
    <xf numFmtId="0" fontId="0" fillId="22" borderId="88" xfId="0" applyFill="1" applyBorder="1" applyAlignment="1">
      <alignment horizontal="center" vertical="center"/>
    </xf>
    <xf numFmtId="0" fontId="0" fillId="7" borderId="88" xfId="0" applyFill="1" applyBorder="1" applyAlignment="1">
      <alignment horizontal="center" vertical="center"/>
      <extLst>
        <ext xmlns:xfpb="http://schemas.microsoft.com/office/spreadsheetml/2022/featurepropertybag" uri="{C7286773-470A-42A8-94C5-96B5CB345126}">
          <xfpb:xfComplement i="0"/>
        </ext>
      </extLst>
    </xf>
    <xf numFmtId="0" fontId="50" fillId="0" borderId="0" xfId="0" applyFont="1"/>
    <xf numFmtId="0" fontId="50" fillId="21" borderId="0" xfId="0" applyFont="1" applyFill="1"/>
    <xf numFmtId="0" fontId="2" fillId="21" borderId="0" xfId="0" applyFont="1" applyFill="1"/>
    <xf numFmtId="0" fontId="0" fillId="26" borderId="1" xfId="0" applyFill="1" applyBorder="1"/>
    <xf numFmtId="0" fontId="0" fillId="22" borderId="1" xfId="0" applyFill="1" applyBorder="1"/>
    <xf numFmtId="0" fontId="2" fillId="12" borderId="1" xfId="0" applyFont="1" applyFill="1" applyBorder="1"/>
    <xf numFmtId="0" fontId="7" fillId="12" borderId="1" xfId="3" applyFont="1" applyFill="1" applyBorder="1" applyAlignment="1"/>
    <xf numFmtId="0" fontId="0" fillId="0" borderId="1" xfId="0" applyBorder="1" applyAlignment="1">
      <alignment horizontal="left" wrapText="1"/>
    </xf>
    <xf numFmtId="0" fontId="0" fillId="0" borderId="20" xfId="0" applyBorder="1"/>
    <xf numFmtId="0" fontId="2" fillId="12" borderId="1" xfId="0" applyFont="1" applyFill="1" applyBorder="1" applyAlignment="1">
      <alignment wrapText="1"/>
    </xf>
    <xf numFmtId="0" fontId="0" fillId="21" borderId="0" xfId="0" applyFill="1" applyAlignment="1">
      <alignment horizontal="left" vertical="center" wrapText="1"/>
    </xf>
    <xf numFmtId="0" fontId="52" fillId="0" borderId="70" xfId="0" applyFont="1" applyBorder="1" applyAlignment="1">
      <alignment horizontal="center" vertical="center" wrapText="1"/>
    </xf>
    <xf numFmtId="0" fontId="52" fillId="0" borderId="35" xfId="0" applyFont="1" applyBorder="1" applyAlignment="1">
      <alignment horizontal="center" vertical="center" wrapText="1"/>
    </xf>
    <xf numFmtId="0" fontId="0" fillId="21" borderId="0" xfId="0" applyFill="1" applyAlignment="1">
      <alignment horizontal="left" wrapText="1"/>
    </xf>
    <xf numFmtId="0" fontId="0" fillId="7" borderId="0" xfId="0" applyFill="1" applyAlignment="1">
      <alignment horizontal="left" wrapText="1"/>
    </xf>
    <xf numFmtId="0" fontId="0" fillId="7" borderId="0" xfId="0" applyFill="1" applyAlignment="1">
      <alignment horizontal="left" vertical="center" wrapText="1"/>
    </xf>
    <xf numFmtId="0" fontId="0" fillId="0" borderId="0" xfId="0" applyAlignment="1">
      <alignment vertical="center" wrapText="1"/>
      <extLst>
        <ext xmlns:xfpb="http://schemas.microsoft.com/office/spreadsheetml/2022/featurepropertybag" uri="{C7286773-470A-42A8-94C5-96B5CB345126}">
          <xfpb:xfComplement i="0"/>
        </ext>
      </extLst>
    </xf>
    <xf numFmtId="0" fontId="0" fillId="9" borderId="0" xfId="0" applyFill="1" applyAlignment="1">
      <alignment wrapText="1"/>
    </xf>
    <xf numFmtId="0" fontId="0" fillId="9" borderId="0" xfId="0" quotePrefix="1" applyFill="1" applyAlignment="1">
      <alignment horizontal="left" vertical="center" wrapText="1"/>
    </xf>
    <xf numFmtId="0" fontId="0" fillId="9" borderId="0" xfId="0" applyFill="1" applyAlignment="1">
      <alignment horizontal="left" vertical="center" wrapText="1"/>
    </xf>
    <xf numFmtId="0" fontId="9" fillId="9" borderId="0" xfId="0" applyFont="1" applyFill="1" applyAlignment="1">
      <alignment horizontal="left" vertical="top" wrapText="1"/>
    </xf>
    <xf numFmtId="0" fontId="0" fillId="9" borderId="0" xfId="0" applyFill="1" applyAlignment="1">
      <alignment horizontal="left" wrapText="1"/>
    </xf>
    <xf numFmtId="0" fontId="0" fillId="9" borderId="0" xfId="0" applyFill="1"/>
    <xf numFmtId="0" fontId="0" fillId="21" borderId="0" xfId="0" applyFill="1" applyAlignment="1">
      <alignment wrapText="1"/>
    </xf>
    <xf numFmtId="0" fontId="0" fillId="21" borderId="0" xfId="0" quotePrefix="1" applyFill="1" applyAlignment="1">
      <alignment horizontal="left" vertical="center" wrapText="1"/>
    </xf>
    <xf numFmtId="0" fontId="9" fillId="21" borderId="0" xfId="0" applyFont="1" applyFill="1" applyAlignment="1">
      <alignment horizontal="left" vertical="top" wrapText="1"/>
    </xf>
    <xf numFmtId="0" fontId="0" fillId="21" borderId="0" xfId="0" applyFill="1" applyAlignment="1">
      <alignment vertical="center" wrapText="1"/>
    </xf>
    <xf numFmtId="0" fontId="0" fillId="7" borderId="0" xfId="0" quotePrefix="1" applyFill="1" applyAlignment="1">
      <alignment horizontal="left" vertical="center" wrapText="1"/>
    </xf>
    <xf numFmtId="0" fontId="9" fillId="7" borderId="0" xfId="0" applyFont="1" applyFill="1" applyAlignment="1">
      <alignment horizontal="left" vertical="top"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0" fillId="6" borderId="14" xfId="0" applyFill="1" applyBorder="1" applyAlignment="1" applyProtection="1">
      <alignment horizontal="left" vertical="top"/>
      <protection locked="0"/>
    </xf>
    <xf numFmtId="0" fontId="0" fillId="21" borderId="22" xfId="0" applyFill="1" applyBorder="1" applyAlignment="1">
      <alignment wrapText="1"/>
    </xf>
    <xf numFmtId="0" fontId="0" fillId="21" borderId="22" xfId="0" quotePrefix="1" applyFill="1" applyBorder="1" applyAlignment="1">
      <alignment horizontal="left" vertical="center" wrapText="1"/>
    </xf>
    <xf numFmtId="0" fontId="0" fillId="21" borderId="22" xfId="0" applyFill="1" applyBorder="1" applyAlignment="1">
      <alignment horizontal="left" vertical="center" wrapText="1"/>
    </xf>
    <xf numFmtId="0" fontId="9" fillId="21" borderId="22" xfId="0" applyFont="1" applyFill="1" applyBorder="1" applyAlignment="1">
      <alignment horizontal="left" vertical="top" wrapText="1"/>
    </xf>
    <xf numFmtId="0" fontId="0" fillId="21" borderId="22" xfId="0" applyFill="1" applyBorder="1" applyAlignment="1">
      <alignment horizontal="left" wrapText="1"/>
    </xf>
    <xf numFmtId="0" fontId="51" fillId="0" borderId="0" xfId="0" applyFont="1" applyAlignment="1">
      <alignment wrapText="1"/>
    </xf>
    <xf numFmtId="0" fontId="10" fillId="18" borderId="39" xfId="0" applyFont="1" applyFill="1" applyBorder="1" applyAlignment="1">
      <alignment horizontal="left" vertical="center" wrapText="1"/>
    </xf>
    <xf numFmtId="0" fontId="9" fillId="21" borderId="0" xfId="0" applyFont="1" applyFill="1" applyAlignment="1">
      <alignment horizontal="left" vertical="center" wrapText="1"/>
    </xf>
    <xf numFmtId="0" fontId="0" fillId="21" borderId="0" xfId="0" applyFill="1" applyAlignment="1">
      <alignment vertical="center"/>
    </xf>
    <xf numFmtId="0" fontId="9" fillId="0" borderId="0" xfId="0" applyFont="1" applyAlignment="1">
      <alignment horizontal="left" vertical="center" wrapText="1"/>
    </xf>
    <xf numFmtId="0" fontId="0" fillId="7" borderId="18" xfId="0" applyFill="1" applyBorder="1" applyAlignment="1">
      <alignment vertical="center" wrapText="1"/>
    </xf>
    <xf numFmtId="0" fontId="4" fillId="18" borderId="18" xfId="0" applyFont="1" applyFill="1" applyBorder="1" applyAlignment="1">
      <alignment wrapText="1"/>
    </xf>
    <xf numFmtId="0" fontId="2" fillId="7" borderId="18" xfId="0" applyFont="1" applyFill="1" applyBorder="1" applyAlignment="1">
      <alignment wrapText="1"/>
    </xf>
    <xf numFmtId="0" fontId="2" fillId="7" borderId="19" xfId="0" applyFont="1" applyFill="1" applyBorder="1" applyAlignment="1">
      <alignment vertical="center" wrapText="1"/>
    </xf>
    <xf numFmtId="0" fontId="6" fillId="7" borderId="25" xfId="3" quotePrefix="1" applyFill="1" applyBorder="1" applyAlignment="1" applyProtection="1">
      <alignment horizontal="left" wrapText="1"/>
    </xf>
    <xf numFmtId="9" fontId="0" fillId="0" borderId="1" xfId="1" applyFont="1" applyBorder="1" applyAlignment="1" applyProtection="1">
      <alignment horizontal="right" vertical="center" wrapText="1"/>
      <protection locked="0"/>
    </xf>
    <xf numFmtId="9" fontId="0" fillId="0" borderId="0" xfId="1" applyFont="1"/>
    <xf numFmtId="0" fontId="0" fillId="27" borderId="0" xfId="0" applyFill="1" applyAlignment="1">
      <alignment wrapText="1"/>
    </xf>
    <xf numFmtId="0" fontId="0" fillId="27" borderId="0" xfId="0" quotePrefix="1" applyFill="1" applyAlignment="1">
      <alignment horizontal="left" vertical="center" wrapText="1"/>
    </xf>
    <xf numFmtId="0" fontId="0" fillId="27" borderId="0" xfId="0" applyFill="1" applyAlignment="1">
      <alignment horizontal="left" vertical="center" wrapText="1"/>
    </xf>
    <xf numFmtId="0" fontId="9" fillId="27" borderId="0" xfId="0" applyFont="1" applyFill="1" applyAlignment="1">
      <alignment horizontal="left" vertical="top" wrapText="1"/>
    </xf>
    <xf numFmtId="0" fontId="0" fillId="27" borderId="0" xfId="0" applyFill="1" applyAlignment="1">
      <alignment horizontal="left" wrapText="1"/>
    </xf>
    <xf numFmtId="0" fontId="0" fillId="27" borderId="0" xfId="0" applyFill="1"/>
    <xf numFmtId="0" fontId="0" fillId="7" borderId="2" xfId="0" applyFill="1" applyBorder="1" applyAlignment="1">
      <alignment vertical="center"/>
    </xf>
    <xf numFmtId="0" fontId="0" fillId="21" borderId="22" xfId="0" applyFill="1" applyBorder="1"/>
    <xf numFmtId="0" fontId="0" fillId="9" borderId="0" xfId="0" applyFill="1" applyAlignment="1">
      <alignment vertical="center" wrapText="1"/>
    </xf>
    <xf numFmtId="2" fontId="0" fillId="6" borderId="14" xfId="0" applyNumberFormat="1" applyFill="1" applyBorder="1" applyAlignment="1" applyProtection="1">
      <alignment horizontal="right" vertical="center" wrapText="1"/>
      <protection locked="0"/>
    </xf>
    <xf numFmtId="9" fontId="0" fillId="0" borderId="6" xfId="1" applyFont="1" applyBorder="1" applyAlignment="1" applyProtection="1">
      <alignment horizontal="right" vertical="center" wrapText="1"/>
      <protection locked="0"/>
    </xf>
    <xf numFmtId="9" fontId="0" fillId="0" borderId="11" xfId="1" applyFont="1" applyBorder="1" applyAlignment="1" applyProtection="1">
      <alignment horizontal="right" vertical="center" wrapText="1"/>
      <protection locked="0"/>
    </xf>
    <xf numFmtId="9" fontId="0" fillId="0" borderId="14" xfId="1" applyFont="1" applyBorder="1" applyAlignment="1" applyProtection="1">
      <alignment horizontal="right" vertical="center" wrapText="1"/>
      <protection locked="0"/>
    </xf>
    <xf numFmtId="9" fontId="0" fillId="0" borderId="20" xfId="1" applyFont="1" applyBorder="1" applyAlignment="1" applyProtection="1">
      <alignment horizontal="right" vertical="center" wrapText="1"/>
      <protection locked="0"/>
    </xf>
    <xf numFmtId="9" fontId="0" fillId="0" borderId="44" xfId="1" applyFont="1" applyBorder="1" applyAlignment="1" applyProtection="1">
      <alignment horizontal="right" vertical="center" wrapText="1"/>
      <protection locked="0"/>
    </xf>
    <xf numFmtId="0" fontId="0" fillId="7" borderId="22" xfId="0" applyFill="1" applyBorder="1" applyAlignment="1">
      <alignment wrapText="1"/>
    </xf>
    <xf numFmtId="0" fontId="0" fillId="7" borderId="22" xfId="0" quotePrefix="1" applyFill="1" applyBorder="1" applyAlignment="1">
      <alignment horizontal="left" vertical="center" wrapText="1"/>
    </xf>
    <xf numFmtId="0" fontId="0" fillId="7" borderId="22" xfId="0" applyFill="1" applyBorder="1" applyAlignment="1">
      <alignment horizontal="left" vertical="center" wrapText="1"/>
    </xf>
    <xf numFmtId="0" fontId="9" fillId="7" borderId="22" xfId="0" applyFont="1" applyFill="1" applyBorder="1" applyAlignment="1">
      <alignment horizontal="left" vertical="top" wrapText="1"/>
    </xf>
    <xf numFmtId="0" fontId="0" fillId="7" borderId="22" xfId="0" applyFill="1" applyBorder="1" applyAlignment="1">
      <alignment horizontal="left" wrapText="1"/>
    </xf>
    <xf numFmtId="0" fontId="0" fillId="0" borderId="25" xfId="0" applyBorder="1" applyAlignment="1">
      <alignment horizontal="center" vertical="center" wrapText="1"/>
    </xf>
    <xf numFmtId="0" fontId="0" fillId="0" borderId="49" xfId="0" quotePrefix="1" applyBorder="1" applyAlignment="1">
      <alignment horizontal="center" vertical="center" wrapText="1"/>
    </xf>
    <xf numFmtId="0" fontId="0" fillId="7" borderId="86" xfId="0" applyFill="1" applyBorder="1" applyAlignment="1">
      <alignment horizontal="center" vertical="center"/>
    </xf>
    <xf numFmtId="0" fontId="0" fillId="7" borderId="88" xfId="0" applyFill="1" applyBorder="1" applyAlignment="1">
      <alignment horizontal="center" vertical="center"/>
    </xf>
    <xf numFmtId="0" fontId="0" fillId="7" borderId="61" xfId="0" quotePrefix="1" applyFill="1" applyBorder="1" applyAlignment="1">
      <alignment horizontal="center" vertical="center" wrapText="1"/>
    </xf>
    <xf numFmtId="0" fontId="0" fillId="7" borderId="88" xfId="0" quotePrefix="1" applyFill="1" applyBorder="1" applyAlignment="1">
      <alignment horizontal="center" vertical="center" wrapText="1"/>
    </xf>
    <xf numFmtId="0" fontId="43" fillId="7" borderId="28" xfId="0" applyFont="1" applyFill="1" applyBorder="1" applyAlignment="1">
      <alignment horizontal="center"/>
    </xf>
    <xf numFmtId="0" fontId="43" fillId="7" borderId="29" xfId="0" applyFont="1" applyFill="1" applyBorder="1" applyAlignment="1">
      <alignment horizontal="center"/>
    </xf>
    <xf numFmtId="0" fontId="43" fillId="7" borderId="31" xfId="0" applyFont="1" applyFill="1" applyBorder="1" applyAlignment="1">
      <alignment horizontal="center"/>
    </xf>
    <xf numFmtId="0" fontId="18" fillId="7" borderId="49" xfId="0" applyFont="1" applyFill="1" applyBorder="1" applyAlignment="1">
      <alignment horizontal="center" vertical="top" wrapText="1"/>
    </xf>
    <xf numFmtId="0" fontId="18" fillId="7" borderId="41" xfId="0" applyFont="1" applyFill="1" applyBorder="1" applyAlignment="1">
      <alignment horizontal="center" vertical="top" wrapText="1"/>
    </xf>
    <xf numFmtId="0" fontId="18" fillId="7" borderId="56" xfId="0" applyFont="1" applyFill="1" applyBorder="1" applyAlignment="1">
      <alignment horizontal="center" vertical="top" wrapText="1"/>
    </xf>
    <xf numFmtId="0" fontId="33" fillId="24" borderId="12" xfId="0" applyFont="1" applyFill="1" applyBorder="1" applyAlignment="1" applyProtection="1">
      <alignment horizontal="center" vertical="center" wrapText="1"/>
      <protection locked="0"/>
    </xf>
    <xf numFmtId="0" fontId="33" fillId="24" borderId="27" xfId="0" applyFont="1" applyFill="1" applyBorder="1" applyAlignment="1" applyProtection="1">
      <alignment horizontal="center" vertical="center" wrapText="1"/>
      <protection locked="0"/>
    </xf>
    <xf numFmtId="14" fontId="16" fillId="0" borderId="0" xfId="0" applyNumberFormat="1" applyFont="1" applyAlignment="1">
      <alignment horizontal="center" wrapText="1"/>
    </xf>
    <xf numFmtId="0" fontId="19" fillId="10" borderId="2" xfId="0" applyFont="1" applyFill="1" applyBorder="1" applyAlignment="1">
      <alignment horizontal="left" vertical="center" wrapText="1"/>
    </xf>
    <xf numFmtId="0" fontId="19" fillId="10" borderId="3" xfId="0" applyFont="1" applyFill="1" applyBorder="1" applyAlignment="1">
      <alignment horizontal="left" vertical="center" wrapText="1"/>
    </xf>
    <xf numFmtId="0" fontId="19" fillId="10" borderId="4" xfId="0" applyFont="1" applyFill="1" applyBorder="1" applyAlignment="1">
      <alignment horizontal="left" vertical="center" wrapText="1"/>
    </xf>
    <xf numFmtId="0" fontId="18" fillId="10" borderId="55" xfId="0" applyFont="1" applyFill="1" applyBorder="1" applyAlignment="1">
      <alignment horizontal="left" vertical="center" wrapText="1"/>
    </xf>
    <xf numFmtId="0" fontId="18" fillId="10" borderId="0" xfId="0" applyFont="1" applyFill="1" applyAlignment="1">
      <alignment horizontal="left" vertical="center" wrapText="1"/>
    </xf>
    <xf numFmtId="0" fontId="18" fillId="10"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0" borderId="43" xfId="0" applyFont="1" applyFill="1" applyBorder="1" applyAlignment="1">
      <alignment horizontal="left" vertical="top" wrapText="1"/>
    </xf>
    <xf numFmtId="0" fontId="18" fillId="10" borderId="41" xfId="0" applyFont="1" applyFill="1" applyBorder="1" applyAlignment="1">
      <alignment horizontal="left" vertical="top" wrapText="1"/>
    </xf>
    <xf numFmtId="0" fontId="18" fillId="10" borderId="40" xfId="0" applyFont="1" applyFill="1" applyBorder="1" applyAlignment="1">
      <alignment horizontal="left" vertical="top" wrapText="1"/>
    </xf>
    <xf numFmtId="0" fontId="19" fillId="10" borderId="55" xfId="0" applyFont="1" applyFill="1" applyBorder="1" applyAlignment="1">
      <alignment horizontal="left" wrapText="1"/>
    </xf>
    <xf numFmtId="0" fontId="19" fillId="10" borderId="0" xfId="0" applyFont="1" applyFill="1" applyAlignment="1">
      <alignment horizontal="left" wrapText="1"/>
    </xf>
    <xf numFmtId="0" fontId="19" fillId="10" borderId="54" xfId="0" applyFont="1" applyFill="1" applyBorder="1" applyAlignment="1">
      <alignment horizontal="left" wrapText="1"/>
    </xf>
    <xf numFmtId="0" fontId="19" fillId="10" borderId="43" xfId="0" applyFont="1" applyFill="1" applyBorder="1" applyAlignment="1">
      <alignment horizontal="left" wrapText="1"/>
    </xf>
    <xf numFmtId="0" fontId="19" fillId="10" borderId="41" xfId="0" applyFont="1" applyFill="1" applyBorder="1" applyAlignment="1">
      <alignment horizontal="left" wrapText="1"/>
    </xf>
    <xf numFmtId="0" fontId="19" fillId="10"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0" borderId="55"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6" fillId="0" borderId="15" xfId="3" applyFill="1" applyBorder="1" applyAlignment="1">
      <alignment horizontal="center" vertical="center"/>
    </xf>
    <xf numFmtId="0" fontId="6" fillId="0" borderId="16" xfId="3" applyFill="1" applyBorder="1" applyAlignment="1">
      <alignment horizontal="center" vertical="center"/>
    </xf>
    <xf numFmtId="0" fontId="6" fillId="0" borderId="17" xfId="3" applyFill="1" applyBorder="1" applyAlignment="1">
      <alignment horizontal="center"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0" borderId="36" xfId="0" applyBorder="1" applyAlignment="1" applyProtection="1">
      <alignment horizontal="left" vertical="top" wrapText="1"/>
      <protection locked="0"/>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46" xfId="3" applyBorder="1" applyAlignment="1">
      <alignment horizontal="center" vertical="center"/>
    </xf>
    <xf numFmtId="0" fontId="6" fillId="0" borderId="55" xfId="3" applyBorder="1" applyAlignment="1">
      <alignment horizontal="center" vertical="center"/>
    </xf>
    <xf numFmtId="0" fontId="10" fillId="0" borderId="51" xfId="0" applyFont="1" applyBorder="1" applyAlignment="1">
      <alignment horizontal="center" vertical="center" wrapText="1"/>
    </xf>
    <xf numFmtId="0" fontId="10" fillId="0" borderId="84" xfId="0" applyFont="1" applyBorder="1" applyAlignment="1">
      <alignment horizontal="center" vertical="center" wrapText="1"/>
    </xf>
    <xf numFmtId="0" fontId="2" fillId="3" borderId="33" xfId="0" applyFont="1" applyFill="1" applyBorder="1" applyAlignment="1">
      <alignment horizontal="center"/>
    </xf>
    <xf numFmtId="0" fontId="2" fillId="3" borderId="34" xfId="0" applyFont="1" applyFill="1" applyBorder="1" applyAlignment="1">
      <alignment horizontal="center"/>
    </xf>
    <xf numFmtId="0" fontId="2" fillId="3" borderId="35" xfId="0" applyFont="1" applyFill="1" applyBorder="1" applyAlignment="1">
      <alignment horizontal="center"/>
    </xf>
    <xf numFmtId="0" fontId="0" fillId="0" borderId="10" xfId="0" applyBorder="1" applyAlignment="1">
      <alignment horizontal="left" vertical="center"/>
    </xf>
    <xf numFmtId="0" fontId="0" fillId="0" borderId="4" xfId="0" applyBorder="1" applyAlignment="1">
      <alignment horizontal="left" vertical="center"/>
    </xf>
    <xf numFmtId="0" fontId="0" fillId="0" borderId="18" xfId="0" applyBorder="1" applyAlignment="1">
      <alignment vertical="center"/>
    </xf>
    <xf numFmtId="0" fontId="0" fillId="0" borderId="10" xfId="0" applyBorder="1" applyAlignment="1">
      <alignment horizontal="left" vertical="center" wrapText="1"/>
    </xf>
    <xf numFmtId="0" fontId="2" fillId="3" borderId="71" xfId="0" applyFont="1" applyFill="1" applyBorder="1" applyAlignment="1">
      <alignment horizontal="center"/>
    </xf>
    <xf numFmtId="0" fontId="2" fillId="3" borderId="70" xfId="0" applyFont="1" applyFill="1" applyBorder="1" applyAlignment="1">
      <alignment horizontal="center"/>
    </xf>
    <xf numFmtId="0" fontId="0" fillId="6" borderId="19" xfId="0" applyFill="1" applyBorder="1" applyAlignment="1">
      <alignment horizontal="left" vertical="center"/>
    </xf>
    <xf numFmtId="0" fontId="6" fillId="0" borderId="30" xfId="3" applyFill="1" applyBorder="1" applyAlignment="1">
      <alignment horizontal="center" vertical="center"/>
    </xf>
    <xf numFmtId="0" fontId="6" fillId="0" borderId="88" xfId="3" applyFill="1" applyBorder="1" applyAlignment="1">
      <alignment horizontal="center" vertical="center"/>
    </xf>
    <xf numFmtId="0" fontId="0" fillId="0" borderId="52" xfId="0" applyBorder="1" applyAlignment="1">
      <alignment horizontal="left" vertical="center" wrapText="1"/>
    </xf>
    <xf numFmtId="0" fontId="0" fillId="0" borderId="5" xfId="0" applyBorder="1" applyAlignment="1">
      <alignment horizontal="left" vertical="center" wrapText="1"/>
    </xf>
    <xf numFmtId="0" fontId="0" fillId="0" borderId="25" xfId="0" applyBorder="1" applyAlignment="1">
      <alignment horizontal="left" vertical="center" wrapText="1"/>
    </xf>
    <xf numFmtId="0" fontId="0" fillId="0" borderId="0" xfId="0" applyAlignment="1">
      <alignment horizontal="left" vertical="center" wrapText="1"/>
    </xf>
    <xf numFmtId="0" fontId="0" fillId="6" borderId="37"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vertical="center"/>
    </xf>
    <xf numFmtId="0" fontId="6" fillId="0" borderId="18" xfId="3" applyFill="1" applyBorder="1" applyAlignment="1">
      <alignment horizontal="center" vertical="center"/>
    </xf>
    <xf numFmtId="0" fontId="6" fillId="0" borderId="63" xfId="3" applyFill="1" applyBorder="1" applyAlignment="1">
      <alignment horizontal="center" vertical="center"/>
    </xf>
    <xf numFmtId="0" fontId="2" fillId="4" borderId="33" xfId="0" applyFont="1" applyFill="1" applyBorder="1" applyAlignment="1">
      <alignment horizontal="center" vertical="center" wrapText="1"/>
    </xf>
    <xf numFmtId="0" fontId="2" fillId="4" borderId="70" xfId="0" applyFont="1" applyFill="1" applyBorder="1" applyAlignment="1">
      <alignment horizontal="center" vertical="center" wrapText="1"/>
    </xf>
    <xf numFmtId="0" fontId="4" fillId="18" borderId="10" xfId="0" applyFont="1" applyFill="1" applyBorder="1" applyAlignment="1">
      <alignment horizontal="left" vertical="center" wrapText="1"/>
    </xf>
    <xf numFmtId="0" fontId="0" fillId="18"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0" borderId="25" xfId="3" applyFill="1" applyBorder="1" applyAlignment="1">
      <alignment horizontal="center"/>
    </xf>
    <xf numFmtId="0" fontId="6" fillId="0" borderId="86" xfId="3" applyFill="1" applyBorder="1" applyAlignment="1">
      <alignment horizontal="center"/>
    </xf>
    <xf numFmtId="0" fontId="0" fillId="0" borderId="18" xfId="0" applyBorder="1" applyAlignment="1">
      <alignment horizontal="center" vertical="center"/>
    </xf>
    <xf numFmtId="0" fontId="0" fillId="0" borderId="1" xfId="0" applyBorder="1" applyAlignment="1">
      <alignment horizontal="center" vertical="center"/>
    </xf>
    <xf numFmtId="0" fontId="6" fillId="0" borderId="0" xfId="3" applyFill="1" applyBorder="1" applyAlignment="1">
      <alignment horizontal="center"/>
    </xf>
    <xf numFmtId="0" fontId="6" fillId="0" borderId="26" xfId="3" applyFill="1" applyBorder="1" applyAlignment="1">
      <alignment horizont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2" fillId="3" borderId="71" xfId="0" applyFont="1" applyFill="1" applyBorder="1" applyAlignment="1">
      <alignment horizontal="center" vertical="center"/>
    </xf>
    <xf numFmtId="0" fontId="2" fillId="3" borderId="70" xfId="0" applyFont="1" applyFill="1" applyBorder="1" applyAlignment="1">
      <alignment horizontal="center" vertical="center"/>
    </xf>
    <xf numFmtId="0" fontId="0" fillId="0" borderId="1" xfId="0" applyBorder="1" applyAlignment="1">
      <alignment horizontal="center" vertical="center" wrapText="1"/>
    </xf>
    <xf numFmtId="0" fontId="0" fillId="0" borderId="11" xfId="0"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4" fillId="18" borderId="30" xfId="0" applyFont="1" applyFill="1" applyBorder="1" applyAlignment="1">
      <alignment horizontal="left" vertical="center"/>
    </xf>
    <xf numFmtId="0" fontId="4" fillId="18" borderId="6" xfId="0" applyFont="1" applyFill="1" applyBorder="1" applyAlignment="1">
      <alignment horizontal="left" vertical="center"/>
    </xf>
    <xf numFmtId="0" fontId="0" fillId="18"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0" xfId="0" applyAlignment="1">
      <alignment horizontal="left" vertical="center"/>
    </xf>
    <xf numFmtId="0" fontId="0" fillId="0" borderId="52" xfId="0" applyBorder="1" applyAlignment="1">
      <alignment horizontal="left" vertical="center"/>
    </xf>
    <xf numFmtId="0" fontId="0" fillId="6" borderId="18" xfId="0" applyFill="1" applyBorder="1" applyAlignment="1">
      <alignment vertical="center"/>
    </xf>
    <xf numFmtId="14" fontId="1" fillId="12" borderId="20" xfId="2" applyNumberFormat="1" applyFill="1" applyBorder="1" applyAlignment="1">
      <alignment horizontal="center" vertical="center"/>
    </xf>
    <xf numFmtId="14" fontId="1" fillId="12"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2" fillId="0" borderId="25" xfId="0" applyFont="1" applyBorder="1" applyAlignment="1">
      <alignment horizontal="center" vertical="center" wrapText="1"/>
    </xf>
    <xf numFmtId="0" fontId="2" fillId="13" borderId="33" xfId="0" applyFont="1" applyFill="1" applyBorder="1" applyAlignment="1">
      <alignment horizontal="center" vertical="center" wrapText="1"/>
    </xf>
    <xf numFmtId="0" fontId="2" fillId="13" borderId="34" xfId="0" applyFont="1" applyFill="1" applyBorder="1" applyAlignment="1">
      <alignment horizontal="center" vertical="center" wrapText="1"/>
    </xf>
    <xf numFmtId="0" fontId="2" fillId="13" borderId="35" xfId="0" applyFont="1" applyFill="1" applyBorder="1" applyAlignment="1">
      <alignment horizontal="center" vertical="center" wrapText="1"/>
    </xf>
    <xf numFmtId="0" fontId="2" fillId="14" borderId="71" xfId="0" applyFont="1" applyFill="1" applyBorder="1" applyAlignment="1">
      <alignment horizontal="center"/>
    </xf>
    <xf numFmtId="0" fontId="2" fillId="14" borderId="70" xfId="0" applyFont="1" applyFill="1" applyBorder="1" applyAlignment="1">
      <alignment horizontal="center"/>
    </xf>
    <xf numFmtId="0" fontId="0" fillId="0" borderId="32" xfId="0" applyBorder="1" applyAlignment="1">
      <alignment horizontal="left" vertical="top" wrapText="1"/>
    </xf>
    <xf numFmtId="0" fontId="2" fillId="20" borderId="33" xfId="0" applyFont="1" applyFill="1" applyBorder="1" applyAlignment="1">
      <alignment horizontal="center"/>
    </xf>
    <xf numFmtId="0" fontId="2" fillId="20" borderId="70"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6" fillId="0" borderId="86" xfId="3" applyFill="1" applyBorder="1" applyAlignment="1">
      <alignment horizontal="center" vertical="center"/>
    </xf>
    <xf numFmtId="0" fontId="0" fillId="0" borderId="6" xfId="0" applyBorder="1" applyAlignment="1" applyProtection="1">
      <alignment horizontal="center"/>
      <protection locked="0"/>
    </xf>
    <xf numFmtId="0" fontId="0" fillId="0" borderId="44"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6" fillId="0" borderId="41" xfId="3" applyBorder="1" applyAlignment="1">
      <alignment horizontal="center" wrapText="1"/>
    </xf>
    <xf numFmtId="0" fontId="2" fillId="4" borderId="34" xfId="0" applyFont="1" applyFill="1" applyBorder="1" applyAlignment="1">
      <alignment horizontal="center" vertical="center" wrapText="1"/>
    </xf>
    <xf numFmtId="0" fontId="2" fillId="4" borderId="35" xfId="0" applyFont="1" applyFill="1" applyBorder="1" applyAlignment="1">
      <alignment horizontal="center" vertical="center" wrapText="1"/>
    </xf>
    <xf numFmtId="0" fontId="4" fillId="18" borderId="18" xfId="0" applyFont="1" applyFill="1" applyBorder="1" applyAlignment="1">
      <alignment horizontal="left" vertical="center" wrapText="1"/>
    </xf>
    <xf numFmtId="0" fontId="2" fillId="11" borderId="71" xfId="0" applyFont="1" applyFill="1" applyBorder="1" applyAlignment="1">
      <alignment horizontal="center" vertical="center"/>
    </xf>
    <xf numFmtId="0" fontId="2" fillId="11" borderId="70" xfId="0" applyFont="1" applyFill="1" applyBorder="1" applyAlignment="1">
      <alignment horizontal="center" vertical="center"/>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2" fontId="0" fillId="6" borderId="1" xfId="0" applyNumberFormat="1" applyFill="1" applyBorder="1" applyAlignment="1" applyProtection="1">
      <alignment horizontal="right"/>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18"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0" fontId="0" fillId="12" borderId="16" xfId="0" applyFill="1" applyBorder="1" applyAlignment="1">
      <alignment horizontal="center"/>
    </xf>
    <xf numFmtId="0" fontId="6" fillId="0" borderId="11" xfId="3" applyFill="1" applyBorder="1" applyAlignment="1">
      <alignment horizontal="center" vertical="center"/>
    </xf>
    <xf numFmtId="0" fontId="2" fillId="0" borderId="30" xfId="0" applyFont="1" applyBorder="1" applyAlignment="1">
      <alignment horizontal="left"/>
    </xf>
    <xf numFmtId="0" fontId="2" fillId="0" borderId="6" xfId="0" applyFont="1" applyBorder="1" applyAlignment="1">
      <alignment horizontal="left"/>
    </xf>
    <xf numFmtId="0" fontId="2" fillId="0" borderId="44" xfId="0" applyFont="1" applyBorder="1" applyAlignment="1">
      <alignment horizontal="left"/>
    </xf>
    <xf numFmtId="0" fontId="2" fillId="0" borderId="18"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2" fillId="3" borderId="60" xfId="0" applyFont="1" applyFill="1" applyBorder="1" applyAlignment="1">
      <alignment horizontal="center" vertical="center"/>
    </xf>
    <xf numFmtId="0" fontId="2" fillId="3" borderId="62" xfId="0" applyFont="1" applyFill="1" applyBorder="1" applyAlignment="1">
      <alignment horizontal="center" vertic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0" fontId="24" fillId="18" borderId="3" xfId="0" applyFont="1" applyFill="1" applyBorder="1" applyAlignment="1">
      <alignment horizontal="left" vertical="center" wrapText="1"/>
    </xf>
    <xf numFmtId="0" fontId="24" fillId="18" borderId="4" xfId="0" applyFont="1" applyFill="1" applyBorder="1" applyAlignment="1">
      <alignment horizontal="left" vertical="center" wrapText="1"/>
    </xf>
    <xf numFmtId="2" fontId="0" fillId="12" borderId="2" xfId="2" applyFont="1" applyFill="1" applyBorder="1" applyAlignment="1">
      <alignment horizontal="center"/>
    </xf>
    <xf numFmtId="2" fontId="0" fillId="12" borderId="3" xfId="2" applyFont="1" applyFill="1" applyBorder="1" applyAlignment="1">
      <alignment horizontal="center"/>
    </xf>
    <xf numFmtId="2" fontId="0" fillId="12" borderId="4" xfId="2" applyFont="1" applyFill="1" applyBorder="1" applyAlignment="1">
      <alignment horizont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6" fillId="0" borderId="56" xfId="3" applyBorder="1" applyAlignment="1">
      <alignment horizont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6" borderId="11" xfId="0" applyNumberFormat="1" applyFill="1" applyBorder="1" applyAlignment="1" applyProtection="1">
      <alignment horizontal="right"/>
      <protection locked="0"/>
    </xf>
    <xf numFmtId="0" fontId="39" fillId="0" borderId="0" xfId="0" applyFont="1" applyAlignment="1">
      <alignment horizontal="center"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5" xfId="0" applyBorder="1" applyAlignment="1">
      <alignment horizontal="left" vertical="center" wrapText="1"/>
    </xf>
    <xf numFmtId="0" fontId="0" fillId="0" borderId="32" xfId="0" applyBorder="1" applyAlignment="1">
      <alignment horizontal="left" vertical="center" wrapText="1"/>
    </xf>
    <xf numFmtId="0" fontId="4" fillId="18" borderId="2" xfId="0" applyFont="1" applyFill="1" applyBorder="1" applyAlignment="1">
      <alignment horizontal="center" vertical="top" wrapText="1"/>
    </xf>
    <xf numFmtId="0" fontId="4" fillId="18" borderId="3" xfId="0" applyFont="1" applyFill="1" applyBorder="1" applyAlignment="1">
      <alignment horizontal="center" vertical="top" wrapText="1"/>
    </xf>
    <xf numFmtId="0" fontId="4" fillId="18" borderId="4" xfId="0" applyFont="1" applyFill="1" applyBorder="1" applyAlignment="1">
      <alignment horizontal="center" vertical="top" wrapText="1"/>
    </xf>
    <xf numFmtId="0" fontId="0" fillId="18" borderId="2" xfId="0" applyFill="1" applyBorder="1" applyAlignment="1" applyProtection="1">
      <alignment horizontal="center" vertical="top" wrapText="1"/>
      <protection locked="0"/>
    </xf>
    <xf numFmtId="0" fontId="0" fillId="18" borderId="3" xfId="0" applyFill="1" applyBorder="1" applyAlignment="1" applyProtection="1">
      <alignment horizontal="center" vertical="top" wrapText="1"/>
      <protection locked="0"/>
    </xf>
    <xf numFmtId="0" fontId="0" fillId="18"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2" borderId="13" xfId="0" applyNumberFormat="1" applyFill="1" applyBorder="1" applyAlignment="1">
      <alignment horizontal="right"/>
    </xf>
    <xf numFmtId="2" fontId="0" fillId="12" borderId="20" xfId="0" applyNumberFormat="1" applyFill="1" applyBorder="1" applyAlignment="1">
      <alignment horizontal="right"/>
    </xf>
    <xf numFmtId="0" fontId="25" fillId="18" borderId="4" xfId="0" applyFont="1" applyFill="1" applyBorder="1" applyAlignment="1">
      <alignment horizontal="center" wrapText="1"/>
    </xf>
    <xf numFmtId="0" fontId="25" fillId="18" borderId="1" xfId="0" applyFont="1" applyFill="1" applyBorder="1" applyAlignment="1">
      <alignment horizontal="center" wrapText="1"/>
    </xf>
    <xf numFmtId="0" fontId="6" fillId="0" borderId="4" xfId="3" applyFill="1" applyBorder="1" applyAlignment="1">
      <alignment horizontal="center" vertical="center"/>
    </xf>
    <xf numFmtId="0" fontId="6" fillId="0" borderId="7" xfId="3" applyFill="1" applyBorder="1" applyAlignment="1">
      <alignment horizontal="center" vertical="center"/>
    </xf>
    <xf numFmtId="0" fontId="6" fillId="0" borderId="8" xfId="3" applyFill="1" applyBorder="1" applyAlignment="1">
      <alignment horizontal="center" vertical="center"/>
    </xf>
    <xf numFmtId="0" fontId="6" fillId="0" borderId="9" xfId="3" applyFill="1" applyBorder="1" applyAlignment="1">
      <alignment horizontal="center" vertical="center"/>
    </xf>
    <xf numFmtId="0" fontId="0" fillId="0" borderId="1" xfId="0" applyBorder="1" applyAlignment="1">
      <alignment horizontal="left" vertical="center" wrapText="1"/>
    </xf>
    <xf numFmtId="0" fontId="4" fillId="12"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2"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2"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8"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8"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8" borderId="1" xfId="0" applyFont="1" applyFill="1" applyBorder="1" applyAlignment="1">
      <alignment horizontal="left" vertical="center" wrapText="1"/>
    </xf>
    <xf numFmtId="0" fontId="2" fillId="3" borderId="60" xfId="0" applyFont="1" applyFill="1" applyBorder="1" applyAlignment="1">
      <alignment horizontal="center"/>
    </xf>
    <xf numFmtId="0" fontId="2" fillId="3" borderId="62" xfId="0" applyFont="1" applyFill="1" applyBorder="1" applyAlignment="1">
      <alignment horizontal="center"/>
    </xf>
    <xf numFmtId="0" fontId="2" fillId="4" borderId="71" xfId="0" applyFont="1" applyFill="1" applyBorder="1" applyAlignment="1">
      <alignment horizontal="center" vertical="center"/>
    </xf>
    <xf numFmtId="0" fontId="2" fillId="4" borderId="70" xfId="0" applyFont="1" applyFill="1" applyBorder="1" applyAlignment="1">
      <alignment horizontal="center" vertical="center"/>
    </xf>
    <xf numFmtId="0" fontId="2" fillId="4" borderId="89" xfId="0" applyFont="1" applyFill="1" applyBorder="1" applyAlignment="1">
      <alignment horizontal="center" vertical="center"/>
    </xf>
    <xf numFmtId="0" fontId="2" fillId="4" borderId="60" xfId="0" applyFont="1" applyFill="1" applyBorder="1" applyAlignment="1">
      <alignment horizontal="center" vertical="center"/>
    </xf>
    <xf numFmtId="0" fontId="2" fillId="4" borderId="62"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2" borderId="37" xfId="0" applyNumberFormat="1" applyFill="1" applyBorder="1" applyAlignment="1" applyProtection="1">
      <alignment horizontal="right" vertical="center"/>
      <protection locked="0"/>
    </xf>
    <xf numFmtId="2" fontId="0" fillId="12" borderId="27" xfId="0" applyNumberFormat="1" applyFill="1" applyBorder="1" applyAlignment="1" applyProtection="1">
      <alignment horizontal="right" vertical="center"/>
      <protection locked="0"/>
    </xf>
    <xf numFmtId="2" fontId="0" fillId="12"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10" fillId="18" borderId="18" xfId="3" applyFont="1" applyFill="1" applyBorder="1" applyAlignment="1" applyProtection="1">
      <alignment horizontal="left" vertical="center" wrapText="1"/>
    </xf>
    <xf numFmtId="0" fontId="10" fillId="18" borderId="1" xfId="3" applyFont="1" applyFill="1" applyBorder="1" applyAlignment="1" applyProtection="1">
      <alignment horizontal="left" vertical="center" wrapText="1"/>
    </xf>
    <xf numFmtId="0" fontId="0" fillId="18"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0" fillId="18"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2" fontId="0" fillId="12" borderId="4" xfId="2" applyFont="1" applyFill="1" applyBorder="1" applyAlignment="1">
      <alignment horizontal="right" vertical="center"/>
    </xf>
    <xf numFmtId="2" fontId="0" fillId="12" borderId="1" xfId="2" applyFont="1" applyFill="1" applyAlignment="1">
      <alignment horizontal="right" vertical="center"/>
    </xf>
    <xf numFmtId="2" fontId="0" fillId="12" borderId="53" xfId="2" applyFont="1" applyFill="1" applyBorder="1" applyAlignment="1">
      <alignment horizontal="right" vertical="center"/>
    </xf>
    <xf numFmtId="2" fontId="0" fillId="12" borderId="48" xfId="2" applyFont="1" applyFill="1" applyBorder="1" applyAlignment="1">
      <alignment horizontal="right" vertical="center"/>
    </xf>
    <xf numFmtId="2" fontId="0" fillId="6" borderId="6" xfId="0" applyNumberFormat="1" applyFill="1" applyBorder="1" applyAlignment="1" applyProtection="1">
      <alignment horizontal="right"/>
      <protection locked="0"/>
    </xf>
    <xf numFmtId="2" fontId="0" fillId="12" borderId="14" xfId="0" applyNumberFormat="1" applyFill="1" applyBorder="1" applyAlignment="1">
      <alignment horizontal="right"/>
    </xf>
    <xf numFmtId="2" fontId="0" fillId="12" borderId="11" xfId="2" applyFont="1" applyFill="1" applyBorder="1" applyAlignment="1">
      <alignment horizontal="right" vertical="center"/>
    </xf>
    <xf numFmtId="2" fontId="0" fillId="12" borderId="51" xfId="2" applyFont="1" applyFill="1" applyBorder="1" applyAlignment="1">
      <alignment horizontal="right" vertical="center"/>
    </xf>
    <xf numFmtId="2" fontId="0" fillId="7" borderId="80" xfId="2" applyFont="1" applyFill="1" applyBorder="1" applyAlignment="1">
      <alignment horizontal="center"/>
    </xf>
    <xf numFmtId="2" fontId="0" fillId="7" borderId="81"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79" xfId="0" applyFont="1" applyFill="1" applyBorder="1" applyAlignment="1">
      <alignment horizontal="center"/>
    </xf>
    <xf numFmtId="0" fontId="4" fillId="7" borderId="83" xfId="0" applyFont="1" applyFill="1" applyBorder="1" applyAlignment="1">
      <alignment horizontal="center"/>
    </xf>
    <xf numFmtId="0" fontId="4" fillId="7" borderId="65" xfId="0" applyFont="1" applyFill="1" applyBorder="1" applyAlignment="1">
      <alignment horizontal="center"/>
    </xf>
    <xf numFmtId="0" fontId="4" fillId="18" borderId="18" xfId="0" applyFont="1" applyFill="1" applyBorder="1" applyAlignment="1">
      <alignment horizontal="left" vertical="center"/>
    </xf>
    <xf numFmtId="0" fontId="4" fillId="18" borderId="1" xfId="0" applyFont="1" applyFill="1" applyBorder="1" applyAlignment="1">
      <alignment horizontal="left" vertical="center"/>
    </xf>
    <xf numFmtId="0" fontId="4" fillId="18" borderId="11" xfId="0" applyFont="1" applyFill="1" applyBorder="1" applyAlignment="1">
      <alignment horizontal="left" vertical="center"/>
    </xf>
    <xf numFmtId="0" fontId="2" fillId="0" borderId="11" xfId="0" applyFont="1" applyBorder="1" applyAlignment="1">
      <alignment horizontal="center" vertical="center"/>
    </xf>
    <xf numFmtId="0" fontId="2" fillId="12" borderId="1" xfId="2" applyNumberFormat="1" applyFont="1" applyFill="1" applyAlignment="1">
      <alignment horizontal="center"/>
    </xf>
    <xf numFmtId="0" fontId="2" fillId="12" borderId="11" xfId="2" applyNumberFormat="1" applyFont="1" applyFill="1" applyBorder="1" applyAlignment="1">
      <alignment horizontal="center"/>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2" fontId="0" fillId="12" borderId="6" xfId="2" applyFont="1" applyFill="1" applyBorder="1" applyAlignment="1">
      <alignment horizontal="right" vertical="center"/>
    </xf>
    <xf numFmtId="2" fontId="0" fillId="12" borderId="44" xfId="2" applyFont="1" applyFill="1" applyBorder="1" applyAlignment="1">
      <alignment horizontal="right" vertical="center"/>
    </xf>
    <xf numFmtId="0" fontId="0" fillId="6" borderId="20" xfId="0" applyFill="1" applyBorder="1" applyAlignment="1" applyProtection="1">
      <alignment horizontal="center"/>
      <protection locked="0"/>
    </xf>
    <xf numFmtId="0" fontId="0" fillId="0" borderId="18" xfId="0" applyBorder="1" applyAlignment="1">
      <alignment horizontal="left"/>
    </xf>
    <xf numFmtId="0" fontId="0" fillId="0" borderId="1" xfId="0" applyBorder="1" applyAlignment="1">
      <alignment horizontal="left"/>
    </xf>
    <xf numFmtId="0" fontId="0" fillId="0" borderId="19" xfId="0" applyBorder="1" applyAlignment="1" applyProtection="1">
      <alignment horizontal="left" vertical="top" wrapText="1"/>
      <protection locked="0"/>
    </xf>
    <xf numFmtId="0" fontId="2" fillId="4" borderId="71" xfId="0" applyFont="1" applyFill="1" applyBorder="1" applyAlignment="1">
      <alignment horizontal="center" vertical="center" wrapText="1"/>
    </xf>
    <xf numFmtId="0" fontId="2" fillId="4" borderId="60" xfId="0" applyFont="1" applyFill="1" applyBorder="1" applyAlignment="1">
      <alignment horizontal="center" vertical="center" wrapText="1"/>
    </xf>
    <xf numFmtId="0" fontId="2" fillId="4" borderId="62" xfId="0" applyFont="1" applyFill="1" applyBorder="1" applyAlignment="1">
      <alignment horizontal="center" vertical="center" wrapText="1"/>
    </xf>
    <xf numFmtId="0" fontId="2" fillId="13" borderId="71" xfId="0" applyFont="1" applyFill="1" applyBorder="1" applyAlignment="1">
      <alignment horizontal="center" vertical="center" wrapText="1"/>
    </xf>
    <xf numFmtId="0" fontId="2" fillId="13" borderId="60" xfId="0" applyFont="1" applyFill="1" applyBorder="1" applyAlignment="1">
      <alignment horizontal="center" vertical="center" wrapText="1"/>
    </xf>
    <xf numFmtId="0" fontId="2" fillId="13" borderId="62"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8" borderId="30" xfId="0" applyFont="1" applyFill="1" applyBorder="1" applyAlignment="1">
      <alignment horizontal="left" vertical="center" wrapText="1"/>
    </xf>
    <xf numFmtId="0" fontId="4" fillId="18" borderId="6" xfId="0" applyFont="1" applyFill="1" applyBorder="1" applyAlignment="1">
      <alignment horizontal="left" vertical="center" wrapText="1"/>
    </xf>
    <xf numFmtId="0" fontId="4" fillId="18"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8"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1" fillId="12" borderId="2" xfId="2" applyFill="1" applyBorder="1" applyAlignment="1">
      <alignment horizontal="center"/>
    </xf>
    <xf numFmtId="2" fontId="1" fillId="12" borderId="3" xfId="2" applyFill="1" applyBorder="1" applyAlignment="1">
      <alignment horizontal="center"/>
    </xf>
    <xf numFmtId="2" fontId="1" fillId="12" borderId="4" xfId="2" applyFill="1" applyBorder="1" applyAlignment="1">
      <alignment horizontal="center"/>
    </xf>
    <xf numFmtId="2" fontId="0" fillId="12" borderId="1"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2" borderId="46" xfId="2" applyFont="1" applyFill="1" applyBorder="1" applyAlignment="1">
      <alignment horizontal="center"/>
    </xf>
    <xf numFmtId="2" fontId="0" fillId="12" borderId="5" xfId="2" applyFont="1" applyFill="1" applyBorder="1" applyAlignment="1">
      <alignment horizontal="center"/>
    </xf>
    <xf numFmtId="2" fontId="0" fillId="12" borderId="53" xfId="2" applyFont="1" applyFill="1" applyBorder="1" applyAlignment="1">
      <alignment horizontal="center"/>
    </xf>
    <xf numFmtId="0" fontId="0" fillId="12" borderId="12" xfId="0" applyFill="1" applyBorder="1" applyAlignment="1">
      <alignment horizontal="center"/>
    </xf>
    <xf numFmtId="0" fontId="0" fillId="12" borderId="27" xfId="0" applyFill="1" applyBorder="1" applyAlignment="1">
      <alignment horizontal="center"/>
    </xf>
    <xf numFmtId="0" fontId="0" fillId="7" borderId="15" xfId="0" applyFill="1" applyBorder="1" applyAlignment="1" applyProtection="1">
      <alignment horizontal="center"/>
      <protection locked="0"/>
    </xf>
    <xf numFmtId="0" fontId="0" fillId="7" borderId="16" xfId="0" applyFill="1" applyBorder="1" applyAlignment="1" applyProtection="1">
      <alignment horizontal="center"/>
      <protection locked="0"/>
    </xf>
    <xf numFmtId="0" fontId="2" fillId="0" borderId="19"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12" borderId="30" xfId="2" applyFont="1" applyFill="1" applyBorder="1" applyAlignment="1">
      <alignment horizontal="right" vertical="center"/>
    </xf>
    <xf numFmtId="2" fontId="0" fillId="12" borderId="37" xfId="2" applyFont="1" applyFill="1" applyBorder="1" applyAlignment="1">
      <alignment horizontal="right" vertical="center"/>
    </xf>
    <xf numFmtId="2" fontId="0" fillId="12" borderId="27" xfId="2" applyFont="1" applyFill="1" applyBorder="1" applyAlignment="1">
      <alignment horizontal="right" vertical="center"/>
    </xf>
    <xf numFmtId="2" fontId="0" fillId="12" borderId="36" xfId="2" applyFont="1" applyFill="1" applyBorder="1" applyAlignment="1">
      <alignment horizontal="right" vertical="center"/>
    </xf>
    <xf numFmtId="2" fontId="0" fillId="12" borderId="12" xfId="2" applyFont="1" applyFill="1" applyBorder="1" applyAlignment="1">
      <alignment horizontal="right" vertical="center"/>
    </xf>
    <xf numFmtId="2" fontId="0" fillId="12" borderId="13" xfId="2" applyFont="1" applyFill="1" applyBorder="1" applyAlignment="1">
      <alignment horizontal="right" vertical="center"/>
    </xf>
    <xf numFmtId="14" fontId="0" fillId="12" borderId="20" xfId="0" applyNumberFormat="1" applyFill="1" applyBorder="1" applyAlignment="1">
      <alignment horizontal="center" vertical="top" wrapText="1"/>
    </xf>
    <xf numFmtId="14" fontId="0" fillId="12" borderId="14" xfId="0" applyNumberFormat="1" applyFill="1" applyBorder="1" applyAlignment="1">
      <alignment horizontal="center" vertical="top" wrapText="1"/>
    </xf>
    <xf numFmtId="0" fontId="0" fillId="18" borderId="2" xfId="0" applyFill="1" applyBorder="1" applyAlignment="1" applyProtection="1">
      <alignment horizontal="left" vertical="center" wrapText="1"/>
      <protection locked="0"/>
    </xf>
    <xf numFmtId="0" fontId="0" fillId="18" borderId="3" xfId="0" applyFill="1" applyBorder="1" applyAlignment="1" applyProtection="1">
      <alignment horizontal="left" vertical="center" wrapText="1"/>
      <protection locked="0"/>
    </xf>
    <xf numFmtId="0" fontId="0" fillId="18"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1" xfId="0" applyFont="1" applyFill="1" applyBorder="1" applyAlignment="1">
      <alignment horizontal="center"/>
    </xf>
    <xf numFmtId="0" fontId="2" fillId="4" borderId="60" xfId="0" applyFont="1" applyFill="1" applyBorder="1" applyAlignment="1">
      <alignment horizontal="center"/>
    </xf>
    <xf numFmtId="0" fontId="2" fillId="4" borderId="62" xfId="0" applyFont="1" applyFill="1" applyBorder="1" applyAlignment="1">
      <alignment horizontal="center"/>
    </xf>
    <xf numFmtId="0" fontId="0" fillId="6" borderId="18"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xf>
    <xf numFmtId="0" fontId="13" fillId="6" borderId="11" xfId="0" applyFont="1" applyFill="1" applyBorder="1" applyAlignment="1" applyProtection="1">
      <alignment horizontal="center" vertical="center"/>
      <protection locked="0"/>
    </xf>
    <xf numFmtId="0" fontId="0" fillId="6" borderId="6" xfId="0" applyFill="1" applyBorder="1" applyAlignment="1" applyProtection="1">
      <alignment horizontal="center"/>
      <protection locked="0"/>
    </xf>
    <xf numFmtId="2" fontId="0" fillId="6" borderId="72"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3" fillId="18"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8"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0" fontId="2" fillId="0" borderId="0" xfId="0" applyFont="1" applyAlignment="1">
      <alignment horizontal="center" vertical="center" wrapText="1"/>
    </xf>
    <xf numFmtId="2" fontId="2" fillId="0" borderId="0" xfId="0" applyNumberFormat="1" applyFont="1" applyAlignment="1">
      <alignment horizontal="center" vertical="center"/>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2" fillId="3" borderId="8" xfId="0" applyFont="1" applyFill="1" applyBorder="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0" fillId="0" borderId="43" xfId="0" applyBorder="1" applyAlignment="1" applyProtection="1">
      <alignment horizontal="center" vertical="center"/>
      <protection locked="0"/>
    </xf>
    <xf numFmtId="2" fontId="0" fillId="12" borderId="72" xfId="2" applyFont="1" applyFill="1" applyBorder="1" applyAlignment="1">
      <alignment horizontal="center"/>
    </xf>
    <xf numFmtId="2" fontId="0" fillId="12" borderId="16" xfId="2" applyFont="1" applyFill="1" applyBorder="1" applyAlignment="1">
      <alignment horizontal="center"/>
    </xf>
    <xf numFmtId="2" fontId="0" fillId="12" borderId="24" xfId="2" applyFont="1" applyFill="1" applyBorder="1" applyAlignment="1">
      <alignment horizontal="center"/>
    </xf>
    <xf numFmtId="0" fontId="0" fillId="12" borderId="7" xfId="0" applyFill="1" applyBorder="1" applyAlignment="1">
      <alignment horizontal="center"/>
    </xf>
    <xf numFmtId="0" fontId="0" fillId="12" borderId="8" xfId="0" applyFill="1" applyBorder="1" applyAlignment="1">
      <alignment horizontal="center"/>
    </xf>
    <xf numFmtId="0" fontId="0" fillId="12" borderId="9" xfId="0" applyFill="1" applyBorder="1" applyAlignment="1">
      <alignment horizontal="center"/>
    </xf>
    <xf numFmtId="0" fontId="0" fillId="12" borderId="18" xfId="0" applyFill="1" applyBorder="1" applyAlignment="1">
      <alignment horizontal="center"/>
    </xf>
    <xf numFmtId="0" fontId="0" fillId="12" borderId="1" xfId="0" applyFill="1" applyBorder="1" applyAlignment="1">
      <alignment horizontal="center"/>
    </xf>
    <xf numFmtId="0" fontId="0" fillId="12" borderId="11" xfId="0" applyFill="1" applyBorder="1" applyAlignment="1">
      <alignment horizontal="center"/>
    </xf>
    <xf numFmtId="0" fontId="0" fillId="12" borderId="19" xfId="0" applyFill="1" applyBorder="1" applyAlignment="1">
      <alignment horizontal="center"/>
    </xf>
    <xf numFmtId="0" fontId="0" fillId="12" borderId="20" xfId="0" applyFill="1" applyBorder="1" applyAlignment="1">
      <alignment horizontal="center"/>
    </xf>
    <xf numFmtId="0" fontId="0" fillId="12" borderId="14" xfId="0" applyFill="1" applyBorder="1" applyAlignment="1">
      <alignment horizontal="center"/>
    </xf>
    <xf numFmtId="9" fontId="0" fillId="12" borderId="24" xfId="1" applyFont="1" applyFill="1" applyBorder="1" applyAlignment="1">
      <alignment horizontal="center"/>
    </xf>
    <xf numFmtId="9" fontId="0" fillId="12" borderId="8" xfId="1" applyFont="1" applyFill="1" applyBorder="1" applyAlignment="1">
      <alignment horizontal="center"/>
    </xf>
    <xf numFmtId="9" fontId="0" fillId="12" borderId="9" xfId="1" applyFont="1" applyFill="1" applyBorder="1" applyAlignment="1">
      <alignment horizontal="center"/>
    </xf>
    <xf numFmtId="9" fontId="0" fillId="12" borderId="53" xfId="1" applyFont="1" applyFill="1" applyBorder="1" applyAlignment="1">
      <alignment horizontal="center"/>
    </xf>
    <xf numFmtId="9" fontId="0" fillId="12" borderId="48" xfId="1" applyFont="1" applyFill="1" applyBorder="1" applyAlignment="1">
      <alignment horizontal="center"/>
    </xf>
    <xf numFmtId="9" fontId="0" fillId="12" borderId="51" xfId="1" applyFont="1" applyFill="1" applyBorder="1" applyAlignment="1">
      <alignment horizontal="center"/>
    </xf>
    <xf numFmtId="0" fontId="2" fillId="0" borderId="66" xfId="0" applyFont="1" applyBorder="1" applyAlignment="1">
      <alignment horizontal="center" vertical="center"/>
    </xf>
    <xf numFmtId="0" fontId="2" fillId="0" borderId="86" xfId="0" applyFont="1" applyBorder="1" applyAlignment="1">
      <alignment horizontal="center" vertical="center"/>
    </xf>
    <xf numFmtId="0" fontId="2" fillId="0" borderId="45" xfId="0" applyFont="1" applyBorder="1" applyAlignment="1">
      <alignment horizontal="center" vertical="center"/>
    </xf>
    <xf numFmtId="9" fontId="0" fillId="12" borderId="13" xfId="1" applyFont="1" applyFill="1" applyBorder="1" applyAlignment="1">
      <alignment horizontal="center"/>
    </xf>
    <xf numFmtId="9" fontId="0" fillId="12" borderId="20" xfId="1" applyFont="1" applyFill="1" applyBorder="1" applyAlignment="1">
      <alignment horizontal="center"/>
    </xf>
    <xf numFmtId="9" fontId="0" fillId="12" borderId="14" xfId="1" applyFont="1" applyFill="1" applyBorder="1" applyAlignment="1">
      <alignment horizontal="center"/>
    </xf>
    <xf numFmtId="0" fontId="0" fillId="12" borderId="3" xfId="0" applyFill="1" applyBorder="1" applyAlignment="1">
      <alignment horizontal="center"/>
    </xf>
    <xf numFmtId="0" fontId="0" fillId="12" borderId="5" xfId="0" applyFill="1" applyBorder="1" applyAlignment="1">
      <alignment horizontal="center"/>
    </xf>
    <xf numFmtId="0" fontId="0" fillId="12" borderId="10" xfId="0" applyFill="1" applyBorder="1" applyAlignment="1">
      <alignment horizontal="center"/>
    </xf>
    <xf numFmtId="0" fontId="2" fillId="0" borderId="39" xfId="0" applyFont="1" applyBorder="1" applyAlignment="1">
      <alignment horizontal="left"/>
    </xf>
    <xf numFmtId="0" fontId="2" fillId="0" borderId="48" xfId="0" applyFont="1" applyBorder="1" applyAlignment="1">
      <alignment horizontal="left"/>
    </xf>
    <xf numFmtId="0" fontId="2" fillId="0" borderId="51" xfId="0" applyFont="1" applyBorder="1" applyAlignment="1">
      <alignment horizontal="left"/>
    </xf>
    <xf numFmtId="0" fontId="6" fillId="0" borderId="48" xfId="3" applyFill="1" applyBorder="1" applyAlignment="1">
      <alignment horizontal="center" vertical="center"/>
    </xf>
    <xf numFmtId="0" fontId="6" fillId="0" borderId="50" xfId="3" applyFill="1" applyBorder="1" applyAlignment="1">
      <alignment horizontal="center"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0" fillId="12" borderId="33" xfId="2" applyFont="1" applyFill="1" applyBorder="1" applyAlignment="1">
      <alignment horizontal="center" vertical="center"/>
    </xf>
    <xf numFmtId="2" fontId="0" fillId="12" borderId="34" xfId="2" applyFont="1" applyFill="1" applyBorder="1" applyAlignment="1">
      <alignment horizontal="center" vertical="center"/>
    </xf>
    <xf numFmtId="2" fontId="0" fillId="12" borderId="35" xfId="2" applyFont="1" applyFill="1" applyBorder="1" applyAlignment="1">
      <alignment horizontal="center"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2" fontId="1" fillId="12" borderId="60" xfId="2" applyFill="1" applyBorder="1" applyAlignment="1">
      <alignment horizontal="center" vertical="center"/>
    </xf>
    <xf numFmtId="2" fontId="1" fillId="12" borderId="62" xfId="2" applyFill="1" applyBorder="1" applyAlignment="1">
      <alignment horizontal="center" vertical="center"/>
    </xf>
    <xf numFmtId="0" fontId="2" fillId="3" borderId="70"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12" borderId="1" xfId="0" applyNumberFormat="1" applyFill="1" applyBorder="1" applyAlignment="1">
      <alignment horizontal="right" wrapText="1"/>
    </xf>
    <xf numFmtId="2" fontId="0" fillId="12" borderId="11" xfId="0" applyNumberFormat="1" applyFill="1" applyBorder="1" applyAlignment="1">
      <alignment horizontal="right" wrapText="1"/>
    </xf>
    <xf numFmtId="2" fontId="0" fillId="12" borderId="20" xfId="0" applyNumberFormat="1" applyFill="1" applyBorder="1" applyAlignment="1">
      <alignment horizontal="right" wrapText="1"/>
    </xf>
    <xf numFmtId="2" fontId="0" fillId="12" borderId="14" xfId="0" applyNumberFormat="1" applyFill="1" applyBorder="1" applyAlignment="1">
      <alignment horizontal="right" wrapText="1"/>
    </xf>
    <xf numFmtId="0" fontId="2" fillId="0" borderId="18"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21" xfId="0" applyFont="1" applyBorder="1" applyAlignment="1">
      <alignment horizontal="center" vertical="center" wrapText="1"/>
    </xf>
    <xf numFmtId="0" fontId="10" fillId="18" borderId="18" xfId="3" applyFont="1" applyFill="1" applyBorder="1" applyAlignment="1" applyProtection="1">
      <alignment horizontal="center" vertical="center" wrapText="1"/>
    </xf>
    <xf numFmtId="0" fontId="37" fillId="18" borderId="1" xfId="3" applyFont="1" applyFill="1" applyBorder="1" applyAlignment="1" applyProtection="1">
      <alignment horizontal="center" vertical="center" wrapText="1"/>
    </xf>
    <xf numFmtId="0" fontId="10" fillId="18" borderId="1" xfId="3" applyFont="1" applyFill="1" applyBorder="1" applyAlignment="1" applyProtection="1">
      <alignment horizontal="center" vertical="center" wrapText="1"/>
      <extLst>
        <ext xmlns:xfpb="http://schemas.microsoft.com/office/spreadsheetml/2022/featurepropertybag" uri="{C7286773-470A-42A8-94C5-96B5CB345126}">
          <xfpb:xfComplement i="0"/>
        </ext>
      </extLst>
    </xf>
    <xf numFmtId="0" fontId="10" fillId="18" borderId="11" xfId="3" applyFont="1" applyFill="1" applyBorder="1" applyAlignment="1" applyProtection="1">
      <alignment horizontal="center" vertical="center" wrapText="1"/>
      <extLst>
        <ext xmlns:xfpb="http://schemas.microsoft.com/office/spreadsheetml/2022/featurepropertybag" uri="{C7286773-470A-42A8-94C5-96B5CB345126}">
          <xfpb:xfComplement i="0"/>
        </ext>
      </extLst>
    </xf>
    <xf numFmtId="10" fontId="0" fillId="12" borderId="1" xfId="0" applyNumberFormat="1" applyFill="1" applyBorder="1" applyAlignment="1">
      <alignment horizontal="right" vertical="center" wrapText="1"/>
    </xf>
    <xf numFmtId="10" fontId="0" fillId="12" borderId="11"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8" borderId="2" xfId="0" applyNumberFormat="1" applyFont="1" applyFill="1" applyBorder="1" applyAlignment="1" applyProtection="1">
      <alignment horizontal="right" vertical="center" wrapText="1"/>
      <protection locked="0"/>
    </xf>
    <xf numFmtId="2" fontId="9" fillId="18" borderId="3" xfId="0" applyNumberFormat="1" applyFont="1" applyFill="1" applyBorder="1" applyAlignment="1" applyProtection="1">
      <alignment horizontal="right" vertical="center" wrapText="1"/>
      <protection locked="0"/>
    </xf>
    <xf numFmtId="2" fontId="9" fillId="18" borderId="21" xfId="0" applyNumberFormat="1" applyFont="1" applyFill="1" applyBorder="1" applyAlignment="1" applyProtection="1">
      <alignment horizontal="right" vertical="center" wrapText="1"/>
      <protection locked="0"/>
    </xf>
    <xf numFmtId="2" fontId="0" fillId="12" borderId="2" xfId="0" applyNumberFormat="1" applyFill="1" applyBorder="1" applyAlignment="1" applyProtection="1">
      <alignment horizontal="right" vertical="center" wrapText="1"/>
      <protection locked="0"/>
    </xf>
    <xf numFmtId="2" fontId="0" fillId="12" borderId="3" xfId="0" applyNumberFormat="1" applyFill="1" applyBorder="1" applyAlignment="1" applyProtection="1">
      <alignment horizontal="right" vertical="center" wrapText="1"/>
      <protection locked="0"/>
    </xf>
    <xf numFmtId="2" fontId="0" fillId="12" borderId="21" xfId="0" applyNumberFormat="1" applyFill="1" applyBorder="1" applyAlignment="1" applyProtection="1">
      <alignment horizontal="right" vertical="center" wrapText="1"/>
      <protection locked="0"/>
    </xf>
    <xf numFmtId="2" fontId="0" fillId="12" borderId="37" xfId="0" applyNumberFormat="1" applyFill="1" applyBorder="1" applyAlignment="1" applyProtection="1">
      <alignment horizontal="right" vertical="center" wrapText="1"/>
      <protection locked="0"/>
    </xf>
    <xf numFmtId="2" fontId="0" fillId="12" borderId="27" xfId="0" applyNumberFormat="1" applyFill="1" applyBorder="1" applyAlignment="1" applyProtection="1">
      <alignment horizontal="right" vertical="center" wrapText="1"/>
      <protection locked="0"/>
    </xf>
    <xf numFmtId="2" fontId="0" fillId="12" borderId="36" xfId="0" applyNumberFormat="1" applyFill="1" applyBorder="1" applyAlignment="1" applyProtection="1">
      <alignment horizontal="right" vertical="center" wrapText="1"/>
      <protection locked="0"/>
    </xf>
    <xf numFmtId="2" fontId="0" fillId="18" borderId="2" xfId="0" applyNumberFormat="1" applyFill="1" applyBorder="1" applyAlignment="1" applyProtection="1">
      <alignment horizontal="right" vertical="center" wrapText="1"/>
      <protection locked="0"/>
    </xf>
    <xf numFmtId="2" fontId="0" fillId="18" borderId="3" xfId="0" applyNumberFormat="1" applyFill="1" applyBorder="1" applyAlignment="1" applyProtection="1">
      <alignment horizontal="right" vertical="center" wrapText="1"/>
      <protection locked="0"/>
    </xf>
    <xf numFmtId="2" fontId="0" fillId="18" borderId="21" xfId="0" applyNumberFormat="1" applyFill="1" applyBorder="1" applyAlignment="1" applyProtection="1">
      <alignment horizontal="right" vertical="center" wrapText="1"/>
      <protection locked="0"/>
    </xf>
    <xf numFmtId="0" fontId="4" fillId="12" borderId="37" xfId="0" applyFont="1" applyFill="1" applyBorder="1" applyAlignment="1">
      <alignment horizontal="right" vertical="center" wrapText="1"/>
    </xf>
    <xf numFmtId="0" fontId="4" fillId="12" borderId="27" xfId="0" applyFont="1" applyFill="1" applyBorder="1" applyAlignment="1">
      <alignment horizontal="right" vertical="center" wrapText="1"/>
    </xf>
    <xf numFmtId="0" fontId="4" fillId="12" borderId="36" xfId="0" applyFont="1" applyFill="1" applyBorder="1" applyAlignment="1">
      <alignment horizontal="right" vertical="center" wrapText="1"/>
    </xf>
    <xf numFmtId="2" fontId="0" fillId="18" borderId="1" xfId="0" applyNumberFormat="1" applyFill="1" applyBorder="1" applyAlignment="1" applyProtection="1">
      <alignment horizontal="right" vertical="center" wrapText="1"/>
      <protection locked="0"/>
    </xf>
    <xf numFmtId="2" fontId="0" fillId="18" borderId="11" xfId="0" applyNumberFormat="1" applyFill="1" applyBorder="1" applyAlignment="1" applyProtection="1">
      <alignment horizontal="right" vertical="center" wrapText="1"/>
      <protection locked="0"/>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6" borderId="1" xfId="0" applyNumberFormat="1" applyFill="1" applyBorder="1" applyAlignment="1" applyProtection="1">
      <alignment horizontal="right" vertical="center" wrapText="1"/>
      <protection locked="0"/>
    </xf>
    <xf numFmtId="2" fontId="0" fillId="6" borderId="11" xfId="0" applyNumberFormat="1" applyFill="1" applyBorder="1" applyAlignment="1" applyProtection="1">
      <alignment horizontal="right" vertical="center" wrapText="1"/>
      <protection locked="0"/>
    </xf>
    <xf numFmtId="0" fontId="2" fillId="4" borderId="38" xfId="0" applyFont="1" applyFill="1" applyBorder="1" applyAlignment="1">
      <alignment horizontal="center" wrapText="1"/>
    </xf>
    <xf numFmtId="0" fontId="2" fillId="4" borderId="64" xfId="0" applyFont="1" applyFill="1" applyBorder="1" applyAlignment="1">
      <alignment horizontal="center" wrapText="1"/>
    </xf>
    <xf numFmtId="0" fontId="2" fillId="4" borderId="42" xfId="0" applyFont="1" applyFill="1" applyBorder="1" applyAlignment="1">
      <alignment horizontal="center" wrapText="1"/>
    </xf>
    <xf numFmtId="2" fontId="0" fillId="18" borderId="72" xfId="0" applyNumberFormat="1" applyFill="1" applyBorder="1" applyAlignment="1" applyProtection="1">
      <alignment horizontal="right" vertical="center" wrapText="1"/>
      <protection locked="0"/>
    </xf>
    <xf numFmtId="2" fontId="0" fillId="18" borderId="16" xfId="0" applyNumberFormat="1" applyFill="1" applyBorder="1" applyAlignment="1" applyProtection="1">
      <alignment horizontal="right" vertical="center" wrapText="1"/>
      <protection locked="0"/>
    </xf>
    <xf numFmtId="2" fontId="0" fillId="18" borderId="17" xfId="0" applyNumberFormat="1" applyFill="1" applyBorder="1" applyAlignment="1" applyProtection="1">
      <alignment horizontal="right" vertical="center" wrapText="1"/>
      <protection locked="0"/>
    </xf>
    <xf numFmtId="2" fontId="0" fillId="12" borderId="37" xfId="0" applyNumberFormat="1" applyFill="1" applyBorder="1" applyAlignment="1">
      <alignment horizontal="right" vertical="center" wrapText="1"/>
    </xf>
    <xf numFmtId="2" fontId="0" fillId="12" borderId="27" xfId="0" applyNumberFormat="1" applyFill="1" applyBorder="1" applyAlignment="1">
      <alignment horizontal="right" vertical="center" wrapText="1"/>
    </xf>
    <xf numFmtId="2" fontId="0" fillId="12"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10" fontId="0" fillId="12" borderId="20" xfId="0" applyNumberFormat="1" applyFill="1" applyBorder="1" applyAlignment="1" applyProtection="1">
      <alignment horizontal="right" vertical="center"/>
      <protection locked="0"/>
    </xf>
    <xf numFmtId="10" fontId="0" fillId="12" borderId="14" xfId="0" applyNumberFormat="1" applyFill="1" applyBorder="1" applyAlignment="1" applyProtection="1">
      <alignment horizontal="right" vertical="center"/>
      <protection locked="0"/>
    </xf>
    <xf numFmtId="0" fontId="2" fillId="3" borderId="71" xfId="0" applyFont="1" applyFill="1" applyBorder="1" applyAlignment="1">
      <alignment horizontal="center" wrapText="1"/>
    </xf>
    <xf numFmtId="0" fontId="2" fillId="3" borderId="60" xfId="0" applyFont="1" applyFill="1" applyBorder="1" applyAlignment="1">
      <alignment horizontal="center" wrapText="1"/>
    </xf>
    <xf numFmtId="0" fontId="2" fillId="3" borderId="62" xfId="0" applyFont="1" applyFill="1" applyBorder="1" applyAlignment="1">
      <alignment horizontal="center" wrapText="1"/>
    </xf>
    <xf numFmtId="2" fontId="0" fillId="0" borderId="43" xfId="0" applyNumberFormat="1" applyBorder="1" applyAlignment="1" applyProtection="1">
      <alignment horizontal="right" vertical="center" wrapText="1"/>
      <protection locked="0"/>
    </xf>
    <xf numFmtId="2" fontId="0" fillId="0" borderId="41" xfId="0" applyNumberFormat="1" applyBorder="1" applyAlignment="1" applyProtection="1">
      <alignment horizontal="right" vertical="center" wrapText="1"/>
      <protection locked="0"/>
    </xf>
    <xf numFmtId="2" fontId="0" fillId="0" borderId="56" xfId="0" applyNumberFormat="1" applyBorder="1" applyAlignment="1" applyProtection="1">
      <alignment horizontal="right" vertical="center" wrapText="1"/>
      <protection locked="0"/>
    </xf>
    <xf numFmtId="2" fontId="0" fillId="0" borderId="37" xfId="0" applyNumberFormat="1" applyBorder="1" applyAlignment="1" applyProtection="1">
      <alignment horizontal="right" vertical="center" wrapText="1"/>
      <protection locked="0"/>
    </xf>
    <xf numFmtId="2" fontId="0" fillId="0" borderId="27" xfId="0" applyNumberFormat="1" applyBorder="1" applyAlignment="1" applyProtection="1">
      <alignment horizontal="right" vertical="center" wrapText="1"/>
      <protection locked="0"/>
    </xf>
    <xf numFmtId="2" fontId="0" fillId="0" borderId="36" xfId="0" applyNumberFormat="1" applyBorder="1" applyAlignment="1" applyProtection="1">
      <alignment horizontal="right" vertical="center" wrapText="1"/>
      <protection locked="0"/>
    </xf>
    <xf numFmtId="0" fontId="2" fillId="4" borderId="71" xfId="0" applyFont="1" applyFill="1" applyBorder="1" applyAlignment="1">
      <alignment horizontal="center" wrapText="1"/>
    </xf>
    <xf numFmtId="0" fontId="2" fillId="4" borderId="60" xfId="0" applyFont="1" applyFill="1" applyBorder="1" applyAlignment="1">
      <alignment horizontal="center" wrapText="1"/>
    </xf>
    <xf numFmtId="0" fontId="2" fillId="4" borderId="62" xfId="0" applyFont="1" applyFill="1" applyBorder="1" applyAlignment="1">
      <alignment horizontal="center" wrapText="1"/>
    </xf>
    <xf numFmtId="2" fontId="9" fillId="18" borderId="1" xfId="3" applyNumberFormat="1" applyFont="1" applyFill="1" applyBorder="1" applyAlignment="1" applyProtection="1">
      <alignment horizontal="right" vertical="center" wrapText="1"/>
      <protection locked="0"/>
    </xf>
    <xf numFmtId="2" fontId="9" fillId="18" borderId="11" xfId="3" applyNumberFormat="1" applyFont="1" applyFill="1" applyBorder="1" applyAlignment="1" applyProtection="1">
      <alignment horizontal="right" vertical="center" wrapText="1"/>
      <protection locked="0"/>
    </xf>
    <xf numFmtId="10" fontId="0" fillId="12" borderId="20" xfId="0" applyNumberFormat="1" applyFill="1" applyBorder="1" applyAlignment="1">
      <alignment horizontal="right" vertical="center"/>
    </xf>
    <xf numFmtId="10" fontId="0" fillId="12" borderId="14" xfId="0" applyNumberFormat="1" applyFill="1" applyBorder="1" applyAlignment="1">
      <alignment horizontal="right" vertical="center"/>
    </xf>
    <xf numFmtId="0" fontId="2" fillId="7" borderId="25" xfId="0" applyFont="1" applyFill="1" applyBorder="1" applyAlignment="1">
      <alignment horizontal="center" vertic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7" xfId="0" applyFont="1" applyFill="1" applyBorder="1" applyAlignment="1">
      <alignment horizontal="center"/>
    </xf>
    <xf numFmtId="0" fontId="4" fillId="7" borderId="68" xfId="0" applyFont="1" applyFill="1" applyBorder="1" applyAlignment="1">
      <alignment horizontal="center"/>
    </xf>
    <xf numFmtId="0" fontId="4" fillId="7" borderId="69" xfId="0" applyFont="1" applyFill="1" applyBorder="1" applyAlignment="1">
      <alignment horizontal="center"/>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0" borderId="44" xfId="0" applyBorder="1" applyAlignment="1" applyProtection="1">
      <alignment horizontal="center" vertical="center"/>
      <protection locked="0"/>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0" fillId="0" borderId="57" xfId="0" applyBorder="1" applyAlignment="1">
      <alignment horizontal="left" vertical="center" wrapText="1"/>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46" fillId="7" borderId="28" xfId="0" applyFont="1" applyFill="1" applyBorder="1" applyAlignment="1">
      <alignment horizontal="center" vertical="center" wrapText="1"/>
    </xf>
    <xf numFmtId="0" fontId="46" fillId="7" borderId="29" xfId="0" applyFont="1" applyFill="1" applyBorder="1" applyAlignment="1">
      <alignment horizontal="center" vertical="center" wrapText="1"/>
    </xf>
    <xf numFmtId="0" fontId="46" fillId="7" borderId="31" xfId="0" applyFont="1" applyFill="1" applyBorder="1" applyAlignment="1">
      <alignment horizontal="center" vertical="center" wrapText="1"/>
    </xf>
    <xf numFmtId="0" fontId="18" fillId="7" borderId="45" xfId="0" applyFont="1" applyFill="1" applyBorder="1" applyAlignment="1">
      <alignment horizontal="center" vertical="center" wrapText="1"/>
    </xf>
    <xf numFmtId="0" fontId="18" fillId="7" borderId="22" xfId="0" applyFont="1" applyFill="1" applyBorder="1" applyAlignment="1">
      <alignment horizontal="center" vertical="center" wrapText="1"/>
    </xf>
    <xf numFmtId="0" fontId="18" fillId="7" borderId="23" xfId="0" applyFont="1" applyFill="1" applyBorder="1" applyAlignment="1">
      <alignment horizontal="center" vertical="center" wrapText="1"/>
    </xf>
    <xf numFmtId="0" fontId="0" fillId="7" borderId="25" xfId="0" applyFill="1" applyBorder="1" applyAlignment="1">
      <alignment horizontal="left" vertical="center" wrapText="1"/>
    </xf>
    <xf numFmtId="0" fontId="0" fillId="7" borderId="0" xfId="0" applyFill="1" applyAlignment="1">
      <alignment horizontal="left" vertical="center" wrapText="1"/>
    </xf>
    <xf numFmtId="0" fontId="0" fillId="0" borderId="63" xfId="0" applyBorder="1" applyAlignment="1" applyProtection="1">
      <alignment horizontal="left" vertical="center" wrapText="1"/>
      <protection locked="0"/>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8" xfId="0" applyFont="1" applyBorder="1" applyAlignment="1">
      <alignment horizontal="center"/>
    </xf>
    <xf numFmtId="0" fontId="2" fillId="0" borderId="35" xfId="0" applyFont="1" applyBorder="1" applyAlignment="1">
      <alignment horizontal="center"/>
    </xf>
    <xf numFmtId="166" fontId="2" fillId="12" borderId="78" xfId="2" quotePrefix="1" applyNumberFormat="1" applyFont="1" applyFill="1" applyBorder="1" applyAlignment="1">
      <alignment horizontal="center" vertical="center"/>
    </xf>
    <xf numFmtId="166" fontId="2" fillId="12"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7" borderId="75" xfId="0" applyFont="1" applyFill="1" applyBorder="1" applyAlignment="1">
      <alignment horizontal="center"/>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17" borderId="28" xfId="0" applyFont="1" applyFill="1" applyBorder="1" applyAlignment="1">
      <alignment horizontal="center" vertical="center" wrapText="1"/>
    </xf>
    <xf numFmtId="0" fontId="2" fillId="17" borderId="29" xfId="0" applyFont="1" applyFill="1" applyBorder="1" applyAlignment="1">
      <alignment horizontal="center" vertical="center" wrapText="1"/>
    </xf>
    <xf numFmtId="0" fontId="2" fillId="17" borderId="31" xfId="0" applyFont="1" applyFill="1" applyBorder="1" applyAlignment="1">
      <alignment horizontal="center" vertical="center" wrapText="1"/>
    </xf>
    <xf numFmtId="0" fontId="0" fillId="17" borderId="7" xfId="0" applyFill="1" applyBorder="1" applyAlignment="1">
      <alignment horizontal="center" vertical="center"/>
    </xf>
    <xf numFmtId="0" fontId="0" fillId="17" borderId="19" xfId="0" applyFill="1" applyBorder="1" applyAlignment="1">
      <alignment horizontal="center" vertical="center"/>
    </xf>
    <xf numFmtId="0" fontId="0" fillId="17" borderId="8" xfId="0" applyFill="1" applyBorder="1" applyAlignment="1">
      <alignment horizontal="center" vertical="center"/>
    </xf>
    <xf numFmtId="0" fontId="0" fillId="17" borderId="20" xfId="0" applyFill="1" applyBorder="1" applyAlignment="1">
      <alignment horizontal="center" vertical="center"/>
    </xf>
    <xf numFmtId="0" fontId="0" fillId="17" borderId="30" xfId="0" applyFill="1" applyBorder="1" applyAlignment="1">
      <alignment horizontal="center" vertical="center"/>
    </xf>
    <xf numFmtId="0" fontId="0" fillId="17" borderId="18" xfId="0" applyFill="1" applyBorder="1" applyAlignment="1">
      <alignment horizontal="center" vertical="center"/>
    </xf>
    <xf numFmtId="0" fontId="0" fillId="17" borderId="6" xfId="0" applyFill="1" applyBorder="1" applyAlignment="1">
      <alignment horizontal="center" vertical="center"/>
    </xf>
    <xf numFmtId="0" fontId="0" fillId="17" borderId="1" xfId="0" applyFill="1" applyBorder="1" applyAlignment="1">
      <alignment horizontal="center" vertical="center"/>
    </xf>
    <xf numFmtId="0" fontId="0" fillId="17" borderId="15" xfId="0" applyFill="1" applyBorder="1" applyAlignment="1">
      <alignment horizontal="center"/>
    </xf>
    <xf numFmtId="0" fontId="0" fillId="17" borderId="16" xfId="0" applyFill="1" applyBorder="1" applyAlignment="1">
      <alignment horizontal="center"/>
    </xf>
    <xf numFmtId="0" fontId="0" fillId="17" borderId="17" xfId="0" applyFill="1" applyBorder="1" applyAlignment="1">
      <alignment horizontal="center"/>
    </xf>
    <xf numFmtId="165" fontId="1" fillId="15" borderId="45" xfId="2" applyNumberFormat="1" applyFill="1" applyBorder="1" applyAlignment="1" applyProtection="1">
      <alignment horizontal="center" vertical="center"/>
      <protection locked="0"/>
    </xf>
    <xf numFmtId="165" fontId="1" fillId="15" borderId="22" xfId="2" applyNumberFormat="1" applyFill="1" applyBorder="1" applyAlignment="1" applyProtection="1">
      <alignment horizontal="center" vertical="center"/>
      <protection locked="0"/>
    </xf>
    <xf numFmtId="165" fontId="1" fillId="15" borderId="23" xfId="2" applyNumberFormat="1" applyFill="1" applyBorder="1" applyAlignment="1" applyProtection="1">
      <alignment horizontal="center" vertical="center"/>
      <protection locked="0"/>
    </xf>
    <xf numFmtId="0" fontId="2" fillId="17" borderId="33" xfId="0" applyFont="1" applyFill="1" applyBorder="1" applyAlignment="1">
      <alignment horizontal="center" vertical="center" wrapText="1"/>
    </xf>
    <xf numFmtId="0" fontId="2" fillId="17" borderId="34" xfId="0" applyFont="1" applyFill="1" applyBorder="1" applyAlignment="1">
      <alignment horizontal="center" vertical="center" wrapText="1"/>
    </xf>
    <xf numFmtId="0" fontId="2" fillId="17" borderId="35" xfId="0" applyFont="1" applyFill="1" applyBorder="1" applyAlignment="1">
      <alignment horizontal="center" vertical="center" wrapText="1"/>
    </xf>
    <xf numFmtId="0" fontId="0" fillId="0" borderId="86" xfId="0" quotePrefix="1" applyBorder="1" applyAlignment="1">
      <alignment horizontal="center" vertical="center" wrapText="1"/>
    </xf>
    <xf numFmtId="0" fontId="0" fillId="0" borderId="88" xfId="0" applyBorder="1" applyAlignment="1">
      <alignment horizontal="center" vertical="center" wrapText="1"/>
    </xf>
    <xf numFmtId="0" fontId="0" fillId="0" borderId="0" xfId="0" applyFill="1"/>
    <xf numFmtId="0" fontId="2" fillId="0" borderId="0" xfId="0" applyFont="1" applyFill="1" applyAlignment="1">
      <alignment horizontal="center" vertical="center"/>
    </xf>
    <xf numFmtId="0" fontId="0" fillId="0" borderId="2" xfId="0" applyBorder="1" applyAlignment="1" applyProtection="1">
      <alignment vertical="center" wrapText="1"/>
      <protection locked="0"/>
    </xf>
    <xf numFmtId="0" fontId="0" fillId="0" borderId="3" xfId="0" applyBorder="1" applyAlignment="1" applyProtection="1">
      <alignment vertical="center" wrapText="1"/>
      <protection locked="0"/>
    </xf>
    <xf numFmtId="0" fontId="0" fillId="0" borderId="4" xfId="0" applyBorder="1" applyAlignment="1" applyProtection="1">
      <alignment vertical="center" wrapText="1"/>
      <protection locked="0"/>
    </xf>
    <xf numFmtId="0" fontId="0" fillId="0" borderId="3" xfId="0" applyBorder="1"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7" xfId="0" applyBorder="1" applyAlignment="1" applyProtection="1">
      <alignment vertical="center" wrapText="1"/>
      <protection locked="0"/>
    </xf>
    <xf numFmtId="0" fontId="0" fillId="0" borderId="27" xfId="0" applyBorder="1" applyAlignment="1" applyProtection="1">
      <alignment vertical="center" wrapText="1"/>
      <protection locked="0"/>
    </xf>
    <xf numFmtId="0" fontId="0" fillId="0" borderId="13" xfId="0" applyBorder="1" applyAlignment="1" applyProtection="1">
      <alignment vertical="center" wrapText="1"/>
      <protection locked="0"/>
    </xf>
    <xf numFmtId="0" fontId="0" fillId="0" borderId="72" xfId="0" applyBorder="1" applyAlignment="1" applyProtection="1">
      <alignment vertical="center" wrapText="1"/>
      <protection locked="0"/>
    </xf>
    <xf numFmtId="0" fontId="0" fillId="0" borderId="16" xfId="0" applyBorder="1" applyAlignment="1" applyProtection="1">
      <alignment vertical="center" wrapText="1"/>
      <protection locked="0"/>
    </xf>
    <xf numFmtId="0" fontId="0" fillId="0" borderId="24" xfId="0" applyBorder="1" applyAlignment="1" applyProtection="1">
      <alignment vertical="center" wrapText="1"/>
      <protection locked="0"/>
    </xf>
    <xf numFmtId="0" fontId="0" fillId="0" borderId="13" xfId="0" applyBorder="1" applyAlignment="1" applyProtection="1">
      <alignment horizontal="center" vertical="center"/>
      <protection locked="0"/>
    </xf>
    <xf numFmtId="0" fontId="0" fillId="0" borderId="72" xfId="0" applyBorder="1" applyAlignment="1" applyProtection="1">
      <alignment horizontal="center" vertical="center"/>
      <protection locked="0"/>
    </xf>
    <xf numFmtId="0" fontId="0" fillId="0" borderId="16" xfId="0" applyBorder="1" applyAlignment="1" applyProtection="1">
      <alignment horizontal="center" vertical="center"/>
      <protection locked="0"/>
    </xf>
    <xf numFmtId="0" fontId="0" fillId="0" borderId="24" xfId="0" applyBorder="1" applyAlignment="1" applyProtection="1">
      <alignment horizontal="center" vertical="center"/>
      <protection locked="0"/>
    </xf>
  </cellXfs>
  <cellStyles count="4">
    <cellStyle name="Auto-Calculated-Cells" xfId="2" xr:uid="{4E8529B9-507C-4B39-B503-553D51545A9E}"/>
    <cellStyle name="Hyperlink" xfId="3" builtinId="8"/>
    <cellStyle name="Normal" xfId="0" builtinId="0"/>
    <cellStyle name="Percent" xfId="1" builtinId="5"/>
  </cellStyles>
  <dxfs count="403">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00"/>
      <color rgb="FFFFFF99"/>
      <color rgb="FFFFC000"/>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3.xml"/></Relationships>
</file>

<file path=xl/documenttasks/documenttask1.xml><?xml version="1.0" encoding="utf-8"?>
<Tasks xmlns="http://schemas.microsoft.com/office/tasks/2019/documenttasks">
  <Task id="{1B5C1F63-B020-4FD9-8A8F-F6008D01BDEA}">
    <Anchor>
      <Comment id="{20E01DFF-755D-48A7-B249-08EB863A2C76}"/>
    </Anchor>
    <History>
      <Event time="2026-08-11T15:25:40.96" id="{34C98360-FC7B-459D-9B23-428C7758C22F}">
        <Attribution userId="S::sergio.carosio@efrag.org::845cb9e5-9f93-4962-8fab-e139c5d6076c" userName="Sergio Carosio" userProvider="AD"/>
        <Anchor>
          <Comment id="{20E01DFF-755D-48A7-B249-08EB863A2C76}"/>
        </Anchor>
        <Create/>
      </Event>
      <Event time="2026-08-11T15:25:40.96" id="{A180C8BD-1321-43BE-9723-182EEA920A0F}">
        <Attribution userId="S::sergio.carosio@efrag.org::845cb9e5-9f93-4962-8fab-e139c5d6076c" userName="Sergio Carosio" userProvider="AD"/>
        <Anchor>
          <Comment id="{20E01DFF-755D-48A7-B249-08EB863A2C76}"/>
        </Anchor>
        <Assign userId="S::Mathias.Mingazzini@efrag.org::a07691dd-c4c2-41dc-aa30-086ca5e7eee8" userName="Mathias Mingazzini" userProvider="AD"/>
      </Event>
      <Event time="2026-08-11T15:25:40.96" id="{3C1E8514-1423-466C-8F54-5C1D82A17E61}">
        <Attribution userId="S::sergio.carosio@efrag.org::845cb9e5-9f93-4962-8fab-e139c5d6076c" userName="Sergio Carosio" userProvider="AD"/>
        <Anchor>
          <Comment id="{20E01DFF-755D-48A7-B249-08EB863A2C76}"/>
        </Anchor>
        <SetTitle title="@Mathias Mingazzini "/>
      </Event>
    </History>
  </Task>
</Task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4744235</xdr:colOff>
      <xdr:row>8</xdr:row>
      <xdr:rowOff>130175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13</xdr:row>
      <xdr:rowOff>111125</xdr:rowOff>
    </xdr:from>
    <xdr:to>
      <xdr:col>5</xdr:col>
      <xdr:colOff>952500</xdr:colOff>
      <xdr:row>13</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13</xdr:row>
      <xdr:rowOff>3984625</xdr:rowOff>
    </xdr:from>
    <xdr:to>
      <xdr:col>6</xdr:col>
      <xdr:colOff>1238250</xdr:colOff>
      <xdr:row>13</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13</xdr:row>
      <xdr:rowOff>128861</xdr:rowOff>
    </xdr:from>
    <xdr:to>
      <xdr:col>4</xdr:col>
      <xdr:colOff>133685</xdr:colOff>
      <xdr:row>13</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13</xdr:row>
      <xdr:rowOff>3853543</xdr:rowOff>
    </xdr:from>
    <xdr:to>
      <xdr:col>2</xdr:col>
      <xdr:colOff>359229</xdr:colOff>
      <xdr:row>14</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13</xdr:row>
      <xdr:rowOff>4135855</xdr:rowOff>
    </xdr:from>
    <xdr:to>
      <xdr:col>4</xdr:col>
      <xdr:colOff>359802</xdr:colOff>
      <xdr:row>13</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13</xdr:row>
      <xdr:rowOff>1455821</xdr:rowOff>
    </xdr:from>
    <xdr:to>
      <xdr:col>3</xdr:col>
      <xdr:colOff>342566</xdr:colOff>
      <xdr:row>13</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398</xdr:row>
      <xdr:rowOff>1025237</xdr:rowOff>
    </xdr:from>
    <xdr:to>
      <xdr:col>7</xdr:col>
      <xdr:colOff>2628900</xdr:colOff>
      <xdr:row>398</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398</xdr:row>
      <xdr:rowOff>989215</xdr:rowOff>
    </xdr:from>
    <xdr:to>
      <xdr:col>7</xdr:col>
      <xdr:colOff>2724150</xdr:colOff>
      <xdr:row>399</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529</xdr:row>
      <xdr:rowOff>12699</xdr:rowOff>
    </xdr:from>
    <xdr:to>
      <xdr:col>7</xdr:col>
      <xdr:colOff>6200323</xdr:colOff>
      <xdr:row>536</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538</xdr:row>
      <xdr:rowOff>35831</xdr:rowOff>
    </xdr:from>
    <xdr:to>
      <xdr:col>7</xdr:col>
      <xdr:colOff>6192158</xdr:colOff>
      <xdr:row>545</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546</xdr:row>
      <xdr:rowOff>178707</xdr:rowOff>
    </xdr:from>
    <xdr:to>
      <xdr:col>7</xdr:col>
      <xdr:colOff>6213930</xdr:colOff>
      <xdr:row>554</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530</xdr:row>
      <xdr:rowOff>154214</xdr:rowOff>
    </xdr:from>
    <xdr:to>
      <xdr:col>4</xdr:col>
      <xdr:colOff>1841500</xdr:colOff>
      <xdr:row>534</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539</xdr:row>
      <xdr:rowOff>121557</xdr:rowOff>
    </xdr:from>
    <xdr:to>
      <xdr:col>4</xdr:col>
      <xdr:colOff>1863271</xdr:colOff>
      <xdr:row>543</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399</xdr:row>
      <xdr:rowOff>1025237</xdr:rowOff>
    </xdr:from>
    <xdr:to>
      <xdr:col>7</xdr:col>
      <xdr:colOff>2628900</xdr:colOff>
      <xdr:row>399</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399</xdr:row>
      <xdr:rowOff>400049</xdr:rowOff>
    </xdr:from>
    <xdr:to>
      <xdr:col>7</xdr:col>
      <xdr:colOff>895350</xdr:colOff>
      <xdr:row>399</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535</xdr:row>
      <xdr:rowOff>149679</xdr:rowOff>
    </xdr:from>
    <xdr:to>
      <xdr:col>11</xdr:col>
      <xdr:colOff>1802947</xdr:colOff>
      <xdr:row>543</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544</xdr:row>
      <xdr:rowOff>164647</xdr:rowOff>
    </xdr:from>
    <xdr:to>
      <xdr:col>11</xdr:col>
      <xdr:colOff>1857376</xdr:colOff>
      <xdr:row>552</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537</xdr:row>
      <xdr:rowOff>119743</xdr:rowOff>
    </xdr:from>
    <xdr:to>
      <xdr:col>6</xdr:col>
      <xdr:colOff>732064</xdr:colOff>
      <xdr:row>541</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546</xdr:row>
      <xdr:rowOff>69397</xdr:rowOff>
    </xdr:from>
    <xdr:to>
      <xdr:col>6</xdr:col>
      <xdr:colOff>721178</xdr:colOff>
      <xdr:row>550</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535</xdr:row>
      <xdr:rowOff>107495</xdr:rowOff>
    </xdr:from>
    <xdr:to>
      <xdr:col>2</xdr:col>
      <xdr:colOff>3322819</xdr:colOff>
      <xdr:row>543</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197</xdr:row>
      <xdr:rowOff>53068</xdr:rowOff>
    </xdr:from>
    <xdr:to>
      <xdr:col>8</xdr:col>
      <xdr:colOff>213633</xdr:colOff>
      <xdr:row>205</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199</xdr:row>
      <xdr:rowOff>56998</xdr:rowOff>
    </xdr:from>
    <xdr:to>
      <xdr:col>3</xdr:col>
      <xdr:colOff>2346959</xdr:colOff>
      <xdr:row>203</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209</xdr:row>
      <xdr:rowOff>93556</xdr:rowOff>
    </xdr:from>
    <xdr:to>
      <xdr:col>3</xdr:col>
      <xdr:colOff>2295525</xdr:colOff>
      <xdr:row>213</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197</xdr:row>
      <xdr:rowOff>82188</xdr:rowOff>
    </xdr:from>
    <xdr:to>
      <xdr:col>2</xdr:col>
      <xdr:colOff>2752725</xdr:colOff>
      <xdr:row>204</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207</xdr:row>
      <xdr:rowOff>60145</xdr:rowOff>
    </xdr:from>
    <xdr:to>
      <xdr:col>2</xdr:col>
      <xdr:colOff>2733674</xdr:colOff>
      <xdr:row>215</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33</xdr:row>
      <xdr:rowOff>134249</xdr:rowOff>
    </xdr:from>
    <xdr:to>
      <xdr:col>7</xdr:col>
      <xdr:colOff>468631</xdr:colOff>
      <xdr:row>37</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43</xdr:row>
      <xdr:rowOff>85726</xdr:rowOff>
    </xdr:from>
    <xdr:to>
      <xdr:col>7</xdr:col>
      <xdr:colOff>456037</xdr:colOff>
      <xdr:row>47</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31</xdr:row>
      <xdr:rowOff>104561</xdr:rowOff>
    </xdr:from>
    <xdr:to>
      <xdr:col>3</xdr:col>
      <xdr:colOff>325133</xdr:colOff>
      <xdr:row>39</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41</xdr:row>
      <xdr:rowOff>87759</xdr:rowOff>
    </xdr:from>
    <xdr:to>
      <xdr:col>3</xdr:col>
      <xdr:colOff>344183</xdr:colOff>
      <xdr:row>49</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50</xdr:row>
      <xdr:rowOff>136454</xdr:rowOff>
    </xdr:from>
    <xdr:to>
      <xdr:col>3</xdr:col>
      <xdr:colOff>334658</xdr:colOff>
      <xdr:row>58</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Stuart Rowan" id="{F8DFC865-8E75-4736-A0D7-BBA66A7BB577}" userId="Stuart.Rowan@efrag.org" providerId="PeoplePicker"/>
  <person displayName="Mathias Mingazzini" id="{F02389A8-1FB6-43B8-8117-2D47430485D9}" userId="Mathias.Mingazzini@efrag.org" providerId="PeoplePicker"/>
  <person displayName="Sergio Carosio" id="{B1E47C79-69C0-45D4-AF1E-D9FCA729B88C}" userId="S::sergio.carosio@efrag.org::845cb9e5-9f93-4962-8fab-e139c5d6076c" providerId="AD"/>
  <person displayName="Mathias Mingazzini" id="{26221849-42D3-4A3F-A59A-3BF8A3963727}" userId="S::Mathias.Mingazzini@efrag.org::a07691dd-c4c2-41dc-aa30-086ca5e7eee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2" dT="2026-08-17T15:10:26.63" personId="{26221849-42D3-4A3F-A59A-3BF8A3963727}" id="{9B8E6CD1-30E5-4AB3-802F-30BC49F30DDD}">
    <text xml:space="preserve">@Stuart Rowan doesn’t it trigger also a change in the name in the taxonomy? </text>
    <mentions>
      <mention mentionpersonId="{F8DFC865-8E75-4736-A0D7-BBA66A7BB577}" mentionId="{0BAC4F97-58FE-4B51-8672-C1E508F599BA}" startIndex="0" length="13"/>
    </mentions>
  </threadedComment>
  <threadedComment ref="C119" dT="2026-08-11T15:25:40.96" personId="{B1E47C79-69C0-45D4-AF1E-D9FCA729B88C}" id="{20E01DFF-755D-48A7-B249-08EB863A2C76}">
    <text xml:space="preserve">@Mathias Mingazzini </text>
    <mentions>
      <mention mentionpersonId="{F02389A8-1FB6-43B8-8117-2D47430485D9}" mentionId="{E6F234ED-60A3-4FEA-B996-12387D7A0753}" startIndex="0" length="19"/>
    </mentions>
  </threadedComment>
</ThreadedComment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5-01/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knowledgehub.efrag.org/eng/interactive/voluntary-standard/standard-for-voluntary-use/da/46/a" TargetMode="External"/><Relationship Id="rId13" Type="http://schemas.openxmlformats.org/officeDocument/2006/relationships/hyperlink" Target="https://knowledgehub.efrag.org/eng/interactive/vsme/vsme-standard-annex-i/2025-07-30-ec-rec/24/b" TargetMode="External"/><Relationship Id="rId18" Type="http://schemas.openxmlformats.org/officeDocument/2006/relationships/hyperlink" Target="https://knowledgehub.efrag.org/eng/interactive/voluntary-standard/standard-for-voluntary-use/da/27/e/iv" TargetMode="External"/><Relationship Id="rId26" Type="http://schemas.openxmlformats.org/officeDocument/2006/relationships/hyperlink" Target="https://knowledgehub.efrag.org/eng/interactive/voluntary-standard/standard-for-voluntary-use/da/27/e/v" TargetMode="External"/><Relationship Id="rId3" Type="http://schemas.openxmlformats.org/officeDocument/2006/relationships/hyperlink" Target="https://knowledgehub.efrag.org/eng/interactive/voluntary-standard/standard-for-voluntary-use/da/28" TargetMode="External"/><Relationship Id="rId21" Type="http://schemas.openxmlformats.org/officeDocument/2006/relationships/hyperlink" Target="https://www.efrag.org/en/vsme-supporting-guide-on-disclosure-c2-comprehensive-module-practices-policies-and-future" TargetMode="External"/><Relationship Id="rId7" Type="http://schemas.openxmlformats.org/officeDocument/2006/relationships/hyperlink" Target="https://knowledgehub.efrag.org/eng/interactive/voluntary-standard/standard-for-voluntary-use/da/48" TargetMode="External"/><Relationship Id="rId12" Type="http://schemas.openxmlformats.org/officeDocument/2006/relationships/hyperlink" Target="https://knowledgehub.efrag.org/eng/interactive/voluntary-standard/standard-for-voluntary-use/da/27/a" TargetMode="External"/><Relationship Id="rId17" Type="http://schemas.openxmlformats.org/officeDocument/2006/relationships/hyperlink" Target="https://knowledgehub.efrag.org/eng/interactive/voluntary-standard/standard-for-voluntary-use/da/27/e/iii" TargetMode="External"/><Relationship Id="rId25" Type="http://schemas.openxmlformats.org/officeDocument/2006/relationships/hyperlink" Target="https://knowledgehub.efrag.org/eng/interactive/voluntary-standard/standard-for-voluntary-use/da/27/e/v" TargetMode="External"/><Relationship Id="rId2" Type="http://schemas.openxmlformats.org/officeDocument/2006/relationships/hyperlink" Target="https://knowledgehub.efrag.org/eng/interactive/voluntary-standard/standard-for-voluntary-use/da/27/d" TargetMode="External"/><Relationship Id="rId16" Type="http://schemas.openxmlformats.org/officeDocument/2006/relationships/hyperlink" Target="https://knowledgehub.efrag.org/eng/interactive/voluntary-standard/standard-for-voluntary-use/da/27/e/ii" TargetMode="External"/><Relationship Id="rId20" Type="http://schemas.openxmlformats.org/officeDocument/2006/relationships/hyperlink" Target="https://knowledgehub.efrag.org/eng/interactive/voluntary-standard/standard-for-voluntary-use/da/27/e/vi" TargetMode="External"/><Relationship Id="rId29" Type="http://schemas.openxmlformats.org/officeDocument/2006/relationships/drawing" Target="../drawings/drawing2.xml"/><Relationship Id="rId1" Type="http://schemas.openxmlformats.org/officeDocument/2006/relationships/hyperlink" Target="https://knowledgehub.efrag.org/eng/interactive/voluntary-standard/standard-for-voluntary-use/da/18" TargetMode="External"/><Relationship Id="rId6" Type="http://schemas.openxmlformats.org/officeDocument/2006/relationships/hyperlink" Target="https://knowledgehub.efrag.org/eng/interactive/voluntary-standard/standard-for-voluntary-use/da/47" TargetMode="External"/><Relationship Id="rId11" Type="http://schemas.openxmlformats.org/officeDocument/2006/relationships/hyperlink" Target="https://knowledgehub.efrag.org/eng/interactive/voluntary-standard/standard-for-voluntary-use/da/46/d" TargetMode="External"/><Relationship Id="rId24" Type="http://schemas.openxmlformats.org/officeDocument/2006/relationships/hyperlink" Target="https://knowledgehub.efrag.org/eng/interactive/voluntary-standard/standard-for-voluntary-use/da/27/b" TargetMode="External"/><Relationship Id="rId5" Type="http://schemas.openxmlformats.org/officeDocument/2006/relationships/hyperlink" Target="https://knowledgehub.efrag.org/eng/interactive/voluntary-standard/standard-for-voluntary-use/da/29" TargetMode="External"/><Relationship Id="rId15" Type="http://schemas.openxmlformats.org/officeDocument/2006/relationships/hyperlink" Target="https://knowledgehub.efrag.org/eng/interactive/voluntary-standard/standard-for-voluntary-use/da/27/e/i" TargetMode="External"/><Relationship Id="rId23" Type="http://schemas.openxmlformats.org/officeDocument/2006/relationships/hyperlink" Target="https://knowledgehub.efrag.org/eng/interactive/voluntary-standard/standard-for-voluntary-use/da/27/a" TargetMode="External"/><Relationship Id="rId28" Type="http://schemas.openxmlformats.org/officeDocument/2006/relationships/printerSettings" Target="../printerSettings/printerSettings2.bin"/><Relationship Id="rId10" Type="http://schemas.openxmlformats.org/officeDocument/2006/relationships/hyperlink" Target="https://knowledgehub.efrag.org/eng/interactive/voluntary-standard/standard-for-voluntary-use/da/46/c" TargetMode="External"/><Relationship Id="rId19" Type="http://schemas.openxmlformats.org/officeDocument/2006/relationships/hyperlink" Target="https://knowledgehub.efrag.org/eng/interactive/voluntary-standard/standard-for-voluntary-use/da/27/e/v" TargetMode="External"/><Relationship Id="rId4" Type="http://schemas.openxmlformats.org/officeDocument/2006/relationships/hyperlink" Target="https://knowledgehub.efrag.org/eng/interactive/voluntary-standard/standard-for-voluntary-use/da/27/e/vii" TargetMode="External"/><Relationship Id="rId9" Type="http://schemas.openxmlformats.org/officeDocument/2006/relationships/hyperlink" Target="https://knowledgehub.efrag.org/eng/interactive/voluntary-standard/standard-for-voluntary-use/da/46/b" TargetMode="External"/><Relationship Id="rId14" Type="http://schemas.openxmlformats.org/officeDocument/2006/relationships/hyperlink" Target="https://knowledgehub.efrag.org/eng/interactive/voluntary-standard/standard-for-voluntary-use/da/27/c" TargetMode="External"/><Relationship Id="rId22" Type="http://schemas.openxmlformats.org/officeDocument/2006/relationships/hyperlink" Target="https://knowledgehub.efrag.org/eng/interactive/voluntary-standard/standard-for-voluntary-use/da/12" TargetMode="External"/><Relationship Id="rId27" Type="http://schemas.openxmlformats.org/officeDocument/2006/relationships/hyperlink" Target="https://knowledgehub.efrag.org/eng/interactive/voluntary-standard/standard-for-voluntary-use/da/4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knowledgehub.efrag.org/eng/interactive/voluntary-standard/standard-for-voluntary-use/da/53/e" TargetMode="External"/><Relationship Id="rId13" Type="http://schemas.openxmlformats.org/officeDocument/2006/relationships/hyperlink" Target="https://knowledgehub.efrag.org/eng/interactive/voluntary-standard/standard-for-voluntary-use/da/36" TargetMode="External"/><Relationship Id="rId18" Type="http://schemas.openxmlformats.org/officeDocument/2006/relationships/hyperlink" Target="https://knowledgehub.efrag.org/eng/interactive/voluntary-standard/standard-for-voluntary-use/da/56/a" TargetMode="External"/><Relationship Id="rId26" Type="http://schemas.openxmlformats.org/officeDocument/2006/relationships/hyperlink" Target="https://knowledgehub.efrag.org/eng/interactive/voluntary-standard/standard-for-voluntary-use/da/54" TargetMode="External"/><Relationship Id="rId3" Type="http://schemas.openxmlformats.org/officeDocument/2006/relationships/hyperlink" Target="https://knowledgehub.efrag.org/eng/interactive/voluntary-standard/standard-for-voluntary-use/da/53/b" TargetMode="External"/><Relationship Id="rId21" Type="http://schemas.openxmlformats.org/officeDocument/2006/relationships/hyperlink" Target="https://knowledgehub.efrag.org/eng/interactive/voluntary-standard/standard-for-voluntary-use/da/56/d" TargetMode="External"/><Relationship Id="rId7" Type="http://schemas.openxmlformats.org/officeDocument/2006/relationships/hyperlink" Target="https://knowledgehub.efrag.org/eng/interactive/voluntary-standard/standard-for-voluntary-use/da/53/d" TargetMode="External"/><Relationship Id="rId12" Type="http://schemas.openxmlformats.org/officeDocument/2006/relationships/hyperlink" Target="https://knowledgehub.efrag.org/eng/interactive/voluntary-standard/standard-for-voluntary-use/da/35" TargetMode="External"/><Relationship Id="rId17" Type="http://schemas.openxmlformats.org/officeDocument/2006/relationships/hyperlink" Target="https://knowledgehub.efrag.org/eng/interactive/voluntary-standard/standard-for-voluntary-use/da/39/c" TargetMode="External"/><Relationship Id="rId25" Type="http://schemas.openxmlformats.org/officeDocument/2006/relationships/hyperlink" Target="https://knowledgehub.efrag.org/eng/interactive/voluntary-standard/standard-for-voluntary-use/da/32" TargetMode="External"/><Relationship Id="rId2" Type="http://schemas.openxmlformats.org/officeDocument/2006/relationships/hyperlink" Target="https://knowledgehub.efrag.org/eng/interactive/voluntary-standard/standard-for-voluntary-use/da/33" TargetMode="External"/><Relationship Id="rId16" Type="http://schemas.openxmlformats.org/officeDocument/2006/relationships/hyperlink" Target="https://knowledgehub.efrag.org/eng/interactive/voluntary-standard/standard-for-voluntary-use/da/39/a" TargetMode="External"/><Relationship Id="rId20" Type="http://schemas.openxmlformats.org/officeDocument/2006/relationships/hyperlink" Target="https://knowledgehub.efrag.org/eng/interactive/voluntary-standard/standard-for-voluntary-use/da/56/c" TargetMode="External"/><Relationship Id="rId29" Type="http://schemas.openxmlformats.org/officeDocument/2006/relationships/drawing" Target="../drawings/drawing3.xml"/><Relationship Id="rId1" Type="http://schemas.openxmlformats.org/officeDocument/2006/relationships/hyperlink" Target="https://knowledgehub.efrag.org/eng/interactive/voluntary-standard/standard-for-voluntary-use/da/32" TargetMode="External"/><Relationship Id="rId6" Type="http://schemas.openxmlformats.org/officeDocument/2006/relationships/hyperlink" Target="https://knowledgehub.efrag.org/eng/interactive/voluntary-standard/standard-for-voluntary-use/da/49" TargetMode="External"/><Relationship Id="rId11" Type="http://schemas.openxmlformats.org/officeDocument/2006/relationships/hyperlink" Target="https://knowledgehub.efrag.org/eng/interactive/voluntary-standard/standard-for-voluntary-use/da/34" TargetMode="External"/><Relationship Id="rId24" Type="http://schemas.openxmlformats.org/officeDocument/2006/relationships/hyperlink" Target="https://www.efrag.org/en/vsme-supporting-guide-on-disclosure-c3-comprehensive-module-ghg-reduction-targets-and-climate" TargetMode="External"/><Relationship Id="rId5" Type="http://schemas.openxmlformats.org/officeDocument/2006/relationships/hyperlink" Target="https://knowledgehub.efrag.org/eng/interactive/voluntary-standard/standard-for-voluntary-use/da/53/d" TargetMode="External"/><Relationship Id="rId15" Type="http://schemas.openxmlformats.org/officeDocument/2006/relationships/hyperlink" Target="https://knowledgehub.efrag.org/eng/interactive/voluntary-standard/standard-for-voluntary-use/da/38" TargetMode="External"/><Relationship Id="rId23" Type="http://schemas.openxmlformats.org/officeDocument/2006/relationships/hyperlink" Target="https://knowledgehub.efrag.org/eng/interactive/voluntary-standard/standard-for-voluntary-use/da/12" TargetMode="External"/><Relationship Id="rId28" Type="http://schemas.openxmlformats.org/officeDocument/2006/relationships/printerSettings" Target="../printerSettings/printerSettings3.bin"/><Relationship Id="rId10" Type="http://schemas.openxmlformats.org/officeDocument/2006/relationships/hyperlink" Target="https://knowledgehub.efrag.org/eng/interactive/voluntary-standard/standard-for-voluntary-use/da/55" TargetMode="External"/><Relationship Id="rId19" Type="http://schemas.openxmlformats.org/officeDocument/2006/relationships/hyperlink" Target="https://knowledgehub.efrag.org/eng/interactive/voluntary-standard/standard-for-voluntary-use/da/56/b" TargetMode="External"/><Relationship Id="rId4" Type="http://schemas.openxmlformats.org/officeDocument/2006/relationships/hyperlink" Target="https://knowledgehub.efrag.org/eng/interactive/voluntary-standard/standard-for-voluntary-use/da/53/a" TargetMode="External"/><Relationship Id="rId9" Type="http://schemas.openxmlformats.org/officeDocument/2006/relationships/hyperlink" Target="https://knowledgehub.efrag.org/eng/interactive/voluntary-standard/standard-for-voluntary-use/da/54" TargetMode="External"/><Relationship Id="rId14" Type="http://schemas.openxmlformats.org/officeDocument/2006/relationships/hyperlink" Target="https://knowledgehub.efrag.org/eng/interactive/voluntary-standard/standard-for-voluntary-use/da/37" TargetMode="External"/><Relationship Id="rId22" Type="http://schemas.openxmlformats.org/officeDocument/2006/relationships/hyperlink" Target="https://knowledgehub.efrag.org/eng/interactive/voluntary-standard/standard-for-voluntary-use/da/57" TargetMode="External"/><Relationship Id="rId27" Type="http://schemas.openxmlformats.org/officeDocument/2006/relationships/hyperlink" Target="https://knowledgehub.efrag.org/eng/interactive/voluntary-standard/standard-for-voluntary-use/da/54"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knowledgehub.efrag.org/eng/interactive/voluntary-standard/standard-for-voluntary-use/da/42/b" TargetMode="External"/><Relationship Id="rId13" Type="http://schemas.openxmlformats.org/officeDocument/2006/relationships/hyperlink" Target="https://knowledgehub.efrag.org/eng/interactive/voluntary-standard/standard-for-voluntary-use/da/61/a" TargetMode="External"/><Relationship Id="rId18" Type="http://schemas.openxmlformats.org/officeDocument/2006/relationships/hyperlink" Target="https://knowledgehub.efrag.org/eng/interactive/voluntary-standard/standard-for-voluntary-use/da/62/b" TargetMode="External"/><Relationship Id="rId26" Type="http://schemas.openxmlformats.org/officeDocument/2006/relationships/hyperlink" Target="https://knowledgehub.efrag.org/eng/interactive/voluntary-standard/standard-for-voluntary-use/da/60" TargetMode="External"/><Relationship Id="rId3" Type="http://schemas.openxmlformats.org/officeDocument/2006/relationships/hyperlink" Target="https://knowledgehub.efrag.org/eng/interactive/voluntary-standard/standard-for-voluntary-use/da/40/c" TargetMode="External"/><Relationship Id="rId21" Type="http://schemas.openxmlformats.org/officeDocument/2006/relationships/hyperlink" Target="https://knowledgehub.efrag.org/eng/interactive/voluntary-standard/standard-for-voluntary-use/da/12" TargetMode="External"/><Relationship Id="rId7" Type="http://schemas.openxmlformats.org/officeDocument/2006/relationships/hyperlink" Target="https://knowledgehub.efrag.org/eng/interactive/voluntary-standard/standard-for-voluntary-use/da/42/a" TargetMode="External"/><Relationship Id="rId12" Type="http://schemas.openxmlformats.org/officeDocument/2006/relationships/hyperlink" Target="https://knowledgehub.efrag.org/eng/interactive/voluntary-standard/standard-for-voluntary-use/da/60" TargetMode="External"/><Relationship Id="rId17" Type="http://schemas.openxmlformats.org/officeDocument/2006/relationships/hyperlink" Target="https://knowledgehub.efrag.org/eng/interactive/voluntary-standard/standard-for-voluntary-use/da/62/a" TargetMode="External"/><Relationship Id="rId25" Type="http://schemas.openxmlformats.org/officeDocument/2006/relationships/hyperlink" Target="https://knowledgehub.efrag.org/eng/interactive/voluntary-standard/standard-for-voluntary-use/da/59" TargetMode="External"/><Relationship Id="rId2" Type="http://schemas.openxmlformats.org/officeDocument/2006/relationships/hyperlink" Target="https://knowledgehub.efrag.org/eng/interactive/voluntary-standard/standard-for-voluntary-use/da/40/b" TargetMode="External"/><Relationship Id="rId16" Type="http://schemas.openxmlformats.org/officeDocument/2006/relationships/hyperlink" Target="https://knowledgehub.efrag.org/eng/interactive/voluntary-standard/standard-for-voluntary-use/da/62" TargetMode="External"/><Relationship Id="rId20" Type="http://schemas.openxmlformats.org/officeDocument/2006/relationships/hyperlink" Target="https://knowledgehub.efrag.org/eng/interactive/voluntary-standard/standard-for-voluntary-use/da/62/c" TargetMode="External"/><Relationship Id="rId29" Type="http://schemas.openxmlformats.org/officeDocument/2006/relationships/hyperlink" Target="https://knowledgehub.efrag.org/eng/interactive/voluntary-standard/standard-for-voluntary-use/da/58" TargetMode="External"/><Relationship Id="rId1" Type="http://schemas.openxmlformats.org/officeDocument/2006/relationships/hyperlink" Target="https://knowledgehub.efrag.org/eng/interactive/voluntary-standard/standard-for-voluntary-use/da/40/a" TargetMode="External"/><Relationship Id="rId6" Type="http://schemas.openxmlformats.org/officeDocument/2006/relationships/hyperlink" Target="https://knowledgehub.efrag.org/eng/interactive/voluntary-standard/standard-for-voluntary-use/da/41/b" TargetMode="External"/><Relationship Id="rId11" Type="http://schemas.openxmlformats.org/officeDocument/2006/relationships/hyperlink" Target="https://knowledgehub.efrag.org/eng/interactive/voluntary-standard/standard-for-voluntary-use/da/59" TargetMode="External"/><Relationship Id="rId24" Type="http://schemas.openxmlformats.org/officeDocument/2006/relationships/hyperlink" Target="https://knowledgehub.efrag.org/eng/interactive/voluntary-standard/standard-for-voluntary-use/da/59" TargetMode="External"/><Relationship Id="rId5" Type="http://schemas.openxmlformats.org/officeDocument/2006/relationships/hyperlink" Target="https://knowledgehub.efrag.org/eng/interactive/voluntary-standard/standard-for-voluntary-use/da/41/a" TargetMode="External"/><Relationship Id="rId15" Type="http://schemas.openxmlformats.org/officeDocument/2006/relationships/hyperlink" Target="https://knowledgehub.efrag.org/eng/interactive/voluntary-standard/standard-for-voluntary-use/da/61/c" TargetMode="External"/><Relationship Id="rId23" Type="http://schemas.openxmlformats.org/officeDocument/2006/relationships/hyperlink" Target="https://knowledgehub.efrag.org/eng/interactive/voluntary-standard/standard-for-voluntary-use/da/58" TargetMode="External"/><Relationship Id="rId28" Type="http://schemas.openxmlformats.org/officeDocument/2006/relationships/hyperlink" Target="https://knowledgehub.efrag.org/eng/interactive/voluntary-standard/standard-for-voluntary-use/da/58" TargetMode="External"/><Relationship Id="rId10" Type="http://schemas.openxmlformats.org/officeDocument/2006/relationships/hyperlink" Target="https://knowledgehub.efrag.org/eng/interactive/voluntary-standard/standard-for-voluntary-use/da/42/d" TargetMode="External"/><Relationship Id="rId19" Type="http://schemas.openxmlformats.org/officeDocument/2006/relationships/hyperlink" Target="https://knowledgehub.efrag.org/eng/interactive/voluntary-standard/standard-for-voluntary-use/da/62/c" TargetMode="External"/><Relationship Id="rId31" Type="http://schemas.openxmlformats.org/officeDocument/2006/relationships/drawing" Target="../drawings/drawing4.xml"/><Relationship Id="rId4" Type="http://schemas.openxmlformats.org/officeDocument/2006/relationships/hyperlink" Target="https://knowledgehub.efrag.org/eng/interactive/voluntary-standard/standard-for-voluntary-use/da/41/a" TargetMode="External"/><Relationship Id="rId9" Type="http://schemas.openxmlformats.org/officeDocument/2006/relationships/hyperlink" Target="https://knowledgehub.efrag.org/eng/interactive/voluntary-standard/standard-for-voluntary-use/da/42/c" TargetMode="External"/><Relationship Id="rId14" Type="http://schemas.openxmlformats.org/officeDocument/2006/relationships/hyperlink" Target="https://knowledgehub.efrag.org/eng/interactive/voluntary-standard/standard-for-voluntary-use/da/61/b" TargetMode="External"/><Relationship Id="rId22" Type="http://schemas.openxmlformats.org/officeDocument/2006/relationships/hyperlink" Target="https://www.efrag.org/en/vsme-supporting-guide-to-disclosure-c7-comprehensive-module-severe-negative-human-rights-incidents" TargetMode="External"/><Relationship Id="rId27" Type="http://schemas.openxmlformats.org/officeDocument/2006/relationships/hyperlink" Target="https://knowledgehub.efrag.org/eng/interactive/voluntary-standard/standard-for-voluntary-use/da/58" TargetMode="External"/><Relationship Id="rId30"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8" Type="http://schemas.openxmlformats.org/officeDocument/2006/relationships/drawing" Target="../drawings/drawing5.xml"/><Relationship Id="rId3" Type="http://schemas.openxmlformats.org/officeDocument/2006/relationships/hyperlink" Target="https://knowledgehub.efrag.org/eng/interactive/voluntary-standard/standard-for-voluntary-use/da/63/b" TargetMode="External"/><Relationship Id="rId7" Type="http://schemas.openxmlformats.org/officeDocument/2006/relationships/hyperlink" Target="https://knowledgehub.efrag.org/eng/interactive/voluntary-standard/standard-for-voluntary-use/da/12" TargetMode="External"/><Relationship Id="rId2" Type="http://schemas.openxmlformats.org/officeDocument/2006/relationships/hyperlink" Target="https://knowledgehub.efrag.org/eng/interactive/voluntary-standard/standard-for-voluntary-use/da/63/a" TargetMode="External"/><Relationship Id="rId1" Type="http://schemas.openxmlformats.org/officeDocument/2006/relationships/hyperlink" Target="https://knowledgehub.efrag.org/eng/interactive/voluntary-standard/standard-for-voluntary-use/da/43" TargetMode="External"/><Relationship Id="rId6" Type="http://schemas.openxmlformats.org/officeDocument/2006/relationships/hyperlink" Target="https://knowledgehub.efrag.org/eng/interactive/voluntary-standard/standard-for-voluntary-use/da/64" TargetMode="External"/><Relationship Id="rId5" Type="http://schemas.openxmlformats.org/officeDocument/2006/relationships/hyperlink" Target="https://knowledgehub.efrag.org/eng/interactive/voluntary-standard/standard-for-voluntary-use/da/63/d" TargetMode="External"/><Relationship Id="rId4" Type="http://schemas.openxmlformats.org/officeDocument/2006/relationships/hyperlink" Target="https://knowledgehub.efrag.org/eng/interactive/voluntary-standard/standard-for-voluntary-use/da/63/c"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E7FCE-E16D-49E4-A7B0-FAAD59C0A990}">
  <dimension ref="A1:BH64"/>
  <sheetViews>
    <sheetView tabSelected="1" zoomScaleNormal="100" workbookViewId="0">
      <selection activeCell="G7" sqref="G7:P7"/>
    </sheetView>
  </sheetViews>
  <sheetFormatPr defaultColWidth="9.44140625" defaultRowHeight="14.4"/>
  <cols>
    <col min="1" max="16384" width="9.44140625" style="496"/>
  </cols>
  <sheetData>
    <row r="1" spans="1:60" ht="93.6">
      <c r="B1" s="497"/>
      <c r="C1" s="497"/>
      <c r="D1" s="497"/>
      <c r="E1" s="497"/>
      <c r="F1" s="497"/>
      <c r="G1" s="497"/>
      <c r="H1" s="497"/>
      <c r="I1" s="497"/>
      <c r="J1" s="497"/>
      <c r="K1" s="497"/>
      <c r="L1" s="497"/>
      <c r="M1" s="497"/>
      <c r="N1" s="497"/>
      <c r="O1" s="497"/>
      <c r="P1" s="497"/>
      <c r="Q1" s="497"/>
      <c r="R1" s="497"/>
      <c r="S1" s="497"/>
      <c r="T1" s="497"/>
      <c r="U1" s="497"/>
      <c r="V1" s="497"/>
      <c r="W1" s="497"/>
      <c r="X1" s="497"/>
      <c r="Y1" s="497"/>
      <c r="Z1" s="497"/>
      <c r="AA1" s="497"/>
      <c r="AB1" s="497"/>
      <c r="AC1" s="497"/>
      <c r="AD1" s="497"/>
      <c r="AE1" s="497"/>
      <c r="AF1" s="497"/>
      <c r="AG1" s="497"/>
      <c r="AH1" s="497"/>
      <c r="AI1" s="497"/>
      <c r="AJ1" s="497"/>
      <c r="AK1" s="497"/>
      <c r="AL1" s="497"/>
      <c r="AM1" s="497"/>
      <c r="AN1" s="497"/>
      <c r="AO1" s="497"/>
      <c r="AP1" s="497"/>
      <c r="AQ1" s="497"/>
      <c r="AR1" s="497"/>
      <c r="AS1" s="497"/>
      <c r="AT1" s="497"/>
      <c r="AU1" s="497"/>
      <c r="AV1" s="497"/>
      <c r="AW1" s="497"/>
      <c r="AX1" s="497"/>
      <c r="AY1" s="497"/>
      <c r="AZ1" s="497"/>
      <c r="BA1" s="497"/>
      <c r="BB1" s="497"/>
      <c r="BC1" s="497"/>
      <c r="BD1" s="497"/>
      <c r="BE1" s="497"/>
      <c r="BF1" s="497"/>
      <c r="BG1" s="497"/>
      <c r="BH1" s="497"/>
    </row>
    <row r="2" spans="1:60" ht="14.4" customHeight="1">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501"/>
      <c r="AE2" s="497"/>
      <c r="AF2" s="497"/>
      <c r="AG2" s="497"/>
      <c r="AH2" s="497"/>
      <c r="AI2" s="497"/>
      <c r="AJ2" s="497"/>
      <c r="AK2" s="497"/>
      <c r="AL2" s="497"/>
      <c r="AM2" s="497"/>
      <c r="AN2" s="497"/>
      <c r="AO2" s="497"/>
      <c r="AP2" s="497"/>
      <c r="AQ2" s="497"/>
      <c r="AR2" s="497"/>
      <c r="AS2" s="497"/>
      <c r="AT2" s="497"/>
      <c r="AU2" s="497"/>
      <c r="AV2" s="497"/>
      <c r="AW2" s="497"/>
      <c r="AX2" s="497"/>
      <c r="AY2" s="497"/>
      <c r="AZ2" s="497"/>
      <c r="BA2" s="497"/>
      <c r="BB2" s="497"/>
      <c r="BC2" s="497"/>
      <c r="BD2" s="497"/>
      <c r="BE2" s="497"/>
      <c r="BF2" s="497"/>
      <c r="BG2" s="497"/>
      <c r="BH2" s="497"/>
    </row>
    <row r="3" spans="1:60" ht="14.4" customHeight="1">
      <c r="A3" s="497"/>
      <c r="B3" s="497"/>
      <c r="C3" s="497"/>
      <c r="D3" s="497"/>
      <c r="E3" s="497"/>
      <c r="F3" s="497"/>
      <c r="G3" s="497"/>
      <c r="H3" s="497"/>
      <c r="I3" s="497"/>
      <c r="J3" s="497"/>
      <c r="K3" s="497"/>
      <c r="L3" s="497"/>
      <c r="M3" s="497"/>
      <c r="N3" s="497"/>
      <c r="O3" s="497"/>
      <c r="P3" s="497"/>
      <c r="Q3" s="497"/>
      <c r="R3" s="497"/>
      <c r="S3" s="497"/>
      <c r="T3" s="497"/>
      <c r="U3" s="497"/>
      <c r="V3" s="497"/>
      <c r="W3" s="497"/>
      <c r="X3" s="497"/>
      <c r="Y3" s="497"/>
      <c r="Z3" s="497"/>
      <c r="AA3" s="497"/>
      <c r="AB3" s="497"/>
      <c r="AC3" s="497"/>
      <c r="AD3" s="501"/>
      <c r="AE3" s="497"/>
      <c r="AF3" s="497"/>
      <c r="AG3" s="497"/>
      <c r="AH3" s="497"/>
      <c r="AI3" s="497"/>
      <c r="AJ3" s="497"/>
      <c r="AK3" s="497"/>
      <c r="AL3" s="497"/>
      <c r="AM3" s="497"/>
      <c r="AN3" s="497"/>
      <c r="AO3" s="497"/>
      <c r="AP3" s="497"/>
      <c r="AQ3" s="497"/>
      <c r="AR3" s="497"/>
      <c r="AS3" s="497"/>
      <c r="AT3" s="497"/>
      <c r="AU3" s="497"/>
      <c r="AV3" s="497"/>
      <c r="AW3" s="497"/>
      <c r="AX3" s="497"/>
      <c r="AY3" s="497"/>
      <c r="AZ3" s="497"/>
      <c r="BA3" s="497"/>
      <c r="BB3" s="497"/>
      <c r="BC3" s="497"/>
      <c r="BD3" s="497"/>
      <c r="BE3" s="497"/>
      <c r="BF3" s="497"/>
      <c r="BG3" s="497"/>
      <c r="BH3" s="497"/>
    </row>
    <row r="4" spans="1:60" ht="14.4" customHeight="1" thickBot="1">
      <c r="A4" s="497"/>
      <c r="B4" s="497"/>
      <c r="C4" s="497"/>
      <c r="D4" s="497"/>
      <c r="E4" s="497"/>
      <c r="F4" s="497"/>
      <c r="G4" s="497"/>
      <c r="H4" s="497"/>
      <c r="I4" s="497"/>
      <c r="J4" s="497"/>
      <c r="K4" s="497"/>
      <c r="L4" s="497"/>
      <c r="M4" s="497"/>
      <c r="N4" s="497"/>
      <c r="O4" s="497"/>
      <c r="P4" s="497"/>
      <c r="Q4" s="497"/>
      <c r="R4" s="497"/>
      <c r="S4" s="497"/>
      <c r="T4" s="497"/>
      <c r="U4" s="497"/>
      <c r="V4" s="497"/>
      <c r="W4" s="497"/>
      <c r="X4" s="497"/>
      <c r="Y4" s="497"/>
      <c r="Z4" s="497"/>
      <c r="AA4" s="497"/>
      <c r="AB4" s="497"/>
      <c r="AC4" s="497"/>
      <c r="AD4" s="501"/>
      <c r="AE4" s="497"/>
      <c r="AF4" s="497"/>
      <c r="AG4" s="497"/>
      <c r="AH4" s="497"/>
      <c r="AI4" s="497"/>
      <c r="AJ4" s="497"/>
      <c r="AK4" s="497"/>
      <c r="AL4" s="497"/>
      <c r="AM4" s="497"/>
      <c r="AN4" s="497"/>
      <c r="AO4" s="497"/>
      <c r="AP4" s="497"/>
      <c r="AQ4" s="497"/>
      <c r="AR4" s="497"/>
      <c r="AS4" s="497"/>
      <c r="AT4" s="497"/>
      <c r="AU4" s="497"/>
      <c r="AV4" s="497"/>
      <c r="AW4" s="497"/>
      <c r="AX4" s="497"/>
      <c r="AY4" s="497"/>
      <c r="AZ4" s="497"/>
      <c r="BA4" s="497"/>
      <c r="BB4" s="497"/>
      <c r="BC4" s="497"/>
      <c r="BD4" s="497"/>
      <c r="BE4" s="497"/>
      <c r="BF4" s="497"/>
      <c r="BG4" s="497"/>
      <c r="BH4" s="497"/>
    </row>
    <row r="5" spans="1:60" ht="54.6" customHeight="1">
      <c r="A5" s="497"/>
      <c r="B5" s="497"/>
      <c r="C5" s="497"/>
      <c r="D5" s="497"/>
      <c r="E5" s="497"/>
      <c r="F5" s="497"/>
      <c r="G5" s="641" t="str">
        <f>template_language_selection</f>
        <v>Language selection</v>
      </c>
      <c r="H5" s="642"/>
      <c r="I5" s="642"/>
      <c r="J5" s="642"/>
      <c r="K5" s="642"/>
      <c r="L5" s="642"/>
      <c r="M5" s="642"/>
      <c r="N5" s="642"/>
      <c r="O5" s="642"/>
      <c r="P5" s="643"/>
      <c r="Q5" s="497"/>
      <c r="R5" s="497"/>
      <c r="S5" s="497"/>
      <c r="T5" s="497"/>
      <c r="U5" s="497"/>
      <c r="V5" s="497"/>
      <c r="W5" s="497"/>
      <c r="X5" s="497"/>
      <c r="Y5" s="497"/>
      <c r="Z5" s="497"/>
      <c r="AA5" s="497"/>
      <c r="AB5" s="497"/>
      <c r="AC5" s="497"/>
      <c r="AD5" s="501"/>
      <c r="AE5" s="497"/>
      <c r="AF5" s="497"/>
      <c r="AG5" s="497"/>
      <c r="AH5" s="497"/>
      <c r="AI5" s="497"/>
      <c r="AJ5" s="497"/>
      <c r="AK5" s="497"/>
      <c r="AL5" s="497"/>
      <c r="AM5" s="497"/>
      <c r="AN5" s="497"/>
      <c r="AO5" s="497"/>
      <c r="AP5" s="497"/>
      <c r="AQ5" s="497"/>
      <c r="AR5" s="497"/>
      <c r="AS5" s="497"/>
      <c r="AT5" s="497"/>
      <c r="AU5" s="497"/>
      <c r="AV5" s="497"/>
      <c r="AW5" s="497"/>
      <c r="AX5" s="497"/>
      <c r="AY5" s="497"/>
      <c r="AZ5" s="497"/>
      <c r="BA5" s="497"/>
      <c r="BB5" s="497"/>
      <c r="BC5" s="497"/>
      <c r="BD5" s="497"/>
      <c r="BE5" s="497"/>
      <c r="BF5" s="497"/>
      <c r="BG5" s="497"/>
      <c r="BH5" s="497"/>
    </row>
    <row r="6" spans="1:60" ht="37.35" customHeight="1" thickBot="1">
      <c r="A6" s="497"/>
      <c r="B6" s="497"/>
      <c r="C6" s="497"/>
      <c r="D6" s="497"/>
      <c r="E6" s="497"/>
      <c r="F6" s="497"/>
      <c r="G6" s="644" t="str">
        <f>template_label_select_template_display_language</f>
        <v>VS Digital Template enables translations into different EU languages.
Please select the language from the dropdown below.</v>
      </c>
      <c r="H6" s="645"/>
      <c r="I6" s="645"/>
      <c r="J6" s="645"/>
      <c r="K6" s="645"/>
      <c r="L6" s="645"/>
      <c r="M6" s="645"/>
      <c r="N6" s="645"/>
      <c r="O6" s="645"/>
      <c r="P6" s="646"/>
      <c r="Q6" s="497"/>
      <c r="R6" s="497"/>
      <c r="S6" s="497"/>
      <c r="T6" s="497"/>
      <c r="U6" s="497"/>
      <c r="V6" s="497"/>
      <c r="W6" s="497"/>
      <c r="X6" s="497"/>
      <c r="Y6" s="497"/>
      <c r="Z6" s="497"/>
      <c r="AA6" s="497"/>
      <c r="AB6" s="497"/>
      <c r="AC6" s="497"/>
      <c r="AD6" s="501"/>
      <c r="AE6" s="497"/>
      <c r="AF6" s="497"/>
      <c r="AG6" s="497"/>
      <c r="AH6" s="497"/>
      <c r="AI6" s="497"/>
      <c r="AJ6" s="497"/>
      <c r="AK6" s="497"/>
      <c r="AL6" s="497"/>
      <c r="AM6" s="497"/>
      <c r="AN6" s="497"/>
      <c r="AO6" s="497"/>
      <c r="AP6" s="497"/>
      <c r="AQ6" s="497"/>
      <c r="AR6" s="497"/>
      <c r="AS6" s="497"/>
      <c r="AT6" s="497"/>
      <c r="AU6" s="497"/>
      <c r="AV6" s="497"/>
      <c r="AW6" s="497"/>
      <c r="AX6" s="497"/>
      <c r="AY6" s="497"/>
      <c r="AZ6" s="497"/>
      <c r="BA6" s="497"/>
      <c r="BB6" s="497"/>
      <c r="BC6" s="497"/>
      <c r="BD6" s="497"/>
      <c r="BE6" s="497"/>
      <c r="BF6" s="497"/>
      <c r="BG6" s="497"/>
      <c r="BH6" s="497"/>
    </row>
    <row r="7" spans="1:60" ht="28.35" customHeight="1" thickBot="1">
      <c r="A7" s="497"/>
      <c r="B7" s="497"/>
      <c r="C7" s="497"/>
      <c r="D7" s="497"/>
      <c r="E7" s="497"/>
      <c r="F7" s="497"/>
      <c r="G7" s="647" t="s">
        <v>0</v>
      </c>
      <c r="H7" s="648"/>
      <c r="I7" s="648"/>
      <c r="J7" s="648"/>
      <c r="K7" s="648"/>
      <c r="L7" s="648"/>
      <c r="M7" s="648"/>
      <c r="N7" s="648"/>
      <c r="O7" s="648"/>
      <c r="P7" s="648"/>
      <c r="Q7" s="500" t="s">
        <v>1</v>
      </c>
      <c r="R7" s="499"/>
      <c r="S7" s="497"/>
      <c r="T7" s="497"/>
      <c r="U7" s="497"/>
      <c r="V7" s="497"/>
      <c r="W7" s="497"/>
      <c r="X7" s="497"/>
      <c r="Y7" s="497"/>
      <c r="Z7" s="497"/>
      <c r="AA7" s="497"/>
      <c r="AB7" s="497"/>
      <c r="AC7" s="497"/>
      <c r="AD7" s="501"/>
      <c r="AE7" s="497"/>
      <c r="AF7" s="497"/>
      <c r="AG7" s="497"/>
      <c r="AH7" s="497"/>
      <c r="AI7" s="497"/>
      <c r="AJ7" s="497"/>
      <c r="AK7" s="497"/>
      <c r="AL7" s="497"/>
      <c r="AM7" s="497"/>
      <c r="AN7" s="497"/>
      <c r="AO7" s="497"/>
      <c r="AP7" s="497"/>
      <c r="AQ7" s="497"/>
      <c r="AR7" s="497"/>
      <c r="AS7" s="497"/>
      <c r="AT7" s="497"/>
      <c r="AU7" s="497"/>
      <c r="AV7" s="497"/>
      <c r="AW7" s="497"/>
      <c r="AX7" s="497"/>
      <c r="AY7" s="497"/>
      <c r="AZ7" s="497"/>
      <c r="BA7" s="497"/>
      <c r="BB7" s="497"/>
      <c r="BC7" s="497"/>
      <c r="BD7" s="497"/>
      <c r="BE7" s="497"/>
      <c r="BF7" s="497"/>
      <c r="BG7" s="497"/>
      <c r="BH7" s="497"/>
    </row>
    <row r="8" spans="1:60" ht="14.4" customHeight="1">
      <c r="A8" s="497"/>
      <c r="B8" s="497"/>
      <c r="C8" s="497"/>
      <c r="D8" s="497"/>
      <c r="E8" s="497"/>
      <c r="F8" s="497"/>
      <c r="G8" s="497"/>
      <c r="H8" s="497"/>
      <c r="I8" s="497"/>
      <c r="J8" s="497"/>
      <c r="K8" s="497"/>
      <c r="L8" s="497"/>
      <c r="M8" s="497"/>
      <c r="N8" s="497"/>
      <c r="O8" s="497"/>
      <c r="P8" s="497"/>
      <c r="Q8" s="497"/>
      <c r="R8" s="497"/>
      <c r="S8" s="497"/>
      <c r="T8" s="497"/>
      <c r="U8" s="497"/>
      <c r="V8" s="497"/>
      <c r="W8" s="497"/>
      <c r="X8" s="497"/>
      <c r="Y8" s="497"/>
      <c r="Z8" s="497"/>
      <c r="AA8" s="497"/>
      <c r="AB8" s="497"/>
      <c r="AC8" s="497"/>
      <c r="AD8" s="501"/>
      <c r="AE8" s="497"/>
      <c r="AF8" s="497"/>
      <c r="AG8" s="497"/>
      <c r="AH8" s="497"/>
      <c r="AI8" s="497"/>
      <c r="AJ8" s="497"/>
      <c r="AK8" s="497"/>
      <c r="AL8" s="497"/>
      <c r="AM8" s="497"/>
      <c r="AN8" s="497"/>
      <c r="AO8" s="497"/>
      <c r="AP8" s="497"/>
      <c r="AQ8" s="497"/>
      <c r="AR8" s="497"/>
      <c r="AS8" s="497"/>
      <c r="AT8" s="497"/>
      <c r="AU8" s="497"/>
      <c r="AV8" s="497"/>
      <c r="AW8" s="497"/>
      <c r="AX8" s="497"/>
      <c r="AY8" s="497"/>
      <c r="AZ8" s="497"/>
      <c r="BA8" s="497"/>
      <c r="BB8" s="497"/>
      <c r="BC8" s="497"/>
      <c r="BD8" s="497"/>
      <c r="BE8" s="497"/>
      <c r="BF8" s="497"/>
      <c r="BG8" s="497"/>
      <c r="BH8" s="497"/>
    </row>
    <row r="9" spans="1:60" ht="14.4" customHeight="1">
      <c r="A9" s="497"/>
      <c r="B9" s="497"/>
      <c r="C9" s="497"/>
      <c r="D9" s="497"/>
      <c r="E9" s="497"/>
      <c r="F9" s="497"/>
      <c r="G9" s="497"/>
      <c r="H9" s="497"/>
      <c r="I9" s="497"/>
      <c r="J9" s="497"/>
      <c r="K9" s="497"/>
      <c r="L9" s="497"/>
      <c r="M9" s="497"/>
      <c r="N9" s="497"/>
      <c r="O9" s="497"/>
      <c r="P9" s="497"/>
      <c r="Q9" s="497"/>
      <c r="R9" s="497"/>
      <c r="S9" s="497"/>
      <c r="T9" s="497"/>
      <c r="U9" s="497"/>
      <c r="V9" s="497"/>
      <c r="W9" s="497"/>
      <c r="X9" s="497"/>
      <c r="Y9" s="497"/>
      <c r="Z9" s="497"/>
      <c r="AA9" s="497"/>
      <c r="AB9" s="497"/>
      <c r="AC9" s="497"/>
      <c r="AD9" s="501"/>
      <c r="AE9" s="497"/>
      <c r="AF9" s="497"/>
      <c r="AG9" s="497"/>
      <c r="AH9" s="497"/>
      <c r="AI9" s="497"/>
      <c r="AJ9" s="497"/>
      <c r="AK9" s="497"/>
      <c r="AL9" s="497"/>
      <c r="AM9" s="497"/>
      <c r="AN9" s="497"/>
      <c r="AO9" s="497"/>
      <c r="AP9" s="497"/>
      <c r="AQ9" s="497"/>
      <c r="AR9" s="497"/>
      <c r="AS9" s="497"/>
      <c r="AT9" s="497"/>
      <c r="AU9" s="497"/>
      <c r="AV9" s="497"/>
      <c r="AW9" s="497"/>
      <c r="AX9" s="497"/>
      <c r="AY9" s="497"/>
      <c r="AZ9" s="497"/>
      <c r="BA9" s="497"/>
      <c r="BB9" s="497"/>
      <c r="BC9" s="497"/>
      <c r="BD9" s="497"/>
      <c r="BE9" s="497"/>
      <c r="BF9" s="497"/>
      <c r="BG9" s="497"/>
      <c r="BH9" s="497"/>
    </row>
    <row r="10" spans="1:60" ht="14.4" customHeight="1">
      <c r="A10" s="497"/>
      <c r="B10" s="497"/>
      <c r="C10" s="497"/>
      <c r="D10" s="497"/>
      <c r="E10" s="497"/>
      <c r="F10" s="497"/>
      <c r="G10" s="497"/>
      <c r="H10" s="497"/>
      <c r="I10" s="497"/>
      <c r="J10" s="497"/>
      <c r="K10" s="497"/>
      <c r="L10" s="497"/>
      <c r="M10" s="497"/>
      <c r="N10" s="497"/>
      <c r="O10" s="497"/>
      <c r="P10" s="497"/>
      <c r="Q10" s="497"/>
      <c r="R10" s="497"/>
      <c r="S10" s="497"/>
      <c r="T10" s="497"/>
      <c r="U10" s="497"/>
      <c r="V10" s="497"/>
      <c r="W10" s="497"/>
      <c r="X10" s="497"/>
      <c r="Y10" s="497"/>
      <c r="Z10" s="497"/>
      <c r="AA10" s="497"/>
      <c r="AB10" s="497"/>
      <c r="AC10" s="497"/>
      <c r="AD10" s="501"/>
      <c r="AE10" s="497"/>
      <c r="AF10" s="497"/>
      <c r="AG10" s="497"/>
      <c r="AH10" s="497"/>
      <c r="AI10" s="497"/>
      <c r="AJ10" s="497"/>
      <c r="AK10" s="497"/>
      <c r="AL10" s="497"/>
      <c r="AM10" s="497"/>
      <c r="AN10" s="497"/>
      <c r="AO10" s="497"/>
      <c r="AP10" s="497"/>
      <c r="AQ10" s="497"/>
      <c r="AR10" s="497"/>
      <c r="AS10" s="497"/>
      <c r="AT10" s="497"/>
      <c r="AU10" s="497"/>
      <c r="AV10" s="497"/>
      <c r="AW10" s="497"/>
      <c r="AX10" s="497"/>
      <c r="AY10" s="497"/>
      <c r="AZ10" s="497"/>
      <c r="BA10" s="497"/>
      <c r="BB10" s="497"/>
      <c r="BC10" s="497"/>
      <c r="BD10" s="497"/>
      <c r="BE10" s="497"/>
      <c r="BF10" s="497"/>
      <c r="BG10" s="497"/>
      <c r="BH10" s="497"/>
    </row>
    <row r="11" spans="1:60" ht="14.4" customHeight="1">
      <c r="A11" s="497"/>
      <c r="B11" s="497"/>
      <c r="C11" s="497"/>
      <c r="D11" s="497"/>
      <c r="E11" s="497"/>
      <c r="F11" s="497"/>
      <c r="G11" s="497"/>
      <c r="H11" s="497"/>
      <c r="I11" s="497"/>
      <c r="J11" s="497"/>
      <c r="K11" s="497"/>
      <c r="L11" s="497"/>
      <c r="M11" s="497"/>
      <c r="N11" s="497"/>
      <c r="O11" s="497"/>
      <c r="P11" s="497"/>
      <c r="Q11" s="497"/>
      <c r="R11" s="497"/>
      <c r="S11" s="497"/>
      <c r="T11" s="497"/>
      <c r="U11" s="497"/>
      <c r="V11" s="497"/>
      <c r="W11" s="497"/>
      <c r="X11" s="497"/>
      <c r="Y11" s="497"/>
      <c r="Z11" s="497"/>
      <c r="AA11" s="497"/>
      <c r="AB11" s="497"/>
      <c r="AC11" s="497"/>
      <c r="AD11" s="501"/>
      <c r="AE11" s="497"/>
      <c r="AF11" s="497"/>
      <c r="AG11" s="497"/>
      <c r="AH11" s="497"/>
      <c r="AI11" s="497"/>
      <c r="AJ11" s="497"/>
      <c r="AK11" s="497"/>
      <c r="AL11" s="497"/>
      <c r="AM11" s="497"/>
      <c r="AN11" s="497"/>
      <c r="AO11" s="497"/>
      <c r="AP11" s="497"/>
      <c r="AQ11" s="497"/>
      <c r="AR11" s="497"/>
      <c r="AS11" s="497"/>
      <c r="AT11" s="497"/>
      <c r="AU11" s="497"/>
      <c r="AV11" s="497"/>
      <c r="AW11" s="497"/>
      <c r="AX11" s="497"/>
      <c r="AY11" s="497"/>
      <c r="AZ11" s="497"/>
      <c r="BA11" s="497"/>
      <c r="BB11" s="497"/>
      <c r="BC11" s="497"/>
      <c r="BD11" s="497"/>
      <c r="BE11" s="497"/>
      <c r="BF11" s="497"/>
      <c r="BG11" s="497"/>
      <c r="BH11" s="497"/>
    </row>
    <row r="12" spans="1:60" ht="14.4" customHeight="1">
      <c r="A12" s="497"/>
      <c r="B12" s="497"/>
      <c r="C12" s="497"/>
      <c r="D12" s="497"/>
      <c r="E12" s="497"/>
      <c r="F12" s="497"/>
      <c r="G12" s="497"/>
      <c r="H12" s="497"/>
      <c r="I12" s="497"/>
      <c r="J12" s="497"/>
      <c r="K12" s="497"/>
      <c r="L12" s="497"/>
      <c r="M12" s="497"/>
      <c r="N12" s="497"/>
      <c r="O12" s="497"/>
      <c r="P12" s="497"/>
      <c r="Q12" s="497"/>
      <c r="R12" s="497"/>
      <c r="S12" s="497"/>
      <c r="T12" s="497"/>
      <c r="U12" s="497"/>
      <c r="V12" s="497"/>
      <c r="W12" s="497"/>
      <c r="X12" s="497"/>
      <c r="Y12" s="497"/>
      <c r="Z12" s="497"/>
      <c r="AA12" s="497"/>
      <c r="AB12" s="497"/>
      <c r="AC12" s="497"/>
      <c r="AD12" s="501"/>
      <c r="AE12" s="497"/>
      <c r="AF12" s="497"/>
      <c r="AG12" s="497"/>
      <c r="AH12" s="497"/>
      <c r="AI12" s="497"/>
      <c r="AJ12" s="497"/>
      <c r="AK12" s="497"/>
      <c r="AL12" s="497"/>
      <c r="AM12" s="497"/>
      <c r="AN12" s="497"/>
      <c r="AO12" s="497"/>
      <c r="AP12" s="497"/>
      <c r="AQ12" s="497"/>
      <c r="AR12" s="497"/>
      <c r="AS12" s="497"/>
      <c r="AT12" s="497"/>
      <c r="AU12" s="497"/>
      <c r="AV12" s="497"/>
      <c r="AW12" s="497"/>
      <c r="AX12" s="497"/>
      <c r="AY12" s="497"/>
      <c r="AZ12" s="497"/>
      <c r="BA12" s="497"/>
      <c r="BB12" s="497"/>
      <c r="BC12" s="497"/>
      <c r="BD12" s="497"/>
      <c r="BE12" s="497"/>
      <c r="BF12" s="497"/>
      <c r="BG12" s="497"/>
      <c r="BH12" s="497"/>
    </row>
    <row r="13" spans="1:60" ht="14.4" customHeight="1">
      <c r="A13" s="497"/>
      <c r="B13" s="497"/>
      <c r="C13" s="497"/>
      <c r="D13" s="497"/>
      <c r="E13" s="497"/>
      <c r="F13" s="497"/>
      <c r="G13" s="497"/>
      <c r="H13" s="497"/>
      <c r="I13" s="497"/>
      <c r="J13" s="497"/>
      <c r="K13" s="497"/>
      <c r="L13" s="497"/>
      <c r="M13" s="497"/>
      <c r="N13" s="497"/>
      <c r="O13" s="497"/>
      <c r="P13" s="497"/>
      <c r="Q13" s="497"/>
      <c r="R13" s="497"/>
      <c r="S13" s="497"/>
      <c r="T13" s="497"/>
      <c r="U13" s="497"/>
      <c r="V13" s="497"/>
      <c r="W13" s="497"/>
      <c r="X13" s="497"/>
      <c r="Y13" s="497"/>
      <c r="Z13" s="497"/>
      <c r="AA13" s="497"/>
      <c r="AB13" s="497"/>
      <c r="AC13" s="497"/>
      <c r="AD13" s="501"/>
      <c r="AE13" s="497"/>
      <c r="AF13" s="497"/>
      <c r="AG13" s="497"/>
      <c r="AH13" s="497"/>
      <c r="AI13" s="497"/>
      <c r="AJ13" s="497"/>
      <c r="AK13" s="497"/>
      <c r="AL13" s="497"/>
      <c r="AM13" s="497"/>
      <c r="AN13" s="497"/>
      <c r="AO13" s="497"/>
      <c r="AP13" s="497"/>
      <c r="AQ13" s="497"/>
      <c r="AR13" s="497"/>
      <c r="AS13" s="497"/>
      <c r="AT13" s="497"/>
      <c r="AU13" s="497"/>
      <c r="AV13" s="497"/>
      <c r="AW13" s="497"/>
      <c r="AX13" s="497"/>
      <c r="AY13" s="497"/>
      <c r="AZ13" s="497"/>
      <c r="BA13" s="497"/>
      <c r="BB13" s="497"/>
      <c r="BC13" s="497"/>
      <c r="BD13" s="497"/>
      <c r="BE13" s="497"/>
      <c r="BF13" s="497"/>
      <c r="BG13" s="497"/>
      <c r="BH13" s="497"/>
    </row>
    <row r="14" spans="1:60" ht="14.4" customHeight="1">
      <c r="A14" s="497"/>
      <c r="B14" s="497"/>
      <c r="C14" s="497"/>
      <c r="D14" s="497"/>
      <c r="E14" s="497"/>
      <c r="F14" s="497"/>
      <c r="G14" s="497"/>
      <c r="H14" s="497"/>
      <c r="I14" s="497"/>
      <c r="J14" s="497"/>
      <c r="K14" s="497"/>
      <c r="L14" s="497"/>
      <c r="M14" s="497"/>
      <c r="N14" s="497"/>
      <c r="O14" s="497"/>
      <c r="P14" s="497"/>
      <c r="Q14" s="497"/>
      <c r="R14" s="497"/>
      <c r="S14" s="497"/>
      <c r="T14" s="497"/>
      <c r="U14" s="497"/>
      <c r="V14" s="497"/>
      <c r="W14" s="497"/>
      <c r="X14" s="497"/>
      <c r="Y14" s="497"/>
      <c r="Z14" s="497"/>
      <c r="AA14" s="497"/>
      <c r="AB14" s="497"/>
      <c r="AC14" s="497"/>
      <c r="AD14" s="501"/>
      <c r="AE14" s="497"/>
      <c r="AF14" s="497"/>
      <c r="AG14" s="497"/>
      <c r="AH14" s="497"/>
      <c r="AI14" s="497"/>
      <c r="AJ14" s="497"/>
      <c r="AK14" s="497"/>
      <c r="AL14" s="497"/>
      <c r="AM14" s="497"/>
      <c r="AN14" s="497"/>
      <c r="AO14" s="497"/>
      <c r="AP14" s="497"/>
      <c r="AQ14" s="497"/>
      <c r="AR14" s="497"/>
      <c r="AS14" s="497"/>
      <c r="AT14" s="497"/>
      <c r="AU14" s="497"/>
      <c r="AV14" s="497"/>
      <c r="AW14" s="497"/>
      <c r="AX14" s="497"/>
      <c r="AY14" s="497"/>
      <c r="AZ14" s="497"/>
      <c r="BA14" s="497"/>
      <c r="BB14" s="497"/>
      <c r="BC14" s="497"/>
      <c r="BD14" s="497"/>
      <c r="BE14" s="497"/>
      <c r="BF14" s="497"/>
      <c r="BG14" s="497"/>
      <c r="BH14" s="497"/>
    </row>
    <row r="15" spans="1:60" ht="14.4" customHeight="1">
      <c r="A15" s="497"/>
      <c r="B15" s="497"/>
      <c r="C15" s="497"/>
      <c r="D15" s="497"/>
      <c r="E15" s="497"/>
      <c r="F15" s="497"/>
      <c r="G15" s="497"/>
      <c r="H15" s="497"/>
      <c r="I15" s="497"/>
      <c r="J15" s="497"/>
      <c r="K15" s="497"/>
      <c r="L15" s="497"/>
      <c r="M15" s="497"/>
      <c r="N15" s="497"/>
      <c r="O15" s="497"/>
      <c r="P15" s="497"/>
      <c r="Q15" s="497"/>
      <c r="R15" s="497"/>
      <c r="S15" s="497"/>
      <c r="T15" s="497"/>
      <c r="U15" s="497"/>
      <c r="V15" s="497"/>
      <c r="W15" s="497"/>
      <c r="X15" s="497"/>
      <c r="Y15" s="497"/>
      <c r="Z15" s="497"/>
      <c r="AA15" s="497"/>
      <c r="AB15" s="497"/>
      <c r="AC15" s="497"/>
      <c r="AD15" s="501"/>
      <c r="AE15" s="497"/>
      <c r="AF15" s="497"/>
      <c r="AG15" s="497"/>
      <c r="AH15" s="497"/>
      <c r="AI15" s="497"/>
      <c r="AJ15" s="497"/>
      <c r="AK15" s="497"/>
      <c r="AL15" s="497"/>
      <c r="AM15" s="497"/>
      <c r="AN15" s="497"/>
      <c r="AO15" s="497"/>
      <c r="AP15" s="497"/>
      <c r="AQ15" s="497"/>
      <c r="AR15" s="497"/>
      <c r="AS15" s="497"/>
      <c r="AT15" s="497"/>
      <c r="AU15" s="497"/>
      <c r="AV15" s="497"/>
      <c r="AW15" s="497"/>
      <c r="AX15" s="497"/>
      <c r="AY15" s="497"/>
      <c r="AZ15" s="497"/>
      <c r="BA15" s="497"/>
      <c r="BB15" s="497"/>
      <c r="BC15" s="497"/>
      <c r="BD15" s="497"/>
      <c r="BE15" s="497"/>
      <c r="BF15" s="497"/>
      <c r="BG15" s="497"/>
      <c r="BH15" s="497"/>
    </row>
    <row r="16" spans="1:60" ht="14.4" customHeight="1">
      <c r="A16" s="497"/>
      <c r="B16" s="497"/>
      <c r="C16" s="497"/>
      <c r="D16" s="497"/>
      <c r="E16" s="497"/>
      <c r="F16" s="497"/>
      <c r="G16" s="497"/>
      <c r="H16" s="497"/>
      <c r="I16" s="497"/>
      <c r="J16" s="497"/>
      <c r="K16" s="497"/>
      <c r="L16" s="497"/>
      <c r="M16" s="497"/>
      <c r="N16" s="497"/>
      <c r="O16" s="497"/>
      <c r="P16" s="497"/>
      <c r="Q16" s="497"/>
      <c r="R16" s="497"/>
      <c r="S16" s="497"/>
      <c r="T16" s="497"/>
      <c r="U16" s="497"/>
      <c r="V16" s="497"/>
      <c r="W16" s="497"/>
      <c r="X16" s="497"/>
      <c r="Y16" s="497"/>
      <c r="Z16" s="497"/>
      <c r="AA16" s="497"/>
      <c r="AB16" s="497"/>
      <c r="AC16" s="497"/>
      <c r="AD16" s="497"/>
      <c r="AE16" s="497"/>
      <c r="AF16" s="497"/>
      <c r="AG16" s="497"/>
      <c r="AH16" s="497"/>
      <c r="AI16" s="497"/>
      <c r="AJ16" s="497"/>
      <c r="AK16" s="497"/>
      <c r="AL16" s="497"/>
      <c r="AM16" s="497"/>
      <c r="AN16" s="497"/>
      <c r="AO16" s="497"/>
      <c r="AP16" s="497"/>
      <c r="AQ16" s="497"/>
      <c r="AR16" s="497"/>
      <c r="AS16" s="497"/>
      <c r="AT16" s="497"/>
      <c r="AU16" s="497"/>
      <c r="AV16" s="497"/>
      <c r="AW16" s="497"/>
      <c r="AX16" s="497"/>
      <c r="AY16" s="497"/>
      <c r="AZ16" s="497"/>
      <c r="BA16" s="497"/>
      <c r="BB16" s="497"/>
      <c r="BC16" s="497"/>
      <c r="BD16" s="497"/>
      <c r="BE16" s="497"/>
      <c r="BF16" s="497"/>
      <c r="BG16" s="497"/>
      <c r="BH16" s="497"/>
    </row>
    <row r="17" spans="1:60" ht="14.4" customHeight="1">
      <c r="A17" s="497"/>
      <c r="B17" s="497"/>
      <c r="C17" s="497"/>
      <c r="D17" s="497"/>
      <c r="E17" s="497"/>
      <c r="F17" s="497"/>
      <c r="G17" s="497"/>
      <c r="H17" s="497"/>
      <c r="I17" s="497"/>
      <c r="J17" s="497"/>
      <c r="K17" s="497"/>
      <c r="L17" s="497"/>
      <c r="M17" s="497"/>
      <c r="N17" s="497"/>
      <c r="O17" s="497"/>
      <c r="P17" s="497"/>
      <c r="Q17" s="497"/>
      <c r="R17" s="497"/>
      <c r="S17" s="497"/>
      <c r="T17" s="497"/>
      <c r="U17" s="497"/>
      <c r="V17" s="497"/>
      <c r="W17" s="497"/>
      <c r="X17" s="497"/>
      <c r="Y17" s="497"/>
      <c r="Z17" s="497"/>
      <c r="AA17" s="497"/>
      <c r="AB17" s="497"/>
      <c r="AC17" s="497"/>
      <c r="AD17" s="497"/>
      <c r="AE17" s="497"/>
      <c r="AF17" s="497"/>
      <c r="AG17" s="497"/>
      <c r="AH17" s="497"/>
      <c r="AI17" s="497"/>
      <c r="AJ17" s="497"/>
      <c r="AK17" s="497"/>
      <c r="AL17" s="497"/>
      <c r="AM17" s="497"/>
      <c r="AN17" s="497"/>
      <c r="AO17" s="497"/>
      <c r="AP17" s="497"/>
      <c r="AQ17" s="497"/>
      <c r="AR17" s="497"/>
      <c r="AS17" s="497"/>
      <c r="AT17" s="497"/>
      <c r="AU17" s="497"/>
      <c r="AV17" s="497"/>
      <c r="AW17" s="497"/>
      <c r="AX17" s="497"/>
      <c r="AY17" s="497"/>
      <c r="AZ17" s="497"/>
      <c r="BA17" s="497"/>
      <c r="BB17" s="497"/>
      <c r="BC17" s="497"/>
      <c r="BD17" s="497"/>
      <c r="BE17" s="497"/>
      <c r="BF17" s="497"/>
      <c r="BG17" s="497"/>
      <c r="BH17" s="497"/>
    </row>
    <row r="18" spans="1:60" ht="14.4" customHeight="1">
      <c r="A18" s="497"/>
      <c r="B18" s="497"/>
      <c r="C18" s="497"/>
      <c r="D18" s="497"/>
      <c r="E18" s="497"/>
      <c r="F18" s="497"/>
      <c r="G18" s="497"/>
      <c r="H18" s="497"/>
      <c r="I18" s="497"/>
      <c r="J18" s="497"/>
      <c r="K18" s="497"/>
      <c r="L18" s="497"/>
      <c r="M18" s="497"/>
      <c r="N18" s="497"/>
      <c r="O18" s="497"/>
      <c r="P18" s="497"/>
      <c r="Q18" s="497"/>
      <c r="R18" s="497"/>
      <c r="S18" s="497"/>
      <c r="T18" s="497"/>
      <c r="U18" s="497"/>
      <c r="V18" s="497"/>
      <c r="W18" s="497"/>
      <c r="X18" s="497"/>
      <c r="Y18" s="497"/>
      <c r="Z18" s="497"/>
      <c r="AA18" s="497"/>
      <c r="AB18" s="497"/>
      <c r="AC18" s="497"/>
      <c r="AD18" s="497"/>
      <c r="AE18" s="497"/>
      <c r="AF18" s="497"/>
      <c r="AG18" s="497"/>
      <c r="AH18" s="497"/>
      <c r="AI18" s="497"/>
      <c r="AJ18" s="497"/>
      <c r="AK18" s="497"/>
      <c r="AL18" s="497"/>
      <c r="AM18" s="497"/>
      <c r="AN18" s="497"/>
      <c r="AO18" s="497"/>
      <c r="AP18" s="497"/>
      <c r="AQ18" s="497"/>
      <c r="AR18" s="497"/>
      <c r="AS18" s="497"/>
      <c r="AT18" s="497"/>
      <c r="AU18" s="497"/>
      <c r="AV18" s="497"/>
      <c r="AW18" s="497"/>
      <c r="AX18" s="497"/>
      <c r="AY18" s="497"/>
      <c r="AZ18" s="497"/>
      <c r="BA18" s="497"/>
      <c r="BB18" s="497"/>
      <c r="BC18" s="497"/>
      <c r="BD18" s="497"/>
      <c r="BE18" s="497"/>
      <c r="BF18" s="497"/>
      <c r="BG18" s="497"/>
      <c r="BH18" s="497"/>
    </row>
    <row r="19" spans="1:60" ht="14.4" customHeight="1">
      <c r="A19" s="497"/>
      <c r="B19" s="497"/>
      <c r="C19" s="497"/>
      <c r="D19" s="497"/>
      <c r="E19" s="497"/>
      <c r="F19" s="497"/>
      <c r="G19" s="497"/>
      <c r="H19" s="497"/>
      <c r="I19" s="497"/>
      <c r="J19" s="497"/>
      <c r="K19" s="497"/>
      <c r="L19" s="497"/>
      <c r="M19" s="497"/>
      <c r="N19" s="497"/>
      <c r="O19" s="497"/>
      <c r="P19" s="497"/>
      <c r="Q19" s="497"/>
      <c r="R19" s="497"/>
      <c r="S19" s="497"/>
      <c r="T19" s="497"/>
      <c r="U19" s="497"/>
      <c r="V19" s="497"/>
      <c r="W19" s="497"/>
      <c r="X19" s="497"/>
      <c r="Y19" s="497"/>
      <c r="Z19" s="497"/>
      <c r="AA19" s="497"/>
      <c r="AB19" s="497"/>
      <c r="AC19" s="497"/>
      <c r="AD19" s="497"/>
      <c r="AE19" s="497"/>
      <c r="AF19" s="497"/>
      <c r="AG19" s="497"/>
      <c r="AH19" s="497"/>
      <c r="AI19" s="497"/>
      <c r="AJ19" s="497"/>
      <c r="AK19" s="497"/>
      <c r="AL19" s="497"/>
      <c r="AM19" s="497"/>
      <c r="AN19" s="497"/>
      <c r="AO19" s="497"/>
      <c r="AP19" s="497"/>
      <c r="AQ19" s="497"/>
      <c r="AR19" s="497"/>
      <c r="AS19" s="497"/>
      <c r="AT19" s="497"/>
      <c r="AU19" s="497"/>
      <c r="AV19" s="497"/>
      <c r="AW19" s="497"/>
      <c r="AX19" s="497"/>
      <c r="AY19" s="497"/>
      <c r="AZ19" s="497"/>
      <c r="BA19" s="497"/>
      <c r="BB19" s="497"/>
      <c r="BC19" s="497"/>
      <c r="BD19" s="497"/>
      <c r="BE19" s="497"/>
      <c r="BF19" s="497"/>
      <c r="BG19" s="497"/>
      <c r="BH19" s="497"/>
    </row>
    <row r="20" spans="1:60" ht="14.4" customHeight="1">
      <c r="A20" s="497"/>
      <c r="B20" s="497"/>
      <c r="C20" s="497"/>
      <c r="D20" s="497"/>
      <c r="E20" s="497"/>
      <c r="F20" s="497"/>
      <c r="G20" s="497"/>
      <c r="H20" s="497"/>
      <c r="I20" s="497"/>
      <c r="J20" s="497"/>
      <c r="K20" s="497"/>
      <c r="L20" s="497"/>
      <c r="M20" s="497"/>
      <c r="N20" s="497"/>
      <c r="O20" s="497"/>
      <c r="P20" s="497"/>
      <c r="Q20" s="497"/>
      <c r="R20" s="497"/>
      <c r="S20" s="497"/>
      <c r="T20" s="497"/>
      <c r="U20" s="497"/>
      <c r="V20" s="497"/>
      <c r="W20" s="497"/>
      <c r="X20" s="497"/>
      <c r="Y20" s="497"/>
      <c r="Z20" s="497"/>
      <c r="AA20" s="497"/>
      <c r="AB20" s="497"/>
      <c r="AC20" s="497"/>
      <c r="AD20" s="497"/>
      <c r="AE20" s="497"/>
      <c r="AF20" s="497"/>
      <c r="AG20" s="497"/>
      <c r="AH20" s="497"/>
      <c r="AI20" s="497"/>
      <c r="AJ20" s="497"/>
      <c r="AK20" s="497"/>
      <c r="AL20" s="497"/>
      <c r="AM20" s="497"/>
      <c r="AN20" s="497"/>
      <c r="AO20" s="497"/>
      <c r="AP20" s="497"/>
      <c r="AQ20" s="497"/>
      <c r="AR20" s="497"/>
      <c r="AS20" s="497"/>
      <c r="AT20" s="497"/>
      <c r="AU20" s="497"/>
      <c r="AV20" s="497"/>
      <c r="AW20" s="497"/>
      <c r="AX20" s="497"/>
      <c r="AY20" s="497"/>
      <c r="AZ20" s="497"/>
      <c r="BA20" s="497"/>
      <c r="BB20" s="497"/>
      <c r="BC20" s="497"/>
      <c r="BD20" s="497"/>
      <c r="BE20" s="497"/>
      <c r="BF20" s="497"/>
      <c r="BG20" s="497"/>
      <c r="BH20" s="497"/>
    </row>
    <row r="21" spans="1:60" ht="14.4" customHeight="1">
      <c r="A21" s="497"/>
      <c r="B21" s="497"/>
      <c r="C21" s="497"/>
      <c r="D21" s="497"/>
      <c r="E21" s="497"/>
      <c r="F21" s="497"/>
      <c r="G21" s="497"/>
      <c r="H21" s="497"/>
      <c r="I21" s="497"/>
      <c r="J21" s="497"/>
      <c r="K21" s="497"/>
      <c r="L21" s="497"/>
      <c r="M21" s="497"/>
      <c r="N21" s="497"/>
      <c r="O21" s="497"/>
      <c r="P21" s="497"/>
      <c r="Q21" s="497"/>
      <c r="R21" s="497"/>
      <c r="S21" s="497"/>
      <c r="T21" s="497"/>
      <c r="U21" s="497"/>
      <c r="V21" s="497"/>
      <c r="W21" s="497"/>
      <c r="X21" s="497"/>
      <c r="Y21" s="497"/>
      <c r="Z21" s="497"/>
      <c r="AA21" s="497"/>
      <c r="AB21" s="497"/>
      <c r="AC21" s="497"/>
      <c r="AD21" s="497"/>
      <c r="AE21" s="497"/>
      <c r="AF21" s="497"/>
      <c r="AG21" s="497"/>
      <c r="AH21" s="497"/>
      <c r="AI21" s="497"/>
      <c r="AJ21" s="497"/>
      <c r="AK21" s="497"/>
      <c r="AL21" s="497"/>
      <c r="AM21" s="497"/>
      <c r="AN21" s="497"/>
      <c r="AO21" s="497"/>
      <c r="AP21" s="497"/>
      <c r="AQ21" s="497"/>
      <c r="AR21" s="497"/>
      <c r="AS21" s="497"/>
      <c r="AT21" s="497"/>
      <c r="AU21" s="497"/>
      <c r="AV21" s="497"/>
      <c r="AW21" s="497"/>
      <c r="AX21" s="497"/>
      <c r="AY21" s="497"/>
      <c r="AZ21" s="497"/>
      <c r="BA21" s="497"/>
      <c r="BB21" s="497"/>
      <c r="BC21" s="497"/>
      <c r="BD21" s="497"/>
      <c r="BE21" s="497"/>
      <c r="BF21" s="497"/>
      <c r="BG21" s="497"/>
      <c r="BH21" s="497"/>
    </row>
    <row r="22" spans="1:60" ht="14.4" customHeight="1">
      <c r="A22" s="497"/>
      <c r="B22" s="497"/>
      <c r="C22" s="497"/>
      <c r="D22" s="497"/>
      <c r="E22" s="497"/>
      <c r="F22" s="497"/>
      <c r="G22" s="497"/>
      <c r="H22" s="497"/>
      <c r="I22" s="497"/>
      <c r="J22" s="497"/>
      <c r="K22" s="497"/>
      <c r="L22" s="497"/>
      <c r="M22" s="497"/>
      <c r="N22" s="497"/>
      <c r="O22" s="497"/>
      <c r="P22" s="497"/>
      <c r="Q22" s="497"/>
      <c r="R22" s="497"/>
      <c r="S22" s="497"/>
      <c r="T22" s="497"/>
      <c r="U22" s="497"/>
      <c r="V22" s="497"/>
      <c r="W22" s="497"/>
      <c r="X22" s="497"/>
      <c r="Y22" s="497"/>
      <c r="Z22" s="497"/>
      <c r="AA22" s="497"/>
      <c r="AB22" s="497"/>
      <c r="AC22" s="497"/>
      <c r="AD22" s="497"/>
      <c r="AE22" s="497"/>
      <c r="AF22" s="497"/>
      <c r="AG22" s="497"/>
      <c r="AH22" s="497"/>
      <c r="AI22" s="497"/>
      <c r="AJ22" s="497"/>
      <c r="AK22" s="497"/>
      <c r="AL22" s="497"/>
      <c r="AM22" s="497"/>
      <c r="AN22" s="497"/>
      <c r="AO22" s="497"/>
      <c r="AP22" s="497"/>
      <c r="AQ22" s="497"/>
      <c r="AR22" s="497"/>
      <c r="AS22" s="497"/>
      <c r="AT22" s="497"/>
      <c r="AU22" s="497"/>
      <c r="AV22" s="497"/>
      <c r="AW22" s="497"/>
      <c r="AX22" s="497"/>
      <c r="AY22" s="497"/>
      <c r="AZ22" s="497"/>
      <c r="BA22" s="497"/>
      <c r="BB22" s="497"/>
      <c r="BC22" s="497"/>
      <c r="BD22" s="497"/>
      <c r="BE22" s="497"/>
      <c r="BF22" s="497"/>
      <c r="BG22" s="497"/>
      <c r="BH22" s="497"/>
    </row>
    <row r="23" spans="1:60" ht="14.4" customHeight="1">
      <c r="A23" s="497"/>
      <c r="B23" s="497"/>
      <c r="C23" s="497"/>
      <c r="D23" s="497"/>
      <c r="E23" s="497"/>
      <c r="F23" s="497"/>
      <c r="G23" s="497"/>
      <c r="H23" s="497"/>
      <c r="I23" s="497"/>
      <c r="J23" s="497"/>
      <c r="K23" s="497"/>
      <c r="L23" s="497"/>
      <c r="M23" s="497"/>
      <c r="N23" s="497"/>
      <c r="O23" s="497"/>
      <c r="P23" s="497"/>
      <c r="Q23" s="497"/>
      <c r="R23" s="497"/>
      <c r="S23" s="497"/>
      <c r="T23" s="497"/>
      <c r="U23" s="497"/>
      <c r="V23" s="497"/>
      <c r="W23" s="497"/>
      <c r="X23" s="497"/>
      <c r="Y23" s="497"/>
      <c r="Z23" s="497"/>
      <c r="AA23" s="497"/>
      <c r="AB23" s="497"/>
      <c r="AC23" s="497"/>
      <c r="AD23" s="497"/>
      <c r="AE23" s="497"/>
      <c r="AF23" s="497"/>
      <c r="AG23" s="497"/>
      <c r="AH23" s="497"/>
      <c r="AI23" s="497"/>
      <c r="AJ23" s="497"/>
      <c r="AK23" s="497"/>
      <c r="AL23" s="497"/>
      <c r="AM23" s="497"/>
      <c r="AN23" s="497"/>
      <c r="AO23" s="497"/>
      <c r="AP23" s="497"/>
      <c r="AQ23" s="497"/>
      <c r="AR23" s="497"/>
      <c r="AS23" s="497"/>
      <c r="AT23" s="497"/>
      <c r="AU23" s="497"/>
      <c r="AV23" s="497"/>
      <c r="AW23" s="497"/>
      <c r="AX23" s="497"/>
      <c r="AY23" s="497"/>
      <c r="AZ23" s="497"/>
      <c r="BA23" s="497"/>
      <c r="BB23" s="497"/>
      <c r="BC23" s="497"/>
      <c r="BD23" s="497"/>
      <c r="BE23" s="497"/>
      <c r="BF23" s="497"/>
      <c r="BG23" s="497"/>
      <c r="BH23" s="497"/>
    </row>
    <row r="24" spans="1:60" ht="14.4" customHeight="1">
      <c r="A24" s="497"/>
      <c r="B24" s="497"/>
      <c r="C24" s="497"/>
      <c r="D24" s="497"/>
      <c r="E24" s="497"/>
      <c r="F24" s="497"/>
      <c r="G24" s="497"/>
      <c r="H24" s="497"/>
      <c r="I24" s="497"/>
      <c r="J24" s="497"/>
      <c r="K24" s="497"/>
      <c r="L24" s="497"/>
      <c r="M24" s="497"/>
      <c r="N24" s="497"/>
      <c r="O24" s="497"/>
      <c r="P24" s="497"/>
      <c r="Q24" s="497"/>
      <c r="R24" s="497"/>
      <c r="S24" s="497"/>
      <c r="T24" s="497"/>
      <c r="U24" s="497"/>
      <c r="V24" s="497"/>
      <c r="W24" s="497"/>
      <c r="X24" s="497"/>
      <c r="Y24" s="497"/>
      <c r="Z24" s="497"/>
      <c r="AA24" s="497"/>
      <c r="AB24" s="497"/>
      <c r="AC24" s="497"/>
      <c r="AD24" s="497"/>
      <c r="AE24" s="497"/>
      <c r="AF24" s="497"/>
      <c r="AG24" s="497"/>
      <c r="AH24" s="497"/>
      <c r="AI24" s="497"/>
      <c r="AJ24" s="497"/>
      <c r="AK24" s="497"/>
      <c r="AL24" s="497"/>
      <c r="AM24" s="497"/>
      <c r="AN24" s="497"/>
      <c r="AO24" s="497"/>
      <c r="AP24" s="497"/>
      <c r="AQ24" s="497"/>
      <c r="AR24" s="497"/>
      <c r="AS24" s="497"/>
      <c r="AT24" s="497"/>
      <c r="AU24" s="497"/>
      <c r="AV24" s="497"/>
      <c r="AW24" s="497"/>
      <c r="AX24" s="497"/>
      <c r="AY24" s="497"/>
      <c r="AZ24" s="497"/>
      <c r="BA24" s="497"/>
      <c r="BB24" s="497"/>
      <c r="BC24" s="497"/>
      <c r="BD24" s="497"/>
      <c r="BE24" s="497"/>
      <c r="BF24" s="497"/>
      <c r="BG24" s="497"/>
      <c r="BH24" s="497"/>
    </row>
    <row r="25" spans="1:60" ht="14.4" customHeight="1">
      <c r="A25" s="497"/>
      <c r="B25" s="497"/>
      <c r="C25" s="497"/>
      <c r="D25" s="497"/>
      <c r="E25" s="497"/>
      <c r="F25" s="497"/>
      <c r="G25" s="497"/>
      <c r="H25" s="497"/>
      <c r="I25" s="497"/>
      <c r="J25" s="497"/>
      <c r="K25" s="497"/>
      <c r="L25" s="497"/>
      <c r="M25" s="497"/>
      <c r="N25" s="497"/>
      <c r="O25" s="497"/>
      <c r="P25" s="497"/>
      <c r="Q25" s="497"/>
      <c r="R25" s="497"/>
      <c r="S25" s="497"/>
      <c r="T25" s="497"/>
      <c r="U25" s="497"/>
      <c r="V25" s="497"/>
      <c r="W25" s="497"/>
      <c r="X25" s="497"/>
      <c r="Y25" s="497"/>
      <c r="Z25" s="497"/>
      <c r="AA25" s="497"/>
      <c r="AB25" s="497"/>
      <c r="AC25" s="497"/>
      <c r="AD25" s="497"/>
      <c r="AE25" s="497"/>
      <c r="AF25" s="497"/>
      <c r="AG25" s="497"/>
      <c r="AH25" s="497"/>
      <c r="AI25" s="497"/>
      <c r="AJ25" s="497"/>
      <c r="AK25" s="497"/>
      <c r="AL25" s="497"/>
      <c r="AM25" s="497"/>
      <c r="AN25" s="497"/>
      <c r="AO25" s="497"/>
      <c r="AP25" s="497"/>
      <c r="AQ25" s="497"/>
      <c r="AR25" s="497"/>
      <c r="AS25" s="497"/>
      <c r="AT25" s="497"/>
      <c r="AU25" s="497"/>
      <c r="AV25" s="497"/>
      <c r="AW25" s="497"/>
      <c r="AX25" s="497"/>
      <c r="AY25" s="497"/>
      <c r="AZ25" s="497"/>
      <c r="BA25" s="497"/>
      <c r="BB25" s="497"/>
      <c r="BC25" s="497"/>
      <c r="BD25" s="497"/>
      <c r="BE25" s="497"/>
      <c r="BF25" s="497"/>
      <c r="BG25" s="497"/>
      <c r="BH25" s="497"/>
    </row>
    <row r="26" spans="1:60" ht="14.4" customHeight="1">
      <c r="A26" s="497"/>
      <c r="B26" s="497"/>
      <c r="C26" s="497"/>
      <c r="D26" s="497"/>
      <c r="E26" s="497"/>
      <c r="F26" s="497"/>
      <c r="G26" s="497"/>
      <c r="H26" s="497"/>
      <c r="I26" s="497"/>
      <c r="J26" s="497"/>
      <c r="K26" s="497"/>
      <c r="L26" s="497"/>
      <c r="M26" s="497"/>
      <c r="N26" s="497"/>
      <c r="O26" s="497"/>
      <c r="P26" s="497"/>
      <c r="Q26" s="497"/>
      <c r="R26" s="497"/>
      <c r="S26" s="497"/>
      <c r="T26" s="497"/>
      <c r="U26" s="497"/>
      <c r="V26" s="497"/>
      <c r="W26" s="497"/>
      <c r="X26" s="497"/>
      <c r="Y26" s="497"/>
      <c r="Z26" s="497"/>
      <c r="AA26" s="497"/>
      <c r="AB26" s="497"/>
      <c r="AC26" s="497"/>
      <c r="AD26" s="497"/>
      <c r="AE26" s="497"/>
      <c r="AF26" s="497"/>
      <c r="AG26" s="497"/>
      <c r="AH26" s="497"/>
      <c r="AI26" s="497"/>
      <c r="AJ26" s="497"/>
      <c r="AK26" s="497"/>
      <c r="AL26" s="497"/>
      <c r="AM26" s="497"/>
      <c r="AN26" s="497"/>
      <c r="AO26" s="497"/>
      <c r="AP26" s="497"/>
      <c r="AQ26" s="497"/>
      <c r="AR26" s="497"/>
      <c r="AS26" s="497"/>
      <c r="AT26" s="497"/>
      <c r="AU26" s="497"/>
      <c r="AV26" s="497"/>
      <c r="AW26" s="497"/>
      <c r="AX26" s="497"/>
      <c r="AY26" s="497"/>
      <c r="AZ26" s="497"/>
      <c r="BA26" s="497"/>
      <c r="BB26" s="497"/>
      <c r="BC26" s="497"/>
      <c r="BD26" s="497"/>
      <c r="BE26" s="497"/>
      <c r="BF26" s="497"/>
      <c r="BG26" s="497"/>
      <c r="BH26" s="497"/>
    </row>
    <row r="27" spans="1:60" ht="14.4" customHeight="1">
      <c r="A27" s="497"/>
      <c r="B27" s="497"/>
      <c r="C27" s="497"/>
      <c r="D27" s="497"/>
      <c r="E27" s="497"/>
      <c r="F27" s="497"/>
      <c r="G27" s="497"/>
      <c r="H27" s="497"/>
      <c r="I27" s="497"/>
      <c r="J27" s="497"/>
      <c r="K27" s="497"/>
      <c r="L27" s="497"/>
      <c r="M27" s="497"/>
      <c r="N27" s="497"/>
      <c r="O27" s="497"/>
      <c r="P27" s="497"/>
      <c r="Q27" s="497"/>
      <c r="R27" s="497"/>
      <c r="S27" s="497"/>
      <c r="T27" s="497"/>
      <c r="U27" s="497"/>
      <c r="V27" s="497"/>
      <c r="W27" s="497"/>
      <c r="X27" s="497"/>
      <c r="Y27" s="497"/>
      <c r="Z27" s="497"/>
      <c r="AA27" s="497"/>
      <c r="AB27" s="497"/>
      <c r="AC27" s="497"/>
      <c r="AD27" s="497"/>
      <c r="AE27" s="497"/>
      <c r="AF27" s="497"/>
      <c r="AG27" s="497"/>
      <c r="AH27" s="497"/>
      <c r="AI27" s="497"/>
      <c r="AJ27" s="497"/>
      <c r="AK27" s="497"/>
      <c r="AL27" s="497"/>
      <c r="AM27" s="497"/>
      <c r="AN27" s="497"/>
      <c r="AO27" s="497"/>
      <c r="AP27" s="497"/>
      <c r="AQ27" s="497"/>
      <c r="AR27" s="497"/>
      <c r="AS27" s="497"/>
      <c r="AT27" s="497"/>
      <c r="AU27" s="497"/>
      <c r="AV27" s="497"/>
      <c r="AW27" s="497"/>
      <c r="AX27" s="497"/>
      <c r="AY27" s="497"/>
      <c r="AZ27" s="497"/>
      <c r="BA27" s="497"/>
      <c r="BB27" s="497"/>
      <c r="BC27" s="497"/>
      <c r="BD27" s="497"/>
      <c r="BE27" s="497"/>
      <c r="BF27" s="497"/>
      <c r="BG27" s="497"/>
      <c r="BH27" s="497"/>
    </row>
    <row r="28" spans="1:60" ht="14.4" customHeight="1">
      <c r="A28" s="497"/>
      <c r="B28" s="497"/>
      <c r="C28" s="497"/>
      <c r="D28" s="497"/>
      <c r="E28" s="497"/>
      <c r="F28" s="497"/>
      <c r="G28" s="497"/>
      <c r="H28" s="497"/>
      <c r="I28" s="497"/>
      <c r="J28" s="497"/>
      <c r="K28" s="497"/>
      <c r="L28" s="497"/>
      <c r="M28" s="497"/>
      <c r="N28" s="497"/>
      <c r="O28" s="497"/>
      <c r="P28" s="497"/>
      <c r="Q28" s="497"/>
      <c r="R28" s="497"/>
      <c r="S28" s="497"/>
      <c r="T28" s="497"/>
      <c r="U28" s="497"/>
      <c r="V28" s="497"/>
      <c r="W28" s="497"/>
      <c r="X28" s="497"/>
      <c r="Y28" s="497"/>
      <c r="Z28" s="497"/>
      <c r="AA28" s="497"/>
      <c r="AB28" s="497"/>
      <c r="AC28" s="497"/>
      <c r="AD28" s="497"/>
      <c r="AE28" s="497"/>
      <c r="AF28" s="497"/>
      <c r="AG28" s="497"/>
      <c r="AH28" s="497"/>
      <c r="AI28" s="497"/>
      <c r="AJ28" s="497"/>
      <c r="AK28" s="497"/>
      <c r="AL28" s="497"/>
      <c r="AM28" s="497"/>
      <c r="AN28" s="497"/>
      <c r="AO28" s="497"/>
      <c r="AP28" s="497"/>
      <c r="AQ28" s="497"/>
      <c r="AR28" s="497"/>
      <c r="AS28" s="497"/>
      <c r="AT28" s="497"/>
      <c r="AU28" s="497"/>
      <c r="AV28" s="497"/>
      <c r="AW28" s="497"/>
      <c r="AX28" s="497"/>
      <c r="AY28" s="497"/>
      <c r="AZ28" s="497"/>
      <c r="BA28" s="497"/>
      <c r="BB28" s="497"/>
      <c r="BC28" s="497"/>
      <c r="BD28" s="497"/>
      <c r="BE28" s="497"/>
      <c r="BF28" s="497"/>
      <c r="BG28" s="497"/>
      <c r="BH28" s="497"/>
    </row>
    <row r="29" spans="1:60" ht="14.4" customHeight="1">
      <c r="A29" s="497"/>
      <c r="B29" s="497"/>
      <c r="C29" s="497"/>
      <c r="D29" s="497"/>
      <c r="E29" s="497"/>
      <c r="F29" s="497"/>
      <c r="G29" s="497"/>
      <c r="H29" s="497"/>
      <c r="I29" s="497"/>
      <c r="J29" s="497"/>
      <c r="K29" s="497"/>
      <c r="L29" s="497"/>
      <c r="M29" s="497"/>
      <c r="N29" s="497"/>
      <c r="O29" s="497"/>
      <c r="P29" s="497"/>
      <c r="Q29" s="497"/>
      <c r="R29" s="497"/>
      <c r="S29" s="497"/>
      <c r="T29" s="497"/>
      <c r="U29" s="497"/>
      <c r="V29" s="497"/>
      <c r="W29" s="497"/>
      <c r="X29" s="497"/>
      <c r="Y29" s="497"/>
      <c r="Z29" s="497"/>
      <c r="AA29" s="497"/>
      <c r="AB29" s="497"/>
      <c r="AC29" s="497"/>
      <c r="AD29" s="497"/>
      <c r="AE29" s="497"/>
      <c r="AF29" s="497"/>
      <c r="AG29" s="497"/>
      <c r="AH29" s="497"/>
      <c r="AI29" s="497"/>
      <c r="AJ29" s="497"/>
      <c r="AK29" s="497"/>
      <c r="AL29" s="497"/>
      <c r="AM29" s="497"/>
      <c r="AN29" s="497"/>
      <c r="AO29" s="497"/>
      <c r="AP29" s="497"/>
      <c r="AQ29" s="497"/>
      <c r="AR29" s="497"/>
      <c r="AS29" s="497"/>
      <c r="AT29" s="497"/>
      <c r="AU29" s="497"/>
      <c r="AV29" s="497"/>
      <c r="AW29" s="497"/>
      <c r="AX29" s="497"/>
      <c r="AY29" s="497"/>
      <c r="AZ29" s="497"/>
      <c r="BA29" s="497"/>
      <c r="BB29" s="497"/>
      <c r="BC29" s="497"/>
      <c r="BD29" s="497"/>
      <c r="BE29" s="497"/>
      <c r="BF29" s="497"/>
      <c r="BG29" s="497"/>
      <c r="BH29" s="497"/>
    </row>
    <row r="30" spans="1:60" ht="14.4" customHeight="1">
      <c r="A30" s="497"/>
      <c r="B30" s="497"/>
      <c r="C30" s="497"/>
      <c r="D30" s="497"/>
      <c r="E30" s="497"/>
      <c r="F30" s="497"/>
      <c r="G30" s="497"/>
      <c r="H30" s="497"/>
      <c r="I30" s="497"/>
      <c r="J30" s="497"/>
      <c r="K30" s="497"/>
      <c r="L30" s="497"/>
      <c r="M30" s="497"/>
      <c r="N30" s="497"/>
      <c r="O30" s="497"/>
      <c r="P30" s="497"/>
      <c r="Q30" s="497"/>
      <c r="R30" s="497"/>
      <c r="S30" s="497"/>
      <c r="T30" s="497"/>
      <c r="U30" s="497"/>
      <c r="V30" s="497"/>
      <c r="W30" s="497"/>
      <c r="X30" s="497"/>
      <c r="Y30" s="497"/>
      <c r="Z30" s="497"/>
      <c r="AA30" s="497"/>
      <c r="AB30" s="497"/>
      <c r="AC30" s="497"/>
      <c r="AD30" s="497"/>
      <c r="AE30" s="497"/>
      <c r="AF30" s="497"/>
      <c r="AG30" s="497"/>
      <c r="AH30" s="497"/>
      <c r="AI30" s="497"/>
      <c r="AJ30" s="497"/>
      <c r="AK30" s="497"/>
      <c r="AL30" s="497"/>
      <c r="AM30" s="497"/>
      <c r="AN30" s="497"/>
      <c r="AO30" s="497"/>
      <c r="AP30" s="497"/>
      <c r="AQ30" s="497"/>
      <c r="AR30" s="497"/>
      <c r="AS30" s="497"/>
      <c r="AT30" s="497"/>
      <c r="AU30" s="497"/>
      <c r="AV30" s="497"/>
      <c r="AW30" s="497"/>
      <c r="AX30" s="497"/>
      <c r="AY30" s="497"/>
      <c r="AZ30" s="497"/>
      <c r="BA30" s="497"/>
      <c r="BB30" s="497"/>
      <c r="BC30" s="497"/>
      <c r="BD30" s="497"/>
      <c r="BE30" s="497"/>
      <c r="BF30" s="497"/>
      <c r="BG30" s="497"/>
      <c r="BH30" s="497"/>
    </row>
    <row r="31" spans="1:60" ht="14.4" customHeight="1">
      <c r="A31" s="497"/>
      <c r="B31" s="497"/>
      <c r="C31" s="497"/>
      <c r="D31" s="497"/>
      <c r="E31" s="497"/>
      <c r="F31" s="497"/>
      <c r="G31" s="497"/>
      <c r="H31" s="497"/>
      <c r="I31" s="497"/>
      <c r="J31" s="497"/>
      <c r="K31" s="497"/>
      <c r="L31" s="497"/>
      <c r="M31" s="497"/>
      <c r="N31" s="497"/>
      <c r="O31" s="497"/>
      <c r="P31" s="497"/>
      <c r="Q31" s="497"/>
      <c r="R31" s="497"/>
      <c r="S31" s="497"/>
      <c r="T31" s="497"/>
      <c r="U31" s="497"/>
      <c r="V31" s="497"/>
      <c r="W31" s="497"/>
      <c r="X31" s="497"/>
      <c r="Y31" s="497"/>
      <c r="Z31" s="497"/>
      <c r="AA31" s="497"/>
      <c r="AB31" s="497"/>
      <c r="AC31" s="497"/>
      <c r="AD31" s="497"/>
      <c r="AE31" s="497"/>
      <c r="AF31" s="497"/>
      <c r="AG31" s="497"/>
      <c r="AH31" s="497"/>
      <c r="AI31" s="497"/>
      <c r="AJ31" s="497"/>
      <c r="AK31" s="497"/>
      <c r="AL31" s="497"/>
      <c r="AM31" s="497"/>
      <c r="AN31" s="497"/>
      <c r="AO31" s="497"/>
      <c r="AP31" s="497"/>
      <c r="AQ31" s="497"/>
      <c r="AR31" s="497"/>
      <c r="AS31" s="497"/>
      <c r="AT31" s="497"/>
      <c r="AU31" s="497"/>
      <c r="AV31" s="497"/>
      <c r="AW31" s="497"/>
      <c r="AX31" s="497"/>
      <c r="AY31" s="497"/>
      <c r="AZ31" s="497"/>
      <c r="BA31" s="497"/>
      <c r="BB31" s="497"/>
      <c r="BC31" s="497"/>
      <c r="BD31" s="497"/>
      <c r="BE31" s="497"/>
      <c r="BF31" s="497"/>
      <c r="BG31" s="497"/>
      <c r="BH31" s="497"/>
    </row>
    <row r="32" spans="1:60" ht="14.4" customHeight="1">
      <c r="A32" s="497"/>
      <c r="B32" s="497"/>
      <c r="C32" s="497"/>
      <c r="D32" s="497"/>
      <c r="E32" s="497"/>
      <c r="F32" s="497"/>
      <c r="G32" s="497"/>
      <c r="H32" s="497"/>
      <c r="I32" s="497"/>
      <c r="J32" s="497"/>
      <c r="K32" s="497"/>
      <c r="L32" s="497"/>
      <c r="M32" s="497"/>
      <c r="N32" s="497"/>
      <c r="O32" s="497"/>
      <c r="P32" s="497"/>
      <c r="Q32" s="497"/>
      <c r="R32" s="497"/>
      <c r="S32" s="497"/>
      <c r="T32" s="497"/>
      <c r="U32" s="497"/>
      <c r="V32" s="497"/>
      <c r="W32" s="497"/>
      <c r="X32" s="497"/>
      <c r="Y32" s="497"/>
      <c r="Z32" s="497"/>
      <c r="AA32" s="497"/>
      <c r="AB32" s="497"/>
      <c r="AC32" s="497"/>
      <c r="AD32" s="497"/>
      <c r="AE32" s="497"/>
      <c r="AF32" s="497"/>
      <c r="AG32" s="497"/>
      <c r="AH32" s="497"/>
      <c r="AI32" s="497"/>
      <c r="AJ32" s="497"/>
      <c r="AK32" s="497"/>
      <c r="AL32" s="497"/>
      <c r="AM32" s="497"/>
      <c r="AN32" s="497"/>
      <c r="AO32" s="497"/>
      <c r="AP32" s="497"/>
      <c r="AQ32" s="497"/>
      <c r="AR32" s="497"/>
      <c r="AS32" s="497"/>
      <c r="AT32" s="497"/>
      <c r="AU32" s="497"/>
      <c r="AV32" s="497"/>
      <c r="AW32" s="497"/>
      <c r="AX32" s="497"/>
      <c r="AY32" s="497"/>
      <c r="AZ32" s="497"/>
      <c r="BA32" s="497"/>
      <c r="BB32" s="497"/>
      <c r="BC32" s="497"/>
      <c r="BD32" s="497"/>
      <c r="BE32" s="497"/>
      <c r="BF32" s="497"/>
      <c r="BG32" s="497"/>
      <c r="BH32" s="497"/>
    </row>
    <row r="33" spans="1:60" ht="14.4" customHeight="1">
      <c r="A33" s="497"/>
      <c r="B33" s="497"/>
      <c r="C33" s="497"/>
      <c r="D33" s="497"/>
      <c r="E33" s="497"/>
      <c r="F33" s="497"/>
      <c r="G33" s="497"/>
      <c r="H33" s="497"/>
      <c r="I33" s="497"/>
      <c r="J33" s="497"/>
      <c r="K33" s="497"/>
      <c r="L33" s="497"/>
      <c r="M33" s="497"/>
      <c r="N33" s="497"/>
      <c r="O33" s="497"/>
      <c r="P33" s="497"/>
      <c r="Q33" s="497"/>
      <c r="R33" s="497"/>
      <c r="S33" s="497"/>
      <c r="T33" s="497"/>
      <c r="U33" s="497"/>
      <c r="V33" s="497"/>
      <c r="W33" s="497"/>
      <c r="X33" s="497"/>
      <c r="Y33" s="497"/>
      <c r="Z33" s="497"/>
      <c r="AA33" s="497"/>
      <c r="AB33" s="497"/>
      <c r="AC33" s="497"/>
      <c r="AD33" s="497"/>
      <c r="AE33" s="497"/>
      <c r="AF33" s="497"/>
      <c r="AG33" s="497"/>
      <c r="AH33" s="497"/>
      <c r="AI33" s="497"/>
      <c r="AJ33" s="497"/>
      <c r="AK33" s="497"/>
      <c r="AL33" s="497"/>
      <c r="AM33" s="497"/>
      <c r="AN33" s="497"/>
      <c r="AO33" s="497"/>
      <c r="AP33" s="497"/>
      <c r="AQ33" s="497"/>
      <c r="AR33" s="497"/>
      <c r="AS33" s="497"/>
      <c r="AT33" s="497"/>
      <c r="AU33" s="497"/>
      <c r="AV33" s="497"/>
      <c r="AW33" s="497"/>
      <c r="AX33" s="497"/>
      <c r="AY33" s="497"/>
      <c r="AZ33" s="497"/>
      <c r="BA33" s="497"/>
      <c r="BB33" s="497"/>
      <c r="BC33" s="497"/>
      <c r="BD33" s="497"/>
      <c r="BE33" s="497"/>
      <c r="BF33" s="497"/>
      <c r="BG33" s="497"/>
      <c r="BH33" s="497"/>
    </row>
    <row r="34" spans="1:60" ht="14.4" customHeight="1">
      <c r="A34" s="497"/>
      <c r="B34" s="497"/>
      <c r="C34" s="497"/>
      <c r="D34" s="497"/>
      <c r="E34" s="497"/>
      <c r="F34" s="497"/>
      <c r="G34" s="497"/>
      <c r="H34" s="497"/>
      <c r="I34" s="497"/>
      <c r="J34" s="497"/>
      <c r="K34" s="497"/>
      <c r="L34" s="497"/>
      <c r="M34" s="497"/>
      <c r="N34" s="497"/>
      <c r="O34" s="497"/>
      <c r="P34" s="497"/>
      <c r="Q34" s="497"/>
      <c r="R34" s="497"/>
      <c r="S34" s="497"/>
      <c r="T34" s="497"/>
      <c r="U34" s="497"/>
      <c r="V34" s="497"/>
      <c r="W34" s="497"/>
      <c r="X34" s="497"/>
      <c r="Y34" s="497"/>
      <c r="Z34" s="497"/>
      <c r="AA34" s="497"/>
      <c r="AB34" s="497"/>
      <c r="AC34" s="497"/>
      <c r="AD34" s="497"/>
      <c r="AE34" s="497"/>
      <c r="AF34" s="497"/>
      <c r="AG34" s="497"/>
      <c r="AH34" s="497"/>
      <c r="AI34" s="497"/>
      <c r="AJ34" s="497"/>
      <c r="AK34" s="497"/>
      <c r="AL34" s="497"/>
      <c r="AM34" s="497"/>
      <c r="AN34" s="497"/>
      <c r="AO34" s="497"/>
      <c r="AP34" s="497"/>
      <c r="AQ34" s="497"/>
      <c r="AR34" s="497"/>
      <c r="AS34" s="497"/>
      <c r="AT34" s="497"/>
      <c r="AU34" s="497"/>
      <c r="AV34" s="497"/>
      <c r="AW34" s="497"/>
      <c r="AX34" s="497"/>
      <c r="AY34" s="497"/>
      <c r="AZ34" s="497"/>
      <c r="BA34" s="497"/>
      <c r="BB34" s="497"/>
      <c r="BC34" s="497"/>
      <c r="BD34" s="497"/>
      <c r="BE34" s="497"/>
      <c r="BF34" s="497"/>
      <c r="BG34" s="497"/>
      <c r="BH34" s="497"/>
    </row>
    <row r="35" spans="1:60" ht="14.4" customHeight="1">
      <c r="A35" s="497"/>
      <c r="B35" s="497"/>
      <c r="C35" s="497"/>
      <c r="D35" s="497"/>
      <c r="E35" s="497"/>
      <c r="F35" s="497"/>
      <c r="G35" s="497"/>
      <c r="H35" s="497"/>
      <c r="I35" s="497"/>
      <c r="J35" s="497"/>
      <c r="K35" s="497"/>
      <c r="L35" s="497"/>
      <c r="M35" s="497"/>
      <c r="N35" s="497"/>
      <c r="O35" s="497"/>
      <c r="P35" s="497"/>
      <c r="Q35" s="497"/>
      <c r="R35" s="497"/>
      <c r="S35" s="497"/>
      <c r="T35" s="497"/>
      <c r="U35" s="497"/>
      <c r="V35" s="497"/>
      <c r="W35" s="497"/>
      <c r="X35" s="497"/>
      <c r="Y35" s="497"/>
      <c r="Z35" s="497"/>
      <c r="AA35" s="497"/>
      <c r="AB35" s="497"/>
      <c r="AC35" s="497"/>
      <c r="AD35" s="497"/>
      <c r="AE35" s="497"/>
      <c r="AF35" s="497"/>
      <c r="AG35" s="497"/>
      <c r="AH35" s="497"/>
      <c r="AI35" s="497"/>
      <c r="AJ35" s="497"/>
      <c r="AK35" s="497"/>
      <c r="AL35" s="497"/>
      <c r="AM35" s="497"/>
      <c r="AN35" s="497"/>
      <c r="AO35" s="497"/>
      <c r="AP35" s="497"/>
      <c r="AQ35" s="497"/>
      <c r="AR35" s="497"/>
      <c r="AS35" s="497"/>
      <c r="AT35" s="497"/>
      <c r="AU35" s="497"/>
      <c r="AV35" s="497"/>
      <c r="AW35" s="497"/>
      <c r="AX35" s="497"/>
      <c r="AY35" s="497"/>
      <c r="AZ35" s="497"/>
      <c r="BA35" s="497"/>
      <c r="BB35" s="497"/>
      <c r="BC35" s="497"/>
      <c r="BD35" s="497"/>
      <c r="BE35" s="497"/>
      <c r="BF35" s="497"/>
      <c r="BG35" s="497"/>
      <c r="BH35" s="497"/>
    </row>
    <row r="36" spans="1:60" ht="14.4" customHeight="1">
      <c r="A36" s="497"/>
      <c r="B36" s="497"/>
      <c r="C36" s="497"/>
      <c r="D36" s="497"/>
      <c r="E36" s="497"/>
      <c r="F36" s="497"/>
      <c r="G36" s="497"/>
      <c r="H36" s="497"/>
      <c r="I36" s="497"/>
      <c r="J36" s="497"/>
      <c r="K36" s="497"/>
      <c r="L36" s="497"/>
      <c r="M36" s="497"/>
      <c r="N36" s="497"/>
      <c r="O36" s="497"/>
      <c r="P36" s="497"/>
      <c r="Q36" s="497"/>
      <c r="R36" s="497"/>
      <c r="S36" s="497"/>
      <c r="T36" s="497"/>
      <c r="U36" s="497"/>
      <c r="V36" s="497"/>
      <c r="W36" s="497"/>
      <c r="X36" s="497"/>
      <c r="Y36" s="497"/>
      <c r="Z36" s="497"/>
      <c r="AA36" s="497"/>
      <c r="AB36" s="497"/>
      <c r="AC36" s="497"/>
      <c r="AD36" s="497"/>
      <c r="AE36" s="497"/>
      <c r="AF36" s="497"/>
      <c r="AG36" s="497"/>
      <c r="AH36" s="497"/>
      <c r="AI36" s="497"/>
      <c r="AJ36" s="497"/>
      <c r="AK36" s="497"/>
      <c r="AL36" s="497"/>
      <c r="AM36" s="497"/>
      <c r="AN36" s="497"/>
      <c r="AO36" s="497"/>
      <c r="AP36" s="497"/>
      <c r="AQ36" s="497"/>
      <c r="AR36" s="497"/>
      <c r="AS36" s="497"/>
      <c r="AT36" s="497"/>
      <c r="AU36" s="497"/>
      <c r="AV36" s="497"/>
      <c r="AW36" s="497"/>
      <c r="AX36" s="497"/>
      <c r="AY36" s="497"/>
      <c r="AZ36" s="497"/>
      <c r="BA36" s="497"/>
      <c r="BB36" s="497"/>
      <c r="BC36" s="497"/>
      <c r="BD36" s="497"/>
      <c r="BE36" s="497"/>
      <c r="BF36" s="497"/>
      <c r="BG36" s="497"/>
      <c r="BH36" s="497"/>
    </row>
    <row r="37" spans="1:60" ht="14.4" customHeight="1">
      <c r="A37" s="497"/>
      <c r="B37" s="497"/>
      <c r="C37" s="497"/>
      <c r="D37" s="497"/>
      <c r="E37" s="497"/>
      <c r="F37" s="497"/>
      <c r="G37" s="497"/>
      <c r="H37" s="497"/>
      <c r="I37" s="497"/>
      <c r="J37" s="497"/>
      <c r="K37" s="497"/>
      <c r="L37" s="497"/>
      <c r="M37" s="497"/>
      <c r="N37" s="497"/>
      <c r="O37" s="497"/>
      <c r="P37" s="497"/>
      <c r="Q37" s="497"/>
      <c r="R37" s="497"/>
      <c r="S37" s="497"/>
      <c r="T37" s="497"/>
      <c r="U37" s="497"/>
      <c r="V37" s="497"/>
      <c r="W37" s="497"/>
      <c r="X37" s="497"/>
      <c r="Y37" s="497"/>
      <c r="Z37" s="497"/>
      <c r="AA37" s="497"/>
      <c r="AB37" s="497"/>
      <c r="AC37" s="497"/>
      <c r="AD37" s="497"/>
      <c r="AE37" s="497"/>
      <c r="AF37" s="497"/>
      <c r="AG37" s="497"/>
      <c r="AH37" s="497"/>
      <c r="AI37" s="497"/>
      <c r="AJ37" s="497"/>
      <c r="AK37" s="497"/>
      <c r="AL37" s="497"/>
      <c r="AM37" s="497"/>
      <c r="AN37" s="497"/>
      <c r="AO37" s="497"/>
      <c r="AP37" s="497"/>
      <c r="AQ37" s="497"/>
      <c r="AR37" s="497"/>
      <c r="AS37" s="497"/>
      <c r="AT37" s="497"/>
      <c r="AU37" s="497"/>
      <c r="AV37" s="497"/>
      <c r="AW37" s="497"/>
      <c r="AX37" s="497"/>
      <c r="AY37" s="497"/>
      <c r="AZ37" s="497"/>
      <c r="BA37" s="497"/>
      <c r="BB37" s="497"/>
      <c r="BC37" s="497"/>
      <c r="BD37" s="497"/>
      <c r="BE37" s="497"/>
      <c r="BF37" s="497"/>
      <c r="BG37" s="497"/>
      <c r="BH37" s="497"/>
    </row>
    <row r="38" spans="1:60" ht="14.4" customHeight="1">
      <c r="A38" s="497"/>
      <c r="B38" s="497"/>
      <c r="C38" s="497"/>
      <c r="D38" s="497"/>
      <c r="E38" s="497"/>
      <c r="F38" s="497"/>
      <c r="G38" s="497"/>
      <c r="H38" s="497"/>
      <c r="I38" s="497"/>
      <c r="J38" s="497"/>
      <c r="K38" s="497"/>
      <c r="L38" s="497"/>
      <c r="M38" s="497"/>
      <c r="N38" s="497"/>
      <c r="O38" s="497"/>
      <c r="P38" s="497"/>
      <c r="Q38" s="497"/>
      <c r="R38" s="497"/>
      <c r="S38" s="497"/>
      <c r="T38" s="497"/>
      <c r="U38" s="497"/>
      <c r="V38" s="497"/>
      <c r="W38" s="497"/>
      <c r="X38" s="497"/>
      <c r="Y38" s="497"/>
      <c r="Z38" s="497"/>
      <c r="AA38" s="497"/>
      <c r="AB38" s="497"/>
      <c r="AC38" s="497"/>
      <c r="AD38" s="497"/>
      <c r="AE38" s="497"/>
      <c r="AF38" s="497"/>
      <c r="AG38" s="497"/>
      <c r="AH38" s="497"/>
      <c r="AI38" s="497"/>
      <c r="AJ38" s="497"/>
      <c r="AK38" s="497"/>
      <c r="AL38" s="497"/>
      <c r="AM38" s="497"/>
      <c r="AN38" s="497"/>
      <c r="AO38" s="497"/>
      <c r="AP38" s="497"/>
      <c r="AQ38" s="497"/>
      <c r="AR38" s="497"/>
      <c r="AS38" s="497"/>
      <c r="AT38" s="497"/>
      <c r="AU38" s="497"/>
      <c r="AV38" s="497"/>
      <c r="AW38" s="497"/>
      <c r="AX38" s="497"/>
      <c r="AY38" s="497"/>
      <c r="AZ38" s="497"/>
      <c r="BA38" s="497"/>
      <c r="BB38" s="497"/>
      <c r="BC38" s="497"/>
      <c r="BD38" s="497"/>
      <c r="BE38" s="497"/>
      <c r="BF38" s="497"/>
      <c r="BG38" s="497"/>
      <c r="BH38" s="497"/>
    </row>
    <row r="39" spans="1:60" ht="14.4" customHeight="1">
      <c r="A39" s="497"/>
      <c r="B39" s="497"/>
      <c r="C39" s="497"/>
      <c r="D39" s="497"/>
      <c r="E39" s="497"/>
      <c r="F39" s="497"/>
      <c r="G39" s="497"/>
      <c r="H39" s="497"/>
      <c r="I39" s="497"/>
      <c r="J39" s="497"/>
      <c r="K39" s="497"/>
      <c r="L39" s="497"/>
      <c r="M39" s="497"/>
      <c r="N39" s="497"/>
      <c r="O39" s="497"/>
      <c r="P39" s="497"/>
      <c r="Q39" s="497"/>
      <c r="R39" s="497"/>
      <c r="S39" s="497"/>
      <c r="T39" s="497"/>
      <c r="U39" s="497"/>
      <c r="V39" s="497"/>
      <c r="W39" s="497"/>
      <c r="X39" s="497"/>
      <c r="Y39" s="497"/>
      <c r="Z39" s="497"/>
      <c r="AA39" s="497"/>
      <c r="AB39" s="497"/>
      <c r="AC39" s="497"/>
      <c r="AD39" s="497"/>
      <c r="AE39" s="497"/>
      <c r="AF39" s="497"/>
      <c r="AG39" s="497"/>
      <c r="AH39" s="497"/>
      <c r="AI39" s="497"/>
      <c r="AJ39" s="497"/>
      <c r="AK39" s="497"/>
      <c r="AL39" s="497"/>
      <c r="AM39" s="497"/>
      <c r="AN39" s="497"/>
      <c r="AO39" s="497"/>
      <c r="AP39" s="497"/>
      <c r="AQ39" s="497"/>
      <c r="AR39" s="497"/>
      <c r="AS39" s="497"/>
      <c r="AT39" s="497"/>
      <c r="AU39" s="497"/>
      <c r="AV39" s="497"/>
      <c r="AW39" s="497"/>
      <c r="AX39" s="497"/>
      <c r="AY39" s="497"/>
      <c r="AZ39" s="497"/>
      <c r="BA39" s="497"/>
      <c r="BB39" s="497"/>
      <c r="BC39" s="497"/>
      <c r="BD39" s="497"/>
      <c r="BE39" s="497"/>
      <c r="BF39" s="497"/>
      <c r="BG39" s="497"/>
      <c r="BH39" s="497"/>
    </row>
    <row r="40" spans="1:60" ht="14.4" customHeight="1">
      <c r="A40" s="497"/>
      <c r="B40" s="497"/>
      <c r="C40" s="497"/>
      <c r="D40" s="497"/>
      <c r="E40" s="497"/>
      <c r="F40" s="497"/>
      <c r="G40" s="497"/>
      <c r="H40" s="497"/>
      <c r="I40" s="497"/>
      <c r="J40" s="497"/>
      <c r="K40" s="497"/>
      <c r="L40" s="497"/>
      <c r="M40" s="497"/>
      <c r="N40" s="497"/>
      <c r="O40" s="497"/>
      <c r="P40" s="497"/>
      <c r="Q40" s="497"/>
      <c r="R40" s="497"/>
      <c r="S40" s="497"/>
      <c r="T40" s="497"/>
      <c r="U40" s="497"/>
      <c r="V40" s="497"/>
      <c r="W40" s="497"/>
      <c r="X40" s="497"/>
      <c r="Y40" s="497"/>
      <c r="Z40" s="497"/>
      <c r="AA40" s="497"/>
      <c r="AB40" s="497"/>
      <c r="AC40" s="497"/>
      <c r="AD40" s="497"/>
      <c r="AE40" s="497"/>
      <c r="AF40" s="497"/>
      <c r="AG40" s="497"/>
      <c r="AH40" s="497"/>
      <c r="AI40" s="497"/>
      <c r="AJ40" s="497"/>
      <c r="AK40" s="497"/>
      <c r="AL40" s="497"/>
      <c r="AM40" s="497"/>
      <c r="AN40" s="497"/>
      <c r="AO40" s="497"/>
      <c r="AP40" s="497"/>
      <c r="AQ40" s="497"/>
      <c r="AR40" s="497"/>
      <c r="AS40" s="497"/>
      <c r="AT40" s="497"/>
      <c r="AU40" s="497"/>
      <c r="AV40" s="497"/>
      <c r="AW40" s="497"/>
      <c r="AX40" s="497"/>
      <c r="AY40" s="497"/>
      <c r="AZ40" s="497"/>
      <c r="BA40" s="497"/>
      <c r="BB40" s="497"/>
      <c r="BC40" s="497"/>
      <c r="BD40" s="497"/>
      <c r="BE40" s="497"/>
      <c r="BF40" s="497"/>
      <c r="BG40" s="497"/>
      <c r="BH40" s="497"/>
    </row>
    <row r="41" spans="1:60" ht="14.4" customHeight="1">
      <c r="A41" s="497"/>
      <c r="B41" s="497"/>
      <c r="C41" s="497"/>
      <c r="D41" s="497"/>
      <c r="E41" s="497"/>
      <c r="F41" s="497"/>
      <c r="G41" s="497"/>
      <c r="H41" s="497"/>
      <c r="I41" s="497"/>
      <c r="J41" s="497"/>
      <c r="K41" s="497"/>
      <c r="L41" s="497"/>
      <c r="M41" s="497"/>
      <c r="N41" s="497"/>
      <c r="O41" s="497"/>
      <c r="P41" s="497"/>
      <c r="Q41" s="497"/>
      <c r="R41" s="497"/>
      <c r="S41" s="497"/>
      <c r="T41" s="497"/>
      <c r="U41" s="497"/>
      <c r="V41" s="497"/>
      <c r="W41" s="497"/>
      <c r="X41" s="497"/>
      <c r="Y41" s="497"/>
      <c r="Z41" s="497"/>
      <c r="AA41" s="497"/>
      <c r="AB41" s="497"/>
      <c r="AC41" s="497"/>
      <c r="AD41" s="497"/>
      <c r="AE41" s="497"/>
      <c r="AF41" s="497"/>
      <c r="AG41" s="497"/>
      <c r="AH41" s="497"/>
      <c r="AI41" s="497"/>
      <c r="AJ41" s="497"/>
      <c r="AK41" s="497"/>
      <c r="AL41" s="497"/>
      <c r="AM41" s="497"/>
      <c r="AN41" s="497"/>
      <c r="AO41" s="497"/>
      <c r="AP41" s="497"/>
      <c r="AQ41" s="497"/>
      <c r="AR41" s="497"/>
      <c r="AS41" s="497"/>
      <c r="AT41" s="497"/>
      <c r="AU41" s="497"/>
      <c r="AV41" s="497"/>
      <c r="AW41" s="497"/>
      <c r="AX41" s="497"/>
      <c r="AY41" s="497"/>
      <c r="AZ41" s="497"/>
      <c r="BA41" s="497"/>
      <c r="BB41" s="497"/>
      <c r="BC41" s="497"/>
      <c r="BD41" s="497"/>
      <c r="BE41" s="497"/>
      <c r="BF41" s="497"/>
      <c r="BG41" s="497"/>
      <c r="BH41" s="497"/>
    </row>
    <row r="42" spans="1:60" ht="14.4" customHeight="1">
      <c r="A42" s="497"/>
      <c r="B42" s="497"/>
      <c r="C42" s="497"/>
      <c r="D42" s="497"/>
      <c r="E42" s="497"/>
      <c r="F42" s="497"/>
      <c r="G42" s="497"/>
      <c r="H42" s="497"/>
      <c r="I42" s="497"/>
      <c r="J42" s="497"/>
      <c r="K42" s="497"/>
      <c r="L42" s="497"/>
      <c r="M42" s="497"/>
      <c r="N42" s="497"/>
      <c r="O42" s="497"/>
      <c r="P42" s="497"/>
      <c r="Q42" s="497"/>
      <c r="R42" s="497"/>
      <c r="S42" s="497"/>
      <c r="T42" s="497"/>
      <c r="U42" s="497"/>
      <c r="V42" s="497"/>
      <c r="W42" s="497"/>
      <c r="X42" s="497"/>
      <c r="Y42" s="497"/>
      <c r="Z42" s="497"/>
      <c r="AA42" s="497"/>
      <c r="AB42" s="497"/>
      <c r="AC42" s="497"/>
      <c r="AD42" s="497"/>
      <c r="AE42" s="497"/>
      <c r="AF42" s="497"/>
      <c r="AG42" s="497"/>
      <c r="AH42" s="497"/>
      <c r="AI42" s="497"/>
      <c r="AJ42" s="497"/>
      <c r="AK42" s="497"/>
      <c r="AL42" s="497"/>
      <c r="AM42" s="497"/>
      <c r="AN42" s="497"/>
      <c r="AO42" s="497"/>
      <c r="AP42" s="497"/>
      <c r="AQ42" s="497"/>
      <c r="AR42" s="497"/>
      <c r="AS42" s="497"/>
      <c r="AT42" s="497"/>
      <c r="AU42" s="497"/>
      <c r="AV42" s="497"/>
      <c r="AW42" s="497"/>
      <c r="AX42" s="497"/>
      <c r="AY42" s="497"/>
      <c r="AZ42" s="497"/>
      <c r="BA42" s="497"/>
      <c r="BB42" s="497"/>
      <c r="BC42" s="497"/>
      <c r="BD42" s="497"/>
      <c r="BE42" s="497"/>
      <c r="BF42" s="497"/>
      <c r="BG42" s="497"/>
      <c r="BH42" s="497"/>
    </row>
    <row r="43" spans="1:60" ht="14.4" customHeight="1">
      <c r="A43" s="497"/>
      <c r="B43" s="497"/>
      <c r="C43" s="497"/>
      <c r="D43" s="497"/>
      <c r="E43" s="497"/>
      <c r="F43" s="497"/>
      <c r="G43" s="497"/>
      <c r="H43" s="497"/>
      <c r="I43" s="497"/>
      <c r="J43" s="497"/>
      <c r="K43" s="497"/>
      <c r="L43" s="497"/>
      <c r="M43" s="497"/>
      <c r="N43" s="497"/>
      <c r="O43" s="497"/>
      <c r="P43" s="497"/>
      <c r="Q43" s="497"/>
      <c r="R43" s="497"/>
      <c r="S43" s="497"/>
      <c r="T43" s="497"/>
      <c r="U43" s="497"/>
      <c r="V43" s="497"/>
      <c r="W43" s="497"/>
      <c r="X43" s="497"/>
      <c r="Y43" s="497"/>
      <c r="Z43" s="497"/>
      <c r="AA43" s="497"/>
      <c r="AB43" s="497"/>
      <c r="AC43" s="497"/>
      <c r="AD43" s="497"/>
      <c r="AE43" s="497"/>
      <c r="AF43" s="497"/>
      <c r="AG43" s="497"/>
      <c r="AH43" s="497"/>
      <c r="AI43" s="497"/>
      <c r="AJ43" s="497"/>
      <c r="AK43" s="497"/>
      <c r="AL43" s="497"/>
      <c r="AM43" s="497"/>
      <c r="AN43" s="497"/>
      <c r="AO43" s="497"/>
      <c r="AP43" s="497"/>
      <c r="AQ43" s="497"/>
      <c r="AR43" s="497"/>
      <c r="AS43" s="497"/>
      <c r="AT43" s="497"/>
      <c r="AU43" s="497"/>
      <c r="AV43" s="497"/>
      <c r="AW43" s="497"/>
      <c r="AX43" s="497"/>
      <c r="AY43" s="497"/>
      <c r="AZ43" s="497"/>
      <c r="BA43" s="497"/>
      <c r="BB43" s="497"/>
      <c r="BC43" s="497"/>
      <c r="BD43" s="497"/>
      <c r="BE43" s="497"/>
      <c r="BF43" s="497"/>
      <c r="BG43" s="497"/>
      <c r="BH43" s="497"/>
    </row>
    <row r="44" spans="1:60" ht="14.4" customHeight="1">
      <c r="A44" s="497"/>
      <c r="B44" s="497"/>
      <c r="C44" s="497"/>
      <c r="D44" s="497"/>
      <c r="E44" s="497"/>
      <c r="F44" s="497"/>
      <c r="G44" s="497"/>
      <c r="H44" s="497"/>
      <c r="I44" s="497"/>
      <c r="J44" s="497"/>
      <c r="K44" s="497"/>
      <c r="L44" s="497"/>
      <c r="M44" s="497"/>
      <c r="N44" s="497"/>
      <c r="O44" s="497"/>
      <c r="P44" s="497"/>
      <c r="Q44" s="497"/>
      <c r="R44" s="497"/>
      <c r="S44" s="497"/>
      <c r="T44" s="497"/>
      <c r="U44" s="497"/>
      <c r="V44" s="497"/>
      <c r="W44" s="497"/>
      <c r="X44" s="497"/>
      <c r="Y44" s="497"/>
      <c r="Z44" s="497"/>
      <c r="AA44" s="497"/>
      <c r="AB44" s="497"/>
      <c r="AC44" s="497"/>
      <c r="AD44" s="497"/>
      <c r="AE44" s="497"/>
      <c r="AF44" s="497"/>
      <c r="AG44" s="497"/>
      <c r="AH44" s="497"/>
      <c r="AI44" s="497"/>
      <c r="AJ44" s="497"/>
      <c r="AK44" s="497"/>
      <c r="AL44" s="497"/>
      <c r="AM44" s="497"/>
      <c r="AN44" s="497"/>
      <c r="AO44" s="497"/>
      <c r="AP44" s="497"/>
      <c r="AQ44" s="497"/>
      <c r="AR44" s="497"/>
      <c r="AS44" s="497"/>
      <c r="AT44" s="497"/>
      <c r="AU44" s="497"/>
      <c r="AV44" s="497"/>
      <c r="AW44" s="497"/>
      <c r="AX44" s="497"/>
      <c r="AY44" s="497"/>
      <c r="AZ44" s="497"/>
      <c r="BA44" s="497"/>
      <c r="BB44" s="497"/>
      <c r="BC44" s="497"/>
      <c r="BD44" s="497"/>
      <c r="BE44" s="497"/>
      <c r="BF44" s="497"/>
      <c r="BG44" s="497"/>
      <c r="BH44" s="497"/>
    </row>
    <row r="45" spans="1:60" ht="14.4" customHeight="1">
      <c r="A45" s="497"/>
      <c r="B45" s="497"/>
      <c r="C45" s="497"/>
      <c r="D45" s="497"/>
      <c r="E45" s="497"/>
      <c r="F45" s="497"/>
      <c r="G45" s="497"/>
      <c r="H45" s="497"/>
      <c r="I45" s="497"/>
      <c r="J45" s="497"/>
      <c r="K45" s="497"/>
      <c r="L45" s="497"/>
      <c r="M45" s="497"/>
      <c r="N45" s="497"/>
      <c r="O45" s="497"/>
      <c r="P45" s="497"/>
      <c r="Q45" s="497"/>
      <c r="R45" s="497"/>
      <c r="S45" s="497"/>
      <c r="T45" s="497"/>
      <c r="U45" s="497"/>
      <c r="V45" s="497"/>
      <c r="W45" s="497"/>
      <c r="X45" s="497"/>
      <c r="Y45" s="497"/>
      <c r="Z45" s="497"/>
      <c r="AA45" s="497"/>
      <c r="AB45" s="497"/>
      <c r="AC45" s="497"/>
      <c r="AD45" s="497"/>
      <c r="AE45" s="497"/>
      <c r="AF45" s="497"/>
      <c r="AG45" s="497"/>
      <c r="AH45" s="497"/>
      <c r="AI45" s="497"/>
      <c r="AJ45" s="497"/>
      <c r="AK45" s="497"/>
      <c r="AL45" s="497"/>
      <c r="AM45" s="497"/>
      <c r="AN45" s="497"/>
      <c r="AO45" s="497"/>
      <c r="AP45" s="497"/>
      <c r="AQ45" s="497"/>
      <c r="AR45" s="497"/>
      <c r="AS45" s="497"/>
      <c r="AT45" s="497"/>
      <c r="AU45" s="497"/>
      <c r="AV45" s="497"/>
      <c r="AW45" s="497"/>
      <c r="AX45" s="497"/>
      <c r="AY45" s="497"/>
      <c r="AZ45" s="497"/>
      <c r="BA45" s="497"/>
      <c r="BB45" s="497"/>
      <c r="BC45" s="497"/>
      <c r="BD45" s="497"/>
      <c r="BE45" s="497"/>
      <c r="BF45" s="497"/>
      <c r="BG45" s="497"/>
      <c r="BH45" s="497"/>
    </row>
    <row r="46" spans="1:60" ht="14.4" customHeight="1">
      <c r="A46" s="497"/>
      <c r="B46" s="497"/>
      <c r="C46" s="497"/>
      <c r="D46" s="497"/>
      <c r="E46" s="497"/>
      <c r="F46" s="497"/>
      <c r="G46" s="497"/>
      <c r="H46" s="497"/>
      <c r="I46" s="497"/>
      <c r="J46" s="497"/>
      <c r="K46" s="497"/>
      <c r="L46" s="497"/>
      <c r="M46" s="497"/>
      <c r="N46" s="497"/>
      <c r="O46" s="497"/>
      <c r="P46" s="497"/>
      <c r="Q46" s="497"/>
      <c r="R46" s="497"/>
      <c r="S46" s="497"/>
      <c r="T46" s="497"/>
      <c r="U46" s="497"/>
      <c r="V46" s="497"/>
      <c r="W46" s="497"/>
      <c r="X46" s="497"/>
      <c r="Y46" s="497"/>
      <c r="Z46" s="497"/>
      <c r="AA46" s="497"/>
      <c r="AB46" s="497"/>
      <c r="AC46" s="497"/>
      <c r="AD46" s="497"/>
      <c r="AE46" s="497"/>
      <c r="AF46" s="497"/>
      <c r="AG46" s="497"/>
      <c r="AH46" s="497"/>
      <c r="AI46" s="497"/>
      <c r="AJ46" s="497"/>
      <c r="AK46" s="497"/>
      <c r="AL46" s="497"/>
      <c r="AM46" s="497"/>
      <c r="AN46" s="497"/>
      <c r="AO46" s="497"/>
      <c r="AP46" s="497"/>
      <c r="AQ46" s="497"/>
      <c r="AR46" s="497"/>
      <c r="AS46" s="497"/>
      <c r="AT46" s="497"/>
      <c r="AU46" s="497"/>
      <c r="AV46" s="497"/>
      <c r="AW46" s="497"/>
      <c r="AX46" s="497"/>
      <c r="AY46" s="497"/>
      <c r="AZ46" s="497"/>
      <c r="BA46" s="497"/>
      <c r="BB46" s="497"/>
      <c r="BC46" s="497"/>
      <c r="BD46" s="497"/>
      <c r="BE46" s="497"/>
      <c r="BF46" s="497"/>
      <c r="BG46" s="497"/>
      <c r="BH46" s="497"/>
    </row>
    <row r="47" spans="1:60" ht="14.4" customHeight="1">
      <c r="A47" s="497"/>
      <c r="B47" s="497"/>
      <c r="C47" s="497"/>
      <c r="D47" s="497"/>
      <c r="E47" s="497"/>
      <c r="F47" s="497"/>
      <c r="G47" s="497"/>
      <c r="H47" s="497"/>
      <c r="I47" s="497"/>
      <c r="J47" s="497"/>
      <c r="K47" s="497"/>
      <c r="L47" s="497"/>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7"/>
      <c r="AS47" s="497"/>
      <c r="AT47" s="497"/>
      <c r="AU47" s="497"/>
      <c r="AV47" s="497"/>
      <c r="AW47" s="497"/>
      <c r="AX47" s="497"/>
      <c r="AY47" s="497"/>
      <c r="AZ47" s="497"/>
      <c r="BA47" s="497"/>
      <c r="BB47" s="497"/>
      <c r="BC47" s="497"/>
      <c r="BD47" s="497"/>
      <c r="BE47" s="497"/>
      <c r="BF47" s="497"/>
      <c r="BG47" s="497"/>
      <c r="BH47" s="497"/>
    </row>
    <row r="48" spans="1:60" ht="14.4" customHeight="1">
      <c r="A48" s="497"/>
      <c r="B48" s="497"/>
      <c r="C48" s="497"/>
      <c r="D48" s="497"/>
      <c r="E48" s="497"/>
      <c r="F48" s="497"/>
      <c r="G48" s="497"/>
      <c r="H48" s="497"/>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row>
    <row r="49" spans="1:60" ht="14.4" customHeight="1">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497"/>
      <c r="AT49" s="497"/>
      <c r="AU49" s="497"/>
      <c r="AV49" s="497"/>
      <c r="AW49" s="497"/>
      <c r="AX49" s="497"/>
      <c r="AY49" s="497"/>
      <c r="AZ49" s="497"/>
      <c r="BA49" s="497"/>
      <c r="BB49" s="497"/>
      <c r="BC49" s="497"/>
      <c r="BD49" s="497"/>
      <c r="BE49" s="497"/>
      <c r="BF49" s="497"/>
      <c r="BG49" s="497"/>
      <c r="BH49" s="497"/>
    </row>
    <row r="50" spans="1:60" ht="14.4" customHeight="1">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row>
    <row r="51" spans="1:60" ht="14.4" customHeight="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row>
    <row r="52" spans="1:60" ht="14.4" customHeight="1">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row>
    <row r="53" spans="1:60" ht="14.4" customHeight="1">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row>
    <row r="54" spans="1:60" ht="14.4" customHeight="1">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row>
    <row r="55" spans="1:60" ht="14.4" customHeight="1">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row>
    <row r="56" spans="1:60" ht="14.4" customHeight="1">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row>
    <row r="57" spans="1:60" ht="14.4" customHeight="1">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row>
    <row r="58" spans="1:60" ht="14.4" customHeight="1">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row>
    <row r="59" spans="1:60" ht="14.4" customHeight="1">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row>
    <row r="60" spans="1:60" ht="14.4" customHeight="1">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row>
    <row r="61" spans="1:60" ht="14.4" customHeight="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row>
    <row r="62" spans="1:60" ht="14.4" customHeight="1">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row>
    <row r="63" spans="1:60" ht="14.4" customHeight="1">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row>
    <row r="64" spans="1:60" ht="14.4" customHeight="1">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row>
  </sheetData>
  <mergeCells count="3">
    <mergeCell ref="G5:P5"/>
    <mergeCell ref="G6:P6"/>
    <mergeCell ref="G7:P7"/>
  </mergeCells>
  <dataValidations count="1">
    <dataValidation type="list" allowBlank="1" showInputMessage="1" showErrorMessage="1" sqref="G7:P7" xr:uid="{40764B94-7D87-40FD-944D-88A94C341667}">
      <formula1>template_translations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cols>
    <col min="1" max="1" width="6" customWidth="1"/>
    <col min="2" max="2" width="84.44140625" bestFit="1" customWidth="1"/>
    <col min="3" max="3" width="56.109375" customWidth="1"/>
    <col min="4" max="4" width="69.44140625" customWidth="1"/>
    <col min="5" max="5" width="33.5546875" customWidth="1"/>
    <col min="6" max="6" width="42.44140625" bestFit="1" customWidth="1"/>
    <col min="7" max="7" width="43.44140625" bestFit="1" customWidth="1"/>
    <col min="8" max="8" width="48.88671875" bestFit="1" customWidth="1"/>
    <col min="9" max="9" width="38.5546875" customWidth="1"/>
    <col min="10" max="10" width="45.554687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c r="B1" s="264" t="str">
        <f>template_label_version</f>
        <v>Version:</v>
      </c>
      <c r="C1" s="515" t="s">
        <v>10824</v>
      </c>
      <c r="D1" s="264"/>
    </row>
    <row r="2" spans="2:18">
      <c r="B2" s="264" t="str">
        <f>template_label_publication_date</f>
        <v>Publication date:</v>
      </c>
      <c r="C2" s="523"/>
      <c r="D2" s="264"/>
    </row>
    <row r="3" spans="2:18" ht="35.85" customHeight="1">
      <c r="B3" s="649" t="str" cm="1">
        <f t="array" aca="1" ref="B3" ca="1">IF(ISERROR(CELL("filename",A1)),template_label_warning_microsoft_excel,"")</f>
        <v/>
      </c>
      <c r="C3" s="649"/>
      <c r="D3" s="264"/>
    </row>
    <row r="5" spans="2:18">
      <c r="B5" s="265"/>
    </row>
    <row r="6" spans="2:18">
      <c r="B6" s="265"/>
    </row>
    <row r="7" spans="2:18">
      <c r="B7" s="265"/>
    </row>
    <row r="8" spans="2:18">
      <c r="B8" s="265"/>
    </row>
    <row r="9" spans="2:18">
      <c r="B9" s="265"/>
    </row>
    <row r="10" spans="2:18">
      <c r="B10" s="81" t="str">
        <f>template_label_taxonomy_entry_point</f>
        <v>Taxonomy entry point:</v>
      </c>
      <c r="C10" s="528" t="s">
        <v>2</v>
      </c>
    </row>
    <row r="11" spans="2:18">
      <c r="B11" s="81" t="str">
        <f>template_label_title_of_report</f>
        <v>Main title of the report</v>
      </c>
      <c r="C11" t="str">
        <f>template_label_main_title_of_report_text</f>
        <v xml:space="preserve">Sustainability Report </v>
      </c>
    </row>
    <row r="12" spans="2:18">
      <c r="B12" s="81" t="str">
        <f>template_label_subtitle_of_report</f>
        <v>Subtitle of the report</v>
      </c>
      <c r="C12" t="str">
        <f>template_label_subtitle_of_report_text</f>
        <v xml:space="preserve">Prepared in accordance with the  Voluntary Standard (Annex I of  Commission Delegated Regulation (EU) …/… ) published in the Official Journal on XX September 2026. </v>
      </c>
    </row>
    <row r="13" spans="2:18" s="267" customFormat="1" ht="63">
      <c r="B13" s="266" t="str">
        <f>template_label_vs_digital_template</f>
        <v>VS Digital Template</v>
      </c>
    </row>
    <row r="14" spans="2:18" ht="381.6" customHeight="1">
      <c r="B14" s="650" t="str">
        <f>template_label_the_purpose_of_this_digital_template_is_to_illustrate_how_vs_reporting_can_be_implemented_in_a_digital_template</f>
        <v>The purpose of this digital template is to illustrate how VS reporting can be implemented in a digital template. The template reflects the Voluntary Standard (Annex I of  Commission Delegated Regulation (EU) …/… ) as published by the European Commission in the Official Journal on XX September 2026. The template is accompanied by a digital VS XBRL taxonomy, which represents the digital data model of the disclosures and is available on EFRAG's website.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Voluntary Standard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4" s="651"/>
      <c r="D14" s="651"/>
      <c r="E14" s="652"/>
      <c r="F14" s="268"/>
      <c r="G14" s="268"/>
      <c r="H14" s="268"/>
      <c r="I14" s="268"/>
      <c r="J14" s="268"/>
      <c r="K14" s="268"/>
      <c r="L14" s="268"/>
      <c r="M14" s="268"/>
      <c r="N14" s="268"/>
      <c r="O14" s="268"/>
      <c r="P14" s="268"/>
      <c r="Q14" s="268"/>
      <c r="R14" s="268"/>
    </row>
    <row r="15" spans="2:18" ht="20.100000000000001" customHeight="1">
      <c r="B15" s="269"/>
      <c r="C15" s="269"/>
      <c r="D15" s="269"/>
      <c r="E15" s="269"/>
      <c r="F15" s="268"/>
      <c r="G15" s="268"/>
      <c r="H15" s="268"/>
      <c r="I15" s="268"/>
      <c r="J15" s="268"/>
      <c r="K15" s="268"/>
      <c r="L15" s="268"/>
      <c r="M15" s="268"/>
      <c r="N15" s="268"/>
      <c r="O15" s="268"/>
      <c r="P15" s="268"/>
      <c r="Q15" s="268"/>
      <c r="R15" s="268"/>
    </row>
    <row r="16" spans="2:18">
      <c r="B16" s="265"/>
    </row>
    <row r="17" spans="1:18" ht="26.85" customHeight="1">
      <c r="B17" s="270" t="str">
        <f>template_label_how_to_use_it</f>
        <v>How to use it:</v>
      </c>
      <c r="C17" s="271"/>
      <c r="D17" s="271"/>
      <c r="E17" s="272"/>
      <c r="F17" s="273"/>
      <c r="G17" s="273"/>
      <c r="H17" s="273"/>
      <c r="I17" s="273"/>
      <c r="J17" s="273"/>
      <c r="K17" s="273"/>
      <c r="L17" s="273"/>
      <c r="M17" s="273"/>
      <c r="N17" s="273"/>
      <c r="O17" s="273"/>
      <c r="P17" s="273"/>
      <c r="Q17" s="273"/>
      <c r="R17" s="273"/>
    </row>
    <row r="18" spans="1:18" ht="18">
      <c r="B18" s="653" t="str">
        <f>template_label_0_provide_information_that_is_mandatory_in_order_to_generate_the_vs_and_xbrl_report</f>
        <v>0. Provide information that is mandatory in order to generate the VS and XBRL Report.</v>
      </c>
      <c r="C18" s="654"/>
      <c r="D18" s="654"/>
      <c r="E18" s="655"/>
      <c r="F18" s="274"/>
      <c r="G18" s="274"/>
      <c r="H18" s="274"/>
      <c r="I18" s="274"/>
      <c r="J18" s="274"/>
      <c r="K18" s="274"/>
      <c r="L18" s="274"/>
      <c r="M18" s="274"/>
      <c r="N18" s="274"/>
      <c r="O18" s="274"/>
      <c r="P18" s="274"/>
      <c r="Q18" s="274"/>
      <c r="R18" s="274"/>
    </row>
    <row r="19" spans="1:18" ht="59.4" customHeight="1">
      <c r="B19" s="653"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19" s="654"/>
      <c r="D19" s="654"/>
      <c r="E19" s="655"/>
      <c r="F19" s="274"/>
      <c r="G19" s="274"/>
      <c r="H19" s="274"/>
      <c r="I19" s="274"/>
      <c r="J19" s="274"/>
      <c r="K19" s="274"/>
      <c r="L19" s="274"/>
      <c r="M19" s="274"/>
      <c r="N19" s="274"/>
      <c r="O19" s="274"/>
      <c r="P19" s="274"/>
      <c r="Q19" s="274"/>
      <c r="R19" s="274"/>
    </row>
    <row r="20" spans="1:18" ht="39.6" customHeight="1">
      <c r="B20" s="674" t="str">
        <f>template_label_2_find_more_information_on_the_actual_disclosure_requirements_in_the_voluntary_standard</f>
        <v>2. Find more information on the actual disclosure requirements in the Voluntary Standard Standard and the related guidance linked to each cell. Additional or entity-specific disclosures can be provided in each text box at the end of each worksheet.</v>
      </c>
      <c r="C20" s="675"/>
      <c r="D20" s="675"/>
      <c r="E20" s="676"/>
      <c r="F20" s="275"/>
      <c r="G20" s="275"/>
      <c r="H20" s="275"/>
      <c r="I20" s="275"/>
      <c r="J20" s="275"/>
      <c r="K20" s="275"/>
      <c r="L20" s="275"/>
      <c r="M20" s="275"/>
      <c r="N20" s="275"/>
      <c r="O20" s="275"/>
      <c r="P20" s="275"/>
      <c r="Q20" s="275"/>
      <c r="R20" s="275"/>
    </row>
    <row r="21" spans="1:18" ht="36" customHeight="1">
      <c r="B21" s="653"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1" s="654"/>
      <c r="D21" s="654"/>
      <c r="E21" s="655"/>
      <c r="F21" s="275"/>
      <c r="G21" s="275"/>
      <c r="H21" s="275"/>
      <c r="I21" s="275"/>
      <c r="J21" s="275"/>
      <c r="K21" s="275"/>
      <c r="L21" s="275"/>
      <c r="M21" s="275"/>
      <c r="N21" s="275"/>
      <c r="O21" s="275"/>
      <c r="P21" s="275"/>
      <c r="Q21" s="275"/>
      <c r="R21" s="275"/>
    </row>
    <row r="22" spans="1:18" s="276" customFormat="1" ht="18">
      <c r="B22" s="674" t="str">
        <f>template_label_4_validate_the_data_entered_by_checking_the_validation_status</f>
        <v>4. Validate the data entered by checking the validation status. The report is considered incomplete or erroneous if the validation fails, which might result in an invalid XBRL report.</v>
      </c>
      <c r="C22" s="675"/>
      <c r="D22" s="675"/>
      <c r="E22" s="676"/>
      <c r="F22" s="275"/>
      <c r="G22" s="275"/>
      <c r="H22" s="275"/>
      <c r="I22" s="275"/>
      <c r="J22" s="275"/>
      <c r="K22" s="275"/>
      <c r="L22" s="275"/>
      <c r="M22" s="275"/>
      <c r="N22" s="275"/>
      <c r="O22" s="275"/>
      <c r="P22" s="275"/>
      <c r="Q22" s="275"/>
      <c r="R22" s="275"/>
    </row>
    <row r="23" spans="1:18" ht="18">
      <c r="B23" s="674" t="str">
        <f>template_label_5_convert_this_template_to_an_inline_xbrl_report</f>
        <v>5. Convert this template to an Inline XBRL report (or XBRL-JSON, XBRL-CSV), using the online converter: https://xbrl.efrag.org/convert/. Pay attention to the XBRL validation performed by the validator.</v>
      </c>
      <c r="C23" s="675"/>
      <c r="D23" s="675"/>
      <c r="E23" s="676"/>
      <c r="F23" s="275"/>
      <c r="G23" s="275"/>
      <c r="H23" s="275"/>
      <c r="I23" s="275"/>
      <c r="J23" s="275"/>
      <c r="K23" s="275"/>
      <c r="L23" s="275"/>
      <c r="M23" s="275"/>
      <c r="N23" s="275"/>
      <c r="O23" s="275"/>
      <c r="P23" s="275"/>
      <c r="Q23" s="275"/>
      <c r="R23" s="275"/>
    </row>
    <row r="24" spans="1:18" ht="24.6" customHeight="1">
      <c r="B24" s="662" t="str">
        <f>template_label_6_the_undertaking_may_also_upload_the_report_to_public_repositories_or_a_webpage</f>
        <v>6. The undertaking may also upload the report to public repositories or a webpage.</v>
      </c>
      <c r="C24" s="663"/>
      <c r="D24" s="663"/>
      <c r="E24" s="664"/>
      <c r="F24" s="275"/>
      <c r="G24" s="275"/>
      <c r="H24" s="275"/>
      <c r="I24" s="275"/>
      <c r="J24" s="275"/>
      <c r="K24" s="275"/>
      <c r="L24" s="275"/>
      <c r="M24" s="275"/>
      <c r="N24" s="275"/>
      <c r="O24" s="275"/>
      <c r="P24" s="275"/>
      <c r="Q24" s="275"/>
      <c r="R24" s="275"/>
    </row>
    <row r="25" spans="1:18" ht="18">
      <c r="B25" s="273"/>
      <c r="C25" s="273"/>
      <c r="D25" s="273"/>
      <c r="E25" s="273"/>
      <c r="F25" s="273"/>
      <c r="G25" s="273"/>
      <c r="H25" s="273"/>
      <c r="I25" s="273"/>
      <c r="J25" s="273"/>
      <c r="K25" s="273"/>
      <c r="L25" s="273"/>
      <c r="M25" s="273"/>
      <c r="N25" s="273"/>
      <c r="O25" s="273"/>
      <c r="P25" s="273"/>
      <c r="Q25" s="273"/>
      <c r="R25" s="273"/>
    </row>
    <row r="26" spans="1:18" ht="36" customHeight="1">
      <c r="B26" s="677" t="str">
        <f>template_label_cell_background_color_index</f>
        <v>Cell background color index:</v>
      </c>
      <c r="C26" s="678"/>
      <c r="D26" s="678"/>
      <c r="E26" s="679"/>
      <c r="F26" s="273"/>
      <c r="G26" s="273"/>
      <c r="H26" s="273"/>
      <c r="I26" s="273"/>
      <c r="J26" s="273"/>
      <c r="K26" s="273"/>
      <c r="L26" s="273"/>
      <c r="M26" s="273"/>
      <c r="N26" s="273"/>
      <c r="O26" s="273"/>
      <c r="P26" s="273"/>
      <c r="Q26" s="273"/>
      <c r="R26" s="273"/>
    </row>
    <row r="27" spans="1:18" ht="32.1" customHeight="1">
      <c r="B27" s="277" t="str">
        <f>template_label_general_principles</f>
        <v>General Principles</v>
      </c>
      <c r="C27" s="659" t="str">
        <f>template_label_indicates_that_the_disclosure_is_from_the_general_principles_of_the_vs</f>
        <v>Indicates that the disclosure is from the general principles of the Voluntary Standard.</v>
      </c>
      <c r="D27" s="660"/>
      <c r="E27" s="661"/>
      <c r="F27" s="273"/>
      <c r="G27" s="273"/>
      <c r="H27" s="273"/>
      <c r="I27" s="273"/>
      <c r="J27" s="273"/>
      <c r="K27" s="273"/>
      <c r="L27" s="273"/>
      <c r="M27" s="273"/>
      <c r="N27" s="273"/>
      <c r="O27" s="273"/>
      <c r="P27" s="273"/>
      <c r="Q27" s="273"/>
      <c r="R27" s="273"/>
    </row>
    <row r="28" spans="1:18" ht="34.5" customHeight="1">
      <c r="A28" s="278"/>
      <c r="B28" s="279" t="str">
        <f>template_label_basic_module</f>
        <v>Basic Module</v>
      </c>
      <c r="C28" s="659" t="str">
        <f>template_label_indicates_that_the_disclosure_is_from_the_vs_basic_module</f>
        <v>Indicates that the disclosure is from the Voluntary Standard Basic Module.</v>
      </c>
      <c r="D28" s="660"/>
      <c r="E28" s="661"/>
      <c r="F28" s="273"/>
      <c r="G28" s="280"/>
      <c r="H28" s="280"/>
      <c r="I28" s="280"/>
      <c r="J28" s="280"/>
      <c r="K28" s="280"/>
      <c r="L28" s="280"/>
      <c r="M28" s="280"/>
      <c r="N28" s="280"/>
      <c r="O28" s="280"/>
      <c r="P28" s="280"/>
      <c r="Q28" s="280"/>
      <c r="R28" s="280"/>
    </row>
    <row r="29" spans="1:18" ht="35.85" customHeight="1">
      <c r="A29" s="278"/>
      <c r="B29" s="281" t="str">
        <f>template_label_comprehensive_module</f>
        <v>Comprehensive Module</v>
      </c>
      <c r="C29" s="659" t="str">
        <f>template_label_indicates_that_the_disclosure_is_from_the_vs_comprehensive_module</f>
        <v>Indicates that the disclosure is from the Voluntary Standard Comprehensive Module.</v>
      </c>
      <c r="D29" s="660"/>
      <c r="E29" s="661"/>
      <c r="F29" s="407"/>
      <c r="G29" s="280"/>
      <c r="H29" s="280"/>
      <c r="I29" s="280"/>
      <c r="J29" s="280"/>
      <c r="K29" s="280"/>
      <c r="L29" s="280"/>
      <c r="M29" s="280"/>
      <c r="N29" s="280"/>
      <c r="O29" s="280"/>
      <c r="P29" s="280"/>
      <c r="Q29" s="280"/>
      <c r="R29" s="280"/>
    </row>
    <row r="30" spans="1:18" ht="35.85" customHeight="1">
      <c r="A30" s="278"/>
      <c r="B30" s="282"/>
      <c r="C30" s="656" t="str">
        <f>template_label_indicates_that_the_cell_is_automatically_calculated_and_that_no_data_entry_is_required</f>
        <v>Indicates that the cell is automatically calculated and that no data entry is required.</v>
      </c>
      <c r="D30" s="657"/>
      <c r="E30" s="658"/>
      <c r="F30" s="273"/>
      <c r="G30" s="283"/>
      <c r="H30" s="283"/>
      <c r="I30" s="283"/>
      <c r="J30" s="283"/>
      <c r="K30" s="283"/>
      <c r="L30" s="283"/>
      <c r="M30" s="283"/>
      <c r="N30" s="283"/>
      <c r="O30" s="283"/>
      <c r="P30" s="283"/>
      <c r="Q30" s="283"/>
      <c r="R30" s="283"/>
    </row>
    <row r="31" spans="1:18" ht="63" customHeight="1">
      <c r="A31" s="278"/>
      <c r="B31" s="284"/>
      <c r="C31" s="656" t="str">
        <f>template_label_indicates_that_the_datapoint_often_a_condition_will_not_be_included_in_the_vs_and_digital_xbrl_report</f>
        <v>Indicates that the datapoint (often a condition) will not be included in the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1" s="657"/>
      <c r="E31" s="658"/>
      <c r="F31" s="273"/>
      <c r="G31" s="283"/>
      <c r="H31" s="283"/>
      <c r="I31" s="283"/>
      <c r="J31" s="283"/>
      <c r="K31" s="283"/>
      <c r="L31" s="283"/>
      <c r="M31" s="283"/>
      <c r="N31" s="283"/>
      <c r="O31" s="283"/>
      <c r="P31" s="283"/>
      <c r="Q31" s="283"/>
      <c r="R31" s="283"/>
    </row>
    <row r="32" spans="1:18" ht="35.85" customHeight="1">
      <c r="A32" s="278"/>
      <c r="B32" s="285"/>
      <c r="C32" s="656"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2" s="657"/>
      <c r="E32" s="658"/>
      <c r="F32" s="273"/>
      <c r="G32" s="283"/>
      <c r="H32" s="283"/>
      <c r="I32" s="283"/>
      <c r="J32" s="283"/>
      <c r="K32" s="283"/>
      <c r="L32" s="283"/>
      <c r="M32" s="283"/>
      <c r="N32" s="283"/>
      <c r="O32" s="283"/>
      <c r="P32" s="283"/>
      <c r="Q32" s="283"/>
      <c r="R32" s="283"/>
    </row>
    <row r="33" spans="1:18" ht="42">
      <c r="B33" s="286" t="str">
        <f>template_label_validation_missing_value_error_velue_inconsistency_invalid_url</f>
        <v>Validation MISSING VALUE/ERROR/VALUE INCONSISTENCY/INVALID URL</v>
      </c>
      <c r="C33" s="659" t="str">
        <f>template_label_indicates_that_either_data_entry_is_incorrect_in_terms_of_format_or_that_certain_information</f>
        <v>Indicates that either data entry is incorrect in terms of format or that certain information is missing in order to correctly report on the disclosure.</v>
      </c>
      <c r="D33" s="660"/>
      <c r="E33" s="661"/>
      <c r="F33" s="273"/>
      <c r="G33" s="280"/>
      <c r="H33" s="280"/>
      <c r="I33" s="280"/>
      <c r="J33" s="280"/>
      <c r="K33" s="280"/>
      <c r="L33" s="280"/>
      <c r="M33" s="280"/>
      <c r="N33" s="280"/>
      <c r="O33" s="280"/>
      <c r="P33" s="280"/>
      <c r="Q33" s="280"/>
      <c r="R33" s="280"/>
    </row>
    <row r="34" spans="1:18" ht="22.35" customHeight="1">
      <c r="B34" s="287" t="s">
        <v>3</v>
      </c>
      <c r="C34" s="659" t="str">
        <f>template_label_indicates_that_data_entry_is_ok_and_the_undertaking_can_proceed_to_the_next_disclosure</f>
        <v>Indicates that data entry is OK and the undertaking can proceed to the next disclosure.</v>
      </c>
      <c r="D34" s="660"/>
      <c r="E34" s="661"/>
      <c r="F34" s="273"/>
      <c r="G34" s="280"/>
      <c r="H34" s="280"/>
      <c r="I34" s="280"/>
      <c r="J34" s="280"/>
      <c r="K34" s="280"/>
      <c r="L34" s="280"/>
      <c r="M34" s="280"/>
      <c r="N34" s="280"/>
      <c r="O34" s="280"/>
      <c r="P34" s="280"/>
      <c r="Q34" s="280"/>
      <c r="R34" s="280"/>
    </row>
    <row r="35" spans="1:18" ht="22.35" customHeight="1">
      <c r="B35" s="406" t="str">
        <f>template_label_validation_classified_or_sensitive_information</f>
        <v>Validation CLASSIFIED OR SENSITIVE INFORMATION</v>
      </c>
      <c r="C35" s="659" t="str">
        <f>template_label_indicates_that_the_undertaking_has_omitted_the_data_entry_as_it_is_deemed_to_be_classified_or_sensitive_information</f>
        <v>Indicates that the undertaking has omitted the data entry as it is deemed to be classified or sensitive information.</v>
      </c>
      <c r="D35" s="660"/>
      <c r="E35" s="661"/>
      <c r="F35" s="273"/>
      <c r="G35" s="280"/>
      <c r="H35" s="280"/>
      <c r="I35" s="280"/>
      <c r="J35" s="280"/>
      <c r="K35" s="280"/>
      <c r="L35" s="280"/>
      <c r="M35" s="280"/>
      <c r="N35" s="280"/>
      <c r="O35" s="280"/>
      <c r="P35" s="280"/>
      <c r="Q35" s="280"/>
      <c r="R35" s="280"/>
    </row>
    <row r="36" spans="1:18" ht="22.35" customHeight="1">
      <c r="B36" s="288"/>
      <c r="C36" s="659" t="str">
        <f>template_label_no_value_can_be_entered_in_the_cell</f>
        <v>No value can be entered in the cell.</v>
      </c>
      <c r="D36" s="660"/>
      <c r="E36" s="661"/>
      <c r="F36" s="273"/>
      <c r="G36" s="280"/>
      <c r="H36" s="280"/>
      <c r="I36" s="280"/>
      <c r="J36" s="280"/>
      <c r="K36" s="280"/>
      <c r="L36" s="280"/>
      <c r="M36" s="280"/>
      <c r="N36" s="280"/>
      <c r="O36" s="280"/>
      <c r="P36" s="280"/>
      <c r="Q36" s="280"/>
      <c r="R36" s="280"/>
    </row>
    <row r="37" spans="1:18" ht="45.75" customHeight="1">
      <c r="A37" s="278"/>
      <c r="B37" s="289" t="s">
        <v>4</v>
      </c>
      <c r="C37" s="656" t="str">
        <f>template_label_lists_can_be_expanded_using_the_plus_button_on_the_left</f>
        <v>Lists can be expanded using the plus [+] button on the left. If the number of rows is not sufficient, additional rows can be added by right clicking the second row and selecting "Insert row".</v>
      </c>
      <c r="D37" s="657"/>
      <c r="E37" s="658"/>
      <c r="F37" s="273"/>
      <c r="G37" s="290"/>
      <c r="H37" s="290"/>
      <c r="I37" s="290"/>
      <c r="J37" s="290"/>
      <c r="K37" s="290"/>
      <c r="L37" s="290"/>
      <c r="M37" s="290"/>
      <c r="N37" s="290"/>
      <c r="O37" s="290"/>
      <c r="P37" s="290"/>
      <c r="Q37" s="290"/>
      <c r="R37" s="290"/>
    </row>
    <row r="42" spans="1:18">
      <c r="B42" s="671"/>
      <c r="C42" s="672"/>
      <c r="D42" s="672"/>
      <c r="E42" s="673"/>
    </row>
    <row r="43" spans="1:18" ht="97.35" customHeight="1">
      <c r="B43" s="665"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666"/>
      <c r="D43" s="666"/>
      <c r="E43" s="667"/>
    </row>
    <row r="44" spans="1:18" ht="21">
      <c r="B44" s="668" t="str">
        <f>template_label_for_further_information_contact_email</f>
        <v>For further details please contact efragsecretariat@efrag.org</v>
      </c>
      <c r="C44" s="669"/>
      <c r="D44" s="669"/>
      <c r="E44" s="670"/>
    </row>
  </sheetData>
  <sheetProtection formatColumns="0" formatRows="0"/>
  <mergeCells count="24">
    <mergeCell ref="B43:E43"/>
    <mergeCell ref="B44:E44"/>
    <mergeCell ref="B42:E42"/>
    <mergeCell ref="B19:E19"/>
    <mergeCell ref="B20:E20"/>
    <mergeCell ref="B21:E21"/>
    <mergeCell ref="B22:E22"/>
    <mergeCell ref="B23:E23"/>
    <mergeCell ref="C31:E31"/>
    <mergeCell ref="C30:E30"/>
    <mergeCell ref="C27:E27"/>
    <mergeCell ref="C28:E28"/>
    <mergeCell ref="C29:E29"/>
    <mergeCell ref="C35:E35"/>
    <mergeCell ref="B26:E26"/>
    <mergeCell ref="B3:C3"/>
    <mergeCell ref="B14:E14"/>
    <mergeCell ref="B18:E18"/>
    <mergeCell ref="C32:E32"/>
    <mergeCell ref="C37:E37"/>
    <mergeCell ref="C36:E36"/>
    <mergeCell ref="C34:E34"/>
    <mergeCell ref="C33:E33"/>
    <mergeCell ref="B24:E24"/>
  </mergeCells>
  <phoneticPr fontId="3" type="noConversion"/>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F65"/>
  <sheetViews>
    <sheetView zoomScaleNormal="100" workbookViewId="0"/>
  </sheetViews>
  <sheetFormatPr defaultColWidth="8.88671875" defaultRowHeight="14.4"/>
  <cols>
    <col min="1" max="1" width="3.5546875" style="10" customWidth="1"/>
    <col min="2" max="2" width="98.109375" style="10" customWidth="1"/>
    <col min="3" max="3" width="55.5546875" style="10" bestFit="1" customWidth="1"/>
    <col min="4" max="4" width="51.44140625" style="10" customWidth="1"/>
    <col min="5" max="5" width="35.5546875" style="10" customWidth="1"/>
    <col min="6" max="6" width="64.44140625" style="10" customWidth="1"/>
    <col min="7" max="7" width="35.5546875" style="10" bestFit="1" customWidth="1"/>
    <col min="8" max="16384" width="8.88671875" style="10"/>
  </cols>
  <sheetData>
    <row r="1" spans="2:6" ht="15" thickBot="1">
      <c r="E1"/>
    </row>
    <row r="2" spans="2:6" ht="78" customHeight="1">
      <c r="B2" s="456" t="str">
        <f>template_label_table_of_contents_validation</f>
        <v>Table of Contents</v>
      </c>
      <c r="C2" s="457" t="str">
        <f>template_label_overall_validation_status_validation</f>
        <v>Overall Validation Status</v>
      </c>
      <c r="D2" s="458" t="str">
        <f>template_classified_or_sensitive_information</f>
        <v>Classified or sensitive information</v>
      </c>
      <c r="E2" s="549" t="str">
        <f>template_narrative_content_provided_as_external_docx_file</f>
        <v>Narrative content provided as external DOCX file</v>
      </c>
    </row>
    <row r="3" spans="2:6" ht="43.35" customHeight="1">
      <c r="B3" s="637" t="str">
        <f>template_label_contents_grouping_follows_templates_framework</f>
        <v>Contents grouping follows template's framework</v>
      </c>
      <c r="C3" s="417" t="str" cm="1">
        <f t="array" ref="C3">IF(SUMPRODUCT(--((C5:C65&lt;&gt;template_label_ok)*(C5:C65&lt;&gt;"-")*(C5:C65&lt;&gt;"")*(C5:C65&lt;&gt;template_label_classified_or_sensitive_information))) &gt; 0, template_label_incomplete, template_label_complete)</f>
        <v>INCOMPLETE</v>
      </c>
      <c r="D3" s="635" t="str">
        <f>template_filling_sensitive_checkboxes</f>
        <v>Filling the checkboxes below will fill automatically the list of omitted disclosures in B1 (from row 123 to 172 within General Information sheet)</v>
      </c>
      <c r="E3" s="639" t="str">
        <f>template_box_for_customizable_docx_files_for_narrative_disclosures</f>
        <v>Checking this box will allow users to customizable DOCX files for narrative disclosures</v>
      </c>
    </row>
    <row r="4" spans="2:6" ht="23.4">
      <c r="B4" s="638"/>
      <c r="C4" s="455" t="str">
        <f>template_label_specific_content_validation_status_validation</f>
        <v>Specific Content Validation Status</v>
      </c>
      <c r="D4" s="636"/>
      <c r="E4" s="640"/>
    </row>
    <row r="5" spans="2:6" ht="14.4" customHeight="1">
      <c r="B5" s="409" t="str">
        <f>template_label_general_information_validation</f>
        <v>General Information</v>
      </c>
      <c r="C5" s="400"/>
      <c r="D5" s="553"/>
      <c r="E5" s="560"/>
    </row>
    <row r="6" spans="2:6" ht="14.4" customHeight="1">
      <c r="B6" s="322" t="str">
        <f>template_label_information_on_the_report_necessary_for_xbrl_validation</f>
        <v>Information on the report necessary for  XBRL</v>
      </c>
      <c r="C6" s="414"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554"/>
      <c r="E6" s="560"/>
    </row>
    <row r="7" spans="2:6">
      <c r="B7" s="322" t="str">
        <f>template_label_introduction &amp; ": " &amp; template_label_disclosure_of_any_other_general_and_or_entity_specific_information_on_the_reporting_period</f>
        <v>Introduction: disclosure of any other general and/or entity specific information on the reporting period</v>
      </c>
      <c r="C7" s="414" t="str">
        <f>IF(D7=TRUE, template_label_classified_or_sensitive_information,
IF('General Information'!F17 = template_label_ok, template_label_ok, "-")
)</f>
        <v>-</v>
      </c>
      <c r="D7" s="541" t="b">
        <v>0</v>
      </c>
      <c r="E7" s="562" t="b">
        <v>0</v>
      </c>
      <c r="F7" s="327" t="str">
        <f>IF(AND(C7=template_label_classified_or_sensitive_information,COUNTIF(DisclosureOfAnyOtherGeneralAndOrEntitySpecificInformation,"&lt;&gt;")&gt;0),template_label_information_on_sensitive_information_before_converting,"")</f>
        <v/>
      </c>
    </row>
    <row r="8" spans="2:6" ht="14.4" customHeight="1" thickBot="1">
      <c r="B8" s="322" t="str">
        <f>template_label_information_on_previous_reporting_period_validation</f>
        <v>Information on previous reporting period</v>
      </c>
      <c r="C8" s="414" t="str">
        <f>IF(COUNTIF('General Information'!F21:F122, template_label_missing_value) &gt; 0, template_label_missing_value,
IF(COUNTIF('General Information'!F21:F122, template_label_invalid_url
 ) &gt; 0, template_label_invalid_url,
IF(COUNTIF('General Information'!F21:F122, template_label_value_inconsistency
 ) &gt; 0, template_label_value_inconsistency,
IF(COUNTIF('General Information'!F21:F122, template_label_ok) &gt; 0, template_label_ok, "-"))))</f>
        <v>-</v>
      </c>
      <c r="D8" s="554"/>
      <c r="E8" s="561"/>
    </row>
    <row r="9" spans="2:6" ht="18">
      <c r="B9" s="361" t="str">
        <f>template_label_basic_module_validation</f>
        <v>Basic Module</v>
      </c>
      <c r="C9" s="415"/>
      <c r="D9" s="555"/>
      <c r="E9" s="560"/>
    </row>
    <row r="10" spans="2:6" ht="14.85" customHeight="1">
      <c r="B10" s="409" t="str">
        <f>template_label_general_information_validation</f>
        <v>General Information</v>
      </c>
      <c r="C10" s="400"/>
      <c r="D10" s="556"/>
      <c r="E10" s="560"/>
      <c r="F10" s="550"/>
    </row>
    <row r="11" spans="2:6" s="465" customFormat="1">
      <c r="B11" s="464" t="str">
        <f>template_label_b1_basis_for_preparation_validation</f>
        <v>B1 - Basis for Preparation</v>
      </c>
      <c r="C11" s="416" t="str">
        <f>IF(D11=TRUE,template_label_classified_or_sensitive_information,
IF(COUNTIF(C12:C16,template_label_error_plus_missing_value_plus_value_inconsistency)&gt;0,template_label_error_plus_missing_value_plus_value_inconsistency,
IF(COUNTIF(C12:C16,template_label_error_plus_value_inconsistency)&gt;0,template_label_error_plus_value_inconsistency,
IF(COUNTIF(C12:C16,template_label_error_plus_missing_value)&gt;0,template_label_error_plus_missing_value,
IF(COUNTIF(C12:C16,template_label_error)&gt;0,template_label_error,
IF(COUNTIF(C12:C16,template_label_missing_value_plus_value_inconsistency)&gt;0,template_label_missing_value_plus_value_inconsistency,
IF(COUNTIF(C12:C16,template_label_value_inconsistency)&gt;0,template_label_value_inconsistency,
IF(COUNTIF(C12:C16,template_label_missing_value)&gt;0,template_label_missing_value,
IF(COUNTIF(C12:C16,template_label_ok)=ROWS(C12:C16),template_label_ok,
IF(COUNTIF(C12:C16,"-")=ROWS(C12:C16),"-",
IF(AND(COUNTIF(C12:C16,template_label_ok)&gt;0, COUNTIF(C12:C16,template_label_error_plus_missing_value_plus_value_inconsistency)=0, COUNTIF(C12:C16,template_label_error_plus_value_inconsistency)=0, COUNTIF(C12:C16,template_label_error_plus_missing_value)=0, COUNTIF(C12:C16,template_label_error)=0, COUNTIF(C12:C16,template_label_missing_value_plus_value_inconsistency)=0, COUNTIF(C12:C16,template_label_value_inconsistency)=0, COUNTIF(C12:C16,template_label_missing_value)=0, OR(COUNTIF(C12:C16,template_label_missing_value)=0, COUNTIF(C12:C16,template_label_missing_value)&gt;0)), template_label_ok,
"-")))))))))
))</f>
        <v>MISSING VALUE</v>
      </c>
      <c r="D11" s="542" t="b">
        <f>IF(COUNTIF(D13:D16,TRUE)=ROWS(D13:D16),TRUE,FALSE)</f>
        <v>0</v>
      </c>
      <c r="E11" s="560"/>
      <c r="F11" s="550"/>
    </row>
    <row r="12" spans="2:6">
      <c r="B12" s="461" t="str">
        <f>template_label_b1_basis_for_preparation</f>
        <v>B1 - Basis for Preparation &amp; Module</v>
      </c>
      <c r="C12" s="414" t="str">
        <f>IF(COUNTIF('General Information'!F125,template_label_missing_value)&gt;0,template_label_missing_value,
IF(COUNTIF('General Information'!F125,template_label_ok)&gt;0,template_label_ok,"-"))</f>
        <v>MISSING VALUE</v>
      </c>
      <c r="D12" s="543"/>
      <c r="E12" s="560"/>
      <c r="F12" s="550"/>
    </row>
    <row r="13" spans="2:6">
      <c r="B13" s="462" t="str">
        <f>template_label_b1_other_undertakings_general_information</f>
        <v>B1 - Other undertaking's general information</v>
      </c>
      <c r="C13" s="414" t="str">
        <f>IF(D13=TRUE, template_label_classified_or_sensitive_information,IF(
AND(
COUNTIF('General Information'!F175:F283,template_label_missing_value)&gt;0,
COUNTIF('General Information'!F175:F283,template_label_value_inconsistency)=0,
COUNTIF('General Information'!F175:F283,template_label_error)=0
),
template_label_missing_value,
IF(
AND(
COUNTIF('General Information'!F175:F283,template_label_value_inconsistency)&gt;0,
COUNTIF('General Information'!F175:F283,template_label_missing_value)=0,
COUNTIF('General Information'!F175:F283,template_label_error)=0
),
template_label_value_inconsistency,
IF(
AND(
COUNTIF('General Information'!F175:F283,template_label_value_inconsistency)=0,
COUNTIF('General Information'!F175:F283,template_label_missing_value)=0,
COUNTIF('General Information'!F175:F283,template_label_error)&gt;0
),
template_label_error,
IF(
AND(
COUNTIF('General Information'!F175:F283,template_label_value_inconsistency)&gt;0,
COUNTIF('General Information'!F175:F283,template_label_missing_value)&gt;0,
COUNTIF('General Information'!F175:F283,template_label_error)=0
),
template_label_missing_value_plus_value_inconsistency,
IF(
AND(
COUNTIF('General Information'!F175:F283,template_label_value_inconsistency)=0,
COUNTIF('General Information'!F175:F283,template_label_missing_value)&gt;0,
COUNTIF('General Information'!F175:F283,template_label_error)&gt;0
),
template_label_error_plus_missing_value,
IF(
AND(
COUNTIF('General Information'!F175:F283,template_label_value_inconsistency)&gt;0,
COUNTIF('General Information'!F175:F283,template_label_missing_value)=0,
COUNTIF('General Information'!F175:F283,template_label_error)&gt;0
),
template_label_error_plus_value_inconsistency,
IF(
AND(
COUNTIF('General Information'!F175:F283,template_label_value_inconsistency)&gt;0,
COUNTIF('General Information'!F175:F283,template_label_missing_value)&gt;0,
COUNTIF('General Information'!F175:F283,template_label_error)&gt;0
),
template_label_error_plus_missing_value_plus_value_inconsistency,
IF(
AND(
COUNTIF('General Information'!F175:F283,template_label_value_inconsistency)=0,
COUNTIF('General Information'!F175:F283,template_label_missing_value)=0,
COUNTIF('General Information'!F175:F283,template_label_error)=0,
COUNTIF('General Information'!F175:F283,template_label_ok)&gt;0
),
template_label_ok,
"-"
)))))))))</f>
        <v>-</v>
      </c>
      <c r="D13" s="544" t="b">
        <v>0</v>
      </c>
      <c r="E13" s="560"/>
      <c r="F13" s="551" t="str">
        <f>IF(AND(C13=template_label_classified_or_sensitive_information,COUNTIF('General Information'!E175:E283,"&lt;&gt;")&gt;0),template_label_information_on_sensitive_information_before_converting,"")</f>
        <v/>
      </c>
    </row>
    <row r="14" spans="2:6">
      <c r="B14" s="463" t="str">
        <f>template_label_b1_list_of_subsidiaries</f>
        <v>B1 - List of subsidiaries</v>
      </c>
      <c r="C14" s="416" t="str">
        <f>IF(D14=TRUE, template_label_classified_or_sensitive_information,
IF(
    COUNTIF('General Information'!F288:F387, template_label_missing_value) &gt; 0,
    template_label_missing_value,
    IF(
        COUNTIF('General Information'!F288:F387, template_label_ok) &gt; 0,
        template_label_ok,
        "-"
    )
)
)</f>
        <v>-</v>
      </c>
      <c r="D14" s="545" t="b">
        <v>0</v>
      </c>
      <c r="E14" s="560"/>
      <c r="F14" s="327" t="str">
        <f>IF(AND(C14=template_label_classified_or_sensitive_information,COUNTIF('General Information'!D402:G501,"&lt;&gt;")&gt;0),template_label_information_on_sensitive_information_before_converting,"")</f>
        <v/>
      </c>
    </row>
    <row r="15" spans="2:6">
      <c r="B15" s="463" t="str">
        <f>template_label_b1_disclosure_of_sustainability_related_certification_or_label</f>
        <v>B1 - Disclosure of sustainability-related certification(s) or label(s)</v>
      </c>
      <c r="C15" s="414" t="str">
        <f>IF(D15=TRUE, template_label_classified_or_sensitive_information,
IF(
    COUNTIF('General Information'!I393, template_label_missing_value) &gt; 0,
    template_label_missing_value,
    IF(
        COUNTIF('General Information'!I393, template_label_ok) &gt; 0,
        template_label_ok,
        "-"
    )
)
)</f>
        <v>-</v>
      </c>
      <c r="D15" s="545" t="b">
        <v>0</v>
      </c>
      <c r="E15" s="562" t="b">
        <v>0</v>
      </c>
      <c r="F15" s="327" t="str">
        <f>IF(AND(C15=template_label_classified_or_sensitive_information,'General Information'!E392=TRUE),template_label_information_on_sensitive_information_before_converting,"")</f>
        <v/>
      </c>
    </row>
    <row r="16" spans="2:6">
      <c r="B16" s="463" t="str">
        <f>template_label_b1_list_of_site</f>
        <v>B1 - List of site(s)</v>
      </c>
      <c r="C16" s="414" t="str">
        <f>IF(D16=TRUE, template_label_classified_or_sensitive_information,
IF(
    COUNTIF('General Information'!I402:I501, template_label_missing_value) &gt; 0,
    template_label_missing_value,
    IF(
        COUNTIF('General Information'!I402:I501, template_label_ok) &gt; 0,
        template_label_ok,
        "-"
    )
)
)</f>
        <v>-</v>
      </c>
      <c r="D16" s="545" t="b">
        <v>0</v>
      </c>
      <c r="E16" s="560"/>
      <c r="F16" s="327" t="str">
        <f>IF(AND(C16=template_label_classified_or_sensitive_information,COUNTIF('General Information'!D402:G501,"&lt;&gt;")&gt;0),template_label_information_on_sensitive_information_before_converting,"")</f>
        <v/>
      </c>
    </row>
    <row r="17" spans="2:6">
      <c r="B17" s="466" t="str">
        <f>template_label_b2_practices_policies_and_future_initiatives_for_transitioning_towards_a_more_sustainable_economy</f>
        <v>B2 - Practices, policies and future initiatives for transitioning towards a more sustainable economy</v>
      </c>
      <c r="C17" s="414" t="str">
        <f>IF(D17=TRUE, template_label_classified_or_sensitive_information,
IF(
    COUNTIF('General Information'!P508, template_label_missing_value) &gt; 0,
    template_label_missing_value,
    IF(
        COUNTIF('General Information'!P508, template_label_ok) &gt; 0,
        template_label_ok,
        "-"
    )
)
)</f>
        <v>-</v>
      </c>
      <c r="D17" s="545" t="b">
        <v>0</v>
      </c>
      <c r="E17" s="560"/>
      <c r="F17" s="327" t="str">
        <f>IF(AND(C17=template_label_classified_or_sensitive_information,'General Information'!C508=TRUE),template_label_information_on_sensitive_information_before_converting,"")</f>
        <v/>
      </c>
    </row>
    <row r="18" spans="2:6">
      <c r="B18" s="460" t="str">
        <f>template_label_b2_cooperative_specific_disclosures</f>
        <v>B2 - Cooperative specific disclosures</v>
      </c>
      <c r="C18" s="414" t="str" cm="1">
        <f t="array" ref="C18">IF(D18=TRUE, template_label_classified_or_sensitive_information,
IF(OR('General Information'!E512:E514=template_label_ok),template_label_ok,"-")
)</f>
        <v>-</v>
      </c>
      <c r="D18" s="545" t="b">
        <v>0</v>
      </c>
      <c r="E18" s="564"/>
      <c r="F18" s="327" t="str">
        <f>IF(AND(C18=template_label_classified_or_sensitive_information,COUNTIF('General Information'!D512:D514,"&lt;&gt;")&gt;0),template_label_information_on_sensitive_information_before_converting,"")</f>
        <v/>
      </c>
    </row>
    <row r="19" spans="2:6">
      <c r="B19" s="410" t="str">
        <f>template_label_environmental_disclosures_validation</f>
        <v>Environmental Disclosures</v>
      </c>
      <c r="C19" s="400"/>
      <c r="D19" s="556"/>
      <c r="E19" s="560"/>
      <c r="F19" s="327"/>
    </row>
    <row r="20" spans="2:6" s="465" customFormat="1">
      <c r="B20" s="464" t="str">
        <f>template_label_b3_energy_and_greenhouse_gas_emissions_validation</f>
        <v>B3 - Energy and greenhouse gas emissions</v>
      </c>
      <c r="C20" s="414" t="str">
        <f>IF(D20=TRUE,template_label_classified_or_sensitive_information,
IF(COUNTIF(C21:C23,template_label_error_plus_missing_value_plus_value_inconsistency)&gt;0,template_label_error_plus_missing_value_plus_value_inconsistency,
IF(COUNTIF(C21:C23,template_label_error_plus_value_inconsistency)&gt;0,template_label_error_plus_value_inconsistency,
IF(COUNTIF(C21:C23,template_label_error_plus_missing_value)&gt;0,template_label_error_plus_missing_value,
IF(COUNTIF(C21:C23,template_label_error)&gt;0,template_label_error,
IF(COUNTIF(C21:C23,template_label_missing_value_plus_value_inconsistency)&gt;0,template_label_missing_value_plus_value_inconsistency,
IF(COUNTIF(C21:C23,template_label_value_inconsistency)&gt;0,template_label_value_inconsistency,
IF(COUNTIF(C21:C23,template_label_missing_value)&gt;0,template_label_missing_value,
IF(COUNTIF(C21:C23,template_label_ok)=ROWS(C21:C23),template_label_ok,
IF(COUNTIF(C21:C23,"-")=ROWS(C21:C23),"-",
IF(AND(COUNTIF(C21:C23,template_label_ok)&gt;0, COUNTIF(C21:C23,template_label_error_plus_missing_value_plus_value_inconsistency)=0, COUNTIF(C21:C23,template_label_error_plus_value_inconsistency)=0, COUNTIF(C21:C23,template_label_error_plus_missing_value)=0, COUNTIF(C21:C23,template_label_error)=0, COUNTIF(C21:C23,template_label_missing_value_plus_value_inconsistency)=0, COUNTIF(C21:C23,template_label_value_inconsistency)=0, COUNTIF(C21:C23,template_label_missing_value)=0,OR(COUNTIF(C21:C23,template_label_missing_value)=0, COUNTIF(C21:C23,template_label_missing_value)&gt;0)), template_label_ok,
"-")))))))))
))</f>
        <v>-</v>
      </c>
      <c r="D20" s="546" t="b">
        <f>IF(COUNTIF(D21:D23,TRUE)=ROWS(D21:D23),TRUE,FALSE)</f>
        <v>0</v>
      </c>
      <c r="E20" s="560"/>
      <c r="F20" s="327"/>
    </row>
    <row r="21" spans="2:6">
      <c r="B21" s="460" t="str">
        <f>template_label_b3_total_energy_consumption</f>
        <v>B3 - Total Energy Consumption (in MWh)</v>
      </c>
      <c r="C21" s="414" t="str">
        <f>IF(D21=TRUE, template_label_classified_or_sensitive_information,
IF(COUNTIF('Environmental Disclosures'!L5,template_label_missing_value)&gt;0,template_label_missing_value,
IF(COUNTIF('Environmental Disclosures'!L5,template_label_ok)&gt;0,template_label_ok,"-"))
)</f>
        <v>-</v>
      </c>
      <c r="D21" s="545" t="b">
        <v>0</v>
      </c>
      <c r="E21" s="560"/>
      <c r="F21" s="327" t="str">
        <f>IF(AND(C21=template_label_classified_or_sensitive_information,COUNTIF(TotalEnergyConsumption,"&lt;&gt;")&gt;0),template_label_information_on_sensitive_information_before_converting,"")</f>
        <v/>
      </c>
    </row>
    <row r="22" spans="2:6">
      <c r="B22" s="408" t="str">
        <f>template_label_b3_breakdown_of_energy_consumption</f>
        <v>B3 - Breakdown of energy consumption (in MWh)</v>
      </c>
      <c r="C22" s="416"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545" t="b">
        <v>0</v>
      </c>
      <c r="E22" s="560"/>
      <c r="F22" s="327" t="str">
        <f>IF(AND(C22=template_label_classified_or_sensitive_information,'Environmental Disclosures'!G10=TRUE),template_label_information_on_sensitive_information_before_converting,"")</f>
        <v/>
      </c>
    </row>
    <row r="23" spans="2:6" ht="28.8">
      <c r="B23" s="408" t="str">
        <f>template_label_b3_estimated_absolute_greenhouse_gas_emissions</f>
        <v>B3 - Estimated Absolute Greenhouse Gas Emissions considering the GHG Protocol Corporate Accounting and Reporting  Standard 2004 (in tCO2eq)</v>
      </c>
      <c r="C23" s="414" t="str">
        <f>IF(D23=TRUE, template_label_classified_or_sensitive_information,
IF(COUNTIF('Environmental Disclosures'!L21:L44,template_label_missing_value)&gt;0,template_label_missing_value,
IF(COUNTIF('Environmental Disclosures'!L21:L44,template_label_ok)&gt;0,template_label_ok,"-"))
)</f>
        <v>-</v>
      </c>
      <c r="D23" s="545" t="b">
        <v>0</v>
      </c>
      <c r="E23" s="560"/>
      <c r="F23" s="327" t="str">
        <f>IF(AND(C23=template_label_classified_or_sensitive_information,COUNTIF('Environmental Disclosures'!D22:F24,"&lt;&gt;")&gt;0),template_label_information_on_sensitive_information_before_converting,"")</f>
        <v/>
      </c>
    </row>
    <row r="24" spans="2:6">
      <c r="B24" s="322" t="str">
        <f>template_label_b4_pollution_of_air_water_and_soil_validation</f>
        <v>B4 - Pollution of air, water and soil</v>
      </c>
      <c r="C24" s="414" t="str">
        <f>IF(D24=TRUE, template_label_classified_or_sensitive_information,
IF(COUNTIF('Environmental Disclosures'!L69:L173,template_label_invalid_url)&gt;0,
   template_label_invalid_url,
IF(AND(COUNTIF('Environmental Disclosures'!L69:L173,template_label_missing_value)&gt;0,
       COUNTIF('Environmental Disclosures'!L69:L173,template_label_value_inconsistency)&gt;0),
   template_label_missing_value_plus_value_inconsistency,
IF(COUNTIF('Environmental Disclosures'!L69:L173,template_label_missing_value)&gt;0,
   template_label_missing_value,
IF(COUNTIF('Environmental Disclosures'!L69:L173,template_label_value_inconsistency)&gt;0,
   template_label_value_inconsistency,
IF(COUNTIF('Environmental Disclosures'!L69:L173,template_label_ok)&gt;0,
   template_label_ok,
"-")))))
)</f>
        <v>-</v>
      </c>
      <c r="D24" s="545" t="b">
        <v>0</v>
      </c>
      <c r="E24" s="560"/>
      <c r="F24" s="327" t="str">
        <f>IF(AND(C24=template_label_classified_or_sensitive_information,'Environmental Disclosures'!G68=TRUE),template_label_information_on_sensitive_information_before_converting,"")</f>
        <v/>
      </c>
    </row>
    <row r="25" spans="2:6">
      <c r="B25" s="322" t="str">
        <f>template_label_b5_biodiversity_validation</f>
        <v>B5 - Biodiversity</v>
      </c>
      <c r="C25" s="414" t="str">
        <f>IF(D25=TRUE, template_label_classified_or_sensitive_information,
IF(COUNTIF(C26:C26,template_label_error_plus_missing_value_plus_value_inconsistency)&gt;0,template_label_error_plus_missing_value_plus_value_inconsistency,
IF(COUNTIF(C26:C26,template_label_error_plus_value_inconsistency)&gt;0,template_label_error_plus_value_inconsistency,
IF(COUNTIF(C26:C26,template_label_error_plus_missing_value)&gt;0,template_label_error_plus_missing_value,
IF(COUNTIF(C26:C26,template_label_error)&gt;0,template_label_error,
IF(COUNTIF(C26:C26,template_label_missing_value_plus_value_inconsistency)&gt;0,template_label_missing_value_plus_value_inconsistency,
IF(COUNTIF(C26:C26,template_label_value_inconsistency)&gt;0,template_label_value_inconsistency,
IF(COUNTIF(C26:C26,template_label_missing_value)&gt;0,template_label_missing_value,
IF(COUNTIF(C26:C26,template_label_ok)=ROWS(C26:C26),template_label_ok,
IF(COUNTIF(C26:C26,"-")=ROWS(C26:C26),"-",
IF(AND(COUNTIF(C26:C26,template_label_ok)&gt;0, COUNTIF(C26:C26,template_label_error_plus_missing_value_plus_value_inconsistency)=0, COUNTIF(C26:C26,template_label_error_plus_value_inconsistency)=0, COUNTIF(C26:C26,template_label_error_plus_missing_value)=0, COUNTIF(C26:C26,template_label_error)=0, COUNTIF(C26:C26,template_label_missing_value_plus_value_inconsistency)=0, COUNTIF(C26:C26,template_label_value_inconsistency)=0, COUNTIF(C26:C26,template_label_missing_value)=0,OR(COUNTIF(C26:C26,template_label_missing_value)=0, COUNTIF(C26:C26,template_label_missing_value)&gt;0)), template_label_ok,
"-")))))))))
))</f>
        <v>-</v>
      </c>
      <c r="D25" s="547" t="b">
        <f>IF(COUNTIF(D26:D26,TRUE)=ROWS(D26:D26),TRUE,FALSE)</f>
        <v>0</v>
      </c>
      <c r="E25" s="560"/>
      <c r="F25" s="327"/>
    </row>
    <row r="26" spans="2:6">
      <c r="B26" s="408" t="str">
        <f>template_label_b5_sites_in_biodiversity_sensitive_areas</f>
        <v>B5 - Sites in biodiversity sensitive areas</v>
      </c>
      <c r="C26" s="414" t="str">
        <f>IF(D26=TRUE, template_label_classified_or_sensitive_information,
IF(AND(
        COUNTIF('Environmental Disclosures'!D180:D279,template_label_ok) + COUNTIF('Environmental Disclosures'!L179:L279,template_label_ok) &gt; 0,
        COUNTIF('Environmental Disclosures'!D180:D279,template_label_missing_value) + COUNTIF('Environmental Disclosures'!L179:L279,template_label_missing_value) = 0,
        COUNTIF('Environmental Disclosures'!D180:D279,template_label_value_inconsistency) + COUNTIF('Environmental Disclosures'!L179:L279,template_label_value_inconsistency) = 0),
    template_label_ok,
    IF(AND(
           COUNTIF('Environmental Disclosures'!D180:D279,template_label_missing_value) + COUNTIF('Environmental Disclosures'!L179:L279,template_label_missing_value) &gt; 0,
           COUNTIF('Environmental Disclosures'!D180:D279,template_label_value_inconsistency) + COUNTIF('Environmental Disclosures'!L179:L279,template_label_value_inconsistency) = 0),
        template_label_missing_value,
        IF(AND(
               COUNTIF('Environmental Disclosures'!D180:D279,template_label_value_inconsistency) + COUNTIF('Environmental Disclosures'!L179:L279,template_label_value_inconsistency) &gt; 0,
               COUNTIF('Environmental Disclosures'!D180:D279,template_label_missing_value) + COUNTIF('Environmental Disclosures'!L179:L279,template_label_missing_value) = 0),
            template_label_value_inconsistency,
            IF(AND(
                   COUNTIF('Environmental Disclosures'!D180:D279,template_label_value_inconsistency) + COUNTIF('Environmental Disclosures'!L179:L279,template_label_value_inconsistency) &gt; 0,
                   COUNTIF('Environmental Disclosures'!D180:D279,template_label_missing_value) + COUNTIF('Environmental Disclosures'!L179:L279,template_label_missing_value) &gt; 0),
                template_label_missing_value_plus_value_inconsistency,
                "-"
            )
        )
    )
)
)</f>
        <v>-</v>
      </c>
      <c r="D26" s="541" t="b">
        <v>0</v>
      </c>
      <c r="E26" s="560"/>
      <c r="F26" s="327" t="str">
        <f>IF(AND(C26=template_label_classified_or_sensitive_information,'Environmental Disclosures'!G178=TRUE),template_label_information_on_sensitive_information_before_converting,"")</f>
        <v/>
      </c>
    </row>
    <row r="27" spans="2:6">
      <c r="B27" s="322" t="str">
        <f>template_label_b6_water_validation</f>
        <v>B6 - Water</v>
      </c>
      <c r="C27" s="414" t="str">
        <f>IF(D27=TRUE, template_label_classified_or_sensitive_information,
IF(COUNTIF(C28:C29,template_label_error_plus_missing_value_plus_value_inconsistency)&gt;0,template_label_error_plus_missing_value_plus_value_inconsistency,
IF(COUNTIF(C28:C29,template_label_error_plus_value_inconsistency)&gt;0,template_label_error_plus_value_inconsistency,
IF(COUNTIF(C28:C29,template_label_error_plus_missing_value)&gt;0,template_label_error_plus_missing_value,
IF(COUNTIF(C28:C29,template_label_error)&gt;0,template_label_error,
IF(COUNTIF(C28:C29,template_label_missing_value_plus_value_inconsistency)&gt;0,template_label_missing_value_plus_value_inconsistency,
IF(COUNTIF(C28:C29,template_label_value_inconsistency)&gt;0,template_label_value_inconsistency,
IF(COUNTIF(C28:C29,template_label_missing_value)&gt;0,template_label_missing_value,
IF(COUNTIF(C28:C29,template_label_ok)=ROWS(C28:C29),template_label_ok,
IF(COUNTIF(C28:C29,"-")=ROWS(C28:C29),"-",
IF(AND(COUNTIF(C28:C29,template_label_ok)&gt;0, COUNTIF(C26:C26,template_label_error_plus_missing_value_plus_value_inconsistency)=0, COUNTIF(C28:C29,template_label_error_plus_value_inconsistency)=0, COUNTIF(C28:C29,template_label_error_plus_missing_value)=0, COUNTIF(C28:C29,template_label_error)=0, COUNTIF(C28:C29,template_label_missing_value_plus_value_inconsistency)=0, COUNTIF(C28:C29,template_label_value_inconsistency)=0, COUNTIF(C28:C29,template_label_missing_value)=0,OR(COUNTIF(C28:C29,template_label_missing_value)=0, COUNTIF(C28:C29,template_label_missing_value)&gt;0)), template_label_ok,
"-")))))))))
))</f>
        <v>-</v>
      </c>
      <c r="D27" s="547" t="b">
        <f>IF(COUNTIF(D28:D29,TRUE)=ROWS(D28:D29),TRUE,FALSE)</f>
        <v>0</v>
      </c>
      <c r="E27" s="560"/>
      <c r="F27" s="327"/>
    </row>
    <row r="28" spans="2:6">
      <c r="B28" s="408" t="str">
        <f>template_label_b6_water_withdrawal</f>
        <v>B6 - Water Withdrawal</v>
      </c>
      <c r="C28" s="414" t="str">
        <f>IF(D28=TRUE, template_label_classified_or_sensitive_information,
IF(COUNTIF('Environmental Disclosures'!E285, template_label_missing_value) &gt; 0,
    template_label_missing_value,
    IF(COUNTIF('Environmental Disclosures'!E285, template_label_ok) &gt; 0,
        template_label_ok,
        "-"))
)</f>
        <v>-</v>
      </c>
      <c r="D28" s="541" t="b">
        <v>0</v>
      </c>
      <c r="E28" s="560"/>
      <c r="F28" s="327" t="str">
        <f>IF(AND(C28=template_label_classified_or_sensitive_information,COUNTIF('Environmental Disclosures'!D285:D293,"&lt;&gt;")&gt;0),template_label_information_on_sensitive_information_before_converting,"")</f>
        <v/>
      </c>
    </row>
    <row r="29" spans="2:6">
      <c r="B29" s="408" t="str">
        <f>template_label_b6_water_consumption</f>
        <v>B6 - Water Consumption</v>
      </c>
      <c r="C29" s="414" t="str">
        <f>IF(D29=TRUE, template_label_classified_or_sensitive_information,
IF(COUNTIF('Environmental Disclosures'!E291:E293, template_label_missing_value) &gt; 0,
    template_label_missing_value,
    IF(COUNTIF('Environmental Disclosures'!E291:E293, template_label_ok) &gt; 0,
        template_label_ok,
        "-"))
)</f>
        <v>-</v>
      </c>
      <c r="D29" s="541" t="b">
        <v>0</v>
      </c>
      <c r="E29" s="560"/>
      <c r="F29" s="327" t="str">
        <f>IF(AND(C29=template_label_classified_or_sensitive_information,'Environmental Disclosures'!D290=TRUE),template_label_information_on_sensitive_information_before_converting,"")</f>
        <v/>
      </c>
    </row>
    <row r="30" spans="2:6">
      <c r="B30" s="322" t="str">
        <f>template_label_b7_resource_use_circular_economy_and_waste_management_validation</f>
        <v>B7 - Resource use, circular economy and waste management</v>
      </c>
      <c r="C30" s="414" t="str">
        <f>IF(D30=TRUE, template_label_classified_or_sensitive_information,
IF(COUNTIF(C31:C33, template_label_error_plus_missing_value_plus_value_inconsistency) &gt; 0, template_label_error_plus_missing_value_plus_value_inconsistency,
IF(COUNTIF(C31:C33, template_label_error_plus_value_inconsistency) &gt; 0, template_label_error_plus_value_inconsistency,
IF(COUNTIF(C31:C33, template_label_error_plus_missing_value) &gt; 0, template_label_error_plus_missing_value,
IF(COUNTIF(C31:C33, template_label_error) &gt; 0, template_label_error,
IF(COUNTIF(C31:C33, template_label_missing_value_plus_value_inconsistency) &gt; 0, template_label_missing_value_plus_value_inconsistency,
IF(COUNTIF(C31:C33, template_label_value_inconsistency) &gt; 0, template_label_value_inconsistency,
IF(COUNTIF(C31:C33, template_label_missing_value) &gt; 0, template_label_missing_value,
IF(COUNTIF(C31:C33, template_label_ok) = ROWS(C31:C33), template_label_ok,
IF(COUNTIF(C31:C33, "-") = ROWS(C31:C33), "-",
IF(AND(COUNTIF(C31:C33,template_label_ok)&gt;0, COUNTIF(C31:C33,template_label_error_plus_missing_value_plus_value_inconsistency)=0, COUNTIF(C31:C33,template_label_error_plus_value_inconsistency)=0, COUNTIF(C31:C33,template_label_error_plus_missing_value)=0, COUNTIF(C31:C33,template_label_error)=0, COUNTIF(C31:C33,template_label_missing_value_plus_value_inconsistency)=0, COUNTIF(C31:C33,template_label_value_inconsistency)=0, COUNTIF(C31:C33,template_label_missing_value)=0,OR(COUNTIF(C31:C33,template_label_missing_value)=0, COUNTIF(C31:C33,template_label_missing_value)&gt;0)), template_label_ok,
"-")))))))))
))</f>
        <v>-</v>
      </c>
      <c r="D30" s="547" t="b">
        <f>IF(COUNTIF(D32:D33,TRUE)=ROWS(D32:D33),TRUE,FALSE)</f>
        <v>0</v>
      </c>
      <c r="E30" s="560"/>
      <c r="F30" s="327"/>
    </row>
    <row r="31" spans="2:6">
      <c r="B31" s="408" t="str">
        <f>template_label_b7_description_of_circular_economy_principles</f>
        <v>B7 - Description of circular economy principles</v>
      </c>
      <c r="C31" s="414" t="str">
        <f>IF(D31=TRUE, template_label_classified_or_sensitive_information,
IF(
AND(
COUNTIF('Environmental Disclosures'!H298:I299, template_label_missing_value) &gt; 0,
COUNTIF('Environmental Disclosures'!H298:I299, template_label_value_inconsistency) = 0,
COUNTIF('Environmental Disclosures'!H298:I299, template_label_ok) &gt;= 0
),
template_label_missing_value,
IF(
AND(
COUNTIF('Environmental Disclosures'!H298:I299, template_label_value_inconsistency) &gt; 0,
COUNTIF('Environmental Disclosures'!H298:I299, template_label_missing_value) = 0,
COUNTIF('Environmental Disclosures'!H298:I299, template_label_ok) &gt;= 0
),
template_label_value_inconsistency,
IF(
AND(
COUNTIF('Environmental Disclosures'!H298:I299, template_label_value_inconsistency) &gt; 0,
COUNTIF('Environmental Disclosures'!H298:I299, template_label_missing_value) &gt; 0,
COUNTIF('Environmental Disclosures'!H298:I299, template_label_ok) &gt;= 0
),
template_label_missing_value_plus_value_inconsistency,
IF(
AND(
COUNTIF('Environmental Disclosures'!H298:I299, template_label_value_inconsistency) = 0,
COUNTIF('Environmental Disclosures'!H298:I299, template_label_missing_value) = 0,
COUNTIF('Environmental Disclosures'!H298:I299, template_label_ok) &gt; 0
),
template_label_ok,
"-"
)
)
))
)</f>
        <v>-</v>
      </c>
      <c r="D31" s="548" t="b">
        <v>0</v>
      </c>
      <c r="E31" s="562" t="b">
        <v>0</v>
      </c>
      <c r="F31" s="327" t="str">
        <f>IF(AND(C31=template_label_classified_or_sensitive_information,COUNTIF('Environmental Disclosures'!D298:G299,"&lt;&gt;")&gt;0),template_label_information_on_sensitive_information_before_converting,"")</f>
        <v/>
      </c>
    </row>
    <row r="32" spans="2:6">
      <c r="B32" s="408" t="str">
        <f>template_label_b7_waste_generated</f>
        <v>B7 - Waste generated</v>
      </c>
      <c r="C32" s="414" t="str">
        <f>IF(D32=TRUE, template_label_classified_or_sensitive_information,
IF(
    AND(
        COUNTIF('Environmental Disclosures'!M305:M405, template_label_error) &gt; 0,
        COUNTIF('Environmental Disclosures'!M305:M405, template_label_missing_value) &gt; 0,
        COUNTIF('Environmental Disclosures'!M305:M405, template_label_value_inconsistency) &gt; 0
    ),
    template_label_error_plus_missing_value_plus_value_inconsistency,
IF(
    AND(
        COUNTIF('Environmental Disclosures'!M305:M405, template_label_error) &gt; 0,
        COUNTIF('Environmental Disclosures'!M305:M405, template_label_value_inconsistency) &gt; 0,
        COUNTIF('Environmental Disclosures'!M305:M405, template_label_missing_value) = 0
    ),
    template_label_error_plus_value_inconsistency,
IF(
    AND(
        COUNTIF('Environmental Disclosures'!M305:M405, template_label_error) &gt; 0,
        COUNTIF('Environmental Disclosures'!M305:M405, template_label_missing_value) &gt; 0,
        COUNTIF('Environmental Disclosures'!M305:M405, template_label_value_inconsistency) = 0
    ),
    template_label_error_plus_missing_value,
IF(
    AND(
        COUNTIF('Environmental Disclosures'!M305:M405, template_label_missing_value) &gt; 0,
        COUNTIF('Environmental Disclosures'!M305:M405, template_label_value_inconsistency) &gt; 0,
        COUNTIF('Environmental Disclosures'!M305:M405, template_label_error) = 0
    ),
    template_label_missing_value_plus_value_inconsistency,
IF(
    AND(
        COUNTIF('Environmental Disclosures'!M305:M405, template_label_error) &gt; 0,
        COUNTIF('Environmental Disclosures'!M305:M405, template_label_missing_value) = 0,
        COUNTIF('Environmental Disclosures'!M305:M405, template_label_value_inconsistency) = 0
    ),
    template_label_error,
IF(
    AND(
        COUNTIF('Environmental Disclosures'!M305:M405, template_label_missing_value) &gt; 0,
        COUNTIF('Environmental Disclosures'!M305:M405, template_label_error) = 0,
        COUNTIF('Environmental Disclosures'!M305:M405, template_label_value_inconsistency) = 0
    ),
    template_label_missing_value,
IF(
    AND(
        COUNTIF('Environmental Disclosures'!M305:M405, template_label_value_inconsistency) &gt; 0,
        COUNTIF('Environmental Disclosures'!M305:M405, template_label_error) = 0,
        COUNTIF('Environmental Disclosures'!M305:M405, template_label_missing_value) = 0
    ),
    template_label_value_inconsistency,
IF(
    AND(
        COUNTIF('Environmental Disclosures'!M305:M405, template_label_error) = 0,
        COUNTIF('Environmental Disclosures'!M305:M405, template_label_missing_value) = 0,
        COUNTIF('Environmental Disclosures'!M305:M405, template_label_value_inconsistency) = 0,
        COUNTIF('Environmental Disclosures'!M305:M405, template_label_ok) &gt; 0
    ),
    template_label_ok,
"-"
))))))))
)</f>
        <v>-</v>
      </c>
      <c r="D32" s="545" t="b">
        <v>0</v>
      </c>
      <c r="E32" s="560"/>
      <c r="F32" s="327" t="str">
        <f>IF(AND(C32=template_label_classified_or_sensitive_information,COUNTIF('Environmental Disclosures'!D305:L404,"&lt;&gt;")&gt;0),template_label_information_on_sensitive_information_before_converting,"")</f>
        <v/>
      </c>
    </row>
    <row r="33" spans="2:6">
      <c r="B33" s="408" t="str">
        <f>template_label_b7_annual_mass_flow_of_relevant_materials_used</f>
        <v>B7 - Annual mass-flow of relevant materials used</v>
      </c>
      <c r="C33" s="414" t="str">
        <f>IF(D33=TRUE, template_label_classified_or_sensitive_information,
IF(COUNTIF('Environmental Disclosures'!K421:K520, template_label_missing_value) &gt; 0,
    template_label_missing_value,
    IF(COUNTIF('Environmental Disclosures'!K421:K520, template_label_ok) &gt; 0,
        template_label_ok,
        "-"))
)</f>
        <v>-</v>
      </c>
      <c r="D33" s="541" t="b">
        <v>0</v>
      </c>
      <c r="E33" s="564"/>
      <c r="F33" s="327" t="str">
        <f>IF(AND(C33=template_label_classified_or_sensitive_information,'Environmental Disclosures'!G419=TRUE),template_label_information_on_sensitive_information_before_converting,"")</f>
        <v/>
      </c>
    </row>
    <row r="34" spans="2:6">
      <c r="B34" s="410" t="str">
        <f>template_label_social_disclosures_validation</f>
        <v>Social Disclosures</v>
      </c>
      <c r="C34" s="400"/>
      <c r="D34" s="557"/>
      <c r="E34" s="560"/>
      <c r="F34" s="327"/>
    </row>
    <row r="35" spans="2:6" ht="14.4" customHeight="1">
      <c r="B35" s="291" t="str">
        <f>template_label_b8_workforce_general_characteristics_validation</f>
        <v>B8 - Workforce - General characteristics</v>
      </c>
      <c r="C35" s="414" t="str">
        <f>IF(D35=TRUE, template_label_classified_or_sensitive_information,
IF(COUNTIF(C36:C38, template_label_error_plus_missing_value_plus_value_inconsistency) &gt; 0, template_label_error_plus_missing_value_plus_value_inconsistency,
IF(COUNTIF(C36:C38, template_label_error_plus_value_inconsistency) &gt; 0, template_label_error_plus_value_inconsistency,
IF(COUNTIF(C36:C38, template_label_error_plus_missing_value) &gt; 0, template_label_error_plus_missing_value,
IF(COUNTIF(C36:C38, template_label_error) &gt; 0, template_label_error,
IF(COUNTIF(C36:C38, template_label_missing_value_plus_value_inconsistency) &gt; 0, template_label_missing_value_plus_value_inconsistency,
IF(COUNTIF(C36:C38, template_label_value_inconsistency) &gt; 0, template_label_value_inconsistency,
IF(COUNTIF(C36:C38, template_label_missing_value) &gt; 0, template_label_missing_value,
IF(COUNTIF(C36:C38, template_label_ok) = ROWS(C36:C38), template_label_ok,
IF(COUNTIF(C36:C38, "-") = ROWS(C36:C38), "-",
IF(AND(COUNTIF(C36:C38,template_label_ok)&gt;0, COUNTIF(C36:C38,template_label_error_plus_missing_value_plus_value_inconsistency)=0, COUNTIF(C36:C38,template_label_error_plus_value_inconsistency)=0, COUNTIF(C36:C38,template_label_error_plus_missing_value)=0, COUNTIF(C36:C38,template_label_error)=0, COUNTIF(C36:C38,template_label_missing_value_plus_value_inconsistency)=0, COUNTIF(C36:C38,template_label_value_inconsistency)=0, COUNTIF(C36:C38,template_label_missing_value)=0,OR(COUNTIF(C36:C38,template_label_missing_value)=0, COUNTIF(C36:C38,template_label_missing_value)&gt;0)), template_label_ok,
"-")))))))))
))</f>
        <v>-</v>
      </c>
      <c r="D35" s="547" t="b">
        <f>IF(COUNTIF(D36:D38,TRUE)=ROWS(D36:D38),TRUE,FALSE)</f>
        <v>0</v>
      </c>
      <c r="E35" s="560"/>
      <c r="F35" s="327"/>
    </row>
    <row r="36" spans="2:6" ht="14.4" customHeight="1">
      <c r="B36" s="408" t="str">
        <f>template_label_b8_workforce_general_characteristics_type_of_contract</f>
        <v>B8 - Workforce - General characteristics - Type of contract</v>
      </c>
      <c r="C36" s="414" t="str">
        <f>IF(D36=TRUE, template_label_classified_or_sensitive_information,
IF(COUNTIF('Social Disclosures'!H10, template_label_missing_value) &gt; 0,
    template_label_missing_value,
    IF(COUNTIF('Social Disclosures'!H10, template_label_ok) &gt; 0,
        template_label_ok,
        "-"))
)</f>
        <v>-</v>
      </c>
      <c r="D36" s="541" t="b">
        <v>0</v>
      </c>
      <c r="E36" s="560"/>
      <c r="F36" s="327" t="str">
        <f>IF(AND(C36=template_label_classified_or_sensitive_information,COUNTIF([0]!NumberOfPermanentContractEmployees,"&lt;&gt;")&gt;0),template_label_information_on_sensitive_information_before_converting,"")</f>
        <v/>
      </c>
    </row>
    <row r="37" spans="2:6" ht="14.4" customHeight="1">
      <c r="B37" s="408" t="str">
        <f>template_label_b8_workforce_general_characteristics_gender</f>
        <v>B8 - Workforce - General characteristics - Gender</v>
      </c>
      <c r="C37" s="414" t="str">
        <f>IF(D37=TRUE,template_label_classified_or_sensitive_information,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7" s="541" t="b">
        <v>0</v>
      </c>
      <c r="E37" s="560"/>
      <c r="F37" s="327" t="str">
        <f>IF(AND(C37=template_label_classified_or_sensitive_information,COUNTIF('Social Disclosures'!D18:G21,"&lt;&gt;")&gt;0),template_label_information_on_sensitive_information_before_converting,"")</f>
        <v/>
      </c>
    </row>
    <row r="38" spans="2:6" ht="14.4" customHeight="1">
      <c r="B38" s="408" t="str">
        <f>template_label_b8_workforce_general_characteristics_country_of_employment</f>
        <v>B8 - Workforce - General characteristics - Country of employment</v>
      </c>
      <c r="C38" s="414" t="str">
        <f>IF(D38=TRUE, template_label_classified_or_sensitive_information,
IF(COUNTIF('Social Disclosures'!I29:I128, template_label_missing_value) &gt; 0,
    template_label_missing_value,
    IF(COUNTIF('Social Disclosures'!I29:I128, template_label_ok) &gt; 0,
        template_label_ok,
        "-"))
)</f>
        <v>-</v>
      </c>
      <c r="D38" s="541" t="b">
        <v>0</v>
      </c>
      <c r="E38" s="560"/>
      <c r="F38" s="327" t="str">
        <f>IF(AND(C38=template_label_classified_or_sensitive_information,'Social Disclosures'!D143=TRUE),template_label_information_on_sensitive_information_before_converting,"")</f>
        <v/>
      </c>
    </row>
    <row r="39" spans="2:6" ht="14.4" customHeight="1">
      <c r="B39" s="322" t="str">
        <f>template_label_b9_workforce_health_and_safety_validation</f>
        <v>B9 - Workforce - Health and safety</v>
      </c>
      <c r="C39" s="414" t="str">
        <f>IF(D39=TRUE, template_label_classified_or_sensitive_information,
IF(COUNTIF('Social Disclosures'!I133:I139, template_label_missing_value) &gt; 0,
    template_label_missing_value,
    IF(COUNTIF('Social Disclosures'!I133:I139, template_label_ok) &gt; 0,
        template_label_ok,
        "-"))
)</f>
        <v>-</v>
      </c>
      <c r="D39" s="541" t="b">
        <v>0</v>
      </c>
      <c r="E39" s="560"/>
      <c r="F39" s="327" t="str">
        <f>IF(AND(C39=template_label_classified_or_sensitive_information,COUNTIF('Social Disclosures'!D133:H135,"&lt;&gt;")&gt;0),template_label_information_on_sensitive_information_before_converting,"")</f>
        <v/>
      </c>
    </row>
    <row r="40" spans="2:6">
      <c r="B40" s="322" t="str">
        <f>template_label_b10_workforce_remuneration_collective_bargaining_and_training_validation</f>
        <v>B10 - Workforce - Remuneration, collective bargaining and training</v>
      </c>
      <c r="C40" s="414" t="str">
        <f>IF(D40=TRUE,template_label_classified_or_sensitive_information,
IF(COUNTIF(C41:C42,template_label_error_plus_missing_value_plus_value_inconsistency)&gt;0,template_label_error_plus_missing_value_plus_value_inconsistency,
IF(COUNTIF(C41:C42,template_label_error_plus_value_inconsistency)&gt;0,template_label_error_plus_value_inconsistency,
IF(COUNTIF(C41:C42,template_label_error_plus_missing_value)&gt;0,template_label_error_plus_missing_value,
IF(COUNTIF(C41:C42,template_label_error)&gt;0,template_label_error,
IF(COUNTIF(C41:C42,template_label_missing_value_plus_value_inconsistency)&gt;0,template_label_missing_value_plus_value_inconsistency,
IF(COUNTIF(C41:C42,template_label_value_inconsistency)&gt;0,template_label_value_inconsistency,
IF(COUNTIF(C41:C42,template_label_missing_value)&gt;0,template_label_missing_value,
IF(COUNTIF(C41:C42,template_label_ok)=ROWS(C41:C42),template_label_ok,
IF(COUNTIF(C41:C42,"-")=ROWS(C41:C42),"-",
IF(AND(COUNTIF(C41:C42,template_label_ok)&gt;0,COUNTIF(C41:C42,template_label_error_plus_missing_value_plus_value_inconsistency)=0,COUNTIF(C41:C42,template_label_error_plus_value_inconsistency)=0,COUNTIF(C41:C42,template_label_error_plus_missing_value)=0,COUNTIF(C41:C42,template_label_error)=0,COUNTIF(C41:C42,template_label_missing_value_plus_value_inconsistency)=0,COUNTIF(C41:C42,template_label_value_inconsistency)=0,COUNTIF(C41:C42,template_label_missing_value)=0,OR(COUNTIF(C41:C42,template_label_missing_value)=0, COUNTIF(C41:C42,template_label_missing_value)&gt;0)),template_label_ok,
"-")))))))))))</f>
        <v>-</v>
      </c>
      <c r="D40" s="547" t="b">
        <f>IF(COUNTIF(D41:D42,TRUE)=ROWS(D41:D42),TRUE,FALSE)</f>
        <v>0</v>
      </c>
      <c r="E40" s="560"/>
      <c r="F40" s="327"/>
    </row>
    <row r="41" spans="2:6">
      <c r="B41" s="459" t="str">
        <f>template_label_b10_workforce_remuneration_collective_bargaining</f>
        <v>B10 - Workforce - Remuneration and collective bargaining</v>
      </c>
      <c r="C41" s="414" t="str">
        <f>IF(D41=TRUE, template_label_classified_or_sensitive_information,
IF(COUNTIF('Social Disclosures'!I142:I147, template_label_missing_value) &gt; 0,
    template_label_missing_value,
    IF(COUNTIF('Social Disclosures'!I142:I147, template_label_ok) &gt; 0,
        template_label_ok,
        "-"))
)</f>
        <v>-</v>
      </c>
      <c r="D41" s="541" t="b">
        <v>0</v>
      </c>
      <c r="E41" s="560"/>
      <c r="F41" s="327" t="str">
        <f>IF(AND(C41=template_label_classified_or_sensitive_information,OR(COUNTIF('Social Disclosures'!D142:H145,"&lt;&gt;")&gt;0,COUNTIF('Social Disclosures'!D147,"&lt;&gt;")&gt;0)),template_label_information_on_sensitive_information_before_converting,"")</f>
        <v/>
      </c>
    </row>
    <row r="42" spans="2:6">
      <c r="B42" s="408" t="str">
        <f>template_label_number_of_annual_training_hours_per_employee_during_the_reporting_period</f>
        <v>B10 - Workforce - Number of annual training hours per employee during the reporting period</v>
      </c>
      <c r="C42" s="414" t="str">
        <f>IF(D42=TRUE, template_label_classified_or_sensitive_information,
IF(COUNTIF('Social Disclosures'!I152:I153, template_label_missing_value) &gt; 0,
    template_label_missing_value,
    IF(COUNTIF('Social Disclosures'!I152:I153, template_label_ok) &gt; 0,
        template_label_ok,
        "-"))
)</f>
        <v>-</v>
      </c>
      <c r="D42" s="541" t="b">
        <v>0</v>
      </c>
      <c r="E42" s="560"/>
      <c r="F42" s="327" t="str">
        <f>IF(AND(C42=template_label_classified_or_sensitive_information,COUNTIF('Social Disclosures'!D152:H152,"&lt;&gt;")&gt;0),template_label_information_on_sensitive_information_before_converting,"")</f>
        <v/>
      </c>
    </row>
    <row r="43" spans="2:6">
      <c r="B43" s="410" t="str">
        <f>template_label_governance_disclosures_validation</f>
        <v>Governance Disclosures</v>
      </c>
      <c r="C43" s="400"/>
      <c r="D43" s="557"/>
      <c r="E43" s="560"/>
      <c r="F43" s="327"/>
    </row>
    <row r="44" spans="2:6" ht="15" thickBot="1">
      <c r="B44" s="323" t="str">
        <f>template_label_b11_convictions_and_fines_for_corruption_and_bribery_validation</f>
        <v>B11 - Convictions and fines for corruption and bribery</v>
      </c>
      <c r="C44" s="412" t="str">
        <f>IF(D44=TRUE, template_label_classified_or_sensitive_information,
IF(COUNTIF('Governance Disclosures'!I6:I7, template_label_missing_value) &gt; 0,
    template_label_missing_value,
    IF(COUNTIF('Governance Disclosures'!I6:I7, template_label_ok) &gt; 0,
        template_label_ok,
        "-"))
)</f>
        <v>-</v>
      </c>
      <c r="D44" s="552" t="b">
        <v>0</v>
      </c>
      <c r="E44" s="561"/>
      <c r="F44" s="327" t="str">
        <f>IF(AND(C44=template_label_classified_or_sensitive_information,'Governance Disclosures'!H5=TRUE),template_label_information_on_sensitive_information_before_converting,"")</f>
        <v/>
      </c>
    </row>
    <row r="45" spans="2:6" ht="18">
      <c r="B45" s="361" t="str">
        <f>template_label_comprehensive_module_validation</f>
        <v>Comprehensive Module</v>
      </c>
      <c r="C45" s="415"/>
      <c r="D45" s="558"/>
      <c r="E45" s="564"/>
      <c r="F45" s="327"/>
    </row>
    <row r="46" spans="2:6">
      <c r="B46" s="409" t="str">
        <f>template_label_general_information_validation</f>
        <v>General Information</v>
      </c>
      <c r="C46" s="400"/>
      <c r="D46" s="557"/>
      <c r="E46" s="560"/>
      <c r="F46" s="327"/>
    </row>
    <row r="47" spans="2:6">
      <c r="B47" s="322" t="str">
        <f>template_label_c1_strategy_business_model_and_sustainability_related_initiatives_validation</f>
        <v>C1 - Strategy: Business Model and Sustainability - Related Initiatives</v>
      </c>
      <c r="C47" s="414" t="str">
        <f>IF(D47=TRUE, template_label_classified_or_sensitive_information,
IF(COUNTIF('General Information'!H523:H527, template_label_missing_value) &gt; 0,
    template_label_missing_value,
    IF(COUNTIF('General Information'!H523:H527, template_label_ok) &gt; 0,
        template_label_ok,
        "-"))
)</f>
        <v>-</v>
      </c>
      <c r="D47" s="541" t="b">
        <v>0</v>
      </c>
      <c r="E47" s="562" t="b">
        <v>0</v>
      </c>
      <c r="F47" s="327" t="str">
        <f>IF(AND(C47=template_label_classified_or_sensitive_information,OR(COUNTIF('General Information'!E523:G525,"&lt;&gt;")&gt;0,'General Information'!E526=TRUE)),template_label_information_on_sensitive_information_before_converting,"")</f>
        <v/>
      </c>
    </row>
    <row r="48" spans="2:6">
      <c r="B48" s="322" t="str">
        <f>template_label_c2_description_of_practices_policies_and_future_initiatives_for_transitioning_towards_a_more_sustainable_economy_validation</f>
        <v>C2 - Description of practices, policies and future initiatives for transitioning towards a more sustainable economy</v>
      </c>
      <c r="C48" s="414" t="str">
        <f>IF(D48=TRUE, template_label_classified_or_sensitive_information,
IF(COUNTIF('General Information'!H517:H519, template_label_missing_value) &gt; 0,
    template_label_missing_value,
    IF(COUNTIF('General Information'!H517:H519, template_label_ok) &gt; 0,
        template_label_ok,
        "-"))
)</f>
        <v>-</v>
      </c>
      <c r="D48" s="541" t="b">
        <v>0</v>
      </c>
      <c r="E48" s="565" t="b">
        <v>0</v>
      </c>
      <c r="F48" s="327" t="str">
        <f>IF(AND(C48=template_label_classified_or_sensitive_information,COUNTIF('General Information'!E214:E322,"&lt;&gt;")&gt;0),template_label_information_on_sensitive_information_before_converting,"")</f>
        <v/>
      </c>
    </row>
    <row r="49" spans="2:6">
      <c r="B49" s="410" t="str">
        <f>template_label_environmental_disclosures_validation</f>
        <v>Environmental Disclosures</v>
      </c>
      <c r="C49" s="400"/>
      <c r="D49" s="557"/>
      <c r="E49" s="560"/>
      <c r="F49" s="327"/>
    </row>
    <row r="50" spans="2:6">
      <c r="B50" s="291" t="str">
        <f>template_label_c3_ghg_reduction_targets_and_climate_transition_validation</f>
        <v>C3 - GHG reduction targets and climate transition</v>
      </c>
      <c r="C50" s="414" t="str">
        <f>IF(D50=TRUE,template_label_classified_or_sensitive_information,
IF(COUNTIF(C51:C53,template_label_error_plus_missing_value_plus_value_inconsistency)&gt;0,template_label_error_plus_missing_value_plus_value_inconsistency,
IF(COUNTIF(C51:C53,template_label_error_plus_value_inconsistency)&gt;0,template_label_error_plus_value_inconsistency,
IF(COUNTIF(C51:C53,template_label_error_plus_missing_value)&gt;0,template_label_error_plus_missing_value,
IF(COUNTIF(C51:C53,template_label_error)&gt;0,template_label_error,
IF(COUNTIF(C51:C53,template_label_missing_value_plus_value_inconsistency)&gt;0,template_label_missing_value_plus_value_inconsistency,
IF(COUNTIF(C51:C53,template_label_value_inconsistency)&gt;0,template_label_value_inconsistency,
IF(COUNTIF(C51:C53,template_label_missing_value)&gt;0,template_label_missing_value,
IF(COUNTIF(C51:C53,template_label_ok)=ROWS(C51:C53),template_label_ok,
IF(COUNTIF(C51:C53,"-")=ROWS(C51:C53),"-",
IF(AND(COUNTIF(C51:C53,template_label_ok)&gt;0,
COUNTIF(C51:C53,template_label_error_plus_missing_value_plus_value_inconsistency)=0,
COUNTIF(C51:C53,template_label_error_plus_value_inconsistency)=0,
COUNTIF(C51:C53,template_label_error_plus_missing_value)=0,
COUNTIF(C51:C53,template_label_error)=0,
COUNTIF(C51:C53,template_label_missing_value_plus_value_inconsistency)=0,
COUNTIF(C51:C53,template_label_value_inconsistency)=0,
COUNTIF(C51:C53,template_label_missing_value)=0),
template_label_ok,
"-")))))))))))</f>
        <v>-</v>
      </c>
      <c r="D50" s="547" t="b">
        <f>IF(COUNTIF(D51:D53,TRUE)=ROWS(D51:D53),TRUE,FALSE)</f>
        <v>0</v>
      </c>
      <c r="E50" s="560"/>
      <c r="F50" s="327"/>
    </row>
    <row r="51" spans="2:6">
      <c r="B51" s="408" t="str">
        <f>template_label_c3_ghg_reduction_targets</f>
        <v>C3 - GHG reduction targets (in tC02e)</v>
      </c>
      <c r="C51" s="414" t="str">
        <f>IF(D51=TRUE, template_label_classified_or_sensitive_information,
IF(AND('General Information'!E125 = "Option A (Basic Module only)",
        COUNTA('Environmental Disclosures'!G21:G24) = 0),
    "-",
IF(COUNTIF('Environmental Disclosures'!L52, template_label_missing_value) &gt; 0,
    template_label_missing_value,
IF(COUNTIF('Environmental Disclosures'!L52, template_label_ok) &gt; 0,
    template_label_ok,
"-")))
)</f>
        <v>-</v>
      </c>
      <c r="D51" s="541" t="b">
        <v>0</v>
      </c>
      <c r="E51" s="560"/>
      <c r="F51" s="327" t="str">
        <f>IF(AND(C51=template_label_classified_or_sensitive_information,'Environmental Disclosures'!J19=TRUE),template_label_information_on_sensitive_information_before_converting,"")</f>
        <v/>
      </c>
    </row>
    <row r="52" spans="2:6">
      <c r="B52" s="408" t="str">
        <f>template_label_c3_disclosure_of_list_of_main_actions_the_entity_seeks_in_order_to_achieve_its_targets</f>
        <v>C3 - Disclosure of list of main actions the entity seeks in order to achieve its targets</v>
      </c>
      <c r="C52" s="414" t="str">
        <f>IF(D52=TRUE, template_label_classified_or_sensitive_information,
IF(COUNTIF('Environmental Disclosures'!L52, template_label_missing_value) &gt; 0,
    template_label_missing_value,
    IF(COUNTIF('Environmental Disclosures'!L52, template_label_ok) &gt; 0,
        template_label_ok,
        "-"))
)</f>
        <v>-</v>
      </c>
      <c r="D52" s="541" t="b">
        <v>0</v>
      </c>
      <c r="E52" s="562" t="b">
        <v>0</v>
      </c>
      <c r="F52" s="327" t="str">
        <f>IF(AND(C52=template_label_classified_or_sensitive_information,COUNTIF(DisclosureOfListOfMainActionsTheEntitySeeksInOrderToAchieveItsTargets,"&lt;&gt;")&gt;0),template_label_information_on_sensitive_information_before_converting,"")</f>
        <v/>
      </c>
    </row>
    <row r="53" spans="2:6">
      <c r="B53" s="408" t="str">
        <f>template_label_c3_transition_plan_for_undertakings_operating_in_high_climate_impact_sectors</f>
        <v>C3 - Transition plan for undertakings operating in high climate impact sectors</v>
      </c>
      <c r="C53" s="414" t="str">
        <f>IF(D53=TRUE,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3" s="541" t="b">
        <v>0</v>
      </c>
      <c r="E53" s="562" t="b">
        <v>0</v>
      </c>
      <c r="F53" s="327" t="str">
        <f>IF(AND(C53=template_label_classified_or_sensitive_information,COUNTIF('Environmental Disclosures'!D57,"&lt;&gt;")&gt;0),template_label_information_on_sensitive_information_before_converting,"")</f>
        <v/>
      </c>
    </row>
    <row r="54" spans="2:6">
      <c r="B54" s="322" t="str">
        <f>template_label_c4_climate_risks_validation</f>
        <v>C4 - Climate risks</v>
      </c>
      <c r="C54" s="414" t="str">
        <f>IF(D54=TRUE, template_label_classified_or_sensitive_information,
IF(COUNTIF('Environmental Disclosures'!L526:L530, template_label_missing_value) &gt; 0,
    template_label_missing_value,
    IF(COUNTIF('Environmental Disclosures'!L526:L530, template_label_ok) &gt; 0,
        template_label_ok,
        "-"))
)</f>
        <v>-</v>
      </c>
      <c r="D54" s="541" t="b">
        <v>0</v>
      </c>
      <c r="E54" s="565" t="b">
        <v>0</v>
      </c>
      <c r="F54" s="327" t="str" cm="1">
        <f t="array" ref="F54">IF(AND(C54=template_label_classified_or_sensitive_information,'Environmental Disclosures'!E525:K525=TRUE),template_label_information_on_sensitive_information_before_converting,"")</f>
        <v/>
      </c>
    </row>
    <row r="55" spans="2:6">
      <c r="B55" s="410" t="str">
        <f>template_label_social_disclosures_validation</f>
        <v>Social Disclosures</v>
      </c>
      <c r="C55" s="400"/>
      <c r="D55" s="557"/>
      <c r="E55" s="560"/>
      <c r="F55" s="327"/>
    </row>
    <row r="56" spans="2:6">
      <c r="B56" s="322" t="str">
        <f>template_label_c5_additional_general_workforce_characteristics_validation</f>
        <v>C5 - Additional (general) workforce characteristics</v>
      </c>
      <c r="C56" s="414" t="str">
        <f>IF(D56=TRUE, template_label_classified_or_sensitive_information,
IF(COUNTIF('Social Disclosures'!I157:I165, template_label_missing_value) &gt; 0,
    template_label_missing_value,
    template_label_ok)
)</f>
        <v>OK</v>
      </c>
      <c r="D56" s="541" t="b">
        <v>0</v>
      </c>
      <c r="E56" s="560"/>
      <c r="F56" s="327" t="str">
        <f>IF(AND(C56=template_label_classified_or_sensitive_information,OR(COUNTIF('Social Disclosures'!D161:H162,"&lt;&gt;")&gt;0,COUNTIF('Social Disclosures'!D164:H165,"&lt;&gt;")&gt;0)),template_label_information_on_sensitive_information_before_converting,"")</f>
        <v/>
      </c>
    </row>
    <row r="57" spans="2:6">
      <c r="B57" s="322" t="str">
        <f>template_label_c6_additional_own_workforce_information_human_rights_policies_and_processes_validation</f>
        <v>C6 - Additional own workforce information - Human rights policies and processes</v>
      </c>
      <c r="C57" s="414" t="str">
        <f>IF(D57=TRUE, template_label_classified_or_sensitive_information,
IF(
AND(
COUNTIF('Social Disclosures'!I168:I177, template_label_missing_value) &gt; 0,
COUNTIF('Social Disclosures'!I168:I177, template_label_value_inconsistency) = 0,
COUNTIF('Social Disclosures'!I168:I177, template_label_ok) &gt;= 0
),
template_label_missing_value,
IF(
AND(
COUNTIF('Social Disclosures'!I168:I177, template_label_value_inconsistency) &gt; 0,
COUNTIF('Social Disclosures'!I168:I177, template_label_missing_value) = 0,
COUNTIF('Social Disclosures'!I168:I177, template_label_ok) &gt;= 0
),
template_label_value_inconsistency,
IF(
AND(
COUNTIF('Social Disclosures'!I168:I177, template_label_value_inconsistency) &gt; 0,
COUNTIF('Social Disclosures'!I168:I177, template_label_missing_value) &gt; 0,
COUNTIF('Social Disclosures'!I168:I177, template_label_ok) &gt;= 0
),
template_label_missing_value_plus_value_inconsistency,
IF(
AND(
COUNTIF('Social Disclosures'!I168:I177, template_label_value_inconsistency) = 0,
COUNTIF('Social Disclosures'!I168:I177, template_label_missing_value) = 0,
COUNTIF('Social Disclosures'!I168:I177, template_label_ok) &gt; 0
),
template_label_ok,
"-"
)
)
))
)</f>
        <v>-</v>
      </c>
      <c r="D57" s="541" t="b">
        <v>0</v>
      </c>
      <c r="E57" s="562" t="b">
        <v>0</v>
      </c>
      <c r="F57" s="327" t="str">
        <f>IF(AND(C57=template_label_classified_or_sensitive_information,OR(COUNTIF(UndertakingHasACodeOfConductOrHumanRightsPolicyForItsOwnWorkforce,"&lt;&gt;")&gt;0,COUNTIF('Social Disclosures'!D176:H177,"&lt;&gt;")&gt;0,COUNTIF(TypeOfContentCoveredByTheCodeOfConductOrHumanRightsPolicyForItsOwnWorkforce,TRUE)&gt;0)),template_label_information_on_sensitive_information_before_converting,"")</f>
        <v/>
      </c>
    </row>
    <row r="58" spans="2:6">
      <c r="B58" s="411" t="str">
        <f>template_label_c7_human_rights_incidents_validation</f>
        <v>C7 - Human rights incidents</v>
      </c>
      <c r="C58" s="417" t="str">
        <f>IF(D58=TRUE, template_label_classified_or_sensitive_information,
IF(
AND(
COUNTIF('Social Disclosures'!I180:I190, template_label_missing_value) &gt; 0,
COUNTIF('Social Disclosures'!I180:I190, template_label_value_inconsistency) = 0,
COUNTIF('Social Disclosures'!I180:I190, template_label_ok) &gt;= 0
),
template_label_missing_value,
IF(
AND(
COUNTIF('Social Disclosures'!I180:I190, template_label_value_inconsistency) &gt; 0,
COUNTIF('Social Disclosures'!I180:I190, template_label_missing_value) = 0,
COUNTIF('Social Disclosures'!I180:I190, template_label_ok) &gt;= 0
),
template_label_value_inconsistency,
IF(
AND(
COUNTIF('Social Disclosures'!I180:I190, template_label_value_inconsistency) &gt; 0,
COUNTIF('Social Disclosures'!I180:I190, template_label_missing_value) &gt; 0,
COUNTIF('Social Disclosures'!I180:I190, template_label_ok) &gt;= 0
),
template_label_missing_value_plus_value_inconsistency,
IF(
AND(
COUNTIF('Social Disclosures'!I180:I190, template_label_value_inconsistency) = 0,
COUNTIF('Social Disclosures'!I180:I190, template_label_missing_value) = 0,
COUNTIF('Social Disclosures'!I180:I190, template_label_ok) &gt; 0
),
template_label_ok,
"-"
)
)
))
)</f>
        <v>-</v>
      </c>
      <c r="D58" s="541" t="b">
        <v>0</v>
      </c>
      <c r="E58" s="565" t="b">
        <v>0</v>
      </c>
      <c r="F58" s="327" t="str">
        <f>IF(AND(C58=template_label_classified_or_sensitive_information,OR(COUNTIF(UndertakingHasConfirmedHumanRightsIncidentsInItsOwnWorkforce,"&lt;&gt;")&gt;0,COUNTIF(TypeOfHumanRightRelatedToTheConfirmedIncident,TRUE)&gt;0,COUNTIF('Social Disclosures'!D187:H190,"&lt;&gt;"))),template_label_information_on_sensitive_information_before_converting,"")</f>
        <v/>
      </c>
    </row>
    <row r="59" spans="2:6">
      <c r="B59" s="292" t="str">
        <f>template_label_governance_disclosures_validation</f>
        <v>Governance Disclosures</v>
      </c>
      <c r="C59" s="418"/>
      <c r="D59" s="557"/>
      <c r="E59" s="560"/>
      <c r="F59" s="327"/>
    </row>
    <row r="60" spans="2:6">
      <c r="B60" s="612" t="str">
        <f>template_label_c8_revenues_from_certain_sectors</f>
        <v>C8 - Revenues from certain activities</v>
      </c>
      <c r="C60" s="414" t="str">
        <f>IF(D60=TRUE, template_label_classified_or_sensitive_information,
IF(COUNTIF('Governance Disclosures'!I12:I18, template_label_value_inconsistency) &gt; 0,
    template_label_value_inconsistency,
    IF(COUNTIF('Governance Disclosures'!I12:I18, template_label_ok) &gt; 0,
        template_label_ok,
        "-"))
)</f>
        <v>-</v>
      </c>
      <c r="D60" s="541" t="b">
        <v>0</v>
      </c>
      <c r="E60" s="560"/>
      <c r="F60" s="327" t="str">
        <f>IF(AND(C60=template_label_classified_or_sensitive_information,COUNTIF('Governance Disclosures'!H10,TRUE)&gt;0),template_label_information_on_sensitive_information_before_converting,"")</f>
        <v/>
      </c>
    </row>
    <row r="61" spans="2:6" ht="15" thickBot="1">
      <c r="B61" s="322" t="str">
        <f>template_label_c9_gender_diversity_ratio_in_the_governance_body_validation</f>
        <v>C9 - Gender diversity ratio in the governance body</v>
      </c>
      <c r="C61" s="414" t="str">
        <f>IF(D61=TRUE, template_label_classified_or_sensitive_information,
IF(COUNTIF('Governance Disclosures'!I23:I24, template_label_missing_value) &gt; 0,
    template_label_missing_value,
    IF(COUNTIF('Governance Disclosures'!I23:I24, template_label_ok) &gt; 0,
        template_label_ok,
        "-"))
)</f>
        <v>-</v>
      </c>
      <c r="D61" s="541" t="b">
        <v>0</v>
      </c>
      <c r="E61" s="561"/>
      <c r="F61" s="327" t="str">
        <f>IF(AND(C61=template_label_classified_or_sensitive_information,COUNTIF('Governance Disclosures'!H22,"&lt;&gt;")&gt;0),template_label_information_on_sensitive_information_before_converting,"")</f>
        <v/>
      </c>
    </row>
    <row r="62" spans="2:6">
      <c r="B62" s="362" t="str">
        <f>template_label_additional_disclosures_validation</f>
        <v>Additional Disclosures</v>
      </c>
      <c r="C62" s="399"/>
      <c r="D62" s="559"/>
      <c r="E62" s="560"/>
      <c r="F62" s="327"/>
    </row>
    <row r="63" spans="2:6">
      <c r="B63" s="322" t="str">
        <f>template_label_disclosure_of_any_other_environmental_and_or_entity_specific_environmental_disclosures</f>
        <v>Disclosure of any other environmental and/or entity specific environmental disclosures</v>
      </c>
      <c r="C63" s="414" t="str">
        <f>IF(D63=TRUE, template_label_classified_or_sensitive_information,
IF('Environmental Disclosures'!M534 = template_label_ok, template_label_ok, "-")
)</f>
        <v>-</v>
      </c>
      <c r="D63" s="541" t="b">
        <v>0</v>
      </c>
      <c r="E63" s="562" t="b">
        <v>0</v>
      </c>
      <c r="F63" s="327" t="str">
        <f>IF(AND(C63=template_label_classified_or_sensitive_information,COUNTIF(DisclosureOfAnyOtherEnvironmentalAndOrEntitySpecificEnvironmentalDisclosures,"&lt;&gt;")&gt;0),template_label_information_on_sensitive_information_before_converting,"")</f>
        <v/>
      </c>
    </row>
    <row r="64" spans="2:6">
      <c r="B64" s="322" t="str">
        <f>template_label_disclosure_of_any_other_social_and_or_entity_specific_social_disclosures</f>
        <v>Disclosure of any other social and/or entity specific social disclosures</v>
      </c>
      <c r="C64" s="414" t="str">
        <f>IF(D64=TRUE, template_label_classified_or_sensitive_information,
IF('Social Disclosures'!I196 = template_label_ok, template_label_ok, "-")
)</f>
        <v>-</v>
      </c>
      <c r="D64" s="541" t="b">
        <v>0</v>
      </c>
      <c r="E64" s="562" t="b">
        <v>0</v>
      </c>
      <c r="F64" s="327" t="str">
        <f>IF(AND(C64=template_label_classified_or_sensitive_information,COUNTIF(DisclosureOfAnyOtherSocialAndOrEntitySpecificSocialDisclosures,"&lt;&gt;")&gt;0),template_label_information_on_sensitive_information_before_converting,"")</f>
        <v/>
      </c>
    </row>
    <row r="65" spans="2:6" ht="15" thickBot="1">
      <c r="B65" s="323" t="str">
        <f>template_label_disclosure_of_any_other_governance_and_or_entity_specific_governance_disclosures</f>
        <v>Disclosure of any other governance and/or entity specific governance disclosures</v>
      </c>
      <c r="C65" s="412" t="str">
        <f>IF(D65=TRUE, template_label_classified_or_sensitive_information,
IF('Governance Disclosures'!I30 = template_label_ok, template_label_ok, "-")
)</f>
        <v>-</v>
      </c>
      <c r="D65" s="552" t="b">
        <v>0</v>
      </c>
      <c r="E65" s="563" t="b">
        <v>0</v>
      </c>
      <c r="F65" s="327" t="str">
        <f>IF(AND(C65=template_label_classified_or_sensitive_information,COUNTIF(DisclosureOfAnyOtherGovernanceAndOrEntitySpecificGovernanceDisclosures,"&lt;&gt;")&gt;0),template_label_information_on_sensitive_information_before_converting,"")</f>
        <v/>
      </c>
    </row>
  </sheetData>
  <sheetProtection formatColumns="0" formatRows="0"/>
  <mergeCells count="3">
    <mergeCell ref="D3:D4"/>
    <mergeCell ref="B3:B4"/>
    <mergeCell ref="E3:E4"/>
  </mergeCells>
  <conditionalFormatting sqref="B2:C2">
    <cfRule type="expression" dxfId="402" priority="392">
      <formula>B$44="INCOMPLETE"</formula>
    </cfRule>
    <cfRule type="expression" dxfId="401" priority="393">
      <formula>B$44="COMPLETE"</formula>
    </cfRule>
  </conditionalFormatting>
  <conditionalFormatting sqref="C3">
    <cfRule type="expression" dxfId="400" priority="31">
      <formula>$C$3=template_label_incomplete</formula>
    </cfRule>
    <cfRule type="expression" dxfId="399" priority="32">
      <formula>$C$3=template_label_complete</formula>
    </cfRule>
  </conditionalFormatting>
  <conditionalFormatting sqref="C6:C9 C11:C45 C47:C65">
    <cfRule type="expression" dxfId="398" priority="1">
      <formula>$C6=template_label_classified_or_sensitive_information</formula>
    </cfRule>
    <cfRule type="expression" dxfId="397" priority="22">
      <formula>$C6=template_label_value_inconsistency</formula>
    </cfRule>
    <cfRule type="expression" dxfId="396" priority="23">
      <formula>$C6=template_label_invalid_url</formula>
    </cfRule>
    <cfRule type="expression" dxfId="395" priority="24">
      <formula>$C6=template_label_error_plus_missing_value_plus_value_inconsistency</formula>
    </cfRule>
    <cfRule type="expression" dxfId="394" priority="25">
      <formula>$C6=template_label_error_plus_value_inconsistency</formula>
    </cfRule>
    <cfRule type="expression" dxfId="393" priority="26">
      <formula>$C6=template_label_error_plus_missing_value</formula>
    </cfRule>
    <cfRule type="expression" dxfId="392" priority="27">
      <formula>$C6=template_label_missing_value_plus_value_inconsistency</formula>
    </cfRule>
    <cfRule type="expression" dxfId="391" priority="28">
      <formula>$C6=template_label_missing_value</formula>
    </cfRule>
    <cfRule type="expression" dxfId="390" priority="29">
      <formula>$C6=template_label_error</formula>
    </cfRule>
    <cfRule type="expression" dxfId="389" priority="30">
      <formula>$C6=template_label_ok</formula>
    </cfRule>
  </conditionalFormatting>
  <conditionalFormatting sqref="D9:D10">
    <cfRule type="expression" dxfId="388" priority="2">
      <formula>$C9=template_label_value_inconsistency</formula>
    </cfRule>
    <cfRule type="expression" dxfId="387" priority="3">
      <formula>$C9=template_label_invalid_url</formula>
    </cfRule>
    <cfRule type="expression" dxfId="386" priority="4">
      <formula>$C9=template_label_error_plus_missing_value_plus_value_inconsistency</formula>
    </cfRule>
    <cfRule type="expression" dxfId="385" priority="5">
      <formula>$C9=template_label_error_plus_value_inconsistency</formula>
    </cfRule>
    <cfRule type="expression" dxfId="384" priority="6">
      <formula>$C9=template_label_error_plus_missing_value</formula>
    </cfRule>
    <cfRule type="expression" dxfId="383" priority="7">
      <formula>$C9=template_label_missing_value_plus_value_inconsistency</formula>
    </cfRule>
    <cfRule type="expression" dxfId="382" priority="8">
      <formula>$C9=template_label_missing_value</formula>
    </cfRule>
    <cfRule type="expression" dxfId="381" priority="9">
      <formula>$C9=template_label_error</formula>
    </cfRule>
    <cfRule type="expression" dxfId="380" priority="10">
      <formula>$C9=template_label_ok</formula>
    </cfRule>
  </conditionalFormatting>
  <conditionalFormatting sqref="D19">
    <cfRule type="expression" dxfId="379" priority="11">
      <formula>$C19=template_label_value_inconsistency</formula>
    </cfRule>
    <cfRule type="expression" dxfId="378" priority="12">
      <formula>$C19=template_label_invalid_url</formula>
    </cfRule>
    <cfRule type="expression" dxfId="377" priority="13">
      <formula>$C19=template_label_error_plus_missing_value_plus_value_inconsistency</formula>
    </cfRule>
    <cfRule type="expression" dxfId="376" priority="14">
      <formula>$C19=template_label_error_plus_value_inconsistency</formula>
    </cfRule>
    <cfRule type="expression" dxfId="375" priority="15">
      <formula>$C19=template_label_error_plus_missing_value</formula>
    </cfRule>
    <cfRule type="expression" dxfId="374" priority="16">
      <formula>$C19=template_label_missing_value_plus_value_inconsistency</formula>
    </cfRule>
    <cfRule type="expression" dxfId="373" priority="17">
      <formula>$C19=template_label_missing_value</formula>
    </cfRule>
    <cfRule type="expression" dxfId="372" priority="18">
      <formula>$C19=template_label_error</formula>
    </cfRule>
    <cfRule type="expression" dxfId="371"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8" location="template_information_on_previous_reporting_period" display="· Information on previous reporting period" xr:uid="{A7B7970B-B829-4E06-98AB-137CDC76DA3F}"/>
    <hyperlink ref="B11" location="template_b1_basis_for_preparation" display="template_b1_basis_for_preparation" xr:uid="{D3B8ECC2-14C0-4EF6-8D88-0E701043E936}"/>
    <hyperlink ref="B14" location="template_b1_list_of_subsidiaries" display="             List of subsidiaries" xr:uid="{9EAA5EF6-131F-42F1-9145-55B580C93404}"/>
    <hyperlink ref="B15" location="template_b1_disclosure_of_sustainability_related_certifications_or_labels" display="             Disclosure of sustainability-related certification(s) or label(s)" xr:uid="{4D19F8C5-01A7-4A79-B8B9-BD32706D0E62}"/>
    <hyperlink ref="B16" location="template_b1_list_of_sites" display="             List of site(s)" xr:uid="{D243425C-ED64-484D-A378-BCE59FEA1CCA}"/>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49"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6_water_withdrawal" display="· B6 - Water" xr:uid="{30924859-42AD-4793-BB93-4D15632E75FB}"/>
    <hyperlink ref="B28" location="template_b6_water_withdrawal" display="              Water Withdrawal" xr:uid="{15F35FEF-ED86-4242-BBB3-A19B3AE7F39B}"/>
    <hyperlink ref="B29" location="template_b6_water_consumption" display="              Water Consumption" xr:uid="{1A5C0D0C-A5AD-4D6D-8842-164CB4995CF0}"/>
    <hyperlink ref="B30" location="template_b7_description_of_circular_economy_principles" display="· B7 - Resource use, circular economy and waste management" xr:uid="{E73F13C7-0475-49C2-8004-4B82FA915BBF}"/>
    <hyperlink ref="B31" location="template_b7_description_of_circular_economy_principles" display="               Description of circular economy principles" xr:uid="{D81C731F-C208-41C3-A3C2-15BDAD9FB28C}"/>
    <hyperlink ref="B32" location="template_b7_waste_generated" display="               Waste generated" xr:uid="{4C54828D-61E5-4A13-82DB-6726CB12D26D}"/>
    <hyperlink ref="B33"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55" location="'Social Disclosures'!A1" display="Social Disclosures" xr:uid="{664E23E3-4976-47A2-9233-8DBF4A2B0004}"/>
    <hyperlink ref="B35" location="template_b8_workforce_general_characteristics_type_of_contract" display="· B8 - Workforce - General characteristics" xr:uid="{319673CB-05CE-4E03-98D7-7EFA767A760B}"/>
    <hyperlink ref="B36" location="template_b8_workforce_general_characteristics_type_of_contract" display="              Type of contract" xr:uid="{EF6C1F60-CB03-481A-9593-49F09F25E273}"/>
    <hyperlink ref="B37" location="template_b8_workforce_general_characteristics_gender" display="              Gender" xr:uid="{553B08BC-0FC3-432D-B82C-D06226579BD6}"/>
    <hyperlink ref="B38" location="template_b8_workforce_general_characteristics_country_of_employment" display="              Country of employment" xr:uid="{33734E25-2845-4F90-BCB6-E86394EDCA24}"/>
    <hyperlink ref="B39" location="template_b9_workforce_health_and_safety" display="· B9 - Workforce – Health and safety" xr:uid="{A5F3F6AC-150A-4651-8667-6E55FFE385E3}"/>
    <hyperlink ref="B40"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4"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Revenues from certain sectors" xr:uid="{C95EF8C3-FA9B-4CEE-8D33-44BBFD20DB8E}"/>
    <hyperlink ref="B61" location="template_c9_gender_diversity_ratio_in_the_governance_body" display="· C9 - Gender diversity ratio in the governance body" xr:uid="{8744655C-A8E1-41B4-9ACB-ED49B581199E}"/>
    <hyperlink ref="B65" location="template_disclosure_of_any_other_governance_and_or_entity_specific_governance_disclosures" display="· Disclosure of any other governance and/or entity specific governance disclosures" xr:uid="{A24B95B2-E94D-40C8-8CF7-1A8C1D3E88B4}"/>
    <hyperlink ref="B10" location="'General Information'!A1" display="General Information" xr:uid="{8E3A83E8-4322-4B9A-8B41-51DE5C1FB320}"/>
    <hyperlink ref="B46" location="'General Information'!A1" display="General Information" xr:uid="{8D1A7217-DD9F-4D14-8E62-DF0CE7521CD6}"/>
    <hyperlink ref="B34" location="'Social Disclosures'!A1" display="Social Disclosures" xr:uid="{5005ADE5-99EC-42B4-8AAE-6D7FF266EFE1}"/>
    <hyperlink ref="B43" location="'Governance Disclosures'!A1" display="Governance Disclosures" xr:uid="{3A78DB22-3150-4E53-A3E3-AF5505C487EE}"/>
    <hyperlink ref="B19" location="'Environmental Disclosures'!A1" display="Environmental Disclosures" xr:uid="{7718B422-B5A6-477E-8388-A9804BDB4D4F}"/>
    <hyperlink ref="B41" location="template_b10_workforce_remuneration_collective_bargaining_and_training" display="template_b10_workforce_remuneration_collective_bargaining_and_training" xr:uid="{203BC68F-FB2B-4D06-88CB-1719EC4A5A0E}"/>
    <hyperlink ref="B42" location="template_b10_workforce_number_of_training" display="template_b10_workforce_number_of_training" xr:uid="{7A83DE48-ECCD-4CDC-96C4-FE6FEFA66522}"/>
    <hyperlink ref="B12" location="template_b1_basis_for_preparation" display="template_b1_basis_for_preparation" xr:uid="{DCB9EB33-29ED-498C-82CC-F099A7297C4E}"/>
    <hyperlink ref="B13" location="template_b1_other_undertakings_general_information" display="template_b1_other_undertakings_general_information" xr:uid="{86A71077-5E3D-4DEE-8A72-EAAE1FBB0A0F}"/>
    <hyperlink ref="B63" location="template_disclosure_of_any_other_environmental_and_or_entity_specific_enviromental_disclosures" display="· Disclosure of any other environmental and/or entity specific enviromental disclosures" xr:uid="{3B30C8FE-FF9E-4311-9E4E-4FDD869D911E}"/>
    <hyperlink ref="B7" location="template_disclosure_of_any_other_general_and_or_entity_specific_information_on_the_reporting_period" display="template_disclosure_of_any_other_general_and_or_entity_specific_information_on_the_reporting_period" xr:uid="{E0931B17-06FD-4081-85F0-976F01E56BAC}"/>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27"/>
  <sheetViews>
    <sheetView showGridLines="0" zoomScaleNormal="100" workbookViewId="0"/>
  </sheetViews>
  <sheetFormatPr defaultColWidth="8.88671875" defaultRowHeight="14.4" outlineLevelRow="2"/>
  <cols>
    <col min="1" max="1" width="10.44140625" bestFit="1" customWidth="1"/>
    <col min="2" max="2" width="10" bestFit="1" customWidth="1"/>
    <col min="3" max="3" width="54.88671875" customWidth="1"/>
    <col min="4" max="4" width="56.44140625" customWidth="1"/>
    <col min="5" max="5" width="41.44140625" customWidth="1"/>
    <col min="6" max="6" width="31.5546875" style="2" customWidth="1"/>
    <col min="7" max="7" width="95.6640625" customWidth="1"/>
    <col min="8" max="8" width="91.5546875" customWidth="1"/>
    <col min="9" max="9" width="19.88671875" customWidth="1"/>
    <col min="10" max="10" width="25.5546875" bestFit="1" customWidth="1"/>
    <col min="11" max="11" width="43.5546875" bestFit="1" customWidth="1"/>
    <col min="12" max="12" width="11" customWidth="1"/>
    <col min="13" max="13" width="8.5546875" customWidth="1"/>
    <col min="14" max="14" width="24" customWidth="1"/>
    <col min="15" max="15" width="15.5546875" customWidth="1"/>
    <col min="16" max="16" width="58" customWidth="1"/>
    <col min="17" max="17" width="34.5546875" customWidth="1"/>
    <col min="18" max="18" width="25" customWidth="1"/>
  </cols>
  <sheetData>
    <row r="1" spans="1:12" ht="43.8" thickBot="1">
      <c r="A1" s="363" t="str">
        <f>template_label_paragraph_reference</f>
        <v>Paragraph Reference</v>
      </c>
      <c r="B1" s="363" t="str">
        <f>template_label_paragraph_guidance_reference</f>
        <v>Paragraph Guidance Reference</v>
      </c>
    </row>
    <row r="2" spans="1:12" ht="14.4" customHeight="1" thickBot="1">
      <c r="B2" s="80"/>
      <c r="C2" s="763" t="str">
        <f>template_label_information_on_the_report_necessary_for_xbrl &amp; " "</f>
        <v xml:space="preserve">Information on the report necessary for  XBRL </v>
      </c>
      <c r="D2" s="763"/>
      <c r="E2" s="764"/>
    </row>
    <row r="3" spans="1:12" ht="14.4" customHeight="1">
      <c r="B3" s="80"/>
      <c r="C3" s="391" t="str">
        <f>template_label_name_of_the_reporting_entity</f>
        <v>Name of the reporting entity</v>
      </c>
      <c r="D3" s="772"/>
      <c r="E3" s="773"/>
      <c r="F3" s="11" t="str">
        <f>IF(D3 = "", template_label_missing_value, template_label_ok)</f>
        <v>MISSING VALUE</v>
      </c>
    </row>
    <row r="4" spans="1:12" ht="14.4" customHeight="1">
      <c r="B4" s="80"/>
      <c r="C4" s="107" t="str">
        <f>template_label_identifier_of_the_reporting_entity</f>
        <v>Identifier of the reporting entity (select and specify on the right)</v>
      </c>
      <c r="D4" s="300"/>
      <c r="E4" s="49"/>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Voluntary Standard does not require any specific identifier. An entity identifier is required for the digital reporting. </v>
      </c>
    </row>
    <row r="5" spans="1:12" ht="14.4" customHeight="1" thickBot="1">
      <c r="C5" s="5" t="str">
        <f>template_label_currency_of_the_monetary_values_in_the_report</f>
        <v>Currency of the monetary values in the report</v>
      </c>
      <c r="D5" s="774"/>
      <c r="E5" s="775"/>
      <c r="F5" s="11" t="str">
        <f>IF(D5 = "", template_label_missing_value, template_label_ok)</f>
        <v>MISSING VALUE</v>
      </c>
      <c r="H5" s="45"/>
    </row>
    <row r="6" spans="1:12" ht="14.4" customHeight="1">
      <c r="C6" s="202" t="str">
        <f>template_label_starting_year</f>
        <v>Starting year</v>
      </c>
      <c r="D6" s="752"/>
      <c r="E6" s="753"/>
      <c r="F6" s="75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747" t="str">
        <f>template_label_date_warning</f>
        <v>ℹ️ If VALUE INCONSISTENCY message appears on the right, please ensure that the reporting period end date is greater than the reporting period start date.</v>
      </c>
      <c r="H6" s="747"/>
      <c r="I6" s="747"/>
      <c r="J6" s="747"/>
      <c r="K6" s="747"/>
    </row>
    <row r="7" spans="1:12" ht="14.4" customHeight="1">
      <c r="C7" s="117" t="str">
        <f>template_label_starting_month</f>
        <v>Starting month</v>
      </c>
      <c r="D7" s="776"/>
      <c r="E7" s="777"/>
      <c r="F7" s="759"/>
      <c r="G7" s="747"/>
      <c r="H7" s="747"/>
      <c r="I7" s="747"/>
      <c r="J7" s="747"/>
      <c r="K7" s="747"/>
    </row>
    <row r="8" spans="1:12" ht="14.4" customHeight="1">
      <c r="C8" s="117" t="str">
        <f>template_label_starting_day</f>
        <v>Starting day</v>
      </c>
      <c r="D8" s="778"/>
      <c r="E8" s="779"/>
      <c r="F8" s="759"/>
      <c r="G8" s="747"/>
      <c r="H8" s="747"/>
      <c r="I8" s="747"/>
      <c r="J8" s="747"/>
      <c r="K8" s="747"/>
    </row>
    <row r="9" spans="1:12" ht="14.4" customHeight="1" thickBot="1">
      <c r="C9" s="105" t="str">
        <f>template_label_reporting_period_start_date</f>
        <v>Reporting period start date (yyyy-mm-dd)</v>
      </c>
      <c r="D9" s="750" t="str">
        <f>IF(OR(ISBLANK(D6), ISBLANK(D7), ISBLANK(D8)), "-", D6 &amp; "-" &amp; TEXT(D7, "00") &amp; "-" &amp; TEXT(D8, "00"))</f>
        <v>-</v>
      </c>
      <c r="E9" s="751"/>
      <c r="F9"/>
      <c r="H9" s="45"/>
    </row>
    <row r="10" spans="1:12" ht="14.4" customHeight="1">
      <c r="C10" s="202" t="str">
        <f>template_label_ending_year</f>
        <v>Ending year</v>
      </c>
      <c r="D10" s="752"/>
      <c r="E10" s="753"/>
      <c r="F10" s="75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747" t="str">
        <f>template_label_date_warning</f>
        <v>ℹ️ If VALUE INCONSISTENCY message appears on the right, please ensure that the reporting period end date is greater than the reporting period start date.</v>
      </c>
      <c r="H10" s="747"/>
      <c r="I10" s="747"/>
      <c r="J10" s="747"/>
      <c r="K10" s="747"/>
    </row>
    <row r="11" spans="1:12" ht="14.4" customHeight="1">
      <c r="C11" s="117" t="str">
        <f>template_label_ending_month</f>
        <v>Ending month</v>
      </c>
      <c r="D11" s="754"/>
      <c r="E11" s="755"/>
      <c r="F11" s="759"/>
      <c r="G11" s="747"/>
      <c r="H11" s="747"/>
      <c r="I11" s="747"/>
      <c r="J11" s="747"/>
      <c r="K11" s="747"/>
    </row>
    <row r="12" spans="1:12" ht="14.4" customHeight="1">
      <c r="C12" s="117" t="s">
        <v>7</v>
      </c>
      <c r="D12" s="756"/>
      <c r="E12" s="757"/>
      <c r="F12" s="759"/>
      <c r="G12" s="747"/>
      <c r="H12" s="747"/>
      <c r="I12" s="747"/>
      <c r="J12" s="747"/>
      <c r="K12" s="747"/>
    </row>
    <row r="13" spans="1:12" ht="14.4" customHeight="1" thickBot="1">
      <c r="B13" s="80"/>
      <c r="C13" s="105" t="str">
        <f>template_label_reporting_period_end_date</f>
        <v>Reporting period end date  (yyyy-mm-dd)</v>
      </c>
      <c r="D13" s="750" t="str">
        <f>IF(OR(ISBLANK(D10), ISBLANK(D11), ISBLANK(D12)), "-", D10 &amp; "-" &amp; TEXT(D11, "00") &amp; "-" &amp; TEXT(D12, "00"))</f>
        <v>-</v>
      </c>
      <c r="E13" s="751"/>
      <c r="F13" s="11"/>
    </row>
    <row r="14" spans="1:12" ht="15" thickBot="1">
      <c r="B14" s="80"/>
      <c r="C14" s="81"/>
      <c r="D14" s="81"/>
      <c r="E14" s="82"/>
      <c r="F14" s="11"/>
    </row>
    <row r="15" spans="1:12" ht="14.85" customHeight="1" thickBot="1">
      <c r="C15" s="760" t="str">
        <f xml:space="preserve"> template_label_introduction &amp; ": " &amp; template_label_disclosure_of_any_other_general_and_or_entity_specific_information_on_the_reporting_period &amp; " " &amp; template_label_from &amp; " " &amp; template_starting_date_display &amp; " " &amp; template_label_to &amp; " " &amp; template_ending_date_display</f>
        <v>Introduction: disclosure of any other general and/or entity specific information on the reporting period from - to -</v>
      </c>
      <c r="D15" s="761"/>
      <c r="E15" s="762"/>
      <c r="F15" s="10"/>
      <c r="G15" s="10"/>
      <c r="H15" s="10"/>
      <c r="I15" s="10"/>
      <c r="J15" s="10"/>
      <c r="K15" s="10"/>
      <c r="L15" s="10"/>
    </row>
    <row r="16" spans="1:12" ht="14.85" customHeight="1">
      <c r="C16" s="680">
        <v>12</v>
      </c>
      <c r="D16" s="681"/>
      <c r="E16" s="682"/>
      <c r="F16" s="10"/>
      <c r="G16" s="10"/>
      <c r="H16" s="10"/>
      <c r="I16" s="10"/>
      <c r="J16" s="10"/>
      <c r="K16" s="10"/>
      <c r="L16" s="10"/>
    </row>
    <row r="17" spans="2:7" ht="15" customHeight="1" thickBot="1">
      <c r="C17" s="683"/>
      <c r="D17" s="684"/>
      <c r="E17" s="685"/>
      <c r="F17" s="15" t="str">
        <f>IF(C17&lt;&gt;"", template_label_ok, "")</f>
        <v/>
      </c>
    </row>
    <row r="18" spans="2:7" ht="15" customHeight="1" thickBot="1">
      <c r="B18" s="80"/>
    </row>
    <row r="19" spans="2:7" ht="15" thickBot="1">
      <c r="B19" s="80"/>
      <c r="C19" s="766" t="str">
        <f>template_label_information_on_previous_reporting_period</f>
        <v>Information on previous reporting period</v>
      </c>
      <c r="D19" s="766"/>
      <c r="E19" s="767"/>
    </row>
    <row r="20" spans="2:7">
      <c r="B20" s="80"/>
      <c r="C20" s="770">
        <v>18</v>
      </c>
      <c r="D20" s="770"/>
      <c r="E20" s="771"/>
      <c r="F20" s="203"/>
    </row>
    <row r="21" spans="2:7" ht="14.4" customHeight="1">
      <c r="C21" s="769" t="str">
        <f>template_label_disclosures_from_the_previous_reporting_period_that_remain_unchanged</f>
        <v>This report contains disclosures from the previous reporting period that remain unchanged</v>
      </c>
      <c r="D21" s="769"/>
      <c r="E21" s="50" t="b">
        <v>0</v>
      </c>
      <c r="F21" s="11" t="str">
        <f>IF(E21 = FALSE, "", template_label_ok)</f>
        <v/>
      </c>
    </row>
    <row r="22" spans="2:7" ht="14.4" customHeight="1">
      <c r="C22" s="758" t="str">
        <f>template_label_disclosures_for_which_no_changes_are_reported_compared_to_the_previous_period_reporting</f>
        <v>List of disclosures for which no changes are reported compared to the previous period reporting</v>
      </c>
      <c r="D22" s="758"/>
      <c r="E22" s="51"/>
      <c r="F22" s="11" t="str">
        <f>IF(AND(E21 = FALSE, E22 = ""), "",
IF(AND(E21 = FALSE, E22 &lt;&gt; ""), "",
IF(AND(E21 = TRUE, E22 = ""), template_label_missing_value,
IF(AND(E21 = TRUE, E22 &lt;&gt; "", COUNTIF(E22:E121, E22) = COUNTA(E22:E121), COUNTA(E22:E121) &gt; 1), template_label_value_inconsistency,
template_label_ok))))</f>
        <v/>
      </c>
      <c r="G22" t="str">
        <f>template_label_additional_rows_warning</f>
        <v>ℹ️  Lists can be expanded using the little [+] button on the left.  If the number of rows is not sufficient, those can be added by right clicking the second row and selecting "Insert row".</v>
      </c>
    </row>
    <row r="23" spans="2:7" ht="14.4" customHeight="1">
      <c r="C23" s="758"/>
      <c r="D23" s="758"/>
      <c r="E23" s="52"/>
      <c r="F23" s="11" t="str">
        <f t="shared" ref="F23:F30" si="0">IF($E$21 = FALSE, "",
IF(E23 = "", "",
IF(COUNTIF($E$22:$E$121, E23) &gt; 1, template_label_value_inconsistency, template_label_ok)))</f>
        <v/>
      </c>
    </row>
    <row r="24" spans="2:7" ht="14.4" customHeight="1">
      <c r="C24" s="758"/>
      <c r="D24" s="758"/>
      <c r="E24" s="52"/>
      <c r="F24" s="11" t="str">
        <f t="shared" si="0"/>
        <v/>
      </c>
    </row>
    <row r="25" spans="2:7" ht="14.4" hidden="1" customHeight="1" outlineLevel="2">
      <c r="C25" s="758"/>
      <c r="D25" s="758"/>
      <c r="E25" s="52"/>
      <c r="F25" s="11" t="str">
        <f t="shared" si="0"/>
        <v/>
      </c>
    </row>
    <row r="26" spans="2:7" ht="14.4" hidden="1" customHeight="1" outlineLevel="2">
      <c r="C26" s="758"/>
      <c r="D26" s="758"/>
      <c r="E26" s="52"/>
      <c r="F26" s="11" t="str">
        <f t="shared" si="0"/>
        <v/>
      </c>
    </row>
    <row r="27" spans="2:7" ht="14.4" hidden="1" customHeight="1" outlineLevel="2">
      <c r="C27" s="758"/>
      <c r="D27" s="758"/>
      <c r="E27" s="52"/>
      <c r="F27" s="11" t="str">
        <f t="shared" si="0"/>
        <v/>
      </c>
    </row>
    <row r="28" spans="2:7" ht="14.4" hidden="1" customHeight="1" outlineLevel="2">
      <c r="C28" s="758"/>
      <c r="D28" s="758"/>
      <c r="E28" s="52"/>
      <c r="F28" s="11" t="str">
        <f t="shared" si="0"/>
        <v/>
      </c>
    </row>
    <row r="29" spans="2:7" ht="14.4" hidden="1" customHeight="1" outlineLevel="2">
      <c r="C29" s="758"/>
      <c r="D29" s="758"/>
      <c r="E29" s="52"/>
      <c r="F29" s="11" t="str">
        <f t="shared" si="0"/>
        <v/>
      </c>
    </row>
    <row r="30" spans="2:7" ht="14.4" hidden="1" customHeight="1" outlineLevel="2">
      <c r="C30" s="758"/>
      <c r="D30" s="758"/>
      <c r="E30" s="52"/>
      <c r="F30" s="11" t="str">
        <f t="shared" si="0"/>
        <v/>
      </c>
    </row>
    <row r="31" spans="2:7" ht="14.4" hidden="1" customHeight="1" outlineLevel="2">
      <c r="C31" s="758"/>
      <c r="D31" s="758"/>
      <c r="E31" s="52"/>
      <c r="F31" s="11"/>
    </row>
    <row r="32" spans="2:7" ht="14.4" hidden="1" customHeight="1" outlineLevel="2">
      <c r="C32" s="758"/>
      <c r="D32" s="758"/>
      <c r="E32" s="52"/>
      <c r="F32" s="11"/>
    </row>
    <row r="33" spans="3:6" ht="14.4" hidden="1" customHeight="1" outlineLevel="2">
      <c r="C33" s="758"/>
      <c r="D33" s="758"/>
      <c r="E33" s="52"/>
      <c r="F33" s="11"/>
    </row>
    <row r="34" spans="3:6" ht="14.4" hidden="1" customHeight="1" outlineLevel="2">
      <c r="C34" s="758"/>
      <c r="D34" s="758"/>
      <c r="E34" s="52"/>
      <c r="F34" s="11"/>
    </row>
    <row r="35" spans="3:6" ht="14.4" hidden="1" customHeight="1" outlineLevel="2">
      <c r="C35" s="758"/>
      <c r="D35" s="758"/>
      <c r="E35" s="52"/>
      <c r="F35" s="11"/>
    </row>
    <row r="36" spans="3:6" ht="14.4" hidden="1" customHeight="1" outlineLevel="2">
      <c r="C36" s="758"/>
      <c r="D36" s="758"/>
      <c r="E36" s="52"/>
      <c r="F36" s="11"/>
    </row>
    <row r="37" spans="3:6" ht="14.4" hidden="1" customHeight="1" outlineLevel="2">
      <c r="C37" s="758"/>
      <c r="D37" s="758"/>
      <c r="E37" s="52"/>
      <c r="F37" s="11"/>
    </row>
    <row r="38" spans="3:6" ht="14.4" hidden="1" customHeight="1" outlineLevel="2">
      <c r="C38" s="758"/>
      <c r="D38" s="758"/>
      <c r="E38" s="52"/>
      <c r="F38" s="11"/>
    </row>
    <row r="39" spans="3:6" ht="14.4" hidden="1" customHeight="1" outlineLevel="2">
      <c r="C39" s="758"/>
      <c r="D39" s="758"/>
      <c r="E39" s="52"/>
      <c r="F39" s="11"/>
    </row>
    <row r="40" spans="3:6" ht="14.4" hidden="1" customHeight="1" outlineLevel="2">
      <c r="C40" s="758"/>
      <c r="D40" s="758"/>
      <c r="E40" s="52"/>
      <c r="F40" s="11"/>
    </row>
    <row r="41" spans="3:6" ht="14.4" hidden="1" customHeight="1" outlineLevel="2">
      <c r="C41" s="758"/>
      <c r="D41" s="758"/>
      <c r="E41" s="52"/>
      <c r="F41" s="11"/>
    </row>
    <row r="42" spans="3:6" ht="14.4" hidden="1" customHeight="1" outlineLevel="2">
      <c r="C42" s="758"/>
      <c r="D42" s="758"/>
      <c r="E42" s="52"/>
      <c r="F42" s="11"/>
    </row>
    <row r="43" spans="3:6" ht="14.4" hidden="1" customHeight="1" outlineLevel="2">
      <c r="C43" s="758"/>
      <c r="D43" s="758"/>
      <c r="E43" s="52"/>
      <c r="F43" s="11"/>
    </row>
    <row r="44" spans="3:6" ht="14.4" hidden="1" customHeight="1" outlineLevel="2">
      <c r="C44" s="758"/>
      <c r="D44" s="758"/>
      <c r="E44" s="52"/>
      <c r="F44" s="11"/>
    </row>
    <row r="45" spans="3:6" ht="14.4" hidden="1" customHeight="1" outlineLevel="2">
      <c r="C45" s="758"/>
      <c r="D45" s="758"/>
      <c r="E45" s="52"/>
      <c r="F45" s="11"/>
    </row>
    <row r="46" spans="3:6" ht="14.4" hidden="1" customHeight="1" outlineLevel="2">
      <c r="C46" s="758"/>
      <c r="D46" s="758"/>
      <c r="E46" s="52"/>
      <c r="F46" s="11"/>
    </row>
    <row r="47" spans="3:6" ht="14.4" hidden="1" customHeight="1" outlineLevel="2">
      <c r="C47" s="758"/>
      <c r="D47" s="758"/>
      <c r="E47" s="52"/>
      <c r="F47" s="11"/>
    </row>
    <row r="48" spans="3:6" ht="14.4" hidden="1" customHeight="1" outlineLevel="2">
      <c r="C48" s="758"/>
      <c r="D48" s="758"/>
      <c r="E48" s="52"/>
      <c r="F48" s="11"/>
    </row>
    <row r="49" spans="3:6" ht="14.4" hidden="1" customHeight="1" outlineLevel="2">
      <c r="C49" s="758"/>
      <c r="D49" s="758"/>
      <c r="E49" s="52"/>
      <c r="F49" s="11"/>
    </row>
    <row r="50" spans="3:6" ht="14.4" hidden="1" customHeight="1" outlineLevel="2">
      <c r="C50" s="758"/>
      <c r="D50" s="758"/>
      <c r="E50" s="52"/>
      <c r="F50" s="11"/>
    </row>
    <row r="51" spans="3:6" ht="14.4" hidden="1" customHeight="1" outlineLevel="2">
      <c r="C51" s="758"/>
      <c r="D51" s="758"/>
      <c r="E51" s="52"/>
      <c r="F51" s="11"/>
    </row>
    <row r="52" spans="3:6" ht="14.4" hidden="1" customHeight="1" outlineLevel="2">
      <c r="C52" s="758"/>
      <c r="D52" s="758"/>
      <c r="E52" s="52"/>
      <c r="F52" s="11"/>
    </row>
    <row r="53" spans="3:6" ht="14.4" hidden="1" customHeight="1" outlineLevel="2">
      <c r="C53" s="758"/>
      <c r="D53" s="758"/>
      <c r="E53" s="52"/>
      <c r="F53" s="11"/>
    </row>
    <row r="54" spans="3:6" ht="14.4" hidden="1" customHeight="1" outlineLevel="2">
      <c r="C54" s="758"/>
      <c r="D54" s="758"/>
      <c r="E54" s="52"/>
      <c r="F54" s="11"/>
    </row>
    <row r="55" spans="3:6" ht="14.4" hidden="1" customHeight="1" outlineLevel="2">
      <c r="C55" s="758"/>
      <c r="D55" s="758"/>
      <c r="E55" s="52"/>
      <c r="F55" s="11"/>
    </row>
    <row r="56" spans="3:6" ht="14.4" hidden="1" customHeight="1" outlineLevel="2">
      <c r="C56" s="758"/>
      <c r="D56" s="758"/>
      <c r="E56" s="52"/>
      <c r="F56" s="11"/>
    </row>
    <row r="57" spans="3:6" ht="14.4" hidden="1" customHeight="1" outlineLevel="2">
      <c r="C57" s="758"/>
      <c r="D57" s="758"/>
      <c r="E57" s="52"/>
      <c r="F57" s="11"/>
    </row>
    <row r="58" spans="3:6" ht="14.4" hidden="1" customHeight="1" outlineLevel="2">
      <c r="C58" s="758"/>
      <c r="D58" s="758"/>
      <c r="E58" s="52"/>
      <c r="F58" s="11"/>
    </row>
    <row r="59" spans="3:6" ht="14.4" hidden="1" customHeight="1" outlineLevel="2">
      <c r="C59" s="758"/>
      <c r="D59" s="758"/>
      <c r="E59" s="52"/>
      <c r="F59" s="11"/>
    </row>
    <row r="60" spans="3:6" ht="14.4" hidden="1" customHeight="1" outlineLevel="2">
      <c r="C60" s="758"/>
      <c r="D60" s="758"/>
      <c r="E60" s="52"/>
      <c r="F60" s="11"/>
    </row>
    <row r="61" spans="3:6" ht="14.4" hidden="1" customHeight="1" outlineLevel="2">
      <c r="C61" s="758"/>
      <c r="D61" s="758"/>
      <c r="E61" s="52"/>
      <c r="F61" s="11"/>
    </row>
    <row r="62" spans="3:6" ht="14.4" hidden="1" customHeight="1" outlineLevel="2">
      <c r="C62" s="758"/>
      <c r="D62" s="758"/>
      <c r="E62" s="52"/>
      <c r="F62" s="11"/>
    </row>
    <row r="63" spans="3:6" ht="14.4" hidden="1" customHeight="1" outlineLevel="2">
      <c r="C63" s="758"/>
      <c r="D63" s="758"/>
      <c r="E63" s="52"/>
      <c r="F63" s="11"/>
    </row>
    <row r="64" spans="3:6" ht="14.4" hidden="1" customHeight="1" outlineLevel="2">
      <c r="C64" s="758"/>
      <c r="D64" s="758"/>
      <c r="E64" s="52"/>
      <c r="F64" s="11"/>
    </row>
    <row r="65" spans="3:6" ht="14.4" hidden="1" customHeight="1" outlineLevel="2">
      <c r="C65" s="758"/>
      <c r="D65" s="758"/>
      <c r="E65" s="52"/>
      <c r="F65" s="11"/>
    </row>
    <row r="66" spans="3:6" ht="14.4" hidden="1" customHeight="1" outlineLevel="2">
      <c r="C66" s="758"/>
      <c r="D66" s="758"/>
      <c r="E66" s="52"/>
      <c r="F66" s="11"/>
    </row>
    <row r="67" spans="3:6" ht="14.4" hidden="1" customHeight="1" outlineLevel="2">
      <c r="C67" s="758"/>
      <c r="D67" s="758"/>
      <c r="E67" s="52"/>
      <c r="F67" s="11"/>
    </row>
    <row r="68" spans="3:6" ht="14.4" hidden="1" customHeight="1" outlineLevel="2">
      <c r="C68" s="758"/>
      <c r="D68" s="758"/>
      <c r="E68" s="52"/>
      <c r="F68" s="11"/>
    </row>
    <row r="69" spans="3:6" ht="14.4" hidden="1" customHeight="1" outlineLevel="2">
      <c r="C69" s="758"/>
      <c r="D69" s="758"/>
      <c r="E69" s="52"/>
      <c r="F69" s="11"/>
    </row>
    <row r="70" spans="3:6" ht="14.4" hidden="1" customHeight="1" outlineLevel="2">
      <c r="C70" s="758"/>
      <c r="D70" s="758"/>
      <c r="E70" s="52"/>
      <c r="F70" s="11"/>
    </row>
    <row r="71" spans="3:6" ht="14.4" hidden="1" customHeight="1" outlineLevel="2">
      <c r="C71" s="758"/>
      <c r="D71" s="758"/>
      <c r="E71" s="52"/>
      <c r="F71" s="11"/>
    </row>
    <row r="72" spans="3:6" ht="14.4" hidden="1" customHeight="1" outlineLevel="2">
      <c r="C72" s="758"/>
      <c r="D72" s="758"/>
      <c r="E72" s="52"/>
      <c r="F72" s="11"/>
    </row>
    <row r="73" spans="3:6" ht="14.4" hidden="1" customHeight="1" outlineLevel="2">
      <c r="C73" s="758"/>
      <c r="D73" s="758"/>
      <c r="E73" s="52"/>
      <c r="F73" s="11"/>
    </row>
    <row r="74" spans="3:6" ht="14.4" hidden="1" customHeight="1" outlineLevel="2">
      <c r="C74" s="758"/>
      <c r="D74" s="758"/>
      <c r="E74" s="52"/>
      <c r="F74" s="11"/>
    </row>
    <row r="75" spans="3:6" ht="14.4" hidden="1" customHeight="1" outlineLevel="2">
      <c r="C75" s="758"/>
      <c r="D75" s="758"/>
      <c r="E75" s="52"/>
      <c r="F75" s="11"/>
    </row>
    <row r="76" spans="3:6" ht="14.4" hidden="1" customHeight="1" outlineLevel="2">
      <c r="C76" s="758"/>
      <c r="D76" s="758"/>
      <c r="E76" s="52"/>
      <c r="F76" s="11"/>
    </row>
    <row r="77" spans="3:6" ht="14.4" hidden="1" customHeight="1" outlineLevel="2">
      <c r="C77" s="758"/>
      <c r="D77" s="758"/>
      <c r="E77" s="52"/>
      <c r="F77" s="11"/>
    </row>
    <row r="78" spans="3:6" ht="14.4" hidden="1" customHeight="1" outlineLevel="2">
      <c r="C78" s="758"/>
      <c r="D78" s="758"/>
      <c r="E78" s="52"/>
      <c r="F78" s="11"/>
    </row>
    <row r="79" spans="3:6" ht="14.4" hidden="1" customHeight="1" outlineLevel="2">
      <c r="C79" s="758"/>
      <c r="D79" s="758"/>
      <c r="E79" s="52"/>
      <c r="F79" s="11"/>
    </row>
    <row r="80" spans="3:6" ht="14.4" hidden="1" customHeight="1" outlineLevel="2">
      <c r="C80" s="758"/>
      <c r="D80" s="758"/>
      <c r="E80" s="52"/>
      <c r="F80" s="11"/>
    </row>
    <row r="81" spans="3:6" ht="14.4" hidden="1" customHeight="1" outlineLevel="2">
      <c r="C81" s="758"/>
      <c r="D81" s="758"/>
      <c r="E81" s="52"/>
      <c r="F81" s="11"/>
    </row>
    <row r="82" spans="3:6" ht="14.4" hidden="1" customHeight="1" outlineLevel="2">
      <c r="C82" s="758"/>
      <c r="D82" s="758"/>
      <c r="E82" s="52"/>
      <c r="F82" s="11"/>
    </row>
    <row r="83" spans="3:6" ht="14.4" hidden="1" customHeight="1" outlineLevel="2">
      <c r="C83" s="758"/>
      <c r="D83" s="758"/>
      <c r="E83" s="52"/>
      <c r="F83" s="11"/>
    </row>
    <row r="84" spans="3:6" ht="14.4" hidden="1" customHeight="1" outlineLevel="2">
      <c r="C84" s="758"/>
      <c r="D84" s="758"/>
      <c r="E84" s="52"/>
      <c r="F84" s="11"/>
    </row>
    <row r="85" spans="3:6" ht="14.4" hidden="1" customHeight="1" outlineLevel="2">
      <c r="C85" s="758"/>
      <c r="D85" s="758"/>
      <c r="E85" s="52"/>
      <c r="F85" s="11"/>
    </row>
    <row r="86" spans="3:6" ht="14.4" hidden="1" customHeight="1" outlineLevel="2">
      <c r="C86" s="758"/>
      <c r="D86" s="758"/>
      <c r="E86" s="52"/>
      <c r="F86" s="11"/>
    </row>
    <row r="87" spans="3:6" ht="14.4" hidden="1" customHeight="1" outlineLevel="2">
      <c r="C87" s="758"/>
      <c r="D87" s="758"/>
      <c r="E87" s="52"/>
      <c r="F87" s="11"/>
    </row>
    <row r="88" spans="3:6" ht="14.4" hidden="1" customHeight="1" outlineLevel="2">
      <c r="C88" s="758"/>
      <c r="D88" s="758"/>
      <c r="E88" s="52"/>
      <c r="F88" s="11"/>
    </row>
    <row r="89" spans="3:6" ht="14.4" hidden="1" customHeight="1" outlineLevel="2">
      <c r="C89" s="758"/>
      <c r="D89" s="758"/>
      <c r="E89" s="52"/>
      <c r="F89" s="11"/>
    </row>
    <row r="90" spans="3:6" ht="14.4" hidden="1" customHeight="1" outlineLevel="2">
      <c r="C90" s="758"/>
      <c r="D90" s="758"/>
      <c r="E90" s="52"/>
      <c r="F90" s="11"/>
    </row>
    <row r="91" spans="3:6" ht="14.4" hidden="1" customHeight="1" outlineLevel="2">
      <c r="C91" s="758"/>
      <c r="D91" s="758"/>
      <c r="E91" s="52"/>
      <c r="F91" s="11"/>
    </row>
    <row r="92" spans="3:6" ht="14.4" hidden="1" customHeight="1" outlineLevel="2">
      <c r="C92" s="758"/>
      <c r="D92" s="758"/>
      <c r="E92" s="52"/>
      <c r="F92" s="11"/>
    </row>
    <row r="93" spans="3:6" ht="14.4" hidden="1" customHeight="1" outlineLevel="2">
      <c r="C93" s="758"/>
      <c r="D93" s="758"/>
      <c r="E93" s="52"/>
      <c r="F93" s="11"/>
    </row>
    <row r="94" spans="3:6" ht="14.4" hidden="1" customHeight="1" outlineLevel="2">
      <c r="C94" s="758"/>
      <c r="D94" s="758"/>
      <c r="E94" s="52"/>
      <c r="F94" s="11"/>
    </row>
    <row r="95" spans="3:6" ht="14.4" hidden="1" customHeight="1" outlineLevel="2">
      <c r="C95" s="758"/>
      <c r="D95" s="758"/>
      <c r="E95" s="52"/>
      <c r="F95" s="11"/>
    </row>
    <row r="96" spans="3:6" ht="14.4" hidden="1" customHeight="1" outlineLevel="2">
      <c r="C96" s="758"/>
      <c r="D96" s="758"/>
      <c r="E96" s="52"/>
      <c r="F96" s="11"/>
    </row>
    <row r="97" spans="3:6" ht="14.4" hidden="1" customHeight="1" outlineLevel="2">
      <c r="C97" s="758"/>
      <c r="D97" s="758"/>
      <c r="E97" s="52"/>
      <c r="F97" s="11"/>
    </row>
    <row r="98" spans="3:6" ht="14.4" hidden="1" customHeight="1" outlineLevel="2">
      <c r="C98" s="758"/>
      <c r="D98" s="758"/>
      <c r="E98" s="52"/>
      <c r="F98" s="11"/>
    </row>
    <row r="99" spans="3:6" ht="14.4" hidden="1" customHeight="1" outlineLevel="2">
      <c r="C99" s="758"/>
      <c r="D99" s="758"/>
      <c r="E99" s="52"/>
      <c r="F99" s="11"/>
    </row>
    <row r="100" spans="3:6" ht="14.4" hidden="1" customHeight="1" outlineLevel="2">
      <c r="C100" s="758"/>
      <c r="D100" s="758"/>
      <c r="E100" s="52"/>
      <c r="F100" s="11"/>
    </row>
    <row r="101" spans="3:6" ht="14.4" hidden="1" customHeight="1" outlineLevel="2">
      <c r="C101" s="758"/>
      <c r="D101" s="758"/>
      <c r="E101" s="52"/>
      <c r="F101" s="11"/>
    </row>
    <row r="102" spans="3:6" ht="14.4" hidden="1" customHeight="1" outlineLevel="2">
      <c r="C102" s="758"/>
      <c r="D102" s="758"/>
      <c r="E102" s="52"/>
      <c r="F102" s="11"/>
    </row>
    <row r="103" spans="3:6" ht="14.4" hidden="1" customHeight="1" outlineLevel="2">
      <c r="C103" s="758"/>
      <c r="D103" s="758"/>
      <c r="E103" s="52"/>
      <c r="F103" s="11"/>
    </row>
    <row r="104" spans="3:6" ht="14.4" hidden="1" customHeight="1" outlineLevel="2">
      <c r="C104" s="758"/>
      <c r="D104" s="758"/>
      <c r="E104" s="52"/>
      <c r="F104" s="11"/>
    </row>
    <row r="105" spans="3:6" ht="14.4" hidden="1" customHeight="1" outlineLevel="2">
      <c r="C105" s="758"/>
      <c r="D105" s="758"/>
      <c r="E105" s="52"/>
      <c r="F105" s="11"/>
    </row>
    <row r="106" spans="3:6" ht="14.4" hidden="1" customHeight="1" outlineLevel="2">
      <c r="C106" s="758"/>
      <c r="D106" s="758"/>
      <c r="E106" s="52"/>
      <c r="F106" s="11"/>
    </row>
    <row r="107" spans="3:6" ht="14.4" hidden="1" customHeight="1" outlineLevel="2">
      <c r="C107" s="758"/>
      <c r="D107" s="758"/>
      <c r="E107" s="52"/>
      <c r="F107" s="11"/>
    </row>
    <row r="108" spans="3:6" ht="14.4" hidden="1" customHeight="1" outlineLevel="2">
      <c r="C108" s="758"/>
      <c r="D108" s="758"/>
      <c r="E108" s="52"/>
      <c r="F108" s="11"/>
    </row>
    <row r="109" spans="3:6" ht="14.4" hidden="1" customHeight="1" outlineLevel="2">
      <c r="C109" s="758"/>
      <c r="D109" s="758"/>
      <c r="E109" s="52"/>
      <c r="F109" s="11"/>
    </row>
    <row r="110" spans="3:6" ht="14.4" hidden="1" customHeight="1" outlineLevel="2">
      <c r="C110" s="758"/>
      <c r="D110" s="758"/>
      <c r="E110" s="52"/>
      <c r="F110" s="11"/>
    </row>
    <row r="111" spans="3:6" ht="14.4" hidden="1" customHeight="1" outlineLevel="2">
      <c r="C111" s="758"/>
      <c r="D111" s="758"/>
      <c r="E111" s="52"/>
      <c r="F111" s="11"/>
    </row>
    <row r="112" spans="3:6" ht="14.4" hidden="1" customHeight="1" outlineLevel="2">
      <c r="C112" s="758"/>
      <c r="D112" s="758"/>
      <c r="E112" s="52"/>
      <c r="F112" s="11"/>
    </row>
    <row r="113" spans="1:10" ht="14.4" hidden="1" customHeight="1" outlineLevel="2">
      <c r="C113" s="758"/>
      <c r="D113" s="758"/>
      <c r="E113" s="52"/>
      <c r="F113" s="11"/>
    </row>
    <row r="114" spans="1:10" ht="14.4" hidden="1" customHeight="1" outlineLevel="2">
      <c r="C114" s="758"/>
      <c r="D114" s="758"/>
      <c r="E114" s="52"/>
      <c r="F114" s="11"/>
    </row>
    <row r="115" spans="1:10" ht="14.4" hidden="1" customHeight="1" outlineLevel="2">
      <c r="C115" s="758"/>
      <c r="D115" s="758"/>
      <c r="E115" s="52"/>
      <c r="F115" s="11"/>
    </row>
    <row r="116" spans="1:10" ht="14.4" hidden="1" customHeight="1" outlineLevel="2">
      <c r="C116" s="758"/>
      <c r="D116" s="758"/>
      <c r="E116" s="52"/>
      <c r="F116" s="11"/>
    </row>
    <row r="117" spans="1:10" ht="14.4" hidden="1" customHeight="1" outlineLevel="2">
      <c r="C117" s="758"/>
      <c r="D117" s="758"/>
      <c r="E117" s="52"/>
      <c r="F117" s="11"/>
    </row>
    <row r="118" spans="1:10" ht="14.4" hidden="1" customHeight="1" outlineLevel="2">
      <c r="C118" s="758"/>
      <c r="D118" s="758"/>
      <c r="E118" s="52"/>
      <c r="F118" s="11"/>
    </row>
    <row r="119" spans="1:10" ht="14.4" hidden="1" customHeight="1" outlineLevel="2">
      <c r="C119" s="758"/>
      <c r="D119" s="758"/>
      <c r="E119" s="52"/>
      <c r="F119" s="11"/>
    </row>
    <row r="120" spans="1:10" ht="14.4" hidden="1" customHeight="1" outlineLevel="2">
      <c r="C120" s="758"/>
      <c r="D120" s="758"/>
      <c r="E120" s="52"/>
      <c r="F120" s="11"/>
    </row>
    <row r="121" spans="1:10" ht="14.4" hidden="1" customHeight="1" outlineLevel="2">
      <c r="C121" s="758"/>
      <c r="D121" s="758"/>
      <c r="E121" s="52"/>
      <c r="F121" s="11"/>
    </row>
    <row r="122" spans="1:10" ht="14.4" customHeight="1" collapsed="1" thickBot="1">
      <c r="B122" s="83"/>
      <c r="C122" s="701" t="str">
        <f>template_label_link_to_previous_report_containing_disclosures_that_remain_unchanged</f>
        <v>Link to previous report containing disclosures that remain unchanged</v>
      </c>
      <c r="D122" s="701"/>
      <c r="E122" s="187"/>
      <c r="F122" s="11" t="str">
        <f>IF(AND(E21 = FALSE, E122 = ""), "",
IF(AND(E21 = TRUE, E122 = ""), template_label_missing_value,
IF(AND(E21 = FALSE, E122 &lt;&gt; ""), "",
IF(AND(E21 = TRUE, E122 &lt;&gt; "", OR(LEFT(E122, 7) = "http://", LEFT(E122, 8) = "https://", LEFT(E122, 4) = "www.")), template_label_ok,
IF(E21 = TRUE, template_label_invalid_url, template_label_missing_value)))))</f>
        <v/>
      </c>
    </row>
    <row r="123" spans="1:10" ht="15" thickBot="1">
      <c r="B123" s="84"/>
    </row>
    <row r="124" spans="1:10" ht="17.850000000000001" customHeight="1" thickBot="1">
      <c r="C124" s="692" t="str">
        <f>template_label_b1_basis_for_preparation &amp; " " &amp; template_label_from &amp; " " &amp; template_starting_date_display &amp; " " &amp; template_label_to &amp; " " &amp; template_ending_date_display</f>
        <v>B1 - Basis for Preparation &amp; Module from - to -</v>
      </c>
      <c r="D124" s="692"/>
      <c r="E124" s="700"/>
      <c r="F124"/>
    </row>
    <row r="125" spans="1:10">
      <c r="A125" s="445" t="s">
        <v>8</v>
      </c>
      <c r="B125" s="446" t="s">
        <v>9</v>
      </c>
      <c r="C125" s="768" t="str">
        <f>template_label_basis_for_preparation</f>
        <v>Basis for preparation (Basic Module Only or Basic &amp; Comprehensive Module)</v>
      </c>
      <c r="D125" s="768"/>
      <c r="E125" s="392"/>
      <c r="F125" s="11" t="str">
        <f>IF(
'Table of Contents &amp; Validation'!D12=TRUE, IF(E125 = "", "", template_label_ok),
IF(E125 = "", template_label_missing_value, template_label_ok)
)</f>
        <v>MISSING VALUE</v>
      </c>
    </row>
    <row r="126" spans="1:10">
      <c r="A126" s="445" t="s">
        <v>8</v>
      </c>
      <c r="B126" s="446" t="s">
        <v>9</v>
      </c>
      <c r="C126" s="695" t="str">
        <f>template_label_statement_of_compliance</f>
        <v xml:space="preserve">Explicit statement of compliance </v>
      </c>
      <c r="D126" s="696"/>
      <c r="E126" s="392"/>
      <c r="F126" s="11" t="str">
        <f>IF((AND(BasisForPreparation&lt;&gt;"",ExplicitStatementOfCompliance="")),template_label_missing_value, IF((AND(BasisForPreparation&lt;&gt;"",ExplicitStatementOfCompliance&lt;&gt;"")),template_label_ok,""))</f>
        <v/>
      </c>
    </row>
    <row r="127" spans="1:10" ht="14.4" customHeight="1">
      <c r="A127" s="688" t="s">
        <v>11</v>
      </c>
      <c r="B127" s="690" t="s">
        <v>9</v>
      </c>
      <c r="C127" s="704" t="str">
        <f>template_label_list_of_omitted_disclosures</f>
        <v xml:space="preserve">List of omitted disclosures </v>
      </c>
      <c r="D127" s="705"/>
      <c r="E127" s="360" t="str" cm="1">
        <f t="array" ref="E127">IF('Technical Sheet'!E254=0,"None",_xlfn.XLOOKUP('Technical Sheet'!A120, 'Technical Sheet'!E193:$E$253, 'Table of Contents &amp; Validation'!B5:$B$65, ""))</f>
        <v>None</v>
      </c>
      <c r="F127" s="330"/>
      <c r="G127" s="747" t="str">
        <f>template_label_bold_omitted_information</f>
        <v>ℹ️  Whenever a disclosure is fully omitted because sensitive or classfied, it will be highligted in bold</v>
      </c>
      <c r="H127" s="747"/>
      <c r="I127" s="747"/>
      <c r="J127" s="747"/>
    </row>
    <row r="128" spans="1:10" ht="14.4" customHeight="1">
      <c r="A128" s="689"/>
      <c r="B128" s="691"/>
      <c r="C128" s="706"/>
      <c r="D128" s="707"/>
      <c r="E128" s="360" t="str" cm="1">
        <f t="array" ref="E128">_xlfn.XLOOKUP('Technical Sheet'!A121, 'Technical Sheet'!E194:$E$253, 'Table of Contents &amp; Validation'!B6:$B$65, "")</f>
        <v/>
      </c>
      <c r="F128" s="330"/>
      <c r="G128" s="747"/>
      <c r="H128" s="747"/>
      <c r="I128" s="747"/>
      <c r="J128" s="747"/>
    </row>
    <row r="129" spans="1:10" ht="14.4" customHeight="1" thickBot="1">
      <c r="A129" s="689"/>
      <c r="B129" s="691"/>
      <c r="C129" s="706"/>
      <c r="D129" s="707"/>
      <c r="E129" s="360" t="str" cm="1">
        <f t="array" ref="E129">_xlfn.XLOOKUP('Technical Sheet'!A122, 'Technical Sheet'!E195:$E$253, 'Table of Contents &amp; Validation'!B7:$B$65, "")</f>
        <v/>
      </c>
      <c r="F129" s="330"/>
      <c r="G129" s="747"/>
      <c r="H129" s="747"/>
      <c r="I129" s="747"/>
      <c r="J129" s="747"/>
    </row>
    <row r="130" spans="1:10" ht="14.4" hidden="1" customHeight="1" outlineLevel="1">
      <c r="A130" s="689"/>
      <c r="B130" s="691"/>
      <c r="C130" s="706"/>
      <c r="D130" s="707"/>
      <c r="E130" s="360" t="str" cm="1">
        <f t="array" ref="E130">_xlfn.XLOOKUP('Technical Sheet'!A123, 'Technical Sheet'!E196:$E$253, 'Table of Contents &amp; Validation'!B8:$B$65, "")</f>
        <v/>
      </c>
      <c r="F130" s="330"/>
    </row>
    <row r="131" spans="1:10" ht="14.4" hidden="1" customHeight="1" outlineLevel="1">
      <c r="A131" s="689"/>
      <c r="B131" s="691"/>
      <c r="C131" s="706"/>
      <c r="D131" s="707"/>
      <c r="E131" s="360" t="str" cm="1">
        <f t="array" ref="E131">_xlfn.XLOOKUP('Technical Sheet'!A124, 'Technical Sheet'!E197:$E$253, 'Table of Contents &amp; Validation'!B9:$B$65, "")</f>
        <v/>
      </c>
      <c r="F131" s="330"/>
    </row>
    <row r="132" spans="1:10" ht="14.4" hidden="1" customHeight="1" outlineLevel="1">
      <c r="A132" s="689"/>
      <c r="B132" s="691"/>
      <c r="C132" s="706"/>
      <c r="D132" s="707"/>
      <c r="E132" s="360" t="str" cm="1">
        <f t="array" ref="E132">_xlfn.XLOOKUP('Technical Sheet'!A125, 'Technical Sheet'!E198:$E$253, 'Table of Contents &amp; Validation'!B10:$B$65, "")</f>
        <v/>
      </c>
      <c r="F132" s="330"/>
    </row>
    <row r="133" spans="1:10" ht="14.4" hidden="1" customHeight="1" outlineLevel="1">
      <c r="A133" s="689"/>
      <c r="B133" s="691"/>
      <c r="C133" s="706"/>
      <c r="D133" s="707"/>
      <c r="E133" s="360" t="str" cm="1">
        <f t="array" ref="E133">_xlfn.XLOOKUP('Technical Sheet'!A126, 'Technical Sheet'!E199:$E$253, 'Table of Contents &amp; Validation'!B11:$B$65, "")</f>
        <v/>
      </c>
      <c r="F133" s="330"/>
    </row>
    <row r="134" spans="1:10" ht="14.4" hidden="1" customHeight="1" outlineLevel="1">
      <c r="A134" s="689"/>
      <c r="B134" s="691"/>
      <c r="C134" s="706"/>
      <c r="D134" s="707"/>
      <c r="E134" s="360" t="str" cm="1">
        <f t="array" ref="E134">_xlfn.XLOOKUP('Technical Sheet'!A127, 'Technical Sheet'!E200:$E$253, 'Table of Contents &amp; Validation'!B12:$B$65, "")</f>
        <v/>
      </c>
      <c r="F134" s="330"/>
    </row>
    <row r="135" spans="1:10" ht="14.4" hidden="1" customHeight="1" outlineLevel="1">
      <c r="A135" s="689"/>
      <c r="B135" s="691"/>
      <c r="C135" s="706"/>
      <c r="D135" s="707"/>
      <c r="E135" s="360" t="str" cm="1">
        <f t="array" ref="E135">_xlfn.XLOOKUP('Technical Sheet'!A128, 'Technical Sheet'!E201:$E$253, 'Table of Contents &amp; Validation'!B13:$B$65, "")</f>
        <v/>
      </c>
      <c r="F135" s="330"/>
    </row>
    <row r="136" spans="1:10" ht="14.4" hidden="1" customHeight="1" outlineLevel="1">
      <c r="A136" s="689"/>
      <c r="B136" s="691"/>
      <c r="C136" s="706"/>
      <c r="D136" s="707"/>
      <c r="E136" s="360" t="str" cm="1">
        <f t="array" ref="E136">_xlfn.XLOOKUP('Technical Sheet'!A129, 'Technical Sheet'!E202:$E$253, 'Table of Contents &amp; Validation'!B14:$B$65, "")</f>
        <v/>
      </c>
      <c r="F136" s="330"/>
    </row>
    <row r="137" spans="1:10" ht="14.4" hidden="1" customHeight="1" outlineLevel="1">
      <c r="A137" s="689"/>
      <c r="B137" s="691"/>
      <c r="C137" s="706"/>
      <c r="D137" s="707"/>
      <c r="E137" s="360" t="str" cm="1">
        <f t="array" ref="E137">_xlfn.XLOOKUP('Technical Sheet'!A130, 'Technical Sheet'!E203:$E$253, 'Table of Contents &amp; Validation'!B15:$B$65, "")</f>
        <v/>
      </c>
      <c r="F137" s="330"/>
    </row>
    <row r="138" spans="1:10" ht="14.4" hidden="1" customHeight="1" outlineLevel="1">
      <c r="A138" s="689"/>
      <c r="B138" s="691"/>
      <c r="C138" s="706"/>
      <c r="D138" s="707"/>
      <c r="E138" s="360" t="str" cm="1">
        <f t="array" ref="E138">_xlfn.XLOOKUP('Technical Sheet'!A131, 'Technical Sheet'!E204:$E$253, 'Table of Contents &amp; Validation'!B16:$B$65, "")</f>
        <v/>
      </c>
      <c r="F138" s="330"/>
    </row>
    <row r="139" spans="1:10" ht="14.4" hidden="1" customHeight="1" outlineLevel="1">
      <c r="A139" s="689"/>
      <c r="B139" s="691"/>
      <c r="C139" s="706"/>
      <c r="D139" s="707"/>
      <c r="E139" s="360" t="str" cm="1">
        <f t="array" ref="E139">_xlfn.XLOOKUP('Technical Sheet'!A132, 'Technical Sheet'!E205:$E$253, 'Table of Contents &amp; Validation'!B17:$B$65, "")</f>
        <v/>
      </c>
      <c r="F139" s="330"/>
    </row>
    <row r="140" spans="1:10" ht="14.4" hidden="1" customHeight="1" outlineLevel="1">
      <c r="A140" s="689"/>
      <c r="B140" s="691"/>
      <c r="C140" s="706"/>
      <c r="D140" s="707"/>
      <c r="E140" s="360" t="str" cm="1">
        <f t="array" ref="E140">_xlfn.XLOOKUP('Technical Sheet'!A133, 'Technical Sheet'!E206:$E$253, 'Table of Contents &amp; Validation'!B18:$B$65, "")</f>
        <v/>
      </c>
      <c r="F140" s="330"/>
    </row>
    <row r="141" spans="1:10" ht="14.4" hidden="1" customHeight="1" outlineLevel="1">
      <c r="A141" s="689"/>
      <c r="B141" s="691"/>
      <c r="C141" s="706"/>
      <c r="D141" s="707"/>
      <c r="E141" s="360" t="str" cm="1">
        <f t="array" ref="E141">_xlfn.XLOOKUP('Technical Sheet'!A134, 'Technical Sheet'!E207:$E$253, 'Table of Contents &amp; Validation'!B19:$B$65, "")</f>
        <v/>
      </c>
      <c r="F141" s="330"/>
    </row>
    <row r="142" spans="1:10" ht="14.4" hidden="1" customHeight="1" outlineLevel="1">
      <c r="A142" s="689"/>
      <c r="B142" s="691"/>
      <c r="C142" s="706"/>
      <c r="D142" s="707"/>
      <c r="E142" s="360" t="str" cm="1">
        <f t="array" ref="E142">_xlfn.XLOOKUP('Technical Sheet'!A135, 'Technical Sheet'!E208:$E$253, 'Table of Contents &amp; Validation'!B20:$B$65, "")</f>
        <v/>
      </c>
      <c r="F142" s="330"/>
    </row>
    <row r="143" spans="1:10" ht="14.4" hidden="1" customHeight="1" outlineLevel="1">
      <c r="A143" s="689"/>
      <c r="B143" s="691"/>
      <c r="C143" s="706"/>
      <c r="D143" s="707"/>
      <c r="E143" s="360" t="str" cm="1">
        <f t="array" ref="E143">_xlfn.XLOOKUP('Technical Sheet'!A136, 'Technical Sheet'!E209:$E$253, 'Table of Contents &amp; Validation'!B21:$B$65, "")</f>
        <v/>
      </c>
      <c r="F143" s="330"/>
    </row>
    <row r="144" spans="1:10" ht="14.4" hidden="1" customHeight="1" outlineLevel="1">
      <c r="A144" s="689"/>
      <c r="B144" s="691"/>
      <c r="C144" s="706"/>
      <c r="D144" s="707"/>
      <c r="E144" s="360" t="str" cm="1">
        <f t="array" ref="E144">_xlfn.XLOOKUP('Technical Sheet'!A137, 'Technical Sheet'!E210:$E$253, 'Table of Contents &amp; Validation'!B22:$B$65, "")</f>
        <v/>
      </c>
      <c r="F144" s="330"/>
    </row>
    <row r="145" spans="1:6" ht="14.4" hidden="1" customHeight="1" outlineLevel="1">
      <c r="A145" s="689"/>
      <c r="B145" s="691"/>
      <c r="C145" s="706"/>
      <c r="D145" s="707"/>
      <c r="E145" s="360" t="str" cm="1">
        <f t="array" ref="E145">_xlfn.XLOOKUP('Technical Sheet'!A138, 'Technical Sheet'!E211:$E$253, 'Table of Contents &amp; Validation'!B23:$B$65, "")</f>
        <v/>
      </c>
      <c r="F145" s="330"/>
    </row>
    <row r="146" spans="1:6" ht="14.4" hidden="1" customHeight="1" outlineLevel="1">
      <c r="A146" s="689"/>
      <c r="B146" s="691"/>
      <c r="C146" s="706"/>
      <c r="D146" s="707"/>
      <c r="E146" s="360" t="str" cm="1">
        <f t="array" ref="E146">_xlfn.XLOOKUP('Technical Sheet'!A139, 'Technical Sheet'!E212:$E$253, 'Table of Contents &amp; Validation'!B24:$B$65, "")</f>
        <v/>
      </c>
      <c r="F146" s="330"/>
    </row>
    <row r="147" spans="1:6" ht="14.4" hidden="1" customHeight="1" outlineLevel="1">
      <c r="A147" s="689"/>
      <c r="B147" s="691"/>
      <c r="C147" s="706"/>
      <c r="D147" s="707"/>
      <c r="E147" s="360" t="str" cm="1">
        <f t="array" ref="E147">_xlfn.XLOOKUP('Technical Sheet'!A140, 'Technical Sheet'!E212:$E$253, 'Table of Contents &amp; Validation'!B24:$B$65, "")</f>
        <v/>
      </c>
      <c r="F147" s="330"/>
    </row>
    <row r="148" spans="1:6" ht="14.4" hidden="1" customHeight="1" outlineLevel="1">
      <c r="A148" s="689"/>
      <c r="B148" s="691"/>
      <c r="C148" s="706"/>
      <c r="D148" s="707"/>
      <c r="E148" s="360" t="str" cm="1">
        <f t="array" ref="E148">_xlfn.XLOOKUP('Technical Sheet'!A141, 'Technical Sheet'!E213:$E$253, 'Table of Contents &amp; Validation'!B25:$B$65, "")</f>
        <v/>
      </c>
      <c r="F148" s="330"/>
    </row>
    <row r="149" spans="1:6" ht="14.4" hidden="1" customHeight="1" outlineLevel="1">
      <c r="A149" s="689"/>
      <c r="B149" s="691"/>
      <c r="C149" s="706"/>
      <c r="D149" s="707"/>
      <c r="E149" s="360" t="str" cm="1">
        <f t="array" ref="E149">_xlfn.XLOOKUP('Technical Sheet'!A142, 'Technical Sheet'!E214:$E$253, 'Table of Contents &amp; Validation'!B26:$B$65, "")</f>
        <v/>
      </c>
      <c r="F149" s="330"/>
    </row>
    <row r="150" spans="1:6" ht="14.4" hidden="1" customHeight="1" outlineLevel="1">
      <c r="A150" s="689"/>
      <c r="B150" s="691"/>
      <c r="C150" s="706"/>
      <c r="D150" s="707"/>
      <c r="E150" s="360" t="str" cm="1">
        <f t="array" ref="E150">_xlfn.XLOOKUP('Technical Sheet'!A143, 'Technical Sheet'!E215:$E$253, 'Table of Contents &amp; Validation'!B27:$B$65, "")</f>
        <v/>
      </c>
      <c r="F150" s="330"/>
    </row>
    <row r="151" spans="1:6" ht="14.4" hidden="1" customHeight="1" outlineLevel="1">
      <c r="A151" s="689"/>
      <c r="B151" s="691"/>
      <c r="C151" s="706"/>
      <c r="D151" s="707"/>
      <c r="E151" s="360" t="str" cm="1">
        <f t="array" ref="E151">_xlfn.XLOOKUP('Technical Sheet'!A144, 'Technical Sheet'!E215:$E$253, 'Table of Contents &amp; Validation'!B27:$B$65, "")</f>
        <v/>
      </c>
      <c r="F151" s="330"/>
    </row>
    <row r="152" spans="1:6" ht="14.4" hidden="1" customHeight="1" outlineLevel="1">
      <c r="A152" s="689"/>
      <c r="B152" s="691"/>
      <c r="C152" s="706"/>
      <c r="D152" s="707"/>
      <c r="E152" s="360" t="str" cm="1">
        <f t="array" ref="E152">_xlfn.XLOOKUP('Technical Sheet'!A145, 'Technical Sheet'!E216:$E$253, 'Table of Contents &amp; Validation'!B28:$B$65, "")</f>
        <v/>
      </c>
      <c r="F152" s="330"/>
    </row>
    <row r="153" spans="1:6" ht="14.4" hidden="1" customHeight="1" outlineLevel="1">
      <c r="A153" s="689"/>
      <c r="B153" s="691"/>
      <c r="C153" s="706"/>
      <c r="D153" s="707"/>
      <c r="E153" s="360" t="str" cm="1">
        <f t="array" ref="E153">_xlfn.XLOOKUP('Technical Sheet'!A146, 'Technical Sheet'!E217:$E$253, 'Table of Contents &amp; Validation'!B29:$B$65, "")</f>
        <v/>
      </c>
      <c r="F153" s="330"/>
    </row>
    <row r="154" spans="1:6" ht="14.4" hidden="1" customHeight="1" outlineLevel="1">
      <c r="A154" s="689"/>
      <c r="B154" s="691"/>
      <c r="C154" s="706"/>
      <c r="D154" s="707"/>
      <c r="E154" s="360" t="str" cm="1">
        <f t="array" ref="E154">_xlfn.XLOOKUP('Technical Sheet'!A147, 'Technical Sheet'!E218:$E$253, 'Table of Contents &amp; Validation'!B30:$B$65, "")</f>
        <v/>
      </c>
      <c r="F154" s="330"/>
    </row>
    <row r="155" spans="1:6" ht="14.4" hidden="1" customHeight="1" outlineLevel="1">
      <c r="A155" s="689"/>
      <c r="B155" s="691"/>
      <c r="C155" s="706"/>
      <c r="D155" s="707"/>
      <c r="E155" s="360" t="str" cm="1">
        <f t="array" ref="E155">_xlfn.XLOOKUP('Technical Sheet'!A148, 'Technical Sheet'!E219:$E$253, 'Table of Contents &amp; Validation'!B31:$B$65, "")</f>
        <v/>
      </c>
      <c r="F155" s="330"/>
    </row>
    <row r="156" spans="1:6" ht="14.4" hidden="1" customHeight="1" outlineLevel="1">
      <c r="A156" s="689"/>
      <c r="B156" s="691"/>
      <c r="C156" s="706"/>
      <c r="D156" s="707"/>
      <c r="E156" s="360" t="str" cm="1">
        <f t="array" ref="E156">_xlfn.XLOOKUP('Technical Sheet'!A149, 'Technical Sheet'!E220:$E$253, 'Table of Contents &amp; Validation'!B32:$B$65, "")</f>
        <v/>
      </c>
      <c r="F156" s="330"/>
    </row>
    <row r="157" spans="1:6" ht="14.4" hidden="1" customHeight="1" outlineLevel="1">
      <c r="A157" s="689"/>
      <c r="B157" s="691"/>
      <c r="C157" s="706"/>
      <c r="D157" s="707"/>
      <c r="E157" s="360" t="str" cm="1">
        <f t="array" ref="E157">_xlfn.XLOOKUP('Technical Sheet'!A150, 'Technical Sheet'!E221:$E$253, 'Table of Contents &amp; Validation'!B33:$B$65, "")</f>
        <v/>
      </c>
      <c r="F157" s="330"/>
    </row>
    <row r="158" spans="1:6" ht="14.4" hidden="1" customHeight="1" outlineLevel="1">
      <c r="A158" s="689"/>
      <c r="B158" s="691"/>
      <c r="C158" s="706"/>
      <c r="D158" s="707"/>
      <c r="E158" s="360" t="str" cm="1">
        <f t="array" ref="E158">_xlfn.XLOOKUP('Technical Sheet'!A151, 'Technical Sheet'!E222:$E$253, 'Table of Contents &amp; Validation'!B34:$B$65, "")</f>
        <v/>
      </c>
      <c r="F158" s="330"/>
    </row>
    <row r="159" spans="1:6" ht="14.4" hidden="1" customHeight="1" outlineLevel="1">
      <c r="A159" s="689"/>
      <c r="B159" s="691"/>
      <c r="C159" s="706"/>
      <c r="D159" s="707"/>
      <c r="E159" s="360" t="str" cm="1">
        <f t="array" ref="E159">_xlfn.XLOOKUP('Technical Sheet'!A152, 'Technical Sheet'!E223:$E$253, 'Table of Contents &amp; Validation'!B35:$B$65, "")</f>
        <v/>
      </c>
      <c r="F159" s="330"/>
    </row>
    <row r="160" spans="1:6" ht="14.4" hidden="1" customHeight="1" outlineLevel="1">
      <c r="A160" s="689"/>
      <c r="B160" s="691"/>
      <c r="C160" s="706"/>
      <c r="D160" s="707"/>
      <c r="E160" s="360" t="str" cm="1">
        <f t="array" ref="E160">_xlfn.XLOOKUP('Technical Sheet'!A153, 'Technical Sheet'!E224:$E$253, 'Table of Contents &amp; Validation'!B36:$B$65, "")</f>
        <v/>
      </c>
      <c r="F160" s="330"/>
    </row>
    <row r="161" spans="1:7" ht="14.4" hidden="1" customHeight="1" outlineLevel="1">
      <c r="A161" s="689"/>
      <c r="B161" s="691"/>
      <c r="C161" s="706"/>
      <c r="D161" s="707"/>
      <c r="E161" s="360" t="str" cm="1">
        <f t="array" ref="E161">_xlfn.XLOOKUP('Technical Sheet'!A154, 'Technical Sheet'!E225:$E$253, 'Table of Contents &amp; Validation'!B37:$B$65, "")</f>
        <v/>
      </c>
      <c r="F161" s="330"/>
    </row>
    <row r="162" spans="1:7" ht="14.4" hidden="1" customHeight="1" outlineLevel="1">
      <c r="A162" s="689"/>
      <c r="B162" s="691"/>
      <c r="C162" s="706"/>
      <c r="D162" s="707"/>
      <c r="E162" s="360" t="str" cm="1">
        <f t="array" ref="E162">_xlfn.XLOOKUP('Technical Sheet'!A155, 'Technical Sheet'!E226:$E$253, 'Table of Contents &amp; Validation'!B38:$B$65, "")</f>
        <v/>
      </c>
      <c r="F162" s="330"/>
    </row>
    <row r="163" spans="1:7" ht="14.4" hidden="1" customHeight="1" outlineLevel="1">
      <c r="A163" s="689"/>
      <c r="B163" s="691"/>
      <c r="C163" s="706"/>
      <c r="D163" s="707"/>
      <c r="E163" s="360" t="str" cm="1">
        <f t="array" ref="E163">_xlfn.XLOOKUP('Technical Sheet'!A156, 'Technical Sheet'!E227:$E$253, 'Table of Contents &amp; Validation'!B39:$B$65, "")</f>
        <v/>
      </c>
      <c r="F163" s="330"/>
    </row>
    <row r="164" spans="1:7" ht="14.4" hidden="1" customHeight="1" outlineLevel="1">
      <c r="A164" s="689"/>
      <c r="B164" s="691"/>
      <c r="C164" s="706"/>
      <c r="D164" s="707"/>
      <c r="E164" s="360" t="str" cm="1">
        <f t="array" ref="E164">_xlfn.XLOOKUP('Technical Sheet'!A157, 'Technical Sheet'!E227:$E$253, 'Table of Contents &amp; Validation'!B39:$B$65, "")</f>
        <v/>
      </c>
      <c r="F164" s="330"/>
    </row>
    <row r="165" spans="1:7" ht="14.4" hidden="1" customHeight="1" outlineLevel="1">
      <c r="A165" s="689"/>
      <c r="B165" s="691"/>
      <c r="C165" s="706"/>
      <c r="D165" s="707"/>
      <c r="E165" s="360" t="str" cm="1">
        <f t="array" ref="E165">_xlfn.XLOOKUP('Technical Sheet'!A158, 'Technical Sheet'!E228:$E$253, 'Table of Contents &amp; Validation'!B40:$B$65, "")</f>
        <v/>
      </c>
      <c r="F165" s="330"/>
    </row>
    <row r="166" spans="1:7" ht="14.4" hidden="1" customHeight="1" outlineLevel="1">
      <c r="A166" s="689"/>
      <c r="B166" s="691"/>
      <c r="C166" s="706"/>
      <c r="D166" s="707"/>
      <c r="E166" s="360" t="str" cm="1">
        <f t="array" ref="E166">_xlfn.XLOOKUP('Technical Sheet'!A159, 'Technical Sheet'!E229:$E$253, 'Table of Contents &amp; Validation'!B41:$B$65, "")</f>
        <v/>
      </c>
      <c r="F166" s="330"/>
    </row>
    <row r="167" spans="1:7" ht="14.4" hidden="1" customHeight="1" outlineLevel="1">
      <c r="A167" s="689"/>
      <c r="B167" s="691"/>
      <c r="C167" s="706"/>
      <c r="D167" s="707"/>
      <c r="E167" s="360" t="str" cm="1">
        <f t="array" ref="E167">_xlfn.XLOOKUP('Technical Sheet'!A160, 'Technical Sheet'!E230:$E$253, 'Table of Contents &amp; Validation'!B42:$B$65, "")</f>
        <v/>
      </c>
      <c r="F167" s="330"/>
    </row>
    <row r="168" spans="1:7" ht="14.4" hidden="1" customHeight="1" outlineLevel="1">
      <c r="A168" s="689"/>
      <c r="B168" s="691"/>
      <c r="C168" s="706"/>
      <c r="D168" s="707"/>
      <c r="E168" s="360" t="str" cm="1">
        <f t="array" ref="E168">_xlfn.XLOOKUP('Technical Sheet'!A161, 'Technical Sheet'!E231:$E$253, 'Table of Contents &amp; Validation'!B43:$B$65, "")</f>
        <v/>
      </c>
      <c r="F168" s="330"/>
    </row>
    <row r="169" spans="1:7" ht="14.4" hidden="1" customHeight="1" outlineLevel="1">
      <c r="A169" s="689"/>
      <c r="B169" s="691"/>
      <c r="C169" s="706"/>
      <c r="D169" s="707"/>
      <c r="E169" s="360" t="str" cm="1">
        <f t="array" ref="E169">_xlfn.XLOOKUP('Technical Sheet'!A162, 'Technical Sheet'!E232:$E$253, 'Table of Contents &amp; Validation'!B44:$B$65, "")</f>
        <v/>
      </c>
      <c r="F169" s="330"/>
    </row>
    <row r="170" spans="1:7" ht="14.4" hidden="1" customHeight="1" outlineLevel="1">
      <c r="A170" s="689"/>
      <c r="B170" s="691"/>
      <c r="C170" s="706"/>
      <c r="D170" s="707"/>
      <c r="E170" s="360" t="str" cm="1">
        <f t="array" ref="E170">_xlfn.XLOOKUP('Technical Sheet'!A163, 'Technical Sheet'!E233:$E$253, 'Table of Contents &amp; Validation'!B45:$B$65, "")</f>
        <v/>
      </c>
      <c r="F170" s="330"/>
    </row>
    <row r="171" spans="1:7" ht="14.4" hidden="1" customHeight="1" outlineLevel="1">
      <c r="A171" s="689"/>
      <c r="B171" s="691"/>
      <c r="C171" s="706"/>
      <c r="D171" s="707"/>
      <c r="E171" s="360" t="str" cm="1">
        <f t="array" ref="E171">_xlfn.XLOOKUP('Technical Sheet'!A164, 'Technical Sheet'!E234:$E$253, 'Table of Contents &amp; Validation'!B46:$B$65, "")</f>
        <v/>
      </c>
      <c r="F171" s="330"/>
    </row>
    <row r="172" spans="1:7" ht="14.4" hidden="1" customHeight="1" outlineLevel="1" thickBot="1">
      <c r="A172" s="689"/>
      <c r="B172" s="691"/>
      <c r="C172" s="706"/>
      <c r="D172" s="707"/>
      <c r="E172" s="360" t="str" cm="1">
        <f t="array" ref="E172">_xlfn.XLOOKUP('Technical Sheet'!A165, 'Technical Sheet'!E235:$E$253, 'Table of Contents &amp; Validation'!B47:$B$65, "")</f>
        <v/>
      </c>
      <c r="F172" s="330"/>
    </row>
    <row r="173" spans="1:7" ht="14.4" customHeight="1" collapsed="1" thickBot="1">
      <c r="A173" s="498"/>
      <c r="B173" s="498"/>
      <c r="C173" s="520"/>
      <c r="D173" s="520"/>
      <c r="E173" s="520"/>
      <c r="F173"/>
    </row>
    <row r="174" spans="1:7" ht="14.4" customHeight="1" thickBot="1">
      <c r="C174" s="692" t="str">
        <f>template_label_b1_other_undertakings_general_information &amp; " " &amp; template_label_from &amp; " " &amp; template_starting_date_display &amp; " " &amp; template_label_to &amp; " " &amp; template_ending_date_display</f>
        <v>B1 - Other undertaking's general information from - to -</v>
      </c>
      <c r="D174" s="693"/>
      <c r="E174" s="694"/>
      <c r="F174"/>
    </row>
    <row r="175" spans="1:7">
      <c r="A175" s="365" t="s">
        <v>12</v>
      </c>
      <c r="B175" s="204" t="s">
        <v>9</v>
      </c>
      <c r="C175" s="768" t="str">
        <f>template_label_basis_for_reporting</f>
        <v>Basis for reporting (consolidated or individual basis)</v>
      </c>
      <c r="D175" s="768"/>
      <c r="E175" s="392"/>
      <c r="F175" s="11" t="str">
        <f>IF(
    OR(
        'Table of Contents &amp; Validation'!D13=TRUE,
        'Table of Contents &amp; Validation'!D11=TRUE
    ),
    IF(
        AND(
            OR(
                E125="Option A (Basic Module only)",
                E125="Option B (Basic Module and Comprehensive Module)"
            ),
            E175=""
        ),
        "",
        IF(
            AND(E125&lt;&gt;"", E175&lt;&gt;""),
            template_label_ok,
            ""
        )
    ),
    IF(
        AND(
            OR(
                E125="Option A (Basic Module only)",
                E125="Option B (Basic Module and Comprehensive Module)"
            ),
            E175=""
        ),
        template_label_missing_value,
        IF(
            AND(E125&lt;&gt;"", E175&lt;&gt;""),
            template_label_ok,
            ""
        )
    )
)</f>
        <v/>
      </c>
    </row>
    <row r="176" spans="1:7">
      <c r="A176" s="686" t="s">
        <v>13</v>
      </c>
      <c r="B176" s="687"/>
      <c r="C176" s="697" t="str">
        <f>template_label_undertakings_legal_form</f>
        <v>Undertakings legal form</v>
      </c>
      <c r="D176" s="697"/>
      <c r="E176" s="53"/>
      <c r="F176" s="11" t="str">
        <f>IF(OR(
'Table of Contents &amp; Validation'!D13=TRUE, 'Table of Contents &amp; Validation'!D11=TRUE),IF(AND(OR(E125="Option A (Basic Module only)",E125="Option B (Basic Module and Comprehensive Module)"),E176=""),
"",
IF(E125="","",template_label_ok)),
IF(AND(OR(E125="Option A (Basic Module only)",E125="Option B (Basic Module and Comprehensive Module)"),E176=""),
template_label_missing_value,
IF(E125="","",template_label_ok))
)</f>
        <v/>
      </c>
      <c r="G176" t="str">
        <f>template_label_other_warning</f>
        <v>ℹ️ When "other" is chosen as undertaking legal form please fill the row below</v>
      </c>
    </row>
    <row r="177" spans="1:7">
      <c r="A177" s="686"/>
      <c r="B177" s="687"/>
      <c r="C177" s="749" t="str">
        <f>template_label_other_undertakings_legal_form_specification</f>
        <v>Other undertaking's legal form specification</v>
      </c>
      <c r="D177" s="749"/>
      <c r="E177" s="55"/>
      <c r="F177" s="11" t="str">
        <f>IF(
'Table of Contents &amp; Validation'!D12=TRUE,
IF(AND(E176 = "other (please specify the legal form in the row below)", E177 &lt;&gt; ""),
    template_label_ok,
IF(AND(E176 = "other (please specify the legal form in the row below)", E177 = ""),
    template_label_missing_value,
IF(AND(E176 = "", E177 = ""),
    "",
IF(AND(E176 &lt;&gt; "other (please specify the legal form in the row below)", E177 = ""),
    "",
"")))),
IF(AND(E176 = "other (please specify the legal form in the row below)", E177 &lt;&gt; ""),
    template_label_ok,
IF(AND(E176 = "other (please specify the legal form in the row below)", E177 = ""),
    template_label_missing_value,
IF(AND(E176 = "", E177 = ""),
    "",
IF(AND(E176 &lt;&gt; "other (please specify the legal form in the row below)", E177 = ""),
    "",
""))))
)</f>
        <v/>
      </c>
    </row>
    <row r="178" spans="1:7" ht="14.4" customHeight="1">
      <c r="A178" s="686" t="s">
        <v>15</v>
      </c>
      <c r="B178" s="687"/>
      <c r="C178" s="748" t="str">
        <f>template_label_nace_sector_classification_code</f>
        <v>NACE sector classification code(s)</v>
      </c>
      <c r="D178" s="748"/>
      <c r="E178" s="53"/>
      <c r="F178" s="11" t="str">
        <f>IF(OR(
'Table of Contents &amp; Validation'!D13=TRUE,'Table of Contents &amp; Validation'!D11=TRUE),IF(OR(E125="Option A (Basic Module only)",E125="Option B (Basic Module and Comprehensive Module)"),
IF(COUNTIF(enum_ListNACECategories,E178)&gt;0,template_label_error,
IF(E178="","",
IF(COUNTIF($E$178:$E$277,E178)&gt;1,template_label_value_inconsistency,template_label_ok)
)
),
""
),
IF(OR(E125="Option A (Basic Module only)",E125="Option B (Basic Module and Comprehensive Module)"),
IF(COUNTIF(enum_ListNACECategories,E178)&gt;0,template_label_error,
IF(E178="",template_label_missing_value,
IF(COUNTIF($E$178:$E$277,E178)&gt;1,template_label_value_inconsistency,template_label_ok)
)
),
""
)
)</f>
        <v/>
      </c>
      <c r="G178" t="str">
        <f>template_label_NACE_warning</f>
        <v>ℹ️  Please select a NACE code rather than a category else an ERROR message will appear.</v>
      </c>
    </row>
    <row r="179" spans="1:7" ht="14.4" customHeight="1">
      <c r="A179" s="686"/>
      <c r="B179" s="687"/>
      <c r="C179" s="748"/>
      <c r="D179" s="748"/>
      <c r="E179" s="53"/>
      <c r="F179" s="11" t="str">
        <f>IF(COUNTIF(enum_ListNACECategories, E179) &gt; 0, template_label_error,
IF(E179 = "", "",
IF(COUNTIF($E$178:$E$277, E179) &gt; 1, template_label_value_inconsistency, template_label_ok)))</f>
        <v/>
      </c>
    </row>
    <row r="180" spans="1:7" ht="14.4" customHeight="1">
      <c r="A180" s="686"/>
      <c r="B180" s="687"/>
      <c r="C180" s="748"/>
      <c r="D180" s="748"/>
      <c r="E180" s="53"/>
      <c r="F180" s="11" t="str">
        <f t="shared" ref="F180:F210" si="1">IF(COUNTIF(enum_ListNACECategories, E180) &gt; 0, template_label_error,
IF(E180 = "", "",
IF(COUNTIF($E$178:$E$277, E180) &gt; 1, template_label_value_inconsistency, template_label_ok)))</f>
        <v/>
      </c>
    </row>
    <row r="181" spans="1:7" ht="14.4" hidden="1" customHeight="1" outlineLevel="2">
      <c r="A181" s="686"/>
      <c r="B181" s="687"/>
      <c r="C181" s="748"/>
      <c r="D181" s="748"/>
      <c r="E181" s="53"/>
      <c r="F181" s="11" t="str">
        <f t="shared" si="1"/>
        <v/>
      </c>
    </row>
    <row r="182" spans="1:7" ht="14.4" hidden="1" customHeight="1" outlineLevel="2">
      <c r="A182" s="686"/>
      <c r="B182" s="687"/>
      <c r="C182" s="748"/>
      <c r="D182" s="748"/>
      <c r="E182" s="53"/>
      <c r="F182" s="11" t="str">
        <f t="shared" si="1"/>
        <v/>
      </c>
    </row>
    <row r="183" spans="1:7" ht="14.4" hidden="1" customHeight="1" outlineLevel="2">
      <c r="A183" s="686"/>
      <c r="B183" s="687"/>
      <c r="C183" s="748"/>
      <c r="D183" s="748"/>
      <c r="E183" s="53"/>
      <c r="F183" s="11" t="str">
        <f t="shared" si="1"/>
        <v/>
      </c>
    </row>
    <row r="184" spans="1:7" ht="14.4" hidden="1" customHeight="1" outlineLevel="2">
      <c r="A184" s="686"/>
      <c r="B184" s="687"/>
      <c r="C184" s="748"/>
      <c r="D184" s="748"/>
      <c r="E184" s="53"/>
      <c r="F184" s="11" t="str">
        <f t="shared" si="1"/>
        <v/>
      </c>
    </row>
    <row r="185" spans="1:7" ht="14.4" hidden="1" customHeight="1" outlineLevel="2">
      <c r="A185" s="686"/>
      <c r="B185" s="687"/>
      <c r="C185" s="748"/>
      <c r="D185" s="748"/>
      <c r="E185" s="53"/>
      <c r="F185" s="11" t="str">
        <f t="shared" si="1"/>
        <v/>
      </c>
    </row>
    <row r="186" spans="1:7" ht="14.4" hidden="1" customHeight="1" outlineLevel="2">
      <c r="A186" s="686"/>
      <c r="B186" s="687"/>
      <c r="C186" s="748"/>
      <c r="D186" s="748"/>
      <c r="E186" s="53"/>
      <c r="F186" s="11" t="str">
        <f t="shared" si="1"/>
        <v/>
      </c>
    </row>
    <row r="187" spans="1:7" ht="14.4" hidden="1" customHeight="1" outlineLevel="2">
      <c r="A187" s="686"/>
      <c r="B187" s="687"/>
      <c r="C187" s="748"/>
      <c r="D187" s="748"/>
      <c r="E187" s="53"/>
      <c r="F187" s="11" t="str">
        <f t="shared" si="1"/>
        <v/>
      </c>
    </row>
    <row r="188" spans="1:7" ht="14.4" hidden="1" customHeight="1" outlineLevel="2">
      <c r="A188" s="686"/>
      <c r="B188" s="687"/>
      <c r="C188" s="748"/>
      <c r="D188" s="748"/>
      <c r="E188" s="53"/>
      <c r="F188" s="11" t="str">
        <f t="shared" si="1"/>
        <v/>
      </c>
    </row>
    <row r="189" spans="1:7" ht="14.4" hidden="1" customHeight="1" outlineLevel="2">
      <c r="A189" s="686"/>
      <c r="B189" s="687"/>
      <c r="C189" s="748"/>
      <c r="D189" s="748"/>
      <c r="E189" s="53"/>
      <c r="F189" s="11" t="str">
        <f t="shared" si="1"/>
        <v/>
      </c>
    </row>
    <row r="190" spans="1:7" ht="14.4" hidden="1" customHeight="1" outlineLevel="2">
      <c r="A190" s="686"/>
      <c r="B190" s="687"/>
      <c r="C190" s="748"/>
      <c r="D190" s="748"/>
      <c r="E190" s="53"/>
      <c r="F190" s="11" t="str">
        <f t="shared" si="1"/>
        <v/>
      </c>
    </row>
    <row r="191" spans="1:7" ht="14.4" hidden="1" customHeight="1" outlineLevel="2">
      <c r="A191" s="686"/>
      <c r="B191" s="687"/>
      <c r="C191" s="748"/>
      <c r="D191" s="748"/>
      <c r="E191" s="53"/>
      <c r="F191" s="11" t="str">
        <f t="shared" si="1"/>
        <v/>
      </c>
    </row>
    <row r="192" spans="1:7" ht="14.4" hidden="1" customHeight="1" outlineLevel="2">
      <c r="A192" s="686"/>
      <c r="B192" s="687"/>
      <c r="C192" s="748"/>
      <c r="D192" s="748"/>
      <c r="E192" s="53"/>
      <c r="F192" s="11" t="str">
        <f t="shared" si="1"/>
        <v/>
      </c>
    </row>
    <row r="193" spans="1:6" ht="14.4" hidden="1" customHeight="1" outlineLevel="2">
      <c r="A193" s="686"/>
      <c r="B193" s="687"/>
      <c r="C193" s="748"/>
      <c r="D193" s="748"/>
      <c r="E193" s="53"/>
      <c r="F193" s="11" t="str">
        <f t="shared" si="1"/>
        <v/>
      </c>
    </row>
    <row r="194" spans="1:6" ht="14.4" hidden="1" customHeight="1" outlineLevel="2">
      <c r="A194" s="686"/>
      <c r="B194" s="687"/>
      <c r="C194" s="748"/>
      <c r="D194" s="748"/>
      <c r="E194" s="53"/>
      <c r="F194" s="11" t="str">
        <f t="shared" si="1"/>
        <v/>
      </c>
    </row>
    <row r="195" spans="1:6" ht="14.4" hidden="1" customHeight="1" outlineLevel="2">
      <c r="A195" s="686"/>
      <c r="B195" s="687"/>
      <c r="C195" s="748"/>
      <c r="D195" s="748"/>
      <c r="E195" s="53"/>
      <c r="F195" s="11" t="str">
        <f t="shared" si="1"/>
        <v/>
      </c>
    </row>
    <row r="196" spans="1:6" ht="14.4" hidden="1" customHeight="1" outlineLevel="2">
      <c r="A196" s="686"/>
      <c r="B196" s="687"/>
      <c r="C196" s="748"/>
      <c r="D196" s="748"/>
      <c r="E196" s="53"/>
      <c r="F196" s="11" t="str">
        <f t="shared" si="1"/>
        <v/>
      </c>
    </row>
    <row r="197" spans="1:6" ht="14.4" hidden="1" customHeight="1" outlineLevel="2">
      <c r="A197" s="686"/>
      <c r="B197" s="687"/>
      <c r="C197" s="748"/>
      <c r="D197" s="748"/>
      <c r="E197" s="53"/>
      <c r="F197" s="11" t="str">
        <f t="shared" si="1"/>
        <v/>
      </c>
    </row>
    <row r="198" spans="1:6" ht="14.4" hidden="1" customHeight="1" outlineLevel="2">
      <c r="A198" s="686"/>
      <c r="B198" s="687"/>
      <c r="C198" s="748"/>
      <c r="D198" s="748"/>
      <c r="E198" s="53"/>
      <c r="F198" s="11" t="str">
        <f t="shared" si="1"/>
        <v/>
      </c>
    </row>
    <row r="199" spans="1:6" ht="14.4" hidden="1" customHeight="1" outlineLevel="2">
      <c r="A199" s="686"/>
      <c r="B199" s="687"/>
      <c r="C199" s="748"/>
      <c r="D199" s="748"/>
      <c r="E199" s="53"/>
      <c r="F199" s="11" t="str">
        <f t="shared" si="1"/>
        <v/>
      </c>
    </row>
    <row r="200" spans="1:6" ht="14.4" hidden="1" customHeight="1" outlineLevel="2">
      <c r="A200" s="686"/>
      <c r="B200" s="687"/>
      <c r="C200" s="748"/>
      <c r="D200" s="748"/>
      <c r="E200" s="53"/>
      <c r="F200" s="11" t="str">
        <f t="shared" si="1"/>
        <v/>
      </c>
    </row>
    <row r="201" spans="1:6" ht="14.4" hidden="1" customHeight="1" outlineLevel="2">
      <c r="A201" s="686"/>
      <c r="B201" s="687"/>
      <c r="C201" s="748"/>
      <c r="D201" s="748"/>
      <c r="E201" s="53"/>
      <c r="F201" s="11" t="str">
        <f t="shared" si="1"/>
        <v/>
      </c>
    </row>
    <row r="202" spans="1:6" ht="14.4" hidden="1" customHeight="1" outlineLevel="2">
      <c r="A202" s="686"/>
      <c r="B202" s="687"/>
      <c r="C202" s="748"/>
      <c r="D202" s="748"/>
      <c r="E202" s="53"/>
      <c r="F202" s="11" t="str">
        <f t="shared" si="1"/>
        <v/>
      </c>
    </row>
    <row r="203" spans="1:6" ht="14.4" hidden="1" customHeight="1" outlineLevel="2">
      <c r="A203" s="686"/>
      <c r="B203" s="687"/>
      <c r="C203" s="748"/>
      <c r="D203" s="748"/>
      <c r="E203" s="53"/>
      <c r="F203" s="11" t="str">
        <f t="shared" si="1"/>
        <v/>
      </c>
    </row>
    <row r="204" spans="1:6" ht="14.4" hidden="1" customHeight="1" outlineLevel="2">
      <c r="A204" s="686"/>
      <c r="B204" s="687"/>
      <c r="C204" s="748"/>
      <c r="D204" s="748"/>
      <c r="E204" s="53"/>
      <c r="F204" s="11" t="str">
        <f t="shared" si="1"/>
        <v/>
      </c>
    </row>
    <row r="205" spans="1:6" ht="14.4" hidden="1" customHeight="1" outlineLevel="2">
      <c r="A205" s="686"/>
      <c r="B205" s="687"/>
      <c r="C205" s="748"/>
      <c r="D205" s="748"/>
      <c r="E205" s="53"/>
      <c r="F205" s="11" t="str">
        <f t="shared" si="1"/>
        <v/>
      </c>
    </row>
    <row r="206" spans="1:6" ht="14.4" hidden="1" customHeight="1" outlineLevel="2">
      <c r="A206" s="686"/>
      <c r="B206" s="687"/>
      <c r="C206" s="748"/>
      <c r="D206" s="748"/>
      <c r="E206" s="53"/>
      <c r="F206" s="11" t="str">
        <f t="shared" si="1"/>
        <v/>
      </c>
    </row>
    <row r="207" spans="1:6" ht="14.4" hidden="1" customHeight="1" outlineLevel="2">
      <c r="A207" s="686"/>
      <c r="B207" s="687"/>
      <c r="C207" s="748"/>
      <c r="D207" s="748"/>
      <c r="E207" s="53"/>
      <c r="F207" s="11" t="str">
        <f t="shared" si="1"/>
        <v/>
      </c>
    </row>
    <row r="208" spans="1:6" ht="14.4" hidden="1" customHeight="1" outlineLevel="2">
      <c r="A208" s="686"/>
      <c r="B208" s="687"/>
      <c r="C208" s="748"/>
      <c r="D208" s="748"/>
      <c r="E208" s="53"/>
      <c r="F208" s="11" t="str">
        <f t="shared" si="1"/>
        <v/>
      </c>
    </row>
    <row r="209" spans="1:6" ht="14.4" hidden="1" customHeight="1" outlineLevel="2">
      <c r="A209" s="686"/>
      <c r="B209" s="687"/>
      <c r="C209" s="748"/>
      <c r="D209" s="748"/>
      <c r="E209" s="53"/>
      <c r="F209" s="11" t="str">
        <f t="shared" si="1"/>
        <v/>
      </c>
    </row>
    <row r="210" spans="1:6" ht="14.4" hidden="1" customHeight="1" outlineLevel="2">
      <c r="A210" s="686"/>
      <c r="B210" s="687"/>
      <c r="C210" s="748"/>
      <c r="D210" s="748"/>
      <c r="E210" s="53"/>
      <c r="F210" s="11" t="str">
        <f t="shared" si="1"/>
        <v/>
      </c>
    </row>
    <row r="211" spans="1:6" ht="14.4" hidden="1" customHeight="1" outlineLevel="2">
      <c r="A211" s="686"/>
      <c r="B211" s="687"/>
      <c r="C211" s="748"/>
      <c r="D211" s="748"/>
      <c r="E211" s="53"/>
      <c r="F211" s="11" t="str">
        <f t="shared" ref="F211:F242" si="2">IF(COUNTIF(enum_ListNACECategories, E211) &gt; 0, template_label_error,
IF(E211 = "", "",
IF(COUNTIF($E$178:$E$277, E211) &gt; 1, template_label_value_inconsistency, template_label_ok)))</f>
        <v/>
      </c>
    </row>
    <row r="212" spans="1:6" ht="14.4" hidden="1" customHeight="1" outlineLevel="2">
      <c r="A212" s="686"/>
      <c r="B212" s="687"/>
      <c r="C212" s="748"/>
      <c r="D212" s="748"/>
      <c r="E212" s="53"/>
      <c r="F212" s="11" t="str">
        <f t="shared" si="2"/>
        <v/>
      </c>
    </row>
    <row r="213" spans="1:6" ht="14.4" hidden="1" customHeight="1" outlineLevel="2">
      <c r="A213" s="686"/>
      <c r="B213" s="687"/>
      <c r="C213" s="748"/>
      <c r="D213" s="748"/>
      <c r="E213" s="53"/>
      <c r="F213" s="11" t="str">
        <f t="shared" si="2"/>
        <v/>
      </c>
    </row>
    <row r="214" spans="1:6" ht="14.4" hidden="1" customHeight="1" outlineLevel="2">
      <c r="A214" s="686"/>
      <c r="B214" s="687"/>
      <c r="C214" s="748"/>
      <c r="D214" s="748"/>
      <c r="E214" s="53"/>
      <c r="F214" s="11" t="str">
        <f t="shared" si="2"/>
        <v/>
      </c>
    </row>
    <row r="215" spans="1:6" ht="14.4" hidden="1" customHeight="1" outlineLevel="2">
      <c r="A215" s="686"/>
      <c r="B215" s="687"/>
      <c r="C215" s="748"/>
      <c r="D215" s="748"/>
      <c r="E215" s="53"/>
      <c r="F215" s="11" t="str">
        <f t="shared" si="2"/>
        <v/>
      </c>
    </row>
    <row r="216" spans="1:6" ht="14.4" hidden="1" customHeight="1" outlineLevel="2">
      <c r="A216" s="686"/>
      <c r="B216" s="687"/>
      <c r="C216" s="748"/>
      <c r="D216" s="748"/>
      <c r="E216" s="53"/>
      <c r="F216" s="11" t="str">
        <f t="shared" si="2"/>
        <v/>
      </c>
    </row>
    <row r="217" spans="1:6" ht="14.4" hidden="1" customHeight="1" outlineLevel="2">
      <c r="A217" s="686"/>
      <c r="B217" s="687"/>
      <c r="C217" s="748"/>
      <c r="D217" s="748"/>
      <c r="E217" s="53"/>
      <c r="F217" s="11" t="str">
        <f t="shared" si="2"/>
        <v/>
      </c>
    </row>
    <row r="218" spans="1:6" ht="14.4" hidden="1" customHeight="1" outlineLevel="2">
      <c r="A218" s="686"/>
      <c r="B218" s="687"/>
      <c r="C218" s="748"/>
      <c r="D218" s="748"/>
      <c r="E218" s="53"/>
      <c r="F218" s="11" t="str">
        <f t="shared" si="2"/>
        <v/>
      </c>
    </row>
    <row r="219" spans="1:6" ht="14.4" hidden="1" customHeight="1" outlineLevel="2">
      <c r="A219" s="686"/>
      <c r="B219" s="687"/>
      <c r="C219" s="748"/>
      <c r="D219" s="748"/>
      <c r="E219" s="53"/>
      <c r="F219" s="11" t="str">
        <f t="shared" si="2"/>
        <v/>
      </c>
    </row>
    <row r="220" spans="1:6" ht="14.4" hidden="1" customHeight="1" outlineLevel="2">
      <c r="A220" s="686"/>
      <c r="B220" s="687"/>
      <c r="C220" s="748"/>
      <c r="D220" s="748"/>
      <c r="E220" s="53"/>
      <c r="F220" s="11" t="str">
        <f t="shared" si="2"/>
        <v/>
      </c>
    </row>
    <row r="221" spans="1:6" ht="14.4" hidden="1" customHeight="1" outlineLevel="2">
      <c r="A221" s="686"/>
      <c r="B221" s="687"/>
      <c r="C221" s="748"/>
      <c r="D221" s="748"/>
      <c r="E221" s="53"/>
      <c r="F221" s="11" t="str">
        <f t="shared" si="2"/>
        <v/>
      </c>
    </row>
    <row r="222" spans="1:6" ht="14.4" hidden="1" customHeight="1" outlineLevel="2">
      <c r="A222" s="686"/>
      <c r="B222" s="687"/>
      <c r="C222" s="748"/>
      <c r="D222" s="748"/>
      <c r="E222" s="53"/>
      <c r="F222" s="11" t="str">
        <f t="shared" si="2"/>
        <v/>
      </c>
    </row>
    <row r="223" spans="1:6" ht="14.4" hidden="1" customHeight="1" outlineLevel="2">
      <c r="A223" s="686"/>
      <c r="B223" s="687"/>
      <c r="C223" s="748"/>
      <c r="D223" s="748"/>
      <c r="E223" s="53"/>
      <c r="F223" s="11" t="str">
        <f t="shared" si="2"/>
        <v/>
      </c>
    </row>
    <row r="224" spans="1:6" ht="14.4" hidden="1" customHeight="1" outlineLevel="2">
      <c r="A224" s="686"/>
      <c r="B224" s="687"/>
      <c r="C224" s="748"/>
      <c r="D224" s="748"/>
      <c r="E224" s="53"/>
      <c r="F224" s="11" t="str">
        <f t="shared" si="2"/>
        <v/>
      </c>
    </row>
    <row r="225" spans="1:6" ht="14.4" hidden="1" customHeight="1" outlineLevel="2">
      <c r="A225" s="686"/>
      <c r="B225" s="687"/>
      <c r="C225" s="748"/>
      <c r="D225" s="748"/>
      <c r="E225" s="53"/>
      <c r="F225" s="11" t="str">
        <f t="shared" si="2"/>
        <v/>
      </c>
    </row>
    <row r="226" spans="1:6" ht="14.4" hidden="1" customHeight="1" outlineLevel="2">
      <c r="A226" s="686"/>
      <c r="B226" s="687"/>
      <c r="C226" s="748"/>
      <c r="D226" s="748"/>
      <c r="E226" s="53"/>
      <c r="F226" s="11" t="str">
        <f t="shared" si="2"/>
        <v/>
      </c>
    </row>
    <row r="227" spans="1:6" ht="14.4" hidden="1" customHeight="1" outlineLevel="2">
      <c r="A227" s="686"/>
      <c r="B227" s="687"/>
      <c r="C227" s="748"/>
      <c r="D227" s="748"/>
      <c r="E227" s="53"/>
      <c r="F227" s="11" t="str">
        <f t="shared" si="2"/>
        <v/>
      </c>
    </row>
    <row r="228" spans="1:6" ht="14.4" hidden="1" customHeight="1" outlineLevel="2">
      <c r="A228" s="686"/>
      <c r="B228" s="687"/>
      <c r="C228" s="748"/>
      <c r="D228" s="748"/>
      <c r="E228" s="53"/>
      <c r="F228" s="11" t="str">
        <f t="shared" si="2"/>
        <v/>
      </c>
    </row>
    <row r="229" spans="1:6" ht="14.4" hidden="1" customHeight="1" outlineLevel="2">
      <c r="A229" s="686"/>
      <c r="B229" s="687"/>
      <c r="C229" s="748"/>
      <c r="D229" s="748"/>
      <c r="E229" s="53"/>
      <c r="F229" s="11" t="str">
        <f t="shared" si="2"/>
        <v/>
      </c>
    </row>
    <row r="230" spans="1:6" ht="14.4" hidden="1" customHeight="1" outlineLevel="2">
      <c r="A230" s="686"/>
      <c r="B230" s="687"/>
      <c r="C230" s="748"/>
      <c r="D230" s="748"/>
      <c r="E230" s="53"/>
      <c r="F230" s="11" t="str">
        <f t="shared" si="2"/>
        <v/>
      </c>
    </row>
    <row r="231" spans="1:6" ht="14.4" hidden="1" customHeight="1" outlineLevel="2">
      <c r="A231" s="686"/>
      <c r="B231" s="687"/>
      <c r="C231" s="748"/>
      <c r="D231" s="748"/>
      <c r="E231" s="53"/>
      <c r="F231" s="11" t="str">
        <f t="shared" si="2"/>
        <v/>
      </c>
    </row>
    <row r="232" spans="1:6" ht="14.4" hidden="1" customHeight="1" outlineLevel="2">
      <c r="A232" s="686"/>
      <c r="B232" s="687"/>
      <c r="C232" s="748"/>
      <c r="D232" s="748"/>
      <c r="E232" s="53"/>
      <c r="F232" s="11" t="str">
        <f t="shared" si="2"/>
        <v/>
      </c>
    </row>
    <row r="233" spans="1:6" ht="14.4" hidden="1" customHeight="1" outlineLevel="2">
      <c r="A233" s="686"/>
      <c r="B233" s="687"/>
      <c r="C233" s="748"/>
      <c r="D233" s="748"/>
      <c r="E233" s="53"/>
      <c r="F233" s="11" t="str">
        <f t="shared" si="2"/>
        <v/>
      </c>
    </row>
    <row r="234" spans="1:6" ht="14.4" hidden="1" customHeight="1" outlineLevel="2">
      <c r="A234" s="686"/>
      <c r="B234" s="687"/>
      <c r="C234" s="748"/>
      <c r="D234" s="748"/>
      <c r="E234" s="53"/>
      <c r="F234" s="11" t="str">
        <f t="shared" si="2"/>
        <v/>
      </c>
    </row>
    <row r="235" spans="1:6" ht="14.4" hidden="1" customHeight="1" outlineLevel="2">
      <c r="A235" s="686"/>
      <c r="B235" s="687"/>
      <c r="C235" s="748"/>
      <c r="D235" s="748"/>
      <c r="E235" s="53"/>
      <c r="F235" s="11" t="str">
        <f t="shared" si="2"/>
        <v/>
      </c>
    </row>
    <row r="236" spans="1:6" ht="14.4" hidden="1" customHeight="1" outlineLevel="2">
      <c r="A236" s="686"/>
      <c r="B236" s="687"/>
      <c r="C236" s="748"/>
      <c r="D236" s="748"/>
      <c r="E236" s="53"/>
      <c r="F236" s="11" t="str">
        <f t="shared" si="2"/>
        <v/>
      </c>
    </row>
    <row r="237" spans="1:6" ht="14.4" hidden="1" customHeight="1" outlineLevel="2">
      <c r="A237" s="686"/>
      <c r="B237" s="687"/>
      <c r="C237" s="748"/>
      <c r="D237" s="748"/>
      <c r="E237" s="53"/>
      <c r="F237" s="11" t="str">
        <f t="shared" si="2"/>
        <v/>
      </c>
    </row>
    <row r="238" spans="1:6" ht="14.4" hidden="1" customHeight="1" outlineLevel="2">
      <c r="A238" s="686"/>
      <c r="B238" s="687"/>
      <c r="C238" s="748"/>
      <c r="D238" s="748"/>
      <c r="E238" s="53"/>
      <c r="F238" s="11" t="str">
        <f t="shared" si="2"/>
        <v/>
      </c>
    </row>
    <row r="239" spans="1:6" ht="14.4" hidden="1" customHeight="1" outlineLevel="2">
      <c r="A239" s="686"/>
      <c r="B239" s="687"/>
      <c r="C239" s="748"/>
      <c r="D239" s="748"/>
      <c r="E239" s="53"/>
      <c r="F239" s="11" t="str">
        <f t="shared" si="2"/>
        <v/>
      </c>
    </row>
    <row r="240" spans="1:6" ht="14.4" hidden="1" customHeight="1" outlineLevel="2">
      <c r="A240" s="686"/>
      <c r="B240" s="687"/>
      <c r="C240" s="748"/>
      <c r="D240" s="748"/>
      <c r="E240" s="53"/>
      <c r="F240" s="11" t="str">
        <f t="shared" si="2"/>
        <v/>
      </c>
    </row>
    <row r="241" spans="1:6" ht="14.4" hidden="1" customHeight="1" outlineLevel="2">
      <c r="A241" s="686"/>
      <c r="B241" s="687"/>
      <c r="C241" s="748"/>
      <c r="D241" s="748"/>
      <c r="E241" s="53"/>
      <c r="F241" s="11" t="str">
        <f t="shared" si="2"/>
        <v/>
      </c>
    </row>
    <row r="242" spans="1:6" ht="14.4" hidden="1" customHeight="1" outlineLevel="2">
      <c r="A242" s="686"/>
      <c r="B242" s="687"/>
      <c r="C242" s="748"/>
      <c r="D242" s="748"/>
      <c r="E242" s="53"/>
      <c r="F242" s="11" t="str">
        <f t="shared" si="2"/>
        <v/>
      </c>
    </row>
    <row r="243" spans="1:6" ht="14.4" hidden="1" customHeight="1" outlineLevel="2">
      <c r="A243" s="686"/>
      <c r="B243" s="687"/>
      <c r="C243" s="748"/>
      <c r="D243" s="748"/>
      <c r="E243" s="53"/>
      <c r="F243" s="11" t="str">
        <f t="shared" ref="F243:F274" si="3">IF(COUNTIF(enum_ListNACECategories, E243) &gt; 0, template_label_error,
IF(E243 = "", "",
IF(COUNTIF($E$178:$E$277, E243) &gt; 1, template_label_value_inconsistency, template_label_ok)))</f>
        <v/>
      </c>
    </row>
    <row r="244" spans="1:6" ht="14.4" hidden="1" customHeight="1" outlineLevel="2">
      <c r="A244" s="686"/>
      <c r="B244" s="687"/>
      <c r="C244" s="748"/>
      <c r="D244" s="748"/>
      <c r="E244" s="53"/>
      <c r="F244" s="11" t="str">
        <f t="shared" si="3"/>
        <v/>
      </c>
    </row>
    <row r="245" spans="1:6" ht="14.4" hidden="1" customHeight="1" outlineLevel="2">
      <c r="A245" s="686"/>
      <c r="B245" s="687"/>
      <c r="C245" s="748"/>
      <c r="D245" s="748"/>
      <c r="E245" s="53"/>
      <c r="F245" s="11" t="str">
        <f t="shared" si="3"/>
        <v/>
      </c>
    </row>
    <row r="246" spans="1:6" ht="14.4" hidden="1" customHeight="1" outlineLevel="2">
      <c r="A246" s="686"/>
      <c r="B246" s="687"/>
      <c r="C246" s="748"/>
      <c r="D246" s="748"/>
      <c r="E246" s="53"/>
      <c r="F246" s="11" t="str">
        <f t="shared" si="3"/>
        <v/>
      </c>
    </row>
    <row r="247" spans="1:6" ht="14.4" hidden="1" customHeight="1" outlineLevel="2">
      <c r="A247" s="686"/>
      <c r="B247" s="687"/>
      <c r="C247" s="748"/>
      <c r="D247" s="748"/>
      <c r="E247" s="53"/>
      <c r="F247" s="11" t="str">
        <f t="shared" si="3"/>
        <v/>
      </c>
    </row>
    <row r="248" spans="1:6" ht="14.4" hidden="1" customHeight="1" outlineLevel="2">
      <c r="A248" s="686"/>
      <c r="B248" s="687"/>
      <c r="C248" s="748"/>
      <c r="D248" s="748"/>
      <c r="E248" s="53"/>
      <c r="F248" s="11" t="str">
        <f t="shared" si="3"/>
        <v/>
      </c>
    </row>
    <row r="249" spans="1:6" ht="14.4" hidden="1" customHeight="1" outlineLevel="2">
      <c r="A249" s="686"/>
      <c r="B249" s="687"/>
      <c r="C249" s="748"/>
      <c r="D249" s="748"/>
      <c r="E249" s="53"/>
      <c r="F249" s="11" t="str">
        <f t="shared" si="3"/>
        <v/>
      </c>
    </row>
    <row r="250" spans="1:6" ht="14.4" hidden="1" customHeight="1" outlineLevel="2">
      <c r="A250" s="686"/>
      <c r="B250" s="687"/>
      <c r="C250" s="748"/>
      <c r="D250" s="748"/>
      <c r="E250" s="53"/>
      <c r="F250" s="11" t="str">
        <f t="shared" si="3"/>
        <v/>
      </c>
    </row>
    <row r="251" spans="1:6" ht="14.4" hidden="1" customHeight="1" outlineLevel="2">
      <c r="A251" s="686"/>
      <c r="B251" s="687"/>
      <c r="C251" s="748"/>
      <c r="D251" s="748"/>
      <c r="E251" s="53"/>
      <c r="F251" s="11" t="str">
        <f t="shared" si="3"/>
        <v/>
      </c>
    </row>
    <row r="252" spans="1:6" ht="14.4" hidden="1" customHeight="1" outlineLevel="2">
      <c r="A252" s="686"/>
      <c r="B252" s="687"/>
      <c r="C252" s="748"/>
      <c r="D252" s="748"/>
      <c r="E252" s="53"/>
      <c r="F252" s="11" t="str">
        <f t="shared" si="3"/>
        <v/>
      </c>
    </row>
    <row r="253" spans="1:6" ht="14.4" hidden="1" customHeight="1" outlineLevel="2">
      <c r="A253" s="686"/>
      <c r="B253" s="687"/>
      <c r="C253" s="748"/>
      <c r="D253" s="748"/>
      <c r="E253" s="53"/>
      <c r="F253" s="11" t="str">
        <f t="shared" si="3"/>
        <v/>
      </c>
    </row>
    <row r="254" spans="1:6" ht="14.4" hidden="1" customHeight="1" outlineLevel="2">
      <c r="A254" s="686"/>
      <c r="B254" s="687"/>
      <c r="C254" s="748"/>
      <c r="D254" s="748"/>
      <c r="E254" s="53"/>
      <c r="F254" s="11" t="str">
        <f t="shared" si="3"/>
        <v/>
      </c>
    </row>
    <row r="255" spans="1:6" ht="14.4" hidden="1" customHeight="1" outlineLevel="2">
      <c r="A255" s="686"/>
      <c r="B255" s="687"/>
      <c r="C255" s="748"/>
      <c r="D255" s="748"/>
      <c r="E255" s="53"/>
      <c r="F255" s="11" t="str">
        <f t="shared" si="3"/>
        <v/>
      </c>
    </row>
    <row r="256" spans="1:6" ht="14.4" hidden="1" customHeight="1" outlineLevel="2">
      <c r="A256" s="686"/>
      <c r="B256" s="687"/>
      <c r="C256" s="748"/>
      <c r="D256" s="748"/>
      <c r="E256" s="53"/>
      <c r="F256" s="11" t="str">
        <f t="shared" si="3"/>
        <v/>
      </c>
    </row>
    <row r="257" spans="1:6" ht="14.4" hidden="1" customHeight="1" outlineLevel="2">
      <c r="A257" s="686"/>
      <c r="B257" s="687"/>
      <c r="C257" s="748"/>
      <c r="D257" s="748"/>
      <c r="E257" s="53"/>
      <c r="F257" s="11" t="str">
        <f t="shared" si="3"/>
        <v/>
      </c>
    </row>
    <row r="258" spans="1:6" ht="14.4" hidden="1" customHeight="1" outlineLevel="2">
      <c r="A258" s="686"/>
      <c r="B258" s="687"/>
      <c r="C258" s="748"/>
      <c r="D258" s="748"/>
      <c r="E258" s="53"/>
      <c r="F258" s="11" t="str">
        <f t="shared" si="3"/>
        <v/>
      </c>
    </row>
    <row r="259" spans="1:6" ht="14.4" hidden="1" customHeight="1" outlineLevel="2">
      <c r="A259" s="686"/>
      <c r="B259" s="687"/>
      <c r="C259" s="748"/>
      <c r="D259" s="748"/>
      <c r="E259" s="53"/>
      <c r="F259" s="11" t="str">
        <f t="shared" si="3"/>
        <v/>
      </c>
    </row>
    <row r="260" spans="1:6" ht="14.4" hidden="1" customHeight="1" outlineLevel="2">
      <c r="A260" s="686"/>
      <c r="B260" s="687"/>
      <c r="C260" s="748"/>
      <c r="D260" s="748"/>
      <c r="E260" s="53"/>
      <c r="F260" s="11" t="str">
        <f t="shared" si="3"/>
        <v/>
      </c>
    </row>
    <row r="261" spans="1:6" ht="14.4" hidden="1" customHeight="1" outlineLevel="2">
      <c r="A261" s="686"/>
      <c r="B261" s="687"/>
      <c r="C261" s="748"/>
      <c r="D261" s="748"/>
      <c r="E261" s="53"/>
      <c r="F261" s="11" t="str">
        <f t="shared" si="3"/>
        <v/>
      </c>
    </row>
    <row r="262" spans="1:6" ht="14.4" hidden="1" customHeight="1" outlineLevel="2">
      <c r="A262" s="686"/>
      <c r="B262" s="687"/>
      <c r="C262" s="748"/>
      <c r="D262" s="748"/>
      <c r="E262" s="53"/>
      <c r="F262" s="11" t="str">
        <f t="shared" si="3"/>
        <v/>
      </c>
    </row>
    <row r="263" spans="1:6" ht="14.4" hidden="1" customHeight="1" outlineLevel="2">
      <c r="A263" s="686"/>
      <c r="B263" s="687"/>
      <c r="C263" s="748"/>
      <c r="D263" s="748"/>
      <c r="E263" s="53"/>
      <c r="F263" s="11" t="str">
        <f t="shared" si="3"/>
        <v/>
      </c>
    </row>
    <row r="264" spans="1:6" ht="14.4" hidden="1" customHeight="1" outlineLevel="2">
      <c r="A264" s="686"/>
      <c r="B264" s="687"/>
      <c r="C264" s="748"/>
      <c r="D264" s="748"/>
      <c r="E264" s="53"/>
      <c r="F264" s="11" t="str">
        <f t="shared" si="3"/>
        <v/>
      </c>
    </row>
    <row r="265" spans="1:6" ht="14.4" hidden="1" customHeight="1" outlineLevel="2">
      <c r="A265" s="686"/>
      <c r="B265" s="687"/>
      <c r="C265" s="748"/>
      <c r="D265" s="748"/>
      <c r="E265" s="53"/>
      <c r="F265" s="11" t="str">
        <f t="shared" si="3"/>
        <v/>
      </c>
    </row>
    <row r="266" spans="1:6" ht="14.4" hidden="1" customHeight="1" outlineLevel="2">
      <c r="A266" s="686"/>
      <c r="B266" s="687"/>
      <c r="C266" s="748"/>
      <c r="D266" s="748"/>
      <c r="E266" s="53"/>
      <c r="F266" s="11" t="str">
        <f t="shared" si="3"/>
        <v/>
      </c>
    </row>
    <row r="267" spans="1:6" ht="14.4" hidden="1" customHeight="1" outlineLevel="2">
      <c r="A267" s="686"/>
      <c r="B267" s="687"/>
      <c r="C267" s="748"/>
      <c r="D267" s="748"/>
      <c r="E267" s="53"/>
      <c r="F267" s="11" t="str">
        <f t="shared" si="3"/>
        <v/>
      </c>
    </row>
    <row r="268" spans="1:6" ht="14.4" hidden="1" customHeight="1" outlineLevel="2">
      <c r="A268" s="686"/>
      <c r="B268" s="687"/>
      <c r="C268" s="748"/>
      <c r="D268" s="748"/>
      <c r="E268" s="53"/>
      <c r="F268" s="11" t="str">
        <f t="shared" si="3"/>
        <v/>
      </c>
    </row>
    <row r="269" spans="1:6" ht="14.4" hidden="1" customHeight="1" outlineLevel="2">
      <c r="A269" s="686"/>
      <c r="B269" s="687"/>
      <c r="C269" s="748"/>
      <c r="D269" s="748"/>
      <c r="E269" s="53"/>
      <c r="F269" s="11" t="str">
        <f t="shared" si="3"/>
        <v/>
      </c>
    </row>
    <row r="270" spans="1:6" ht="14.4" hidden="1" customHeight="1" outlineLevel="2">
      <c r="A270" s="686"/>
      <c r="B270" s="687"/>
      <c r="C270" s="748"/>
      <c r="D270" s="748"/>
      <c r="E270" s="53"/>
      <c r="F270" s="11" t="str">
        <f t="shared" si="3"/>
        <v/>
      </c>
    </row>
    <row r="271" spans="1:6" ht="14.4" hidden="1" customHeight="1" outlineLevel="2">
      <c r="A271" s="686"/>
      <c r="B271" s="687"/>
      <c r="C271" s="748"/>
      <c r="D271" s="748"/>
      <c r="E271" s="53"/>
      <c r="F271" s="11" t="str">
        <f t="shared" si="3"/>
        <v/>
      </c>
    </row>
    <row r="272" spans="1:6" ht="14.4" hidden="1" customHeight="1" outlineLevel="2">
      <c r="A272" s="686"/>
      <c r="B272" s="687"/>
      <c r="C272" s="748"/>
      <c r="D272" s="748"/>
      <c r="E272" s="53"/>
      <c r="F272" s="11" t="str">
        <f t="shared" si="3"/>
        <v/>
      </c>
    </row>
    <row r="273" spans="1:7" ht="14.4" hidden="1" customHeight="1" outlineLevel="2">
      <c r="A273" s="686"/>
      <c r="B273" s="687"/>
      <c r="C273" s="748"/>
      <c r="D273" s="748"/>
      <c r="E273" s="53"/>
      <c r="F273" s="11" t="str">
        <f t="shared" si="3"/>
        <v/>
      </c>
    </row>
    <row r="274" spans="1:7" ht="14.4" hidden="1" customHeight="1" outlineLevel="2">
      <c r="A274" s="686"/>
      <c r="B274" s="687"/>
      <c r="C274" s="748"/>
      <c r="D274" s="748"/>
      <c r="E274" s="53"/>
      <c r="F274" s="11" t="str">
        <f t="shared" si="3"/>
        <v/>
      </c>
    </row>
    <row r="275" spans="1:7" ht="14.4" hidden="1" customHeight="1" outlineLevel="2">
      <c r="A275" s="686"/>
      <c r="B275" s="687"/>
      <c r="C275" s="748"/>
      <c r="D275" s="748"/>
      <c r="E275" s="53"/>
      <c r="F275" s="11" t="str">
        <f t="shared" ref="F275:F277" si="4">IF(COUNTIF(enum_ListNACECategories, E275) &gt; 0, template_label_error,
IF(E275 = "", "",
IF(COUNTIF($E$178:$E$277, E275) &gt; 1, template_label_value_inconsistency, template_label_ok)))</f>
        <v/>
      </c>
    </row>
    <row r="276" spans="1:7" ht="14.4" hidden="1" customHeight="1" outlineLevel="2">
      <c r="A276" s="686"/>
      <c r="B276" s="687"/>
      <c r="C276" s="748"/>
      <c r="D276" s="748"/>
      <c r="E276" s="53"/>
      <c r="F276" s="11" t="str">
        <f t="shared" si="4"/>
        <v/>
      </c>
    </row>
    <row r="277" spans="1:7" ht="14.4" hidden="1" customHeight="1" outlineLevel="2">
      <c r="A277" s="686"/>
      <c r="B277" s="687"/>
      <c r="C277" s="748"/>
      <c r="D277" s="748"/>
      <c r="E277" s="53"/>
      <c r="F277" s="11" t="str">
        <f t="shared" si="4"/>
        <v/>
      </c>
    </row>
    <row r="278" spans="1:7" ht="14.4" customHeight="1" collapsed="1">
      <c r="A278" s="365" t="s">
        <v>19</v>
      </c>
      <c r="B278" s="204" t="s">
        <v>9</v>
      </c>
      <c r="C278" s="697" t="str">
        <f>template_label_size_of_balance_sheet_in &amp; " " &amp; template_currency</f>
        <v xml:space="preserve">Size of balance sheet (total assets) in </v>
      </c>
      <c r="D278" s="697"/>
      <c r="E278" s="56"/>
      <c r="F278" s="11" t="str">
        <f>IF(OR(
'Table of Contents &amp; Validation'!D13=TRUE,'Table of Contents &amp; Validation'!D11=TRUE),IF(AND(OR(E125="Option A (Basic Module only)",E125="Option B (Basic Module and Comprehensive Module)"),E278=""),
"",
IF(E125="","",template_label_ok)),
IF(AND(OR(E125="Option A (Basic Module only)",E125="Option B (Basic Module and Comprehensive Module)"),E278=""),
template_label_missing_value,
IF(E125="","",template_label_ok))
)</f>
        <v/>
      </c>
    </row>
    <row r="279" spans="1:7" ht="14.4" customHeight="1">
      <c r="A279" s="365" t="s">
        <v>20</v>
      </c>
      <c r="B279" s="204" t="s">
        <v>9</v>
      </c>
      <c r="C279" s="697" t="str">
        <f>template_label_turnover_in &amp; " " &amp; template_currency</f>
        <v xml:space="preserve">Turnover in </v>
      </c>
      <c r="D279" s="697"/>
      <c r="E279" s="56"/>
      <c r="F279" s="11" t="str">
        <f>IF(OR(
'Table of Contents &amp; Validation'!D13=TRUE,'Table of Contents &amp; Validation'!D11=TRUE),
IF(AND(OR(E125 = "Option A (Basic Module only)", E125 = "Option B (Basic Module and Comprehensive Module)"), E279 = ""),
    "",
    IF(E125 = "", "", template_label_ok)),
IF(AND(OR(E125 = "Option A (Basic Module only)", E125 = "Option B (Basic Module and Comprehensive Module)"), E279 = ""),
    template_label_missing_value,
    IF(E125 = "", "", template_label_ok))
)</f>
        <v/>
      </c>
    </row>
    <row r="280" spans="1:7" ht="14.4" customHeight="1">
      <c r="A280" s="365" t="s">
        <v>21</v>
      </c>
      <c r="B280" s="366"/>
      <c r="C280" s="697" t="str">
        <f>+template_label_number_of_employees</f>
        <v>Number of employees</v>
      </c>
      <c r="D280" s="697"/>
      <c r="E280" s="57"/>
      <c r="F280" s="11" t="str">
        <f>IF(OR(
'Table of Contents &amp; Validation'!D13=TRUE, 'Table of Contents &amp; Validation'!D11=TRUE),
IF(AND(OR(E125 = "Option A (Basic Module only)", E125 = "Option B (Basic Module and Comprehensive Module)"), E280 = ""),
    "",
    IF(E125 = "", "", template_label_ok)),
IF(AND(OR(E125 = "Option A (Basic Module only)", E125 = "Option B (Basic Module and Comprehensive Module)"), E280 = ""),
    template_label_missing_value,
    IF(E125 = "", "", template_label_ok))
)</f>
        <v/>
      </c>
      <c r="G280" s="17" t="str">
        <f>IF(AND(NumberOfEmployees&lt;&gt;"",NumberOfEmployees&lt;=10),template_label_microenterprise_validation,"")</f>
        <v/>
      </c>
    </row>
    <row r="281" spans="1:7" ht="14.4" customHeight="1">
      <c r="A281" s="365" t="s">
        <v>21</v>
      </c>
      <c r="B281" s="366"/>
      <c r="C281" s="698" t="str">
        <f>template_label_employee_counting_methodology_end_of_reporting_period_or_average_during_the_reporting_period</f>
        <v>Employee counting methodology (At the end of reporting period or as an average during the reporting period)</v>
      </c>
      <c r="D281" s="698"/>
      <c r="E281" s="57"/>
      <c r="F281" s="11" t="str">
        <f>IF(OR(
'Table of Contents &amp; Validation'!D13=TRUE, 'Table of Contents &amp; Validation'!D11=TRUE),
IF(AND(OR(E125 = "Option A (Basic Module only)", E125 = "Option B (Basic Module and Comprehensive Module)"), E281 = ""),
    "",
    IF(E125 = "", "", template_label_ok)),
IF(AND(OR(E125 = "Option A (Basic Module only)", E125 = "Option B (Basic Module and Comprehensive Module)"), E281 = ""),
    template_label_missing_value,
    IF(E125 = "", "", template_label_ok))
)</f>
        <v/>
      </c>
    </row>
    <row r="282" spans="1:7" ht="14.4" customHeight="1">
      <c r="A282" s="365" t="s">
        <v>21</v>
      </c>
      <c r="B282" s="366"/>
      <c r="C282" s="697" t="str">
        <f>template_label_employee_counting_methodology_headcount_or_fulltime_equivalent</f>
        <v>Employee counting methodology (Headcount or Full-time equivalent)</v>
      </c>
      <c r="D282" s="697"/>
      <c r="E282" s="54"/>
      <c r="F282" s="11" t="str">
        <f>IF(OR(
'Table of Contents &amp; Validation'!D13=TRUE, 'Table of Contents &amp; Validation'!D11=TRUE),
IF(AND(OR(E125 = "Option A (Basic Module only)", E125 = "Option B (Basic Module and Comprehensive Module)"), E282 = ""),
    "",
    IF(E125 = "", "", template_label_ok)),
IF(AND(OR(E125 = "Option A (Basic Module only)", E125 = "Option B (Basic Module and Comprehensive Module)"), E282 = ""),
    template_label_missing_value,
    IF(E125 = "", "", template_label_ok))
)</f>
        <v/>
      </c>
    </row>
    <row r="283" spans="1:7" ht="14.4" customHeight="1" thickBot="1">
      <c r="A283" s="365" t="s">
        <v>23</v>
      </c>
      <c r="B283" s="366"/>
      <c r="C283" s="710" t="str">
        <f>template_label_country_of_primary_operations_and_location_of_significant_asset</f>
        <v>Country of primary operations and location of significant asset(s)</v>
      </c>
      <c r="D283" s="710"/>
      <c r="E283" s="58"/>
      <c r="F283" s="11" t="str">
        <f>IF(OR(
'Table of Contents &amp; Validation'!D13=TRUE, 'Table of Contents &amp; Validation'!D11=TRUE),
IF(AND(OR(E125 = "Option A (Basic Module only)", E125 = "Option B (Basic Module and Comprehensive Module)"), E283 = ""),
    "",
    IF(E125 = "", "", template_label_ok)),
IF(AND(OR(E125 = "Option A (Basic Module only)", E125 = "Option B (Basic Module and Comprehensive Module)"), E283 = ""),
    template_label_missing_value,
    IF(E125 = "", "", template_label_ok))
)</f>
        <v/>
      </c>
    </row>
    <row r="284" spans="1:7" ht="15" thickBot="1">
      <c r="B284" s="80"/>
    </row>
    <row r="285" spans="1:7" ht="14.4" customHeight="1" thickBot="1">
      <c r="B285" s="80"/>
      <c r="C285" s="699" t="str">
        <f xml:space="preserve"> template_label_b1_list_of_subsidiaries &amp; " " &amp; template_label_from &amp; " " &amp; template_starting_date_display &amp; " " &amp; template_label_to &amp; " " &amp; template_ending_date_display</f>
        <v>B1 - List of subsidiaries from - to -</v>
      </c>
      <c r="D285" s="699"/>
      <c r="E285" s="700"/>
    </row>
    <row r="286" spans="1:7" ht="14.4" customHeight="1">
      <c r="B286" s="80"/>
      <c r="C286" s="702" t="s">
        <v>25</v>
      </c>
      <c r="D286" s="702"/>
      <c r="E286" s="703"/>
    </row>
    <row r="287" spans="1:7" ht="14.4" customHeight="1">
      <c r="B287" s="80"/>
      <c r="C287" s="4" t="str">
        <f>template_label_id</f>
        <v>ID</v>
      </c>
      <c r="D287" s="1" t="str">
        <f>template_label_name</f>
        <v>Name</v>
      </c>
      <c r="E287" s="368" t="str">
        <f>template_label_registered_address</f>
        <v>Registered Address</v>
      </c>
    </row>
    <row r="288" spans="1:7" ht="14.4" customHeight="1">
      <c r="B288" s="80"/>
      <c r="C288" s="190">
        <v>1</v>
      </c>
      <c r="D288" s="333"/>
      <c r="E288" s="63"/>
      <c r="F288" s="11" t="str">
        <f>IF(OR(
'Table of Contents &amp; Validation'!D14=TRUE,'Table of Contents &amp; Validation'!D11=TRUE),
IF(AND(BasisForReporting="Sustainability report prepared on a consolidated basis",D288&lt;&gt;"",E288=""),"",
IF(AND(BasisForReporting="Sustainability report prepared on a consolidated basis",D288&lt;&gt;"",E288&lt;&gt;""),template_label_ok,
IF(AND(BasisForReporting="Sustainability report prepared on a consolidated basis",D288="",E288=""),"",""))),
IF(AND(BasisForReporting="Sustainability report prepared on a consolidated basis",D288&lt;&gt;"",E288=""),template_label_missing_value,
IF(AND(BasisForReporting="Sustainability report prepared on a consolidated basis",D288&lt;&gt;"",E288&lt;&gt;""),template_label_ok,
IF(AND(BasisForReporting="Sustainability report prepared on a consolidated basis",D288="",E288=""),template_label_missing_value,""))))</f>
        <v/>
      </c>
      <c r="G288" t="str">
        <f>template_label_additional_rows_warning</f>
        <v>ℹ️  Lists can be expanded using the little [+] button on the left.  If the number of rows is not sufficient, those can be added by right clicking the second row and selecting "Insert row".</v>
      </c>
    </row>
    <row r="289" spans="2:6" ht="14.4" customHeight="1">
      <c r="B289" s="80"/>
      <c r="C289" s="190">
        <v>2</v>
      </c>
      <c r="D289" s="333"/>
      <c r="E289" s="63"/>
      <c r="F289" s="11" t="str">
        <f t="shared" ref="F289:F387" si="5">IF(AND(D289&lt;&gt;"",E289=""), template_label_missing_value,
IF(AND(D289&lt;&gt;"",E289&lt;&gt;""), template_label_ok,
IF(AND(D289="",E289=""), "", template_label_missing_value)))</f>
        <v/>
      </c>
    </row>
    <row r="290" spans="2:6" ht="14.4" customHeight="1" thickBot="1">
      <c r="C290" s="192">
        <v>3</v>
      </c>
      <c r="D290" s="369"/>
      <c r="E290" s="59"/>
      <c r="F290" s="11" t="str">
        <f t="shared" si="5"/>
        <v/>
      </c>
    </row>
    <row r="291" spans="2:6" ht="14.4" hidden="1" customHeight="1" outlineLevel="1">
      <c r="C291" s="191">
        <v>4</v>
      </c>
      <c r="D291" s="60"/>
      <c r="E291" s="61"/>
      <c r="F291" s="79" t="str">
        <f t="shared" si="5"/>
        <v/>
      </c>
    </row>
    <row r="292" spans="2:6" ht="14.4" hidden="1" customHeight="1" outlineLevel="1">
      <c r="C292" s="191">
        <v>5</v>
      </c>
      <c r="D292" s="62"/>
      <c r="E292" s="63"/>
      <c r="F292" s="79" t="str">
        <f t="shared" si="5"/>
        <v/>
      </c>
    </row>
    <row r="293" spans="2:6" ht="14.4" hidden="1" customHeight="1" outlineLevel="1">
      <c r="C293" s="190">
        <v>6</v>
      </c>
      <c r="D293" s="62"/>
      <c r="E293" s="63"/>
      <c r="F293" s="79" t="str">
        <f t="shared" si="5"/>
        <v/>
      </c>
    </row>
    <row r="294" spans="2:6" ht="14.4" hidden="1" customHeight="1" outlineLevel="1">
      <c r="C294" s="190">
        <v>7</v>
      </c>
      <c r="D294" s="62"/>
      <c r="E294" s="63"/>
      <c r="F294" s="79" t="str">
        <f t="shared" si="5"/>
        <v/>
      </c>
    </row>
    <row r="295" spans="2:6" ht="14.4" hidden="1" customHeight="1" outlineLevel="1">
      <c r="C295" s="191">
        <v>8</v>
      </c>
      <c r="D295" s="62"/>
      <c r="E295" s="63"/>
      <c r="F295" s="79" t="str">
        <f t="shared" si="5"/>
        <v/>
      </c>
    </row>
    <row r="296" spans="2:6" ht="14.4" hidden="1" customHeight="1" outlineLevel="1">
      <c r="C296" s="190">
        <v>9</v>
      </c>
      <c r="D296" s="62"/>
      <c r="E296" s="63"/>
      <c r="F296" s="79" t="str">
        <f t="shared" si="5"/>
        <v/>
      </c>
    </row>
    <row r="297" spans="2:6" ht="14.4" hidden="1" customHeight="1" outlineLevel="1">
      <c r="C297" s="190">
        <v>10</v>
      </c>
      <c r="D297" s="62"/>
      <c r="E297" s="63"/>
      <c r="F297" s="79" t="str">
        <f t="shared" si="5"/>
        <v/>
      </c>
    </row>
    <row r="298" spans="2:6" ht="14.4" hidden="1" customHeight="1" outlineLevel="1">
      <c r="C298" s="191">
        <v>11</v>
      </c>
      <c r="D298" s="62"/>
      <c r="E298" s="63"/>
      <c r="F298" s="79" t="str">
        <f t="shared" si="5"/>
        <v/>
      </c>
    </row>
    <row r="299" spans="2:6" ht="14.4" hidden="1" customHeight="1" outlineLevel="1">
      <c r="C299" s="190">
        <v>12</v>
      </c>
      <c r="D299" s="62"/>
      <c r="E299" s="63"/>
      <c r="F299" s="79" t="str">
        <f t="shared" si="5"/>
        <v/>
      </c>
    </row>
    <row r="300" spans="2:6" ht="14.4" hidden="1" customHeight="1" outlineLevel="1">
      <c r="C300" s="190">
        <v>13</v>
      </c>
      <c r="D300" s="62"/>
      <c r="E300" s="63"/>
      <c r="F300" s="79" t="str">
        <f t="shared" si="5"/>
        <v/>
      </c>
    </row>
    <row r="301" spans="2:6" ht="14.4" hidden="1" customHeight="1" outlineLevel="1">
      <c r="C301" s="191">
        <v>14</v>
      </c>
      <c r="D301" s="62"/>
      <c r="E301" s="63"/>
      <c r="F301" s="79" t="str">
        <f t="shared" si="5"/>
        <v/>
      </c>
    </row>
    <row r="302" spans="2:6" ht="14.4" hidden="1" customHeight="1" outlineLevel="1">
      <c r="C302" s="190">
        <v>15</v>
      </c>
      <c r="D302" s="62"/>
      <c r="E302" s="63"/>
      <c r="F302" s="79" t="str">
        <f t="shared" si="5"/>
        <v/>
      </c>
    </row>
    <row r="303" spans="2:6" ht="14.4" hidden="1" customHeight="1" outlineLevel="1">
      <c r="C303" s="190">
        <v>16</v>
      </c>
      <c r="D303" s="62"/>
      <c r="E303" s="63"/>
      <c r="F303" s="79" t="str">
        <f t="shared" si="5"/>
        <v/>
      </c>
    </row>
    <row r="304" spans="2:6" ht="14.4" hidden="1" customHeight="1" outlineLevel="1">
      <c r="C304" s="191">
        <v>17</v>
      </c>
      <c r="D304" s="62"/>
      <c r="E304" s="63"/>
      <c r="F304" s="79" t="str">
        <f t="shared" si="5"/>
        <v/>
      </c>
    </row>
    <row r="305" spans="3:6" ht="14.4" hidden="1" customHeight="1" outlineLevel="1">
      <c r="C305" s="190">
        <v>18</v>
      </c>
      <c r="D305" s="62"/>
      <c r="E305" s="63"/>
      <c r="F305" s="79" t="str">
        <f t="shared" si="5"/>
        <v/>
      </c>
    </row>
    <row r="306" spans="3:6" ht="14.4" hidden="1" customHeight="1" outlineLevel="1">
      <c r="C306" s="190">
        <v>19</v>
      </c>
      <c r="D306" s="62"/>
      <c r="E306" s="63"/>
      <c r="F306" s="79" t="str">
        <f t="shared" si="5"/>
        <v/>
      </c>
    </row>
    <row r="307" spans="3:6" ht="14.4" hidden="1" customHeight="1" outlineLevel="1">
      <c r="C307" s="191">
        <v>20</v>
      </c>
      <c r="D307" s="62"/>
      <c r="E307" s="63"/>
      <c r="F307" s="79" t="str">
        <f t="shared" si="5"/>
        <v/>
      </c>
    </row>
    <row r="308" spans="3:6" ht="14.4" hidden="1" customHeight="1" outlineLevel="1">
      <c r="C308" s="190">
        <v>21</v>
      </c>
      <c r="D308" s="62"/>
      <c r="E308" s="63"/>
      <c r="F308" s="79" t="str">
        <f t="shared" si="5"/>
        <v/>
      </c>
    </row>
    <row r="309" spans="3:6" ht="14.4" hidden="1" customHeight="1" outlineLevel="1">
      <c r="C309" s="190">
        <v>22</v>
      </c>
      <c r="D309" s="62"/>
      <c r="E309" s="63"/>
      <c r="F309" s="79" t="str">
        <f t="shared" si="5"/>
        <v/>
      </c>
    </row>
    <row r="310" spans="3:6" ht="14.4" hidden="1" customHeight="1" outlineLevel="1">
      <c r="C310" s="191">
        <v>23</v>
      </c>
      <c r="D310" s="62"/>
      <c r="E310" s="63"/>
      <c r="F310" s="79" t="str">
        <f t="shared" si="5"/>
        <v/>
      </c>
    </row>
    <row r="311" spans="3:6" ht="14.4" hidden="1" customHeight="1" outlineLevel="1">
      <c r="C311" s="190">
        <v>24</v>
      </c>
      <c r="D311" s="62"/>
      <c r="E311" s="63"/>
      <c r="F311" s="79" t="str">
        <f t="shared" si="5"/>
        <v/>
      </c>
    </row>
    <row r="312" spans="3:6" ht="14.4" hidden="1" customHeight="1" outlineLevel="1">
      <c r="C312" s="190">
        <v>25</v>
      </c>
      <c r="D312" s="62"/>
      <c r="E312" s="63"/>
      <c r="F312" s="79" t="str">
        <f t="shared" si="5"/>
        <v/>
      </c>
    </row>
    <row r="313" spans="3:6" ht="14.4" hidden="1" customHeight="1" outlineLevel="1">
      <c r="C313" s="191">
        <v>26</v>
      </c>
      <c r="D313" s="62"/>
      <c r="E313" s="63"/>
      <c r="F313" s="79" t="str">
        <f t="shared" si="5"/>
        <v/>
      </c>
    </row>
    <row r="314" spans="3:6" ht="14.4" hidden="1" customHeight="1" outlineLevel="1">
      <c r="C314" s="190">
        <v>27</v>
      </c>
      <c r="D314" s="62"/>
      <c r="E314" s="63"/>
      <c r="F314" s="79" t="str">
        <f t="shared" si="5"/>
        <v/>
      </c>
    </row>
    <row r="315" spans="3:6" ht="14.4" hidden="1" customHeight="1" outlineLevel="1">
      <c r="C315" s="190">
        <v>28</v>
      </c>
      <c r="D315" s="62"/>
      <c r="E315" s="63"/>
      <c r="F315" s="79" t="str">
        <f t="shared" si="5"/>
        <v/>
      </c>
    </row>
    <row r="316" spans="3:6" ht="14.4" hidden="1" customHeight="1" outlineLevel="1">
      <c r="C316" s="191">
        <v>29</v>
      </c>
      <c r="D316" s="62"/>
      <c r="E316" s="63"/>
      <c r="F316" s="79" t="str">
        <f t="shared" si="5"/>
        <v/>
      </c>
    </row>
    <row r="317" spans="3:6" ht="14.4" hidden="1" customHeight="1" outlineLevel="1">
      <c r="C317" s="190">
        <v>30</v>
      </c>
      <c r="D317" s="62"/>
      <c r="E317" s="63"/>
      <c r="F317" s="79" t="str">
        <f t="shared" si="5"/>
        <v/>
      </c>
    </row>
    <row r="318" spans="3:6" ht="14.4" hidden="1" customHeight="1" outlineLevel="1">
      <c r="C318" s="190">
        <v>31</v>
      </c>
      <c r="D318" s="62"/>
      <c r="E318" s="63"/>
      <c r="F318" s="79" t="str">
        <f t="shared" si="5"/>
        <v/>
      </c>
    </row>
    <row r="319" spans="3:6" ht="14.4" hidden="1" customHeight="1" outlineLevel="1">
      <c r="C319" s="191">
        <v>32</v>
      </c>
      <c r="D319" s="62"/>
      <c r="E319" s="63"/>
      <c r="F319" s="79" t="str">
        <f t="shared" si="5"/>
        <v/>
      </c>
    </row>
    <row r="320" spans="3:6" ht="14.4" hidden="1" customHeight="1" outlineLevel="1">
      <c r="C320" s="190">
        <v>33</v>
      </c>
      <c r="D320" s="62"/>
      <c r="E320" s="63"/>
      <c r="F320" s="79" t="str">
        <f t="shared" si="5"/>
        <v/>
      </c>
    </row>
    <row r="321" spans="3:6" ht="14.4" hidden="1" customHeight="1" outlineLevel="1">
      <c r="C321" s="190">
        <v>34</v>
      </c>
      <c r="D321" s="62"/>
      <c r="E321" s="63"/>
      <c r="F321" s="79" t="str">
        <f t="shared" si="5"/>
        <v/>
      </c>
    </row>
    <row r="322" spans="3:6" ht="14.4" hidden="1" customHeight="1" outlineLevel="1">
      <c r="C322" s="191">
        <v>35</v>
      </c>
      <c r="D322" s="62"/>
      <c r="E322" s="63"/>
      <c r="F322" s="79" t="str">
        <f t="shared" si="5"/>
        <v/>
      </c>
    </row>
    <row r="323" spans="3:6" ht="14.4" hidden="1" customHeight="1" outlineLevel="1">
      <c r="C323" s="190">
        <v>36</v>
      </c>
      <c r="D323" s="62"/>
      <c r="E323" s="63"/>
      <c r="F323" s="79" t="str">
        <f t="shared" si="5"/>
        <v/>
      </c>
    </row>
    <row r="324" spans="3:6" ht="14.4" hidden="1" customHeight="1" outlineLevel="1">
      <c r="C324" s="190">
        <v>37</v>
      </c>
      <c r="D324" s="62"/>
      <c r="E324" s="63"/>
      <c r="F324" s="79" t="str">
        <f t="shared" si="5"/>
        <v/>
      </c>
    </row>
    <row r="325" spans="3:6" ht="14.4" hidden="1" customHeight="1" outlineLevel="1">
      <c r="C325" s="191">
        <v>38</v>
      </c>
      <c r="D325" s="62"/>
      <c r="E325" s="63"/>
      <c r="F325" s="79" t="str">
        <f t="shared" si="5"/>
        <v/>
      </c>
    </row>
    <row r="326" spans="3:6" ht="14.4" hidden="1" customHeight="1" outlineLevel="1">
      <c r="C326" s="190">
        <v>39</v>
      </c>
      <c r="D326" s="62"/>
      <c r="E326" s="63"/>
      <c r="F326" s="79" t="str">
        <f t="shared" si="5"/>
        <v/>
      </c>
    </row>
    <row r="327" spans="3:6" ht="14.4" hidden="1" customHeight="1" outlineLevel="1">
      <c r="C327" s="190">
        <v>40</v>
      </c>
      <c r="D327" s="62"/>
      <c r="E327" s="63"/>
      <c r="F327" s="79" t="str">
        <f t="shared" si="5"/>
        <v/>
      </c>
    </row>
    <row r="328" spans="3:6" ht="14.4" hidden="1" customHeight="1" outlineLevel="1">
      <c r="C328" s="191">
        <v>41</v>
      </c>
      <c r="D328" s="62"/>
      <c r="E328" s="63"/>
      <c r="F328" s="79" t="str">
        <f t="shared" si="5"/>
        <v/>
      </c>
    </row>
    <row r="329" spans="3:6" ht="14.4" hidden="1" customHeight="1" outlineLevel="1">
      <c r="C329" s="190">
        <v>42</v>
      </c>
      <c r="D329" s="62"/>
      <c r="E329" s="63"/>
      <c r="F329" s="79" t="str">
        <f t="shared" si="5"/>
        <v/>
      </c>
    </row>
    <row r="330" spans="3:6" ht="14.4" hidden="1" customHeight="1" outlineLevel="1">
      <c r="C330" s="190">
        <v>43</v>
      </c>
      <c r="D330" s="62"/>
      <c r="E330" s="63"/>
      <c r="F330" s="79" t="str">
        <f t="shared" si="5"/>
        <v/>
      </c>
    </row>
    <row r="331" spans="3:6" ht="14.4" hidden="1" customHeight="1" outlineLevel="1">
      <c r="C331" s="191">
        <v>44</v>
      </c>
      <c r="D331" s="62"/>
      <c r="E331" s="63"/>
      <c r="F331" s="79" t="str">
        <f t="shared" si="5"/>
        <v/>
      </c>
    </row>
    <row r="332" spans="3:6" ht="14.4" hidden="1" customHeight="1" outlineLevel="1">
      <c r="C332" s="190">
        <v>45</v>
      </c>
      <c r="D332" s="62"/>
      <c r="E332" s="63"/>
      <c r="F332" s="79" t="str">
        <f t="shared" si="5"/>
        <v/>
      </c>
    </row>
    <row r="333" spans="3:6" ht="14.4" hidden="1" customHeight="1" outlineLevel="1">
      <c r="C333" s="190">
        <v>46</v>
      </c>
      <c r="D333" s="62"/>
      <c r="E333" s="63"/>
      <c r="F333" s="79" t="str">
        <f t="shared" si="5"/>
        <v/>
      </c>
    </row>
    <row r="334" spans="3:6" ht="14.4" hidden="1" customHeight="1" outlineLevel="1">
      <c r="C334" s="191">
        <v>47</v>
      </c>
      <c r="D334" s="62"/>
      <c r="E334" s="63"/>
      <c r="F334" s="79" t="str">
        <f t="shared" si="5"/>
        <v/>
      </c>
    </row>
    <row r="335" spans="3:6" ht="14.4" hidden="1" customHeight="1" outlineLevel="1">
      <c r="C335" s="190">
        <v>48</v>
      </c>
      <c r="D335" s="62"/>
      <c r="E335" s="63"/>
      <c r="F335" s="79" t="str">
        <f t="shared" si="5"/>
        <v/>
      </c>
    </row>
    <row r="336" spans="3:6" ht="14.4" hidden="1" customHeight="1" outlineLevel="1">
      <c r="C336" s="190">
        <v>49</v>
      </c>
      <c r="D336" s="62"/>
      <c r="E336" s="63"/>
      <c r="F336" s="79" t="str">
        <f t="shared" si="5"/>
        <v/>
      </c>
    </row>
    <row r="337" spans="3:6" ht="14.4" hidden="1" customHeight="1" outlineLevel="1">
      <c r="C337" s="191">
        <v>50</v>
      </c>
      <c r="D337" s="62"/>
      <c r="E337" s="63"/>
      <c r="F337" s="79" t="str">
        <f t="shared" si="5"/>
        <v/>
      </c>
    </row>
    <row r="338" spans="3:6" ht="14.4" hidden="1" customHeight="1" outlineLevel="1">
      <c r="C338" s="190">
        <v>51</v>
      </c>
      <c r="D338" s="62"/>
      <c r="E338" s="63"/>
      <c r="F338" s="79" t="str">
        <f t="shared" si="5"/>
        <v/>
      </c>
    </row>
    <row r="339" spans="3:6" ht="14.4" hidden="1" customHeight="1" outlineLevel="1">
      <c r="C339" s="190">
        <v>52</v>
      </c>
      <c r="D339" s="62"/>
      <c r="E339" s="63"/>
      <c r="F339" s="79" t="str">
        <f t="shared" si="5"/>
        <v/>
      </c>
    </row>
    <row r="340" spans="3:6" ht="14.4" hidden="1" customHeight="1" outlineLevel="1">
      <c r="C340" s="191">
        <v>53</v>
      </c>
      <c r="D340" s="62"/>
      <c r="E340" s="63"/>
      <c r="F340" s="79" t="str">
        <f t="shared" si="5"/>
        <v/>
      </c>
    </row>
    <row r="341" spans="3:6" ht="14.4" hidden="1" customHeight="1" outlineLevel="1">
      <c r="C341" s="190">
        <v>54</v>
      </c>
      <c r="D341" s="62"/>
      <c r="E341" s="63"/>
      <c r="F341" s="79" t="str">
        <f t="shared" si="5"/>
        <v/>
      </c>
    </row>
    <row r="342" spans="3:6" ht="14.4" hidden="1" customHeight="1" outlineLevel="1">
      <c r="C342" s="190">
        <v>55</v>
      </c>
      <c r="D342" s="62"/>
      <c r="E342" s="63"/>
      <c r="F342" s="79" t="str">
        <f t="shared" si="5"/>
        <v/>
      </c>
    </row>
    <row r="343" spans="3:6" ht="14.4" hidden="1" customHeight="1" outlineLevel="1">
      <c r="C343" s="191">
        <v>56</v>
      </c>
      <c r="D343" s="62"/>
      <c r="E343" s="63"/>
      <c r="F343" s="79" t="str">
        <f t="shared" si="5"/>
        <v/>
      </c>
    </row>
    <row r="344" spans="3:6" ht="14.4" hidden="1" customHeight="1" outlineLevel="1">
      <c r="C344" s="190">
        <v>57</v>
      </c>
      <c r="D344" s="62"/>
      <c r="E344" s="63"/>
      <c r="F344" s="79" t="str">
        <f t="shared" si="5"/>
        <v/>
      </c>
    </row>
    <row r="345" spans="3:6" ht="14.4" hidden="1" customHeight="1" outlineLevel="1">
      <c r="C345" s="190">
        <v>58</v>
      </c>
      <c r="D345" s="62"/>
      <c r="E345" s="63"/>
      <c r="F345" s="79" t="str">
        <f t="shared" si="5"/>
        <v/>
      </c>
    </row>
    <row r="346" spans="3:6" ht="14.4" hidden="1" customHeight="1" outlineLevel="1">
      <c r="C346" s="191">
        <v>59</v>
      </c>
      <c r="D346" s="62"/>
      <c r="E346" s="63"/>
      <c r="F346" s="79" t="str">
        <f t="shared" si="5"/>
        <v/>
      </c>
    </row>
    <row r="347" spans="3:6" ht="14.4" hidden="1" customHeight="1" outlineLevel="1">
      <c r="C347" s="190">
        <v>60</v>
      </c>
      <c r="D347" s="62"/>
      <c r="E347" s="63"/>
      <c r="F347" s="79" t="str">
        <f t="shared" si="5"/>
        <v/>
      </c>
    </row>
    <row r="348" spans="3:6" ht="14.4" hidden="1" customHeight="1" outlineLevel="1">
      <c r="C348" s="190">
        <v>61</v>
      </c>
      <c r="D348" s="62"/>
      <c r="E348" s="63"/>
      <c r="F348" s="79" t="str">
        <f t="shared" si="5"/>
        <v/>
      </c>
    </row>
    <row r="349" spans="3:6" ht="14.4" hidden="1" customHeight="1" outlineLevel="1">
      <c r="C349" s="191">
        <v>62</v>
      </c>
      <c r="D349" s="62"/>
      <c r="E349" s="63"/>
      <c r="F349" s="79" t="str">
        <f t="shared" si="5"/>
        <v/>
      </c>
    </row>
    <row r="350" spans="3:6" ht="14.4" hidden="1" customHeight="1" outlineLevel="1">
      <c r="C350" s="190">
        <v>63</v>
      </c>
      <c r="D350" s="62"/>
      <c r="E350" s="63"/>
      <c r="F350" s="79" t="str">
        <f t="shared" si="5"/>
        <v/>
      </c>
    </row>
    <row r="351" spans="3:6" ht="14.4" hidden="1" customHeight="1" outlineLevel="1">
      <c r="C351" s="190">
        <v>64</v>
      </c>
      <c r="D351" s="62"/>
      <c r="E351" s="63"/>
      <c r="F351" s="79" t="str">
        <f t="shared" si="5"/>
        <v/>
      </c>
    </row>
    <row r="352" spans="3:6" ht="14.4" hidden="1" customHeight="1" outlineLevel="1">
      <c r="C352" s="191">
        <v>65</v>
      </c>
      <c r="D352" s="62"/>
      <c r="E352" s="63"/>
      <c r="F352" s="79" t="str">
        <f t="shared" si="5"/>
        <v/>
      </c>
    </row>
    <row r="353" spans="3:6" ht="14.4" hidden="1" customHeight="1" outlineLevel="1">
      <c r="C353" s="190">
        <v>66</v>
      </c>
      <c r="D353" s="62"/>
      <c r="E353" s="63"/>
      <c r="F353" s="79" t="str">
        <f t="shared" si="5"/>
        <v/>
      </c>
    </row>
    <row r="354" spans="3:6" ht="14.4" hidden="1" customHeight="1" outlineLevel="1">
      <c r="C354" s="190">
        <v>67</v>
      </c>
      <c r="D354" s="62"/>
      <c r="E354" s="63"/>
      <c r="F354" s="79" t="str">
        <f t="shared" si="5"/>
        <v/>
      </c>
    </row>
    <row r="355" spans="3:6" ht="14.4" hidden="1" customHeight="1" outlineLevel="1">
      <c r="C355" s="191">
        <v>68</v>
      </c>
      <c r="D355" s="62"/>
      <c r="E355" s="63"/>
      <c r="F355" s="79" t="str">
        <f t="shared" si="5"/>
        <v/>
      </c>
    </row>
    <row r="356" spans="3:6" ht="14.4" hidden="1" customHeight="1" outlineLevel="1">
      <c r="C356" s="190">
        <v>69</v>
      </c>
      <c r="D356" s="62"/>
      <c r="E356" s="63"/>
      <c r="F356" s="79" t="str">
        <f t="shared" si="5"/>
        <v/>
      </c>
    </row>
    <row r="357" spans="3:6" ht="14.4" hidden="1" customHeight="1" outlineLevel="1">
      <c r="C357" s="190">
        <v>70</v>
      </c>
      <c r="D357" s="62"/>
      <c r="E357" s="63"/>
      <c r="F357" s="79" t="str">
        <f t="shared" si="5"/>
        <v/>
      </c>
    </row>
    <row r="358" spans="3:6" ht="14.4" hidden="1" customHeight="1" outlineLevel="1">
      <c r="C358" s="191">
        <v>71</v>
      </c>
      <c r="D358" s="62"/>
      <c r="E358" s="63"/>
      <c r="F358" s="79" t="str">
        <f t="shared" si="5"/>
        <v/>
      </c>
    </row>
    <row r="359" spans="3:6" ht="14.4" hidden="1" customHeight="1" outlineLevel="1">
      <c r="C359" s="190">
        <v>72</v>
      </c>
      <c r="D359" s="62"/>
      <c r="E359" s="63"/>
      <c r="F359" s="79" t="str">
        <f t="shared" si="5"/>
        <v/>
      </c>
    </row>
    <row r="360" spans="3:6" ht="14.4" hidden="1" customHeight="1" outlineLevel="1">
      <c r="C360" s="190">
        <v>73</v>
      </c>
      <c r="D360" s="62"/>
      <c r="E360" s="63"/>
      <c r="F360" s="79" t="str">
        <f t="shared" si="5"/>
        <v/>
      </c>
    </row>
    <row r="361" spans="3:6" ht="14.4" hidden="1" customHeight="1" outlineLevel="1">
      <c r="C361" s="191">
        <v>74</v>
      </c>
      <c r="D361" s="62"/>
      <c r="E361" s="63"/>
      <c r="F361" s="79" t="str">
        <f t="shared" si="5"/>
        <v/>
      </c>
    </row>
    <row r="362" spans="3:6" ht="14.4" hidden="1" customHeight="1" outlineLevel="1">
      <c r="C362" s="190">
        <v>75</v>
      </c>
      <c r="D362" s="62"/>
      <c r="E362" s="63"/>
      <c r="F362" s="79" t="str">
        <f t="shared" si="5"/>
        <v/>
      </c>
    </row>
    <row r="363" spans="3:6" ht="14.4" hidden="1" customHeight="1" outlineLevel="1">
      <c r="C363" s="190">
        <v>76</v>
      </c>
      <c r="D363" s="62"/>
      <c r="E363" s="63"/>
      <c r="F363" s="79" t="str">
        <f t="shared" si="5"/>
        <v/>
      </c>
    </row>
    <row r="364" spans="3:6" ht="14.4" hidden="1" customHeight="1" outlineLevel="1">
      <c r="C364" s="191">
        <v>77</v>
      </c>
      <c r="D364" s="62"/>
      <c r="E364" s="63"/>
      <c r="F364" s="79" t="str">
        <f t="shared" si="5"/>
        <v/>
      </c>
    </row>
    <row r="365" spans="3:6" ht="14.4" hidden="1" customHeight="1" outlineLevel="1">
      <c r="C365" s="190">
        <v>78</v>
      </c>
      <c r="D365" s="62"/>
      <c r="E365" s="63"/>
      <c r="F365" s="79" t="str">
        <f t="shared" si="5"/>
        <v/>
      </c>
    </row>
    <row r="366" spans="3:6" ht="14.4" hidden="1" customHeight="1" outlineLevel="1">
      <c r="C366" s="190">
        <v>79</v>
      </c>
      <c r="D366" s="62"/>
      <c r="E366" s="63"/>
      <c r="F366" s="79" t="str">
        <f t="shared" si="5"/>
        <v/>
      </c>
    </row>
    <row r="367" spans="3:6" ht="14.4" hidden="1" customHeight="1" outlineLevel="1">
      <c r="C367" s="191">
        <v>80</v>
      </c>
      <c r="D367" s="62"/>
      <c r="E367" s="63"/>
      <c r="F367" s="79" t="str">
        <f t="shared" si="5"/>
        <v/>
      </c>
    </row>
    <row r="368" spans="3:6" ht="14.4" hidden="1" customHeight="1" outlineLevel="1">
      <c r="C368" s="190">
        <v>81</v>
      </c>
      <c r="D368" s="62"/>
      <c r="E368" s="63"/>
      <c r="F368" s="79" t="str">
        <f t="shared" si="5"/>
        <v/>
      </c>
    </row>
    <row r="369" spans="3:6" ht="14.4" hidden="1" customHeight="1" outlineLevel="1">
      <c r="C369" s="190">
        <v>82</v>
      </c>
      <c r="D369" s="62"/>
      <c r="E369" s="63"/>
      <c r="F369" s="79" t="str">
        <f t="shared" si="5"/>
        <v/>
      </c>
    </row>
    <row r="370" spans="3:6" ht="14.4" hidden="1" customHeight="1" outlineLevel="1">
      <c r="C370" s="191">
        <v>83</v>
      </c>
      <c r="D370" s="62"/>
      <c r="E370" s="63"/>
      <c r="F370" s="79" t="str">
        <f t="shared" si="5"/>
        <v/>
      </c>
    </row>
    <row r="371" spans="3:6" ht="14.4" hidden="1" customHeight="1" outlineLevel="1">
      <c r="C371" s="190">
        <v>84</v>
      </c>
      <c r="D371" s="62"/>
      <c r="E371" s="63"/>
      <c r="F371" s="79" t="str">
        <f t="shared" si="5"/>
        <v/>
      </c>
    </row>
    <row r="372" spans="3:6" ht="14.4" hidden="1" customHeight="1" outlineLevel="1">
      <c r="C372" s="190">
        <v>85</v>
      </c>
      <c r="D372" s="62"/>
      <c r="E372" s="63"/>
      <c r="F372" s="79" t="str">
        <f t="shared" si="5"/>
        <v/>
      </c>
    </row>
    <row r="373" spans="3:6" ht="14.4" hidden="1" customHeight="1" outlineLevel="1">
      <c r="C373" s="191">
        <v>86</v>
      </c>
      <c r="D373" s="62"/>
      <c r="E373" s="63"/>
      <c r="F373" s="79" t="str">
        <f t="shared" si="5"/>
        <v/>
      </c>
    </row>
    <row r="374" spans="3:6" ht="14.4" hidden="1" customHeight="1" outlineLevel="1">
      <c r="C374" s="190">
        <v>87</v>
      </c>
      <c r="D374" s="62"/>
      <c r="E374" s="63"/>
      <c r="F374" s="79" t="str">
        <f>IF(AND(D374&lt;&gt;"",E374=""), template_label_missing_value,
IF(AND(D374&lt;&gt;"",E374&lt;&gt;""), template_label_ok,
IF(AND(D374="",E374=""), "", template_label_missing_value)))</f>
        <v/>
      </c>
    </row>
    <row r="375" spans="3:6" ht="14.4" hidden="1" customHeight="1" outlineLevel="1">
      <c r="C375" s="190">
        <v>88</v>
      </c>
      <c r="D375" s="62"/>
      <c r="E375" s="63"/>
      <c r="F375" s="79" t="str">
        <f t="shared" si="5"/>
        <v/>
      </c>
    </row>
    <row r="376" spans="3:6" ht="14.4" hidden="1" customHeight="1" outlineLevel="1">
      <c r="C376" s="191">
        <v>89</v>
      </c>
      <c r="D376" s="62"/>
      <c r="E376" s="63"/>
      <c r="F376" s="79" t="str">
        <f t="shared" si="5"/>
        <v/>
      </c>
    </row>
    <row r="377" spans="3:6" ht="14.4" hidden="1" customHeight="1" outlineLevel="1">
      <c r="C377" s="190">
        <v>90</v>
      </c>
      <c r="D377" s="62"/>
      <c r="E377" s="63"/>
      <c r="F377" s="79" t="str">
        <f t="shared" si="5"/>
        <v/>
      </c>
    </row>
    <row r="378" spans="3:6" ht="14.4" hidden="1" customHeight="1" outlineLevel="1">
      <c r="C378" s="190">
        <v>91</v>
      </c>
      <c r="D378" s="62"/>
      <c r="E378" s="63"/>
      <c r="F378" s="79" t="str">
        <f t="shared" si="5"/>
        <v/>
      </c>
    </row>
    <row r="379" spans="3:6" ht="14.4" hidden="1" customHeight="1" outlineLevel="1">
      <c r="C379" s="191">
        <v>92</v>
      </c>
      <c r="D379" s="62"/>
      <c r="E379" s="63"/>
      <c r="F379" s="79" t="str">
        <f t="shared" si="5"/>
        <v/>
      </c>
    </row>
    <row r="380" spans="3:6" ht="14.4" hidden="1" customHeight="1" outlineLevel="1">
      <c r="C380" s="190">
        <v>93</v>
      </c>
      <c r="D380" s="62"/>
      <c r="E380" s="63"/>
      <c r="F380" s="79" t="str">
        <f t="shared" si="5"/>
        <v/>
      </c>
    </row>
    <row r="381" spans="3:6" ht="14.4" hidden="1" customHeight="1" outlineLevel="1">
      <c r="C381" s="190">
        <v>94</v>
      </c>
      <c r="D381" s="62"/>
      <c r="E381" s="63"/>
      <c r="F381" s="79" t="str">
        <f t="shared" si="5"/>
        <v/>
      </c>
    </row>
    <row r="382" spans="3:6" ht="14.4" hidden="1" customHeight="1" outlineLevel="1">
      <c r="C382" s="191">
        <v>95</v>
      </c>
      <c r="D382" s="62"/>
      <c r="E382" s="63"/>
      <c r="F382" s="79" t="str">
        <f t="shared" si="5"/>
        <v/>
      </c>
    </row>
    <row r="383" spans="3:6" ht="14.4" hidden="1" customHeight="1" outlineLevel="1">
      <c r="C383" s="190">
        <v>96</v>
      </c>
      <c r="D383" s="62"/>
      <c r="E383" s="63"/>
      <c r="F383" s="79" t="str">
        <f t="shared" si="5"/>
        <v/>
      </c>
    </row>
    <row r="384" spans="3:6" ht="14.4" hidden="1" customHeight="1" outlineLevel="1">
      <c r="C384" s="190">
        <v>97</v>
      </c>
      <c r="D384" s="62"/>
      <c r="E384" s="63"/>
      <c r="F384" s="79" t="str">
        <f t="shared" si="5"/>
        <v/>
      </c>
    </row>
    <row r="385" spans="3:10" ht="14.4" hidden="1" customHeight="1" outlineLevel="1">
      <c r="C385" s="191">
        <v>98</v>
      </c>
      <c r="D385" s="62"/>
      <c r="E385" s="63"/>
      <c r="F385" s="79" t="str">
        <f t="shared" si="5"/>
        <v/>
      </c>
    </row>
    <row r="386" spans="3:10" ht="14.4" hidden="1" customHeight="1" outlineLevel="1">
      <c r="C386" s="190">
        <v>99</v>
      </c>
      <c r="D386" s="62"/>
      <c r="E386" s="63"/>
      <c r="F386" s="79" t="str">
        <f t="shared" si="5"/>
        <v/>
      </c>
    </row>
    <row r="387" spans="3:10" ht="14.4" hidden="1" customHeight="1" outlineLevel="1" thickBot="1">
      <c r="C387" s="192">
        <v>100</v>
      </c>
      <c r="D387" s="64"/>
      <c r="E387" s="59"/>
      <c r="F387" s="79" t="str">
        <f t="shared" si="5"/>
        <v/>
      </c>
    </row>
    <row r="388" spans="3:10" ht="15" collapsed="1" thickBot="1"/>
    <row r="389" spans="3:10" ht="14.4" customHeight="1" thickBot="1">
      <c r="C389" s="699" t="str">
        <f xml:space="preserve"> template_label_b1_disclosure_of_sustainability_related_certification_or_label &amp; " " &amp; template_label_from &amp; " " &amp; template_starting_date_display &amp; " " &amp; template_label_to &amp; " " &amp; template_ending_date_display</f>
        <v>B1 - Disclosure of sustainability-related certification(s) or label(s) from - to -</v>
      </c>
      <c r="D389" s="699"/>
      <c r="E389" s="699"/>
      <c r="F389" s="699"/>
      <c r="G389" s="699"/>
      <c r="H389" s="700"/>
    </row>
    <row r="390" spans="3:10" ht="14.4" customHeight="1">
      <c r="C390" s="702">
        <v>28</v>
      </c>
      <c r="D390" s="702"/>
      <c r="E390" s="702"/>
      <c r="F390" s="702"/>
      <c r="G390" s="702"/>
      <c r="H390" s="703"/>
    </row>
    <row r="391" spans="3:10" ht="14.4" customHeight="1">
      <c r="C391" s="711"/>
      <c r="D391" s="711"/>
      <c r="E391" s="711"/>
      <c r="F391" s="711"/>
      <c r="G391" s="711"/>
      <c r="H391" s="712"/>
    </row>
    <row r="392" spans="3:10" ht="14.4" customHeight="1">
      <c r="C392" s="715" t="str">
        <f>template_label_has_the_undertaking_obtained_any_sustainability_related_certification_or_label</f>
        <v>Has the undertaking obtained any sustainability-related certification(s) or label(s) ?</v>
      </c>
      <c r="D392" s="715"/>
      <c r="E392" s="716" t="b">
        <v>0</v>
      </c>
      <c r="F392" s="716"/>
      <c r="G392" s="716"/>
      <c r="H392" s="717"/>
    </row>
    <row r="393" spans="3:10" ht="30" customHeight="1" thickBot="1">
      <c r="C393" s="765" t="str">
        <f>template_label_description_of_sustainability_related_certification_or_label</f>
        <v>Description of sustainability-related certification(s) or label(s) including where relevant the issuers of the certification or label date and rating score</v>
      </c>
      <c r="D393" s="765"/>
      <c r="E393" s="708"/>
      <c r="F393" s="708"/>
      <c r="G393" s="708"/>
      <c r="H393" s="709"/>
      <c r="I393" s="16" t="str">
        <f>IF(template_checkbox_b1_certifications_or_labels_docx=TRUE,
IF(AND(E392=TRUE,E393=""),"",
IF(AND(E392=TRUE,E393&lt;&gt;""),template_label_ok,"")),
IF(AND(E392=TRUE,E393=""),template_label_missing_value,
IF(AND(E392=TRUE,E393&lt;&gt;""),template_label_ok,"")))</f>
        <v/>
      </c>
    </row>
    <row r="394" spans="3:10" ht="15" thickBot="1"/>
    <row r="395" spans="3:10" ht="15" thickBot="1">
      <c r="C395" s="699" t="str">
        <f>template_label_b1_list_of_site&amp; " " &amp; template_label_from &amp; " " &amp; template_starting_date_display &amp; " " &amp; template_label_to &amp; " " &amp; template_ending_date_display</f>
        <v>B1 - List of site(s) from - to -</v>
      </c>
      <c r="D395" s="699"/>
      <c r="E395" s="699"/>
      <c r="F395" s="699"/>
      <c r="G395" s="699"/>
      <c r="H395" s="700"/>
    </row>
    <row r="396" spans="3:10">
      <c r="C396" s="702" t="s">
        <v>26</v>
      </c>
      <c r="D396" s="702"/>
      <c r="E396" s="702"/>
      <c r="F396" s="702"/>
      <c r="G396" s="702"/>
      <c r="H396" s="703"/>
    </row>
    <row r="397" spans="3:10">
      <c r="C397" s="718"/>
      <c r="D397" s="718"/>
      <c r="E397" s="718"/>
      <c r="F397" s="718"/>
      <c r="G397" s="718"/>
      <c r="H397" s="719"/>
    </row>
    <row r="398" spans="3:10">
      <c r="C398" s="720" t="str">
        <f>template_label_id</f>
        <v>ID</v>
      </c>
      <c r="D398" s="721" t="str">
        <f>template_label_address</f>
        <v>Address</v>
      </c>
      <c r="E398" s="721" t="str">
        <f>template_label_postal_code</f>
        <v>Postal code</v>
      </c>
      <c r="F398" s="724" t="str">
        <f>template_label_city</f>
        <v>City</v>
      </c>
      <c r="G398" s="721" t="str">
        <f>template_label_country</f>
        <v>Country</v>
      </c>
      <c r="H398" s="371" t="str">
        <f>template_label_gps_coordinates</f>
        <v>GPS Coordinates (geolocation)</v>
      </c>
      <c r="I398" s="85"/>
    </row>
    <row r="399" spans="3:10" ht="78" customHeight="1">
      <c r="C399" s="720"/>
      <c r="D399" s="721"/>
      <c r="E399" s="721"/>
      <c r="F399" s="725"/>
      <c r="G399" s="721"/>
      <c r="H399" s="372"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399" s="85"/>
      <c r="J399" s="2"/>
    </row>
    <row r="400" spans="3:10" ht="53.4" customHeight="1">
      <c r="C400" s="720"/>
      <c r="D400" s="721"/>
      <c r="E400" s="721"/>
      <c r="F400" s="725"/>
      <c r="G400" s="721"/>
      <c r="H400" s="373" t="s">
        <v>27</v>
      </c>
      <c r="I400" s="85"/>
      <c r="J400" s="2"/>
    </row>
    <row r="401" spans="3:13">
      <c r="C401" s="720"/>
      <c r="D401" s="721"/>
      <c r="E401" s="721"/>
      <c r="F401" s="726"/>
      <c r="G401" s="721"/>
      <c r="H401" s="374" t="b">
        <v>0</v>
      </c>
      <c r="I401" s="85"/>
      <c r="J401" s="276"/>
    </row>
    <row r="402" spans="3:13">
      <c r="C402" s="190">
        <v>1</v>
      </c>
      <c r="D402" s="65"/>
      <c r="E402" s="66"/>
      <c r="F402" s="370"/>
      <c r="G402" s="65"/>
      <c r="H402" s="375" t="str">
        <f>IF(COUNTA(D402:G402)=COLUMNS(D402:G402), IFERROR('Technical Sheet'!G2, "-"), "-")</f>
        <v>-</v>
      </c>
      <c r="I402" s="17" t="str">
        <f>IF(OR(
'Table of Contents &amp; Validation'!D16=TRUE, 'Table of Contents &amp; Validation'!D11=TRUE),
IF(OR(E125="Option A (Basic Module only)", E125="Option B (Basic Module and Comprehensive Module)"),
    IF(AND(D402&lt;&gt;"", E402&lt;&gt;"", F402&lt;&gt;"", G402&lt;&gt;"", H402&lt;&gt;""),
        template_label_ok,
        ""
    ),
    ""
),
IF(OR(E125="Option A (Basic Module only)", E125="Option B (Basic Module and Comprehensive Module)"),
    IF(AND(D402&lt;&gt;"", E402&lt;&gt;"", F402&lt;&gt;"", G402&lt;&gt;"", H402&lt;&gt;""),
        template_label_ok,
        template_label_missing_value
    ),
    ""
)
)</f>
        <v/>
      </c>
      <c r="J402" s="175" t="str">
        <f>IF(AND(D402&lt;&gt;"", E402&lt;&gt;"", F402&lt;&gt;"", G402&lt;&gt;""),
    IFERROR(HYPERLINK("https://www.openstreetmap.org/search?lat=" &amp; 'Technical Sheet'!E2 &amp; "&amp;lon=" &amp; 'Technical Sheet'!F2, "OpenStreetMap Link"),
    ""),
"")</f>
        <v/>
      </c>
      <c r="K402" s="86" t="str">
        <f t="shared" ref="K402:K424" si="6">LOWER(SUBSTITUTE(D402," ","+" )) &amp; "+" &amp; LOWER(SUBSTITUTE(E402," ","+" )) &amp; "+" &amp; LOWER(SUBSTITUTE(F402," ","+" )) &amp; "+" &amp; LOWER(SUBSTITUTE(G402," ","+" )) &amp; "+"</f>
        <v>++++</v>
      </c>
      <c r="L402" t="str">
        <f>template_label_geolocalisation_warning</f>
        <v>ℹ️  Please be careful to separate each street number and house number using the slash symbol "/" and not the comma ","</v>
      </c>
      <c r="M402" s="81"/>
    </row>
    <row r="403" spans="3:13">
      <c r="C403" s="190">
        <v>2</v>
      </c>
      <c r="D403" s="65"/>
      <c r="E403" s="66"/>
      <c r="F403" s="370"/>
      <c r="G403" s="65"/>
      <c r="H403" s="375" t="str">
        <f>IF(COUNTA(D403:G403)=COLUMNS(D403:G403), IFERROR('Technical Sheet'!G3, "-"), "-")</f>
        <v>-</v>
      </c>
      <c r="I403" s="17" t="str">
        <f t="shared" ref="I403:I434" si="7">IF(AND(D403&lt;&gt;"", E403&lt;&gt;"", F403&lt;&gt;"", G403&lt;&gt;"", H403&lt;&gt;""), template_label_ok,
    IF(AND(D403="", E403="", F403="", G403="", H403="-"), "",
        template_label_missing_value
    )
)</f>
        <v/>
      </c>
      <c r="J403" s="175" t="str">
        <f>IF(AND(D403&lt;&gt;"", E403&lt;&gt;"", F403&lt;&gt;"", G403&lt;&gt;""),
    IFERROR(HYPERLINK("https://www.openstreetmap.org/search?lat=" &amp; 'Technical Sheet'!E3 &amp; "&amp;lon=" &amp; 'Technical Sheet'!F3, "OpenStreetMap Link"),
    ""),
"")</f>
        <v/>
      </c>
      <c r="K403" s="86" t="str">
        <f t="shared" si="6"/>
        <v>++++</v>
      </c>
    </row>
    <row r="404" spans="3:13" ht="15" thickBot="1">
      <c r="C404" s="192">
        <v>3</v>
      </c>
      <c r="D404" s="71"/>
      <c r="E404" s="72"/>
      <c r="F404" s="376"/>
      <c r="G404" s="71"/>
      <c r="H404" s="334" t="str">
        <f>IF(COUNTA(D404:G404)=COLUMNS(D404:G404), IFERROR('Technical Sheet'!G4, "-"), "-")</f>
        <v>-</v>
      </c>
      <c r="I404" s="17" t="str">
        <f t="shared" si="7"/>
        <v/>
      </c>
      <c r="J404" s="175" t="str">
        <f>IF(AND(D404&lt;&gt;"", E404&lt;&gt;"", F404&lt;&gt;"", G404&lt;&gt;""),
    IFERROR(HYPERLINK("https://www.openstreetmap.org/search?lat=" &amp; 'Technical Sheet'!E4 &amp; "&amp;lon=" &amp; 'Technical Sheet'!F4, "OpenStreetMap Link"),
    ""),
"")</f>
        <v/>
      </c>
      <c r="K404" s="86" t="str">
        <f t="shared" si="6"/>
        <v>++++</v>
      </c>
      <c r="L404" t="str">
        <f>template_label_additional_rows_warning</f>
        <v>ℹ️  Lists can be expanded using the little [+] button on the left.  If the number of rows is not sufficient, those can be added by right clicking the second row and selecting "Insert row".</v>
      </c>
    </row>
    <row r="405" spans="3:13" hidden="1" outlineLevel="1">
      <c r="C405" s="191">
        <v>4</v>
      </c>
      <c r="D405" s="68"/>
      <c r="E405" s="69"/>
      <c r="F405" s="70"/>
      <c r="G405" s="68"/>
      <c r="H405" s="172" t="str">
        <f>IF(COUNTA(D405:G405)=COLUMNS(D405:G405), IFERROR('Technical Sheet'!G5, "-"), "-")</f>
        <v>-</v>
      </c>
      <c r="I405" s="17" t="str">
        <f t="shared" si="7"/>
        <v/>
      </c>
      <c r="J405" s="175" t="str">
        <f>IF(AND(D405&lt;&gt;"", E405&lt;&gt;"", F405&lt;&gt;"", G405&lt;&gt;""),
    IFERROR(HYPERLINK("https://www.openstreetmap.org/search?lat=" &amp; 'Technical Sheet'!E5 &amp; "&amp;lon=" &amp; 'Technical Sheet'!F5, "OpenStreetMap Link"),
    ""),
"")</f>
        <v/>
      </c>
      <c r="K405" s="86" t="str">
        <f t="shared" si="6"/>
        <v>++++</v>
      </c>
    </row>
    <row r="406" spans="3:13" hidden="1" outlineLevel="1">
      <c r="C406" s="191">
        <v>5</v>
      </c>
      <c r="D406" s="65"/>
      <c r="E406" s="66"/>
      <c r="F406" s="67"/>
      <c r="G406" s="65"/>
      <c r="H406" s="171" t="str">
        <f>IF(COUNTA(D406:G406)=COLUMNS(D406:G406), IFERROR('Technical Sheet'!G6, "-"), "-")</f>
        <v>-</v>
      </c>
      <c r="I406" s="17" t="str">
        <f t="shared" si="7"/>
        <v/>
      </c>
      <c r="J406" s="175" t="str">
        <f>IF(AND(D406&lt;&gt;"", E406&lt;&gt;"", F406&lt;&gt;"", G406&lt;&gt;""),
    IFERROR(HYPERLINK("https://www.openstreetmap.org/search?lat=" &amp; 'Technical Sheet'!E6 &amp; "&amp;lon=" &amp; 'Technical Sheet'!F6, "OpenStreetMap Link"),
    ""),
"")</f>
        <v/>
      </c>
      <c r="K406" s="86" t="str">
        <f t="shared" si="6"/>
        <v>++++</v>
      </c>
    </row>
    <row r="407" spans="3:13" hidden="1" outlineLevel="1">
      <c r="C407" s="190">
        <v>6</v>
      </c>
      <c r="D407" s="65"/>
      <c r="E407" s="66"/>
      <c r="F407" s="67"/>
      <c r="G407" s="65"/>
      <c r="H407" s="171" t="str">
        <f>IF(COUNTA(D407:G407)=COLUMNS(D407:G407), IFERROR('Technical Sheet'!G7, "-"), "-")</f>
        <v>-</v>
      </c>
      <c r="I407" s="17" t="str">
        <f t="shared" si="7"/>
        <v/>
      </c>
      <c r="J407" s="175" t="str">
        <f>IF(AND(D407&lt;&gt;"", E407&lt;&gt;"", F407&lt;&gt;"", G407&lt;&gt;""),
    IFERROR(HYPERLINK("https://www.openstreetmap.org/search?lat=" &amp; 'Technical Sheet'!E7 &amp; "&amp;lon=" &amp; 'Technical Sheet'!F7, "OpenStreetMap Link"),
    ""),
"")</f>
        <v/>
      </c>
      <c r="K407" s="86" t="str">
        <f t="shared" si="6"/>
        <v>++++</v>
      </c>
    </row>
    <row r="408" spans="3:13" hidden="1" outlineLevel="1">
      <c r="C408" s="190">
        <v>7</v>
      </c>
      <c r="D408" s="65"/>
      <c r="E408" s="66"/>
      <c r="F408" s="67"/>
      <c r="G408" s="65"/>
      <c r="H408" s="171" t="str">
        <f>IF(COUNTA(D408:G408)=COLUMNS(D408:G408), IFERROR('Technical Sheet'!G8, "-"), "-")</f>
        <v>-</v>
      </c>
      <c r="I408" s="17" t="str">
        <f t="shared" si="7"/>
        <v/>
      </c>
      <c r="J408" s="175" t="str">
        <f>IF(AND(D408&lt;&gt;"", E408&lt;&gt;"", F408&lt;&gt;"", G408&lt;&gt;""),
    IFERROR(HYPERLINK("https://www.openstreetmap.org/search?lat=" &amp; 'Technical Sheet'!E8 &amp; "&amp;lon=" &amp; 'Technical Sheet'!F8, "OpenStreetMap Link"),
    ""),
"")</f>
        <v/>
      </c>
      <c r="K408" s="86" t="str">
        <f t="shared" si="6"/>
        <v>++++</v>
      </c>
    </row>
    <row r="409" spans="3:13" hidden="1" outlineLevel="1">
      <c r="C409" s="191">
        <v>8</v>
      </c>
      <c r="D409" s="65"/>
      <c r="E409" s="66"/>
      <c r="F409" s="67"/>
      <c r="G409" s="65"/>
      <c r="H409" s="171" t="str">
        <f>IF(COUNTA(D409:G409)=COLUMNS(D409:G409), IFERROR('Technical Sheet'!G9, "-"), "-")</f>
        <v>-</v>
      </c>
      <c r="I409" s="17" t="str">
        <f t="shared" si="7"/>
        <v/>
      </c>
      <c r="J409" s="175" t="str">
        <f>IF(AND(D409&lt;&gt;"", E409&lt;&gt;"", F409&lt;&gt;"", G409&lt;&gt;""),
    IFERROR(HYPERLINK("https://www.openstreetmap.org/search?lat=" &amp; 'Technical Sheet'!E9 &amp; "&amp;lon=" &amp; 'Technical Sheet'!F9, "OpenStreetMap Link"),
    ""),
"")</f>
        <v/>
      </c>
      <c r="K409" s="86" t="str">
        <f t="shared" si="6"/>
        <v>++++</v>
      </c>
    </row>
    <row r="410" spans="3:13" hidden="1" outlineLevel="1">
      <c r="C410" s="190">
        <v>9</v>
      </c>
      <c r="D410" s="65"/>
      <c r="E410" s="66"/>
      <c r="F410" s="67"/>
      <c r="G410" s="65"/>
      <c r="H410" s="171" t="str">
        <f>IF(COUNTA(D410:G410)=COLUMNS(D410:G410), IFERROR('Technical Sheet'!G10, "-"), "-")</f>
        <v>-</v>
      </c>
      <c r="I410" s="17" t="str">
        <f t="shared" si="7"/>
        <v/>
      </c>
      <c r="J410" s="175" t="str">
        <f>IF(AND(D410&lt;&gt;"", E410&lt;&gt;"", F410&lt;&gt;"", G410&lt;&gt;""),
    IFERROR(HYPERLINK("https://www.openstreetmap.org/search?lat=" &amp; 'Technical Sheet'!E10 &amp; "&amp;lon=" &amp; 'Technical Sheet'!F10, "OpenStreetMap Link"),
    ""),
"")</f>
        <v/>
      </c>
      <c r="K410" s="86" t="str">
        <f t="shared" si="6"/>
        <v>++++</v>
      </c>
    </row>
    <row r="411" spans="3:13" hidden="1" outlineLevel="1">
      <c r="C411" s="190">
        <v>10</v>
      </c>
      <c r="D411" s="65"/>
      <c r="E411" s="66"/>
      <c r="F411" s="67"/>
      <c r="G411" s="65"/>
      <c r="H411" s="171" t="str">
        <f>IF(COUNTA(D411:G411)=COLUMNS(D411:G411), IFERROR('Technical Sheet'!G11, "-"), "-")</f>
        <v>-</v>
      </c>
      <c r="I411" s="17" t="str">
        <f t="shared" si="7"/>
        <v/>
      </c>
      <c r="J411" s="175" t="str">
        <f>IF(AND(D411&lt;&gt;"", E411&lt;&gt;"", F411&lt;&gt;"", G411&lt;&gt;""),
    IFERROR(HYPERLINK("https://www.openstreetmap.org/search?lat=" &amp; 'Technical Sheet'!E11 &amp; "&amp;lon=" &amp; 'Technical Sheet'!F11, "OpenStreetMap Link"),
    ""),
"")</f>
        <v/>
      </c>
      <c r="K411" s="86" t="str">
        <f t="shared" si="6"/>
        <v>++++</v>
      </c>
    </row>
    <row r="412" spans="3:13" hidden="1" outlineLevel="1">
      <c r="C412" s="191">
        <v>11</v>
      </c>
      <c r="D412" s="65"/>
      <c r="E412" s="66"/>
      <c r="F412" s="67"/>
      <c r="G412" s="65"/>
      <c r="H412" s="171" t="str">
        <f>IF(COUNTA(D412:G412)=COLUMNS(D412:G412), IFERROR('Technical Sheet'!G12, "-"), "-")</f>
        <v>-</v>
      </c>
      <c r="I412" s="17" t="str">
        <f t="shared" si="7"/>
        <v/>
      </c>
      <c r="J412" s="175" t="str">
        <f>IF(AND(D412&lt;&gt;"", E412&lt;&gt;"", F412&lt;&gt;"", G412&lt;&gt;""),
    IFERROR(HYPERLINK("https://www.openstreetmap.org/search?lat=" &amp; 'Technical Sheet'!E12 &amp; "&amp;lon=" &amp; 'Technical Sheet'!F12, "OpenStreetMap Link"),
    ""),
"")</f>
        <v/>
      </c>
      <c r="K412" s="86" t="str">
        <f t="shared" si="6"/>
        <v>++++</v>
      </c>
    </row>
    <row r="413" spans="3:13" hidden="1" outlineLevel="1">
      <c r="C413" s="190">
        <v>12</v>
      </c>
      <c r="D413" s="65"/>
      <c r="E413" s="66"/>
      <c r="F413" s="67"/>
      <c r="G413" s="65"/>
      <c r="H413" s="171" t="str">
        <f>IF(COUNTA(D413:G413)=COLUMNS(D413:G413), IFERROR('Technical Sheet'!G13, "-"), "-")</f>
        <v>-</v>
      </c>
      <c r="I413" s="17" t="str">
        <f t="shared" si="7"/>
        <v/>
      </c>
      <c r="J413" s="175" t="str">
        <f>IF(AND(D413&lt;&gt;"", E413&lt;&gt;"", F413&lt;&gt;"", G413&lt;&gt;""),
    IFERROR(HYPERLINK("https://www.openstreetmap.org/search?lat=" &amp; 'Technical Sheet'!E13 &amp; "&amp;lon=" &amp; 'Technical Sheet'!F13, "OpenStreetMap Link"),
    ""),
"")</f>
        <v/>
      </c>
      <c r="K413" s="86" t="str">
        <f t="shared" si="6"/>
        <v>++++</v>
      </c>
    </row>
    <row r="414" spans="3:13" hidden="1" outlineLevel="1">
      <c r="C414" s="190">
        <v>13</v>
      </c>
      <c r="D414" s="65"/>
      <c r="E414" s="66"/>
      <c r="F414" s="67"/>
      <c r="G414" s="65"/>
      <c r="H414" s="171" t="str">
        <f>IF(COUNTA(D414:G414)=COLUMNS(D414:G414), IFERROR('Technical Sheet'!G14, "-"), "-")</f>
        <v>-</v>
      </c>
      <c r="I414" s="17" t="str">
        <f t="shared" si="7"/>
        <v/>
      </c>
      <c r="J414" s="175" t="str">
        <f>IF(AND(D414&lt;&gt;"", E414&lt;&gt;"", F414&lt;&gt;"", G414&lt;&gt;""),
    IFERROR(HYPERLINK("https://www.openstreetmap.org/search?lat=" &amp; 'Technical Sheet'!E14 &amp; "&amp;lon=" &amp; 'Technical Sheet'!F14, "OpenStreetMap Link"),
    ""),
"")</f>
        <v/>
      </c>
      <c r="K414" s="86" t="str">
        <f t="shared" si="6"/>
        <v>++++</v>
      </c>
    </row>
    <row r="415" spans="3:13" hidden="1" outlineLevel="1">
      <c r="C415" s="191">
        <v>14</v>
      </c>
      <c r="D415" s="65"/>
      <c r="E415" s="66"/>
      <c r="F415" s="67"/>
      <c r="G415" s="65"/>
      <c r="H415" s="171" t="str">
        <f>IF(COUNTA(D415:G415)=COLUMNS(D415:G415), IFERROR('Technical Sheet'!G15, "-"), "-")</f>
        <v>-</v>
      </c>
      <c r="I415" s="17" t="str">
        <f t="shared" si="7"/>
        <v/>
      </c>
      <c r="J415" s="175" t="str">
        <f>IF(AND(D415&lt;&gt;"", E415&lt;&gt;"", F415&lt;&gt;"", G415&lt;&gt;""),
    IFERROR(HYPERLINK("https://www.openstreetmap.org/search?lat=" &amp; 'Technical Sheet'!E15 &amp; "&amp;lon=" &amp; 'Technical Sheet'!F15, "OpenStreetMap Link"),
    ""),
"")</f>
        <v/>
      </c>
      <c r="K415" s="86" t="str">
        <f t="shared" si="6"/>
        <v>++++</v>
      </c>
    </row>
    <row r="416" spans="3:13" hidden="1" outlineLevel="1">
      <c r="C416" s="190">
        <v>15</v>
      </c>
      <c r="D416" s="65"/>
      <c r="E416" s="66"/>
      <c r="F416" s="67"/>
      <c r="G416" s="65"/>
      <c r="H416" s="171" t="str">
        <f>IF(COUNTA(D416:G416)=COLUMNS(D416:G416), IFERROR('Technical Sheet'!G16, "-"), "-")</f>
        <v>-</v>
      </c>
      <c r="I416" s="17" t="str">
        <f t="shared" si="7"/>
        <v/>
      </c>
      <c r="J416" s="175" t="str">
        <f>IF(AND(D416&lt;&gt;"", E416&lt;&gt;"", F416&lt;&gt;"", G416&lt;&gt;""),
    IFERROR(HYPERLINK("https://www.openstreetmap.org/search?lat=" &amp; 'Technical Sheet'!E16 &amp; "&amp;lon=" &amp; 'Technical Sheet'!F16, "OpenStreetMap Link"),
    ""),
"")</f>
        <v/>
      </c>
      <c r="K416" s="86" t="str">
        <f t="shared" si="6"/>
        <v>++++</v>
      </c>
    </row>
    <row r="417" spans="3:11" hidden="1" outlineLevel="1">
      <c r="C417" s="190">
        <v>16</v>
      </c>
      <c r="D417" s="65"/>
      <c r="E417" s="66"/>
      <c r="F417" s="67"/>
      <c r="G417" s="65"/>
      <c r="H417" s="171" t="str">
        <f>IF(COUNTA(D417:G417)=COLUMNS(D417:G417), IFERROR('Technical Sheet'!G17, "-"), "-")</f>
        <v>-</v>
      </c>
      <c r="I417" s="17" t="str">
        <f t="shared" si="7"/>
        <v/>
      </c>
      <c r="J417" s="175" t="str">
        <f>IF(AND(D417&lt;&gt;"", E417&lt;&gt;"", F417&lt;&gt;"", G417&lt;&gt;""),
    IFERROR(HYPERLINK("https://www.openstreetmap.org/search?lat=" &amp; 'Technical Sheet'!E17 &amp; "&amp;lon=" &amp; 'Technical Sheet'!F17, "OpenStreetMap Link"),
    ""),
"")</f>
        <v/>
      </c>
      <c r="K417" s="86" t="str">
        <f t="shared" si="6"/>
        <v>++++</v>
      </c>
    </row>
    <row r="418" spans="3:11" hidden="1" outlineLevel="1">
      <c r="C418" s="191">
        <v>17</v>
      </c>
      <c r="D418" s="65"/>
      <c r="E418" s="66"/>
      <c r="F418" s="67"/>
      <c r="G418" s="65"/>
      <c r="H418" s="171" t="str">
        <f>IF(COUNTA(D418:G418)=COLUMNS(D418:G418), IFERROR('Technical Sheet'!G18, "-"), "-")</f>
        <v>-</v>
      </c>
      <c r="I418" s="17" t="str">
        <f t="shared" si="7"/>
        <v/>
      </c>
      <c r="J418" s="175" t="str">
        <f>IF(AND(D418&lt;&gt;"", E418&lt;&gt;"", F418&lt;&gt;"", G418&lt;&gt;""),
    IFERROR(HYPERLINK("https://www.openstreetmap.org/search?lat=" &amp; 'Technical Sheet'!E18 &amp; "&amp;lon=" &amp; 'Technical Sheet'!F18, "OpenStreetMap Link"),
    ""),
"")</f>
        <v/>
      </c>
      <c r="K418" s="86" t="str">
        <f t="shared" si="6"/>
        <v>++++</v>
      </c>
    </row>
    <row r="419" spans="3:11" hidden="1" outlineLevel="1">
      <c r="C419" s="190">
        <v>18</v>
      </c>
      <c r="D419" s="65"/>
      <c r="E419" s="66"/>
      <c r="F419" s="67"/>
      <c r="G419" s="65"/>
      <c r="H419" s="171" t="str">
        <f>IF(COUNTA(D419:G419)=COLUMNS(D419:G419), IFERROR('Technical Sheet'!G19, "-"), "-")</f>
        <v>-</v>
      </c>
      <c r="I419" s="17" t="str">
        <f t="shared" si="7"/>
        <v/>
      </c>
      <c r="J419" s="175" t="str">
        <f>IF(AND(D419&lt;&gt;"", E419&lt;&gt;"", F419&lt;&gt;"", G419&lt;&gt;""),
    IFERROR(HYPERLINK("https://www.openstreetmap.org/search?lat=" &amp; 'Technical Sheet'!E19 &amp; "&amp;lon=" &amp; 'Technical Sheet'!F19, "OpenStreetMap Link"),
    ""),
"")</f>
        <v/>
      </c>
      <c r="K419" s="86" t="str">
        <f t="shared" si="6"/>
        <v>++++</v>
      </c>
    </row>
    <row r="420" spans="3:11" hidden="1" outlineLevel="1">
      <c r="C420" s="190">
        <v>19</v>
      </c>
      <c r="D420" s="65"/>
      <c r="E420" s="66"/>
      <c r="F420" s="67"/>
      <c r="G420" s="65"/>
      <c r="H420" s="171" t="str">
        <f>IF(COUNTA(D420:G420)=COLUMNS(D420:G420), IFERROR('Technical Sheet'!G20, "-"), "-")</f>
        <v>-</v>
      </c>
      <c r="I420" s="17" t="str">
        <f t="shared" si="7"/>
        <v/>
      </c>
      <c r="J420" s="175" t="str">
        <f>IF(AND(D420&lt;&gt;"", E420&lt;&gt;"", F420&lt;&gt;"", G420&lt;&gt;""),
    IFERROR(HYPERLINK("https://www.openstreetmap.org/search?lat=" &amp; 'Technical Sheet'!E20 &amp; "&amp;lon=" &amp; 'Technical Sheet'!F20, "OpenStreetMap Link"),
    ""),
"")</f>
        <v/>
      </c>
      <c r="K420" s="86" t="str">
        <f t="shared" si="6"/>
        <v>++++</v>
      </c>
    </row>
    <row r="421" spans="3:11" hidden="1" outlineLevel="1">
      <c r="C421" s="191">
        <v>20</v>
      </c>
      <c r="D421" s="65"/>
      <c r="E421" s="66"/>
      <c r="F421" s="67"/>
      <c r="G421" s="65"/>
      <c r="H421" s="171" t="str">
        <f>IF(COUNTA(D421:G421)=COLUMNS(D421:G421), IFERROR('Technical Sheet'!G21, "-"), "-")</f>
        <v>-</v>
      </c>
      <c r="I421" s="17" t="str">
        <f t="shared" si="7"/>
        <v/>
      </c>
      <c r="J421" s="175" t="str">
        <f>IF(AND(D421&lt;&gt;"", E421&lt;&gt;"", F421&lt;&gt;"", G421&lt;&gt;""),
    IFERROR(HYPERLINK("https://www.openstreetmap.org/search?lat=" &amp; 'Technical Sheet'!E21 &amp; "&amp;lon=" &amp; 'Technical Sheet'!F21, "OpenStreetMap Link"),
    ""),
"")</f>
        <v/>
      </c>
      <c r="K421" s="86" t="str">
        <f t="shared" si="6"/>
        <v>++++</v>
      </c>
    </row>
    <row r="422" spans="3:11" hidden="1" outlineLevel="1">
      <c r="C422" s="190">
        <v>21</v>
      </c>
      <c r="D422" s="65"/>
      <c r="E422" s="66"/>
      <c r="F422" s="67"/>
      <c r="G422" s="65"/>
      <c r="H422" s="171" t="str">
        <f>IF(COUNTA(D422:G422)=COLUMNS(D422:G422), IFERROR('Technical Sheet'!G22, "-"), "-")</f>
        <v>-</v>
      </c>
      <c r="I422" s="17" t="str">
        <f t="shared" si="7"/>
        <v/>
      </c>
      <c r="J422" s="175" t="str">
        <f>IF(AND(D422&lt;&gt;"", E422&lt;&gt;"", F422&lt;&gt;"", G422&lt;&gt;""),
    IFERROR(HYPERLINK("https://www.openstreetmap.org/search?lat=" &amp; 'Technical Sheet'!E22 &amp; "&amp;lon=" &amp; 'Technical Sheet'!F22, "OpenStreetMap Link"),
    ""),
"")</f>
        <v/>
      </c>
      <c r="K422" s="86" t="str">
        <f t="shared" si="6"/>
        <v>++++</v>
      </c>
    </row>
    <row r="423" spans="3:11" hidden="1" outlineLevel="1">
      <c r="C423" s="190">
        <v>22</v>
      </c>
      <c r="D423" s="65"/>
      <c r="E423" s="66"/>
      <c r="F423" s="67"/>
      <c r="G423" s="65"/>
      <c r="H423" s="171" t="str">
        <f>IF(COUNTA(D423:G423)=COLUMNS(D423:G423), IFERROR('Technical Sheet'!G23, "-"), "-")</f>
        <v>-</v>
      </c>
      <c r="I423" s="17" t="str">
        <f t="shared" si="7"/>
        <v/>
      </c>
      <c r="J423" s="175" t="str">
        <f>IF(AND(D423&lt;&gt;"", E423&lt;&gt;"", F423&lt;&gt;"", G423&lt;&gt;""),
    IFERROR(HYPERLINK("https://www.openstreetmap.org/search?lat=" &amp; 'Technical Sheet'!E23 &amp; "&amp;lon=" &amp; 'Technical Sheet'!F23, "OpenStreetMap Link"),
    ""),
"")</f>
        <v/>
      </c>
      <c r="K423" s="86" t="str">
        <f t="shared" si="6"/>
        <v>++++</v>
      </c>
    </row>
    <row r="424" spans="3:11" hidden="1" outlineLevel="1">
      <c r="C424" s="191">
        <v>23</v>
      </c>
      <c r="D424" s="65"/>
      <c r="E424" s="66"/>
      <c r="F424" s="67"/>
      <c r="G424" s="65"/>
      <c r="H424" s="171" t="str">
        <f>IF(COUNTA(D424:G424)=COLUMNS(D424:G424), IFERROR('Technical Sheet'!G24, "-"), "-")</f>
        <v>-</v>
      </c>
      <c r="I424" s="17" t="str">
        <f t="shared" si="7"/>
        <v/>
      </c>
      <c r="J424" s="175" t="str">
        <f>IF(AND(D424&lt;&gt;"", E424&lt;&gt;"", F424&lt;&gt;"", G424&lt;&gt;""),
    IFERROR(HYPERLINK("https://www.openstreetmap.org/search?lat=" &amp; 'Technical Sheet'!E118 &amp; "&amp;lon=" &amp; 'Technical Sheet'!F118, "OpenStreetMap Link"),
    ""),
"")</f>
        <v/>
      </c>
      <c r="K424" s="86" t="str">
        <f t="shared" si="6"/>
        <v>++++</v>
      </c>
    </row>
    <row r="425" spans="3:11" hidden="1" outlineLevel="1">
      <c r="C425" s="190">
        <v>24</v>
      </c>
      <c r="D425" s="74"/>
      <c r="E425" s="75"/>
      <c r="F425" s="76"/>
      <c r="G425" s="74"/>
      <c r="H425" s="171" t="str">
        <f>IF(COUNTA(D425:G425)=COLUMNS(D425:G425), IFERROR('Technical Sheet'!G25, "-"), "-")</f>
        <v>-</v>
      </c>
      <c r="I425" s="17" t="str">
        <f t="shared" si="7"/>
        <v/>
      </c>
      <c r="J425" s="175"/>
      <c r="K425" s="86"/>
    </row>
    <row r="426" spans="3:11" hidden="1" outlineLevel="1">
      <c r="C426" s="190">
        <v>25</v>
      </c>
      <c r="D426" s="74"/>
      <c r="E426" s="75"/>
      <c r="F426" s="76"/>
      <c r="G426" s="74"/>
      <c r="H426" s="171" t="str">
        <f>IF(COUNTA(D426:G426)=COLUMNS(D426:G426), IFERROR('Technical Sheet'!G26, "-"), "-")</f>
        <v>-</v>
      </c>
      <c r="I426" s="17" t="str">
        <f t="shared" si="7"/>
        <v/>
      </c>
      <c r="J426" s="175"/>
      <c r="K426" s="86"/>
    </row>
    <row r="427" spans="3:11" hidden="1" outlineLevel="1">
      <c r="C427" s="191">
        <v>26</v>
      </c>
      <c r="D427" s="74"/>
      <c r="E427" s="75"/>
      <c r="F427" s="76"/>
      <c r="G427" s="74"/>
      <c r="H427" s="171" t="str">
        <f>IF(COUNTA(D427:G427)=COLUMNS(D427:G427), IFERROR('Technical Sheet'!G27, "-"), "-")</f>
        <v>-</v>
      </c>
      <c r="I427" s="17" t="str">
        <f t="shared" si="7"/>
        <v/>
      </c>
      <c r="J427" s="175"/>
      <c r="K427" s="86"/>
    </row>
    <row r="428" spans="3:11" hidden="1" outlineLevel="1">
      <c r="C428" s="190">
        <v>27</v>
      </c>
      <c r="D428" s="74"/>
      <c r="E428" s="75"/>
      <c r="F428" s="76"/>
      <c r="G428" s="74"/>
      <c r="H428" s="171" t="str">
        <f>IF(COUNTA(D428:G428)=COLUMNS(D428:G428), IFERROR('Technical Sheet'!G28, "-"), "-")</f>
        <v>-</v>
      </c>
      <c r="I428" s="17" t="str">
        <f t="shared" si="7"/>
        <v/>
      </c>
      <c r="J428" s="175"/>
      <c r="K428" s="86"/>
    </row>
    <row r="429" spans="3:11" hidden="1" outlineLevel="1">
      <c r="C429" s="190">
        <v>28</v>
      </c>
      <c r="D429" s="74"/>
      <c r="E429" s="75"/>
      <c r="F429" s="76"/>
      <c r="G429" s="74"/>
      <c r="H429" s="171" t="str">
        <f>IF(COUNTA(D429:G429)=COLUMNS(D429:G429), IFERROR('Technical Sheet'!G29, "-"), "-")</f>
        <v>-</v>
      </c>
      <c r="I429" s="17" t="str">
        <f t="shared" si="7"/>
        <v/>
      </c>
      <c r="J429" s="175"/>
      <c r="K429" s="86"/>
    </row>
    <row r="430" spans="3:11" hidden="1" outlineLevel="1">
      <c r="C430" s="191">
        <v>29</v>
      </c>
      <c r="D430" s="74"/>
      <c r="E430" s="75"/>
      <c r="F430" s="76"/>
      <c r="G430" s="74"/>
      <c r="H430" s="171" t="str">
        <f>IF(COUNTA(D430:G430)=COLUMNS(D430:G430), IFERROR('Technical Sheet'!G30, "-"), "-")</f>
        <v>-</v>
      </c>
      <c r="I430" s="17" t="str">
        <f t="shared" si="7"/>
        <v/>
      </c>
      <c r="J430" s="175"/>
      <c r="K430" s="86"/>
    </row>
    <row r="431" spans="3:11" hidden="1" outlineLevel="1">
      <c r="C431" s="190">
        <v>30</v>
      </c>
      <c r="D431" s="74"/>
      <c r="E431" s="75"/>
      <c r="F431" s="76"/>
      <c r="G431" s="74"/>
      <c r="H431" s="171" t="str">
        <f>IF(COUNTA(D431:G431)=COLUMNS(D431:G431), IFERROR('Technical Sheet'!G31, "-"), "-")</f>
        <v>-</v>
      </c>
      <c r="I431" s="17" t="str">
        <f t="shared" si="7"/>
        <v/>
      </c>
      <c r="J431" s="175"/>
      <c r="K431" s="86"/>
    </row>
    <row r="432" spans="3:11" hidden="1" outlineLevel="1">
      <c r="C432" s="190">
        <v>31</v>
      </c>
      <c r="D432" s="74"/>
      <c r="E432" s="75"/>
      <c r="F432" s="76"/>
      <c r="G432" s="74"/>
      <c r="H432" s="171" t="str">
        <f>IF(COUNTA(D432:G432)=COLUMNS(D432:G432), IFERROR('Technical Sheet'!G32, "-"), "-")</f>
        <v>-</v>
      </c>
      <c r="I432" s="17" t="str">
        <f t="shared" si="7"/>
        <v/>
      </c>
      <c r="J432" s="175"/>
      <c r="K432" s="86"/>
    </row>
    <row r="433" spans="3:11" hidden="1" outlineLevel="1">
      <c r="C433" s="191">
        <v>32</v>
      </c>
      <c r="D433" s="74"/>
      <c r="E433" s="75"/>
      <c r="F433" s="76"/>
      <c r="G433" s="74"/>
      <c r="H433" s="171" t="str">
        <f>IF(COUNTA(D433:G433)=COLUMNS(D433:G433), IFERROR('Technical Sheet'!G33, "-"), "-")</f>
        <v>-</v>
      </c>
      <c r="I433" s="17" t="str">
        <f t="shared" si="7"/>
        <v/>
      </c>
      <c r="J433" s="175"/>
      <c r="K433" s="86"/>
    </row>
    <row r="434" spans="3:11" hidden="1" outlineLevel="1">
      <c r="C434" s="190">
        <v>33</v>
      </c>
      <c r="D434" s="74"/>
      <c r="E434" s="75"/>
      <c r="F434" s="76"/>
      <c r="G434" s="74"/>
      <c r="H434" s="171" t="str">
        <f>IF(COUNTA(D434:G434)=COLUMNS(D434:G434), IFERROR('Technical Sheet'!G34, "-"), "-")</f>
        <v>-</v>
      </c>
      <c r="I434" s="17" t="str">
        <f t="shared" si="7"/>
        <v/>
      </c>
      <c r="J434" s="175"/>
      <c r="K434" s="86"/>
    </row>
    <row r="435" spans="3:11" hidden="1" outlineLevel="1">
      <c r="C435" s="190">
        <v>34</v>
      </c>
      <c r="D435" s="74"/>
      <c r="E435" s="75"/>
      <c r="F435" s="76"/>
      <c r="G435" s="74"/>
      <c r="H435" s="171" t="str">
        <f>IF(COUNTA(D435:G435)=COLUMNS(D435:G435), IFERROR('Technical Sheet'!G35, "-"), "-")</f>
        <v>-</v>
      </c>
      <c r="I435" s="17" t="str">
        <f t="shared" ref="I435:I466" si="8">IF(AND(D435&lt;&gt;"", E435&lt;&gt;"", F435&lt;&gt;"", G435&lt;&gt;"", H435&lt;&gt;""), template_label_ok,
    IF(AND(D435="", E435="", F435="", G435="", H435="-"), "",
        template_label_missing_value
    )
)</f>
        <v/>
      </c>
      <c r="J435" s="175"/>
      <c r="K435" s="86"/>
    </row>
    <row r="436" spans="3:11" hidden="1" outlineLevel="1">
      <c r="C436" s="191">
        <v>35</v>
      </c>
      <c r="D436" s="74"/>
      <c r="E436" s="75"/>
      <c r="F436" s="76"/>
      <c r="G436" s="74"/>
      <c r="H436" s="171" t="str">
        <f>IF(COUNTA(D436:G436)=COLUMNS(D436:G436), IFERROR('Technical Sheet'!G36, "-"), "-")</f>
        <v>-</v>
      </c>
      <c r="I436" s="17" t="str">
        <f t="shared" si="8"/>
        <v/>
      </c>
      <c r="J436" s="175"/>
      <c r="K436" s="86"/>
    </row>
    <row r="437" spans="3:11" hidden="1" outlineLevel="1">
      <c r="C437" s="190">
        <v>36</v>
      </c>
      <c r="D437" s="74"/>
      <c r="E437" s="75"/>
      <c r="F437" s="76"/>
      <c r="G437" s="74"/>
      <c r="H437" s="171" t="str">
        <f>IF(COUNTA(D437:G437)=COLUMNS(D437:G437), IFERROR('Technical Sheet'!G37, "-"), "-")</f>
        <v>-</v>
      </c>
      <c r="I437" s="17" t="str">
        <f t="shared" si="8"/>
        <v/>
      </c>
      <c r="J437" s="175"/>
      <c r="K437" s="86"/>
    </row>
    <row r="438" spans="3:11" hidden="1" outlineLevel="1">
      <c r="C438" s="190">
        <v>37</v>
      </c>
      <c r="D438" s="74"/>
      <c r="E438" s="75"/>
      <c r="F438" s="76"/>
      <c r="G438" s="74"/>
      <c r="H438" s="171" t="str">
        <f>IF(COUNTA(D438:G438)=COLUMNS(D438:G438), IFERROR('Technical Sheet'!G38, "-"), "-")</f>
        <v>-</v>
      </c>
      <c r="I438" s="17" t="str">
        <f t="shared" si="8"/>
        <v/>
      </c>
      <c r="J438" s="175"/>
      <c r="K438" s="86"/>
    </row>
    <row r="439" spans="3:11" hidden="1" outlineLevel="1">
      <c r="C439" s="191">
        <v>38</v>
      </c>
      <c r="D439" s="74"/>
      <c r="E439" s="75"/>
      <c r="F439" s="76"/>
      <c r="G439" s="74"/>
      <c r="H439" s="171" t="str">
        <f>IF(COUNTA(D439:G439)=COLUMNS(D439:G439), IFERROR('Technical Sheet'!G39, "-"), "-")</f>
        <v>-</v>
      </c>
      <c r="I439" s="17" t="str">
        <f t="shared" si="8"/>
        <v/>
      </c>
      <c r="J439" s="175"/>
      <c r="K439" s="86"/>
    </row>
    <row r="440" spans="3:11" hidden="1" outlineLevel="1">
      <c r="C440" s="190">
        <v>39</v>
      </c>
      <c r="D440" s="74"/>
      <c r="E440" s="75"/>
      <c r="F440" s="76"/>
      <c r="G440" s="74"/>
      <c r="H440" s="171" t="str">
        <f>IF(COUNTA(D440:G440)=COLUMNS(D440:G440), IFERROR('Technical Sheet'!G40, "-"), "-")</f>
        <v>-</v>
      </c>
      <c r="I440" s="17" t="str">
        <f t="shared" si="8"/>
        <v/>
      </c>
      <c r="J440" s="175"/>
      <c r="K440" s="86"/>
    </row>
    <row r="441" spans="3:11" hidden="1" outlineLevel="1">
      <c r="C441" s="190">
        <v>40</v>
      </c>
      <c r="D441" s="74"/>
      <c r="E441" s="75"/>
      <c r="F441" s="76"/>
      <c r="G441" s="74"/>
      <c r="H441" s="171" t="str">
        <f>IF(COUNTA(D441:G441)=COLUMNS(D441:G441), IFERROR('Technical Sheet'!G41, "-"), "-")</f>
        <v>-</v>
      </c>
      <c r="I441" s="17" t="str">
        <f t="shared" si="8"/>
        <v/>
      </c>
      <c r="J441" s="175"/>
      <c r="K441" s="86"/>
    </row>
    <row r="442" spans="3:11" hidden="1" outlineLevel="1">
      <c r="C442" s="191">
        <v>41</v>
      </c>
      <c r="D442" s="74"/>
      <c r="E442" s="75"/>
      <c r="F442" s="76"/>
      <c r="G442" s="74"/>
      <c r="H442" s="171" t="str">
        <f>IF(COUNTA(D442:G442)=COLUMNS(D442:G442), IFERROR('Technical Sheet'!G42, "-"), "-")</f>
        <v>-</v>
      </c>
      <c r="I442" s="17" t="str">
        <f t="shared" si="8"/>
        <v/>
      </c>
      <c r="J442" s="175"/>
      <c r="K442" s="86"/>
    </row>
    <row r="443" spans="3:11" hidden="1" outlineLevel="1">
      <c r="C443" s="190">
        <v>42</v>
      </c>
      <c r="D443" s="74"/>
      <c r="E443" s="75"/>
      <c r="F443" s="76"/>
      <c r="G443" s="74"/>
      <c r="H443" s="171" t="str">
        <f>IF(COUNTA(D443:G443)=COLUMNS(D443:G443), IFERROR('Technical Sheet'!G43, "-"), "-")</f>
        <v>-</v>
      </c>
      <c r="I443" s="17" t="str">
        <f t="shared" si="8"/>
        <v/>
      </c>
      <c r="J443" s="175"/>
      <c r="K443" s="86"/>
    </row>
    <row r="444" spans="3:11" hidden="1" outlineLevel="1">
      <c r="C444" s="190">
        <v>43</v>
      </c>
      <c r="D444" s="74"/>
      <c r="E444" s="75"/>
      <c r="F444" s="76"/>
      <c r="G444" s="74"/>
      <c r="H444" s="171" t="str">
        <f>IF(COUNTA(D444:G444)=COLUMNS(D444:G444), IFERROR('Technical Sheet'!G44, "-"), "-")</f>
        <v>-</v>
      </c>
      <c r="I444" s="17" t="str">
        <f t="shared" si="8"/>
        <v/>
      </c>
      <c r="J444" s="175"/>
      <c r="K444" s="86"/>
    </row>
    <row r="445" spans="3:11" hidden="1" outlineLevel="1">
      <c r="C445" s="191">
        <v>44</v>
      </c>
      <c r="D445" s="74"/>
      <c r="E445" s="75"/>
      <c r="F445" s="76"/>
      <c r="G445" s="74"/>
      <c r="H445" s="171" t="str">
        <f>IF(COUNTA(D445:G445)=COLUMNS(D445:G445), IFERROR('Technical Sheet'!G45, "-"), "-")</f>
        <v>-</v>
      </c>
      <c r="I445" s="17" t="str">
        <f t="shared" si="8"/>
        <v/>
      </c>
      <c r="J445" s="175"/>
      <c r="K445" s="86"/>
    </row>
    <row r="446" spans="3:11" hidden="1" outlineLevel="1">
      <c r="C446" s="190">
        <v>45</v>
      </c>
      <c r="D446" s="74"/>
      <c r="E446" s="75"/>
      <c r="F446" s="76"/>
      <c r="G446" s="74"/>
      <c r="H446" s="171" t="str">
        <f>IF(COUNTA(D446:G446)=COLUMNS(D446:G446), IFERROR('Technical Sheet'!G46, "-"), "-")</f>
        <v>-</v>
      </c>
      <c r="I446" s="17" t="str">
        <f t="shared" si="8"/>
        <v/>
      </c>
      <c r="J446" s="175"/>
      <c r="K446" s="86"/>
    </row>
    <row r="447" spans="3:11" hidden="1" outlineLevel="1">
      <c r="C447" s="190">
        <v>46</v>
      </c>
      <c r="D447" s="74"/>
      <c r="E447" s="75"/>
      <c r="F447" s="76"/>
      <c r="G447" s="74"/>
      <c r="H447" s="171" t="str">
        <f>IF(COUNTA(D447:G447)=COLUMNS(D447:G447), IFERROR('Technical Sheet'!G47, "-"), "-")</f>
        <v>-</v>
      </c>
      <c r="I447" s="17" t="str">
        <f t="shared" si="8"/>
        <v/>
      </c>
      <c r="J447" s="175"/>
      <c r="K447" s="86"/>
    </row>
    <row r="448" spans="3:11" hidden="1" outlineLevel="1">
      <c r="C448" s="191">
        <v>47</v>
      </c>
      <c r="D448" s="74"/>
      <c r="E448" s="75"/>
      <c r="F448" s="76"/>
      <c r="G448" s="74"/>
      <c r="H448" s="171" t="str">
        <f>IF(COUNTA(D448:G448)=COLUMNS(D448:G448), IFERROR('Technical Sheet'!G48, "-"), "-")</f>
        <v>-</v>
      </c>
      <c r="I448" s="17" t="str">
        <f t="shared" si="8"/>
        <v/>
      </c>
      <c r="J448" s="175"/>
      <c r="K448" s="86"/>
    </row>
    <row r="449" spans="3:11" hidden="1" outlineLevel="1">
      <c r="C449" s="190">
        <v>48</v>
      </c>
      <c r="D449" s="74"/>
      <c r="E449" s="75"/>
      <c r="F449" s="76"/>
      <c r="G449" s="74"/>
      <c r="H449" s="171" t="str">
        <f>IF(COUNTA(D449:G449)=COLUMNS(D449:G449), IFERROR('Technical Sheet'!G49, "-"), "-")</f>
        <v>-</v>
      </c>
      <c r="I449" s="17" t="str">
        <f t="shared" si="8"/>
        <v/>
      </c>
      <c r="J449" s="175"/>
      <c r="K449" s="86"/>
    </row>
    <row r="450" spans="3:11" hidden="1" outlineLevel="1">
      <c r="C450" s="190">
        <v>49</v>
      </c>
      <c r="D450" s="74"/>
      <c r="E450" s="75"/>
      <c r="F450" s="76"/>
      <c r="G450" s="74"/>
      <c r="H450" s="171" t="str">
        <f>IF(COUNTA(D450:G450)=COLUMNS(D450:G450), IFERROR('Technical Sheet'!G50, "-"), "-")</f>
        <v>-</v>
      </c>
      <c r="I450" s="17" t="str">
        <f t="shared" si="8"/>
        <v/>
      </c>
      <c r="J450" s="175"/>
      <c r="K450" s="86"/>
    </row>
    <row r="451" spans="3:11" hidden="1" outlineLevel="1">
      <c r="C451" s="191">
        <v>50</v>
      </c>
      <c r="D451" s="74"/>
      <c r="E451" s="75"/>
      <c r="F451" s="76"/>
      <c r="G451" s="74"/>
      <c r="H451" s="171" t="str">
        <f>IF(COUNTA(D451:G451)=COLUMNS(D451:G451), IFERROR('Technical Sheet'!G51, "-"), "-")</f>
        <v>-</v>
      </c>
      <c r="I451" s="17" t="str">
        <f t="shared" si="8"/>
        <v/>
      </c>
      <c r="J451" s="175"/>
      <c r="K451" s="86"/>
    </row>
    <row r="452" spans="3:11" hidden="1" outlineLevel="1">
      <c r="C452" s="190">
        <v>51</v>
      </c>
      <c r="D452" s="74"/>
      <c r="E452" s="75"/>
      <c r="F452" s="76"/>
      <c r="G452" s="74"/>
      <c r="H452" s="171" t="str">
        <f>IF(COUNTA(D452:G452)=COLUMNS(D452:G452), IFERROR('Technical Sheet'!G52, "-"), "-")</f>
        <v>-</v>
      </c>
      <c r="I452" s="17" t="str">
        <f t="shared" si="8"/>
        <v/>
      </c>
      <c r="J452" s="175"/>
      <c r="K452" s="86"/>
    </row>
    <row r="453" spans="3:11" hidden="1" outlineLevel="1">
      <c r="C453" s="190">
        <v>52</v>
      </c>
      <c r="D453" s="74"/>
      <c r="E453" s="75"/>
      <c r="F453" s="76"/>
      <c r="G453" s="74"/>
      <c r="H453" s="171" t="str">
        <f>IF(COUNTA(D453:G453)=COLUMNS(D453:G453), IFERROR('Technical Sheet'!G53, "-"), "-")</f>
        <v>-</v>
      </c>
      <c r="I453" s="17" t="str">
        <f t="shared" si="8"/>
        <v/>
      </c>
      <c r="J453" s="175"/>
      <c r="K453" s="86"/>
    </row>
    <row r="454" spans="3:11" hidden="1" outlineLevel="1">
      <c r="C454" s="191">
        <v>53</v>
      </c>
      <c r="D454" s="74"/>
      <c r="E454" s="75"/>
      <c r="F454" s="76"/>
      <c r="G454" s="74"/>
      <c r="H454" s="171" t="str">
        <f>IF(COUNTA(D454:G454)=COLUMNS(D454:G454), IFERROR('Technical Sheet'!G54, "-"), "-")</f>
        <v>-</v>
      </c>
      <c r="I454" s="17" t="str">
        <f t="shared" si="8"/>
        <v/>
      </c>
      <c r="J454" s="175"/>
      <c r="K454" s="86"/>
    </row>
    <row r="455" spans="3:11" hidden="1" outlineLevel="1">
      <c r="C455" s="190">
        <v>54</v>
      </c>
      <c r="D455" s="74"/>
      <c r="E455" s="75"/>
      <c r="F455" s="76"/>
      <c r="G455" s="74"/>
      <c r="H455" s="171" t="str">
        <f>IF(COUNTA(D455:G455)=COLUMNS(D455:G455), IFERROR('Technical Sheet'!G55, "-"), "-")</f>
        <v>-</v>
      </c>
      <c r="I455" s="17" t="str">
        <f t="shared" si="8"/>
        <v/>
      </c>
      <c r="J455" s="175"/>
      <c r="K455" s="86"/>
    </row>
    <row r="456" spans="3:11" hidden="1" outlineLevel="1">
      <c r="C456" s="190">
        <v>55</v>
      </c>
      <c r="D456" s="74"/>
      <c r="E456" s="75"/>
      <c r="F456" s="76"/>
      <c r="G456" s="74"/>
      <c r="H456" s="171" t="str">
        <f>IF(COUNTA(D456:G456)=COLUMNS(D456:G456), IFERROR('Technical Sheet'!G56, "-"), "-")</f>
        <v>-</v>
      </c>
      <c r="I456" s="17" t="str">
        <f t="shared" si="8"/>
        <v/>
      </c>
      <c r="J456" s="175"/>
      <c r="K456" s="86"/>
    </row>
    <row r="457" spans="3:11" hidden="1" outlineLevel="1">
      <c r="C457" s="191">
        <v>56</v>
      </c>
      <c r="D457" s="74"/>
      <c r="E457" s="75"/>
      <c r="F457" s="76"/>
      <c r="G457" s="74"/>
      <c r="H457" s="171" t="str">
        <f>IF(COUNTA(D457:G457)=COLUMNS(D457:G457), IFERROR('Technical Sheet'!G57, "-"), "-")</f>
        <v>-</v>
      </c>
      <c r="I457" s="17" t="str">
        <f t="shared" si="8"/>
        <v/>
      </c>
      <c r="J457" s="175"/>
      <c r="K457" s="86"/>
    </row>
    <row r="458" spans="3:11" hidden="1" outlineLevel="1">
      <c r="C458" s="190">
        <v>57</v>
      </c>
      <c r="D458" s="74"/>
      <c r="E458" s="75"/>
      <c r="F458" s="76"/>
      <c r="G458" s="74"/>
      <c r="H458" s="171" t="str">
        <f>IF(COUNTA(D458:G458)=COLUMNS(D458:G458), IFERROR('Technical Sheet'!G58, "-"), "-")</f>
        <v>-</v>
      </c>
      <c r="I458" s="17" t="str">
        <f t="shared" si="8"/>
        <v/>
      </c>
      <c r="J458" s="175"/>
      <c r="K458" s="86"/>
    </row>
    <row r="459" spans="3:11" hidden="1" outlineLevel="1">
      <c r="C459" s="190">
        <v>58</v>
      </c>
      <c r="D459" s="74"/>
      <c r="E459" s="75"/>
      <c r="F459" s="76"/>
      <c r="G459" s="74"/>
      <c r="H459" s="171" t="str">
        <f>IF(COUNTA(D459:G459)=COLUMNS(D459:G459), IFERROR('Technical Sheet'!G59, "-"), "-")</f>
        <v>-</v>
      </c>
      <c r="I459" s="17" t="str">
        <f t="shared" si="8"/>
        <v/>
      </c>
      <c r="J459" s="175"/>
      <c r="K459" s="86"/>
    </row>
    <row r="460" spans="3:11" hidden="1" outlineLevel="1">
      <c r="C460" s="191">
        <v>59</v>
      </c>
      <c r="D460" s="74"/>
      <c r="E460" s="75"/>
      <c r="F460" s="76"/>
      <c r="G460" s="74"/>
      <c r="H460" s="171" t="str">
        <f>IF(COUNTA(D460:G460)=COLUMNS(D460:G460), IFERROR('Technical Sheet'!G60, "-"), "-")</f>
        <v>-</v>
      </c>
      <c r="I460" s="17" t="str">
        <f t="shared" si="8"/>
        <v/>
      </c>
      <c r="J460" s="175"/>
      <c r="K460" s="86"/>
    </row>
    <row r="461" spans="3:11" hidden="1" outlineLevel="1">
      <c r="C461" s="190">
        <v>60</v>
      </c>
      <c r="D461" s="74"/>
      <c r="E461" s="75"/>
      <c r="F461" s="76"/>
      <c r="G461" s="74"/>
      <c r="H461" s="171" t="str">
        <f>IF(COUNTA(D461:G461)=COLUMNS(D461:G461), IFERROR('Technical Sheet'!G61, "-"), "-")</f>
        <v>-</v>
      </c>
      <c r="I461" s="17" t="str">
        <f t="shared" si="8"/>
        <v/>
      </c>
      <c r="J461" s="175"/>
      <c r="K461" s="86"/>
    </row>
    <row r="462" spans="3:11" hidden="1" outlineLevel="1">
      <c r="C462" s="190">
        <v>61</v>
      </c>
      <c r="D462" s="74"/>
      <c r="E462" s="75"/>
      <c r="F462" s="76"/>
      <c r="G462" s="74"/>
      <c r="H462" s="171" t="str">
        <f>IF(COUNTA(D462:G462)=COLUMNS(D462:G462), IFERROR('Technical Sheet'!G62, "-"), "-")</f>
        <v>-</v>
      </c>
      <c r="I462" s="17" t="str">
        <f t="shared" si="8"/>
        <v/>
      </c>
      <c r="J462" s="175"/>
      <c r="K462" s="86"/>
    </row>
    <row r="463" spans="3:11" hidden="1" outlineLevel="1">
      <c r="C463" s="191">
        <v>62</v>
      </c>
      <c r="D463" s="74"/>
      <c r="E463" s="75"/>
      <c r="F463" s="76"/>
      <c r="G463" s="74"/>
      <c r="H463" s="171" t="str">
        <f>IF(COUNTA(D463:G463)=COLUMNS(D463:G463), IFERROR('Technical Sheet'!G63, "-"), "-")</f>
        <v>-</v>
      </c>
      <c r="I463" s="17" t="str">
        <f t="shared" si="8"/>
        <v/>
      </c>
      <c r="J463" s="175"/>
      <c r="K463" s="86"/>
    </row>
    <row r="464" spans="3:11" hidden="1" outlineLevel="1">
      <c r="C464" s="190">
        <v>63</v>
      </c>
      <c r="D464" s="74"/>
      <c r="E464" s="75"/>
      <c r="F464" s="76"/>
      <c r="G464" s="74"/>
      <c r="H464" s="171" t="str">
        <f>IF(COUNTA(D464:G464)=COLUMNS(D464:G464), IFERROR('Technical Sheet'!G64, "-"), "-")</f>
        <v>-</v>
      </c>
      <c r="I464" s="17" t="str">
        <f t="shared" si="8"/>
        <v/>
      </c>
      <c r="J464" s="175"/>
      <c r="K464" s="86"/>
    </row>
    <row r="465" spans="3:11" hidden="1" outlineLevel="1">
      <c r="C465" s="190">
        <v>64</v>
      </c>
      <c r="D465" s="74"/>
      <c r="E465" s="75"/>
      <c r="F465" s="76"/>
      <c r="G465" s="74"/>
      <c r="H465" s="171" t="str">
        <f>IF(COUNTA(D465:G465)=COLUMNS(D465:G465), IFERROR('Technical Sheet'!G65, "-"), "-")</f>
        <v>-</v>
      </c>
      <c r="I465" s="17" t="str">
        <f t="shared" si="8"/>
        <v/>
      </c>
      <c r="J465" s="175"/>
      <c r="K465" s="86"/>
    </row>
    <row r="466" spans="3:11" hidden="1" outlineLevel="1">
      <c r="C466" s="191">
        <v>65</v>
      </c>
      <c r="D466" s="74"/>
      <c r="E466" s="75"/>
      <c r="F466" s="76"/>
      <c r="G466" s="74"/>
      <c r="H466" s="171" t="str">
        <f>IF(COUNTA(D466:G466)=COLUMNS(D466:G466), IFERROR('Technical Sheet'!G66, "-"), "-")</f>
        <v>-</v>
      </c>
      <c r="I466" s="17" t="str">
        <f t="shared" si="8"/>
        <v/>
      </c>
      <c r="J466" s="175"/>
      <c r="K466" s="86"/>
    </row>
    <row r="467" spans="3:11" hidden="1" outlineLevel="1">
      <c r="C467" s="190">
        <v>66</v>
      </c>
      <c r="D467" s="74"/>
      <c r="E467" s="75"/>
      <c r="F467" s="76"/>
      <c r="G467" s="74"/>
      <c r="H467" s="171" t="str">
        <f>IF(COUNTA(D467:G467)=COLUMNS(D467:G467), IFERROR('Technical Sheet'!G67, "-"), "-")</f>
        <v>-</v>
      </c>
      <c r="I467" s="17" t="str">
        <f t="shared" ref="I467:I498" si="9">IF(AND(D467&lt;&gt;"", E467&lt;&gt;"", F467&lt;&gt;"", G467&lt;&gt;"", H467&lt;&gt;""), template_label_ok,
    IF(AND(D467="", E467="", F467="", G467="", H467="-"), "",
        template_label_missing_value
    )
)</f>
        <v/>
      </c>
      <c r="J467" s="175"/>
      <c r="K467" s="86"/>
    </row>
    <row r="468" spans="3:11" hidden="1" outlineLevel="1">
      <c r="C468" s="190">
        <v>67</v>
      </c>
      <c r="D468" s="74"/>
      <c r="E468" s="75"/>
      <c r="F468" s="76"/>
      <c r="G468" s="74"/>
      <c r="H468" s="171" t="str">
        <f>IF(COUNTA(D468:G468)=COLUMNS(D468:G468), IFERROR('Technical Sheet'!G68, "-"), "-")</f>
        <v>-</v>
      </c>
      <c r="I468" s="17" t="str">
        <f t="shared" si="9"/>
        <v/>
      </c>
      <c r="J468" s="175"/>
      <c r="K468" s="86"/>
    </row>
    <row r="469" spans="3:11" hidden="1" outlineLevel="1">
      <c r="C469" s="191">
        <v>68</v>
      </c>
      <c r="D469" s="74"/>
      <c r="E469" s="75"/>
      <c r="F469" s="76"/>
      <c r="G469" s="74"/>
      <c r="H469" s="171" t="str">
        <f>IF(COUNTA(D469:G469)=COLUMNS(D469:G469), IFERROR('Technical Sheet'!G69, "-"), "-")</f>
        <v>-</v>
      </c>
      <c r="I469" s="17" t="str">
        <f t="shared" si="9"/>
        <v/>
      </c>
      <c r="J469" s="175"/>
      <c r="K469" s="86"/>
    </row>
    <row r="470" spans="3:11" hidden="1" outlineLevel="1">
      <c r="C470" s="190">
        <v>69</v>
      </c>
      <c r="D470" s="74"/>
      <c r="E470" s="75"/>
      <c r="F470" s="76"/>
      <c r="G470" s="74"/>
      <c r="H470" s="171" t="str">
        <f>IF(COUNTA(D470:G470)=COLUMNS(D470:G470), IFERROR('Technical Sheet'!G70, "-"), "-")</f>
        <v>-</v>
      </c>
      <c r="I470" s="17" t="str">
        <f t="shared" si="9"/>
        <v/>
      </c>
      <c r="J470" s="175"/>
      <c r="K470" s="86"/>
    </row>
    <row r="471" spans="3:11" hidden="1" outlineLevel="1">
      <c r="C471" s="190">
        <v>70</v>
      </c>
      <c r="D471" s="74"/>
      <c r="E471" s="75"/>
      <c r="F471" s="76"/>
      <c r="G471" s="74"/>
      <c r="H471" s="171" t="str">
        <f>IF(COUNTA(D471:G471)=COLUMNS(D471:G471), IFERROR('Technical Sheet'!G71, "-"), "-")</f>
        <v>-</v>
      </c>
      <c r="I471" s="17" t="str">
        <f t="shared" si="9"/>
        <v/>
      </c>
      <c r="J471" s="175"/>
      <c r="K471" s="86"/>
    </row>
    <row r="472" spans="3:11" hidden="1" outlineLevel="1">
      <c r="C472" s="191">
        <v>71</v>
      </c>
      <c r="D472" s="74"/>
      <c r="E472" s="75"/>
      <c r="F472" s="76"/>
      <c r="G472" s="74"/>
      <c r="H472" s="171" t="str">
        <f>IF(COUNTA(D472:G472)=COLUMNS(D472:G472), IFERROR('Technical Sheet'!G72, "-"), "-")</f>
        <v>-</v>
      </c>
      <c r="I472" s="17" t="str">
        <f t="shared" si="9"/>
        <v/>
      </c>
      <c r="J472" s="175"/>
      <c r="K472" s="86"/>
    </row>
    <row r="473" spans="3:11" hidden="1" outlineLevel="1">
      <c r="C473" s="190">
        <v>72</v>
      </c>
      <c r="D473" s="74"/>
      <c r="E473" s="75"/>
      <c r="F473" s="76"/>
      <c r="G473" s="74"/>
      <c r="H473" s="171" t="str">
        <f>IF(COUNTA(D473:G473)=COLUMNS(D473:G473), IFERROR('Technical Sheet'!G73, "-"), "-")</f>
        <v>-</v>
      </c>
      <c r="I473" s="17" t="str">
        <f t="shared" si="9"/>
        <v/>
      </c>
      <c r="J473" s="175"/>
      <c r="K473" s="86"/>
    </row>
    <row r="474" spans="3:11" hidden="1" outlineLevel="1">
      <c r="C474" s="190">
        <v>73</v>
      </c>
      <c r="D474" s="74"/>
      <c r="E474" s="75"/>
      <c r="F474" s="76"/>
      <c r="G474" s="74"/>
      <c r="H474" s="171" t="str">
        <f>IF(COUNTA(D474:G474)=COLUMNS(D474:G474), IFERROR('Technical Sheet'!G74, "-"), "-")</f>
        <v>-</v>
      </c>
      <c r="I474" s="17" t="str">
        <f t="shared" si="9"/>
        <v/>
      </c>
      <c r="J474" s="175"/>
      <c r="K474" s="86"/>
    </row>
    <row r="475" spans="3:11" hidden="1" outlineLevel="1">
      <c r="C475" s="191">
        <v>74</v>
      </c>
      <c r="D475" s="74"/>
      <c r="E475" s="75"/>
      <c r="F475" s="76"/>
      <c r="G475" s="74"/>
      <c r="H475" s="171" t="str">
        <f>IF(COUNTA(D475:G475)=COLUMNS(D475:G475), IFERROR('Technical Sheet'!G75, "-"), "-")</f>
        <v>-</v>
      </c>
      <c r="I475" s="17" t="str">
        <f t="shared" si="9"/>
        <v/>
      </c>
      <c r="J475" s="175"/>
      <c r="K475" s="86"/>
    </row>
    <row r="476" spans="3:11" hidden="1" outlineLevel="1">
      <c r="C476" s="190">
        <v>75</v>
      </c>
      <c r="D476" s="74"/>
      <c r="E476" s="75"/>
      <c r="F476" s="76"/>
      <c r="G476" s="74"/>
      <c r="H476" s="171" t="str">
        <f>IF(COUNTA(D476:G476)=COLUMNS(D476:G476), IFERROR('Technical Sheet'!G76, "-"), "-")</f>
        <v>-</v>
      </c>
      <c r="I476" s="17" t="str">
        <f t="shared" si="9"/>
        <v/>
      </c>
      <c r="J476" s="175"/>
      <c r="K476" s="86"/>
    </row>
    <row r="477" spans="3:11" hidden="1" outlineLevel="1">
      <c r="C477" s="190">
        <v>76</v>
      </c>
      <c r="D477" s="74"/>
      <c r="E477" s="75"/>
      <c r="F477" s="76"/>
      <c r="G477" s="74"/>
      <c r="H477" s="171" t="str">
        <f>IF(COUNTA(D477:G477)=COLUMNS(D477:G477), IFERROR('Technical Sheet'!G77, "-"), "-")</f>
        <v>-</v>
      </c>
      <c r="I477" s="17" t="str">
        <f t="shared" si="9"/>
        <v/>
      </c>
      <c r="J477" s="175"/>
      <c r="K477" s="86"/>
    </row>
    <row r="478" spans="3:11" hidden="1" outlineLevel="1">
      <c r="C478" s="191">
        <v>77</v>
      </c>
      <c r="D478" s="74"/>
      <c r="E478" s="75"/>
      <c r="F478" s="76"/>
      <c r="G478" s="74"/>
      <c r="H478" s="171" t="str">
        <f>IF(COUNTA(D478:G478)=COLUMNS(D478:G478), IFERROR('Technical Sheet'!G78, "-"), "-")</f>
        <v>-</v>
      </c>
      <c r="I478" s="17" t="str">
        <f t="shared" si="9"/>
        <v/>
      </c>
      <c r="J478" s="175"/>
      <c r="K478" s="86"/>
    </row>
    <row r="479" spans="3:11" hidden="1" outlineLevel="1">
      <c r="C479" s="190">
        <v>78</v>
      </c>
      <c r="D479" s="74"/>
      <c r="E479" s="75"/>
      <c r="F479" s="76"/>
      <c r="G479" s="74"/>
      <c r="H479" s="171" t="str">
        <f>IF(COUNTA(D479:G479)=COLUMNS(D479:G479), IFERROR('Technical Sheet'!G79, "-"), "-")</f>
        <v>-</v>
      </c>
      <c r="I479" s="17" t="str">
        <f t="shared" si="9"/>
        <v/>
      </c>
      <c r="J479" s="175"/>
      <c r="K479" s="86"/>
    </row>
    <row r="480" spans="3:11" hidden="1" outlineLevel="1">
      <c r="C480" s="190">
        <v>79</v>
      </c>
      <c r="D480" s="74"/>
      <c r="E480" s="75"/>
      <c r="F480" s="76"/>
      <c r="G480" s="74"/>
      <c r="H480" s="171" t="str">
        <f>IF(COUNTA(D480:G480)=COLUMNS(D480:G480), IFERROR('Technical Sheet'!G80, "-"), "-")</f>
        <v>-</v>
      </c>
      <c r="I480" s="17" t="str">
        <f t="shared" si="9"/>
        <v/>
      </c>
      <c r="J480" s="175"/>
      <c r="K480" s="86"/>
    </row>
    <row r="481" spans="3:11" hidden="1" outlineLevel="1">
      <c r="C481" s="191">
        <v>80</v>
      </c>
      <c r="D481" s="74"/>
      <c r="E481" s="75"/>
      <c r="F481" s="76"/>
      <c r="G481" s="74"/>
      <c r="H481" s="171" t="str">
        <f>IF(COUNTA(D481:G481)=COLUMNS(D481:G481), IFERROR('Technical Sheet'!G81, "-"), "-")</f>
        <v>-</v>
      </c>
      <c r="I481" s="17" t="str">
        <f t="shared" si="9"/>
        <v/>
      </c>
      <c r="J481" s="175"/>
      <c r="K481" s="86"/>
    </row>
    <row r="482" spans="3:11" hidden="1" outlineLevel="1">
      <c r="C482" s="190">
        <v>81</v>
      </c>
      <c r="D482" s="74"/>
      <c r="E482" s="75"/>
      <c r="F482" s="76"/>
      <c r="G482" s="74"/>
      <c r="H482" s="171" t="str">
        <f>IF(COUNTA(D482:G482)=COLUMNS(D482:G482), IFERROR('Technical Sheet'!G82, "-"), "-")</f>
        <v>-</v>
      </c>
      <c r="I482" s="17" t="str">
        <f t="shared" si="9"/>
        <v/>
      </c>
      <c r="J482" s="175"/>
      <c r="K482" s="86"/>
    </row>
    <row r="483" spans="3:11" hidden="1" outlineLevel="1">
      <c r="C483" s="190">
        <v>82</v>
      </c>
      <c r="D483" s="74"/>
      <c r="E483" s="75"/>
      <c r="F483" s="76"/>
      <c r="G483" s="74"/>
      <c r="H483" s="171" t="str">
        <f>IF(COUNTA(D483:G483)=COLUMNS(D483:G483), IFERROR('Technical Sheet'!G83, "-"), "-")</f>
        <v>-</v>
      </c>
      <c r="I483" s="17" t="str">
        <f t="shared" si="9"/>
        <v/>
      </c>
      <c r="J483" s="175"/>
      <c r="K483" s="86"/>
    </row>
    <row r="484" spans="3:11" hidden="1" outlineLevel="1">
      <c r="C484" s="191">
        <v>83</v>
      </c>
      <c r="D484" s="74"/>
      <c r="E484" s="75"/>
      <c r="F484" s="76"/>
      <c r="G484" s="74"/>
      <c r="H484" s="171" t="str">
        <f>IF(COUNTA(D484:G484)=COLUMNS(D484:G484), IFERROR('Technical Sheet'!G84, "-"), "-")</f>
        <v>-</v>
      </c>
      <c r="I484" s="17" t="str">
        <f t="shared" si="9"/>
        <v/>
      </c>
      <c r="J484" s="175"/>
      <c r="K484" s="86"/>
    </row>
    <row r="485" spans="3:11" hidden="1" outlineLevel="1">
      <c r="C485" s="190">
        <v>84</v>
      </c>
      <c r="D485" s="74"/>
      <c r="E485" s="75"/>
      <c r="F485" s="76"/>
      <c r="G485" s="74"/>
      <c r="H485" s="171" t="str">
        <f>IF(COUNTA(D485:G485)=COLUMNS(D485:G485), IFERROR('Technical Sheet'!G85, "-"), "-")</f>
        <v>-</v>
      </c>
      <c r="I485" s="17" t="str">
        <f t="shared" si="9"/>
        <v/>
      </c>
      <c r="J485" s="175"/>
      <c r="K485" s="86"/>
    </row>
    <row r="486" spans="3:11" hidden="1" outlineLevel="1">
      <c r="C486" s="190">
        <v>85</v>
      </c>
      <c r="D486" s="74"/>
      <c r="E486" s="75"/>
      <c r="F486" s="76"/>
      <c r="G486" s="74"/>
      <c r="H486" s="171" t="str">
        <f>IF(COUNTA(D486:G486)=COLUMNS(D486:G486), IFERROR('Technical Sheet'!G86, "-"), "-")</f>
        <v>-</v>
      </c>
      <c r="I486" s="17" t="str">
        <f t="shared" si="9"/>
        <v/>
      </c>
      <c r="J486" s="175"/>
      <c r="K486" s="86"/>
    </row>
    <row r="487" spans="3:11" hidden="1" outlineLevel="1">
      <c r="C487" s="191">
        <v>86</v>
      </c>
      <c r="D487" s="74"/>
      <c r="E487" s="75"/>
      <c r="F487" s="76"/>
      <c r="G487" s="74"/>
      <c r="H487" s="171" t="str">
        <f>IF(COUNTA(D487:G487)=COLUMNS(D487:G487), IFERROR('Technical Sheet'!G87, "-"), "-")</f>
        <v>-</v>
      </c>
      <c r="I487" s="17" t="str">
        <f t="shared" si="9"/>
        <v/>
      </c>
      <c r="J487" s="175"/>
      <c r="K487" s="86"/>
    </row>
    <row r="488" spans="3:11" hidden="1" outlineLevel="1">
      <c r="C488" s="190">
        <v>87</v>
      </c>
      <c r="D488" s="74"/>
      <c r="E488" s="75"/>
      <c r="F488" s="76"/>
      <c r="G488" s="74"/>
      <c r="H488" s="171" t="str">
        <f>IF(COUNTA(D488:G488)=COLUMNS(D488:G488), IFERROR('Technical Sheet'!G88, "-"), "-")</f>
        <v>-</v>
      </c>
      <c r="I488" s="17" t="str">
        <f t="shared" si="9"/>
        <v/>
      </c>
      <c r="J488" s="175"/>
      <c r="K488" s="86"/>
    </row>
    <row r="489" spans="3:11" hidden="1" outlineLevel="1">
      <c r="C489" s="190">
        <v>88</v>
      </c>
      <c r="D489" s="74"/>
      <c r="E489" s="75"/>
      <c r="F489" s="76"/>
      <c r="G489" s="74"/>
      <c r="H489" s="171" t="str">
        <f>IF(COUNTA(D489:G489)=COLUMNS(D489:G489), IFERROR('Technical Sheet'!G89, "-"), "-")</f>
        <v>-</v>
      </c>
      <c r="I489" s="17" t="str">
        <f t="shared" si="9"/>
        <v/>
      </c>
      <c r="J489" s="175"/>
      <c r="K489" s="86"/>
    </row>
    <row r="490" spans="3:11" hidden="1" outlineLevel="1">
      <c r="C490" s="191">
        <v>89</v>
      </c>
      <c r="D490" s="74"/>
      <c r="E490" s="75"/>
      <c r="F490" s="76"/>
      <c r="G490" s="74"/>
      <c r="H490" s="171" t="str">
        <f>IF(COUNTA(D490:G490)=COLUMNS(D490:G490), IFERROR('Technical Sheet'!G90, "-"), "-")</f>
        <v>-</v>
      </c>
      <c r="I490" s="17" t="str">
        <f t="shared" si="9"/>
        <v/>
      </c>
      <c r="J490" s="175"/>
      <c r="K490" s="86"/>
    </row>
    <row r="491" spans="3:11" hidden="1" outlineLevel="1">
      <c r="C491" s="190">
        <v>90</v>
      </c>
      <c r="D491" s="74"/>
      <c r="E491" s="75"/>
      <c r="F491" s="76"/>
      <c r="G491" s="74"/>
      <c r="H491" s="171" t="str">
        <f>IF(COUNTA(D491:G491)=COLUMNS(D491:G491), IFERROR('Technical Sheet'!G91, "-"), "-")</f>
        <v>-</v>
      </c>
      <c r="I491" s="17" t="str">
        <f t="shared" si="9"/>
        <v/>
      </c>
      <c r="J491" s="175"/>
      <c r="K491" s="86"/>
    </row>
    <row r="492" spans="3:11" hidden="1" outlineLevel="1">
      <c r="C492" s="190">
        <v>91</v>
      </c>
      <c r="D492" s="74"/>
      <c r="E492" s="75"/>
      <c r="F492" s="76"/>
      <c r="G492" s="74"/>
      <c r="H492" s="171" t="str">
        <f>IF(COUNTA(D492:G492)=COLUMNS(D492:G492), IFERROR('Technical Sheet'!G92, "-"), "-")</f>
        <v>-</v>
      </c>
      <c r="I492" s="17" t="str">
        <f t="shared" si="9"/>
        <v/>
      </c>
      <c r="J492" s="175"/>
      <c r="K492" s="86"/>
    </row>
    <row r="493" spans="3:11" hidden="1" outlineLevel="1">
      <c r="C493" s="191">
        <v>92</v>
      </c>
      <c r="D493" s="74"/>
      <c r="E493" s="75"/>
      <c r="F493" s="76"/>
      <c r="G493" s="74"/>
      <c r="H493" s="171" t="str">
        <f>IF(COUNTA(D493:G493)=COLUMNS(D493:G493), IFERROR('Technical Sheet'!G93, "-"), "-")</f>
        <v>-</v>
      </c>
      <c r="I493" s="17" t="str">
        <f t="shared" si="9"/>
        <v/>
      </c>
      <c r="J493" s="175"/>
      <c r="K493" s="86"/>
    </row>
    <row r="494" spans="3:11" hidden="1" outlineLevel="1">
      <c r="C494" s="190">
        <v>93</v>
      </c>
      <c r="D494" s="74"/>
      <c r="E494" s="75"/>
      <c r="F494" s="76"/>
      <c r="G494" s="74"/>
      <c r="H494" s="171" t="str">
        <f>IF(COUNTA(D494:G494)=COLUMNS(D494:G494), IFERROR('Technical Sheet'!G94, "-"), "-")</f>
        <v>-</v>
      </c>
      <c r="I494" s="17" t="str">
        <f t="shared" si="9"/>
        <v/>
      </c>
      <c r="J494" s="175"/>
      <c r="K494" s="86"/>
    </row>
    <row r="495" spans="3:11" hidden="1" outlineLevel="1">
      <c r="C495" s="190">
        <v>94</v>
      </c>
      <c r="D495" s="74"/>
      <c r="E495" s="75"/>
      <c r="F495" s="76"/>
      <c r="G495" s="74"/>
      <c r="H495" s="171" t="str">
        <f>IF(COUNTA(D495:G495)=COLUMNS(D495:G495), IFERROR('Technical Sheet'!G95, "-"), "-")</f>
        <v>-</v>
      </c>
      <c r="I495" s="17" t="str">
        <f t="shared" si="9"/>
        <v/>
      </c>
      <c r="J495" s="175"/>
      <c r="K495" s="86"/>
    </row>
    <row r="496" spans="3:11" hidden="1" outlineLevel="1">
      <c r="C496" s="191">
        <v>95</v>
      </c>
      <c r="D496" s="74"/>
      <c r="E496" s="75"/>
      <c r="F496" s="76"/>
      <c r="G496" s="74"/>
      <c r="H496" s="171" t="str">
        <f>IF(COUNTA(D496:G496)=COLUMNS(D496:G496), IFERROR('Technical Sheet'!G96, "-"), "-")</f>
        <v>-</v>
      </c>
      <c r="I496" s="17" t="str">
        <f t="shared" si="9"/>
        <v/>
      </c>
      <c r="J496" s="175"/>
      <c r="K496" s="86"/>
    </row>
    <row r="497" spans="3:17" hidden="1" outlineLevel="1">
      <c r="C497" s="190">
        <v>96</v>
      </c>
      <c r="D497" s="74"/>
      <c r="E497" s="75"/>
      <c r="F497" s="76"/>
      <c r="G497" s="74"/>
      <c r="H497" s="171" t="str">
        <f>IF(COUNTA(D497:G497)=COLUMNS(D497:G497), IFERROR('Technical Sheet'!G97, "-"), "-")</f>
        <v>-</v>
      </c>
      <c r="I497" s="17" t="str">
        <f t="shared" si="9"/>
        <v/>
      </c>
      <c r="J497" s="175"/>
      <c r="K497" s="86"/>
    </row>
    <row r="498" spans="3:17" hidden="1" outlineLevel="1">
      <c r="C498" s="190">
        <v>97</v>
      </c>
      <c r="D498" s="74"/>
      <c r="E498" s="75"/>
      <c r="F498" s="76"/>
      <c r="G498" s="74"/>
      <c r="H498" s="171" t="str">
        <f>IF(COUNTA(D498:G498)=COLUMNS(D498:G498), IFERROR('Technical Sheet'!G98, "-"), "-")</f>
        <v>-</v>
      </c>
      <c r="I498" s="17" t="str">
        <f t="shared" si="9"/>
        <v/>
      </c>
      <c r="J498" s="175"/>
      <c r="K498" s="86"/>
    </row>
    <row r="499" spans="3:17" hidden="1" outlineLevel="1">
      <c r="C499" s="191">
        <v>98</v>
      </c>
      <c r="D499" s="74"/>
      <c r="E499" s="75"/>
      <c r="F499" s="76"/>
      <c r="G499" s="74"/>
      <c r="H499" s="171" t="str">
        <f>IF(COUNTA(D499:G499)=COLUMNS(D499:G499), IFERROR('Technical Sheet'!G99, "-"), "-")</f>
        <v>-</v>
      </c>
      <c r="I499" s="17" t="str">
        <f t="shared" ref="I499:I501" si="10">IF(AND(D499&lt;&gt;"", E499&lt;&gt;"", F499&lt;&gt;"", G499&lt;&gt;"", H499&lt;&gt;""), template_label_ok,
    IF(AND(D499="", E499="", F499="", G499="", H499="-"), "",
        template_label_missing_value
    )
)</f>
        <v/>
      </c>
      <c r="J499" s="175"/>
      <c r="K499" s="86"/>
    </row>
    <row r="500" spans="3:17" hidden="1" outlineLevel="1">
      <c r="C500" s="190">
        <v>99</v>
      </c>
      <c r="D500" s="74"/>
      <c r="E500" s="75"/>
      <c r="F500" s="76"/>
      <c r="G500" s="74"/>
      <c r="H500" s="171" t="str">
        <f>IF(COUNTA(D500:G500)=COLUMNS(D500:G500), IFERROR('Technical Sheet'!G100, "-"), "-")</f>
        <v>-</v>
      </c>
      <c r="I500" s="17" t="str">
        <f t="shared" si="10"/>
        <v/>
      </c>
      <c r="J500" s="175" t="str">
        <f>IF(AND(D500&lt;&gt;"", E500&lt;&gt;"", F500&lt;&gt;"", G500&lt;&gt;""),
    IFERROR(HYPERLINK("https://www.openstreetmap.org/search?lat=" &amp; 'Technical Sheet'!#REF! &amp; "&amp;lon=" &amp; 'Technical Sheet'!#REF!, "OpenStreetMap Link"),
    ""),
"")</f>
        <v/>
      </c>
      <c r="K500" s="86" t="str">
        <f>LOWER(SUBSTITUTE(D500," ","+" )) &amp; "+" &amp; LOWER(SUBSTITUTE(E500," ","+" )) &amp; "+" &amp; LOWER(SUBSTITUTE(F500," ","+" )) &amp; "+" &amp; LOWER(SUBSTITUTE(G500," ","+" )) &amp; "+"</f>
        <v>++++</v>
      </c>
    </row>
    <row r="501" spans="3:17" ht="15" hidden="1" outlineLevel="1" thickBot="1">
      <c r="C501" s="192">
        <v>100</v>
      </c>
      <c r="D501" s="71"/>
      <c r="E501" s="72"/>
      <c r="F501" s="73"/>
      <c r="G501" s="71"/>
      <c r="H501" s="334" t="str">
        <f>IF(COUNTA(D501:G501)=COLUMNS(D501:G501), IFERROR('Technical Sheet'!G101, "-"), "-")</f>
        <v>-</v>
      </c>
      <c r="I501" s="17" t="str">
        <f t="shared" si="10"/>
        <v/>
      </c>
      <c r="J501" s="175" t="str">
        <f>IF(AND(D501&lt;&gt;"", E501&lt;&gt;"", F501&lt;&gt;"", G501&lt;&gt;""),
    IFERROR(HYPERLINK("https://www.openstreetmap.org/search?lat=" &amp; 'Technical Sheet'!#REF! &amp; "&amp;lon=" &amp; 'Technical Sheet'!#REF!, "OpenStreetMap Link"),
    ""),
"")</f>
        <v/>
      </c>
      <c r="K501" s="86" t="str">
        <f>LOWER(SUBSTITUTE(D501," ","+" )) &amp; "+" &amp; LOWER(SUBSTITUTE(E501," ","+" )) &amp; "+" &amp; LOWER(SUBSTITUTE(F501," ","+" )) &amp; "+" &amp; LOWER(SUBSTITUTE(G501," ","+" )) &amp; "+"</f>
        <v>++++</v>
      </c>
    </row>
    <row r="502" spans="3:17" ht="15" customHeight="1" collapsed="1" thickBot="1"/>
    <row r="503" spans="3:17" ht="38.1" customHeight="1" thickBot="1">
      <c r="C503" s="727" t="str">
        <f xml:space="preserve"> template_label_b2_practices_policies_and_future_initiatives_for_transitioning_towards_a_more_sustainable_economy &amp; " " &amp; template_label_from &amp; " " &amp; template_starting_date_display &amp; " " &amp; template_label_to &amp; " " &amp; template_ending_date_display</f>
        <v>B2 - Practices, policies and future initiatives for transitioning towards a more sustainable economy from - to -</v>
      </c>
      <c r="D503" s="727"/>
      <c r="E503" s="727"/>
      <c r="F503" s="727"/>
      <c r="G503" s="727"/>
      <c r="H503" s="727"/>
      <c r="I503" s="727"/>
      <c r="J503" s="727"/>
      <c r="K503" s="727"/>
      <c r="L503" s="727"/>
      <c r="M503" s="727"/>
      <c r="N503" s="727"/>
      <c r="O503" s="728"/>
    </row>
    <row r="504" spans="3:17" s="10" customFormat="1">
      <c r="C504" s="702" t="s">
        <v>28</v>
      </c>
      <c r="D504" s="702"/>
      <c r="E504" s="702"/>
      <c r="F504" s="702"/>
      <c r="G504" s="702"/>
      <c r="H504" s="702"/>
      <c r="I504" s="702"/>
      <c r="J504" s="702"/>
      <c r="K504" s="702"/>
      <c r="L504" s="702"/>
      <c r="M504" s="702"/>
      <c r="N504" s="702"/>
      <c r="O504" s="703"/>
      <c r="P504"/>
      <c r="Q504"/>
    </row>
    <row r="505" spans="3:17">
      <c r="C505" s="718"/>
      <c r="D505" s="722"/>
      <c r="E505" s="722"/>
      <c r="F505" s="722"/>
      <c r="G505" s="722"/>
      <c r="H505" s="722"/>
      <c r="I505" s="722"/>
      <c r="J505" s="722"/>
      <c r="K505" s="722"/>
      <c r="L505" s="722"/>
      <c r="M505" s="722"/>
      <c r="N505" s="722"/>
      <c r="O505" s="723"/>
    </row>
    <row r="506" spans="3:17" ht="14.4" customHeight="1">
      <c r="C506" s="783" t="str">
        <f>template_label_has_the_undertaking_put_in_place_specific_practices_policies_and_or_future</f>
        <v>Has the undertaking put in place specific practices policies and or future initiatives for transitioning towards a more sustainable economy?</v>
      </c>
      <c r="D506" s="729" t="str">
        <f>template_label_sustainability_issues_addressed_by_a_practice_policy_and_or_future_initiatives_put_in_place</f>
        <v>Sustainability issues addressed by a practice policy and or future initiatives that the undertaking has put in place</v>
      </c>
      <c r="E506" s="729"/>
      <c r="F506" s="729"/>
      <c r="G506" s="729"/>
      <c r="H506" s="729"/>
      <c r="I506" s="729"/>
      <c r="J506" s="729"/>
      <c r="K506" s="729"/>
      <c r="L506" s="729"/>
      <c r="M506" s="729"/>
      <c r="N506" s="729" t="str">
        <f>template_label_undertaking_has_a_practice_policy_and_or_future_initiative_that_is_publicly_available</f>
        <v>Undertaking has a practice policy and or future initiative that is publicly available</v>
      </c>
      <c r="O506" s="730" t="str">
        <f>template_label_undertaking_has_set_a_target_which_is_related_to_a_policy</f>
        <v>Undertaking has set a target which is related to a policy</v>
      </c>
    </row>
    <row r="507" spans="3:17" ht="41.4" customHeight="1">
      <c r="C507" s="783"/>
      <c r="D507" s="78" t="str">
        <f>template_label_climate_change</f>
        <v>Climate change</v>
      </c>
      <c r="E507" s="78" t="str">
        <f>template_label_pollution</f>
        <v>Pollution</v>
      </c>
      <c r="F507" s="78" t="str">
        <f>template_label_water_and_marine_resources</f>
        <v>Water and marine resources</v>
      </c>
      <c r="G507" s="78" t="str">
        <f>template_label_biodiversity_and_ecosystems</f>
        <v>Biodiversity and ecosystems</v>
      </c>
      <c r="H507" s="78" t="str">
        <f>template_label_circular_economy_and_resource_use</f>
        <v>Circular economy and Resource Use</v>
      </c>
      <c r="I507" s="78" t="str">
        <f>template_label_own_workforce</f>
        <v>Own workforce</v>
      </c>
      <c r="J507" s="78" t="str">
        <f>template_label_workers_in_the_value_chain</f>
        <v>Workers in the value chain</v>
      </c>
      <c r="K507" s="78" t="str">
        <f>template_label_affected_communities</f>
        <v>Affected communities</v>
      </c>
      <c r="L507" s="78" t="str">
        <f>template_label_consumers_and_endusers_validation</f>
        <v>Consumers and end-users</v>
      </c>
      <c r="M507" s="78" t="str">
        <f>template_label_business_conduct</f>
        <v>Business conduct</v>
      </c>
      <c r="N507" s="729"/>
      <c r="O507" s="730"/>
    </row>
    <row r="508" spans="3:17" ht="15" thickBot="1">
      <c r="C508" s="170" t="b">
        <v>0</v>
      </c>
      <c r="D508" s="169" t="b">
        <v>0</v>
      </c>
      <c r="E508" s="169" t="b">
        <v>0</v>
      </c>
      <c r="F508" s="169" t="b">
        <v>0</v>
      </c>
      <c r="G508" s="169" t="b">
        <v>0</v>
      </c>
      <c r="H508" s="169" t="b">
        <v>0</v>
      </c>
      <c r="I508" s="169" t="b">
        <v>0</v>
      </c>
      <c r="J508" s="169" t="b">
        <v>0</v>
      </c>
      <c r="K508" s="169" t="b">
        <v>0</v>
      </c>
      <c r="L508" s="169" t="b">
        <v>0</v>
      </c>
      <c r="M508" s="169" t="b">
        <v>0</v>
      </c>
      <c r="N508" s="453"/>
      <c r="O508" s="454"/>
      <c r="P508" s="16" t="str">
        <f>IF(C508=TRUE, IF(COUNTIF(D508:M508, TRUE)&gt;0, template_label_ok, template_label_missing_value), "")</f>
        <v/>
      </c>
    </row>
    <row r="509" spans="3:17" ht="57.6" customHeight="1" thickBot="1">
      <c r="F509"/>
    </row>
    <row r="510" spans="3:17" ht="15" thickBot="1">
      <c r="C510" s="784" t="str">
        <f xml:space="preserve"> template_label_disclosure_part_of_vs_guidance &amp; " " &amp; template_label_b2_cooperative_specific_disclosures &amp; " " &amp; template_label_from &amp; " " &amp; template_starting_date_display &amp; " " &amp; template_label_to &amp; " " &amp; template_ending_date_display</f>
        <v>[Disclosure stemming from EFRAG non-mandatory guidance] B2 - Cooperative specific disclosures from - to -</v>
      </c>
      <c r="D510" s="785"/>
      <c r="F510"/>
    </row>
    <row r="511" spans="3:17">
      <c r="C511" s="702"/>
      <c r="D511" s="703"/>
      <c r="F511"/>
    </row>
    <row r="512" spans="3:17" ht="30.6" customHeight="1">
      <c r="C512" s="109" t="str">
        <f>template_label_effective_participation_of_workers_users_or_other_interested_parties_or_communities_in_governance</f>
        <v>Effective participation of workers users or other interested parties or communities in governance</v>
      </c>
      <c r="D512" s="595"/>
      <c r="E512" s="16" t="str">
        <f>IF(AND(D512&lt;&gt;"", UndertakingsLegalForm="cooperative"), template_label_ok, "")</f>
        <v/>
      </c>
      <c r="F512"/>
    </row>
    <row r="513" spans="1:9" ht="57" customHeight="1">
      <c r="C513" s="109"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3" s="596"/>
      <c r="E513" s="16" t="str">
        <f>IF(AND(D513&lt;&gt;"", UndertakingsLegalForm="cooperative"), template_label_ok, "")</f>
        <v/>
      </c>
      <c r="F513"/>
    </row>
    <row r="514" spans="1:9" ht="47.4" customHeight="1" thickBot="1">
      <c r="C514" s="99" t="str">
        <f>template_label_limits_to_the_distribution_of_profits</f>
        <v>Any limits to the distribution of profits connected to the mutualistic nature or to the nature of the activities consisting in services of general economic interest (SGEI)</v>
      </c>
      <c r="D514" s="597"/>
      <c r="E514" s="16" t="str">
        <f>IF(AND(D514&lt;&gt;"", UndertakingsLegalForm="cooperative"), template_label_ok, "")</f>
        <v/>
      </c>
      <c r="F514"/>
    </row>
    <row r="515" spans="1:9" ht="50.1" customHeight="1" thickBot="1">
      <c r="C515" s="12"/>
      <c r="F515"/>
    </row>
    <row r="516" spans="1:9" ht="87.6" customHeight="1" thickBot="1">
      <c r="A516" s="780" t="str">
        <f>template_label_supporting_guidance_c2</f>
        <v>ℹ️ VSME Supporting Guidance on Disclosure C2 - Comprehensive Module (Practices, Policies, and Future Initiatives)</v>
      </c>
      <c r="B516" s="780"/>
      <c r="C516" s="713" t="str">
        <f>template_label_c2_description_of_practices_policies_and_future_initiatives_for_transitioning_towards_a_more_sustainable_economy&amp;" "&amp;template_label_from&amp;" "&amp;template_starting_date_display&amp;" "&amp;template_label_to&amp;" "&amp;template_ending_date_display</f>
        <v>C2 - Description of practices policies and future initiatives for transitioning towards a more sustainable economy from - to -</v>
      </c>
      <c r="D516" s="781"/>
      <c r="E516" s="781"/>
      <c r="F516" s="781"/>
      <c r="G516" s="782"/>
    </row>
    <row r="517" spans="1:9" ht="38.1" customHeight="1">
      <c r="A517" s="365">
        <v>47</v>
      </c>
      <c r="B517" s="366"/>
      <c r="C517" s="792"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7" s="792"/>
      <c r="E517" s="786"/>
      <c r="F517" s="786"/>
      <c r="G517" s="787"/>
      <c r="H517" s="16" t="str">
        <f>IF(template_checkbox_c2_description_of_practices_policies_and_future_initiatives_docx=TRUE,
IF(
'Table of Contents &amp; Validation'!D48=TRUE,
IF(AND(BasisForPreparation="Option B (Basic Module and Comprehensive Module)",C508=TRUE,DescriptionOfPracticesPoliciesAndOrFutureInitiatives=""),"",
IF(AND(BasisForPreparation="Option B (Basic Module and Comprehensive Module)",C508=TRUE,DescriptionOfPracticesPoliciesAndOrFutureInitiatives&lt;&gt;""),template_label_ok,
IF(AND(BasisForPreparation="Option A (Basic Module only)",E517&lt;&gt;""),template_label_ok,""))),
IF(AND(BasisForPreparation="Option B (Basic Module and Comprehensive Module)",C508=TRUE,DescriptionOfPracticesPoliciesAndOrFutureInitiatives=""),"",
IF(AND(BasisForPreparation="Option B (Basic Module and Comprehensive Module)",C508=TRUE,DescriptionOfPracticesPoliciesAndOrFutureInitiatives&lt;&gt;""),template_label_ok,
IF(AND(BasisForPreparation="Option A (Basic Module only)",E517&lt;&gt;""),template_label_ok,"")))),
IF(
'Table of Contents &amp; Validation'!D48=TRUE,
IF(AND(BasisForPreparation="Option B (Basic Module and Comprehensive Module)",C508=TRUE,DescriptionOfPracticesPoliciesAndOrFutureInitiatives=""),"",
IF(AND(BasisForPreparation="Option B (Basic Module and Comprehensive Module)",C508=TRUE,DescriptionOfPracticesPoliciesAndOrFutureInitiatives&lt;&gt;""),template_label_ok,
IF(AND(BasisForPreparation="Option A (Basic Module only)",E517&lt;&gt;""),template_label_ok,""))),
IF(AND(BasisForPreparation="Option B (Basic Module and Comprehensive Module)",C508=TRUE,DescriptionOfPracticesPoliciesAndOrFutureInitiatives=""),template_label_missing_value,
IF(AND(BasisForPreparation="Option B (Basic Module and Comprehensive Module)",C508=TRUE,DescriptionOfPracticesPoliciesAndOrFutureInitiatives&lt;&gt;""),template_label_ok,
IF(AND(BasisForPreparation="Option A (Basic Module only)",E517&lt;&gt;""),template_label_ok,"")))))</f>
        <v/>
      </c>
    </row>
    <row r="518" spans="1:9">
      <c r="A518" s="365">
        <v>47</v>
      </c>
      <c r="B518" s="366"/>
      <c r="C518" s="698" t="str">
        <f>template_label_description_of_target_related_to_a_policy</f>
        <v>Description of target related to a policy</v>
      </c>
      <c r="D518" s="698"/>
      <c r="E518" s="790"/>
      <c r="F518" s="790"/>
      <c r="G518" s="791"/>
      <c r="H518" s="16" t="str">
        <f>IF(template_checkbox_c2_description_of_practices_policies_and_future_initiatives_docx=TRUE,
IF(
'Table of Contents &amp; Validation'!D48=TRUE,
IF(AND(BasisForPreparation="Option B (Basic Module and Comprehensive Module)", C508=TRUE, O508=TRUE, E518=""), "",
IF(AND(BasisForPreparation="Option B (Basic Module and Comprehensive Module)", C508=TRUE, O508=TRUE, E518&lt;&gt;""), template_label_ok,
IF(AND(BasisForPreparation="Option A (Basic Module only)", E518&lt;&gt;""), template_label_ok, ""))),
IF(AND(BasisForPreparation="Option B (Basic Module and Comprehensive Module)", C508=TRUE, O508=TRUE, E518=""), "",
IF(AND(BasisForPreparation="Option B (Basic Module and Comprehensive Module)", C508=TRUE, O508=TRUE, E518&lt;&gt;""), template_label_ok,
IF(AND(BasisForPreparation="Option A (Basic Module only)", E518&lt;&gt;""), template_label_ok, "")))),
IF(
'Table of Contents &amp; Validation'!D48=TRUE,
IF(AND(BasisForPreparation="Option B (Basic Module and Comprehensive Module)", C508=TRUE, O508=TRUE, E518=""), "",
IF(AND(BasisForPreparation="Option B (Basic Module and Comprehensive Module)", C508=TRUE, O508=TRUE, E518&lt;&gt;""), template_label_ok,
IF(AND(BasisForPreparation="Option A (Basic Module only)", E518&lt;&gt;""), template_label_ok, ""))),
IF(AND(BasisForPreparation="Option B (Basic Module and Comprehensive Module)", C508=TRUE, O508=TRUE, E518=""), template_label_missing_value,
IF(AND(BasisForPreparation="Option B (Basic Module and Comprehensive Module)", C508=TRUE, O508=TRUE, E518&lt;&gt;""), template_label_ok,
IF(AND(BasisForPreparation="Option A (Basic Module only)", E518&lt;&gt;""), template_label_ok, "")))))</f>
        <v/>
      </c>
    </row>
    <row r="519" spans="1:9" ht="15" thickBot="1">
      <c r="A519" s="365">
        <v>48</v>
      </c>
      <c r="B519" s="366"/>
      <c r="C519" s="731" t="str">
        <f>template_label_most_senior_level_accountable_for_implementing_practices_policies_and_or_future_initiatives</f>
        <v>Most senior level in the undertaking (i.e. a person or a body) that is accountable for implementing those practices, policies, and future initiatives  when this has been determined by the undertaking</v>
      </c>
      <c r="D519" s="731"/>
      <c r="E519" s="788"/>
      <c r="F519" s="788"/>
      <c r="G519" s="789"/>
      <c r="H519" s="16" t="str">
        <f>IF(AND(BasisForPreparation="Option B (Basic Module and Comprehensive Module)", C508=TRUE, MostSeniorLevelInTheUndertakingAccountableForImplementationOfPracticesPoliciesAndFutureInitiatives=""), "",
IF(AND(BasisForPreparation="Option B (Basic Module and Comprehensive Module)", C508=TRUE, MostSeniorLevelInTheUndertakingAccountableForImplementationOfPracticesPoliciesAndFutureInitiatives&lt;&gt;""), template_label_ok,
IF(AND(BasisForPreparation="Option A (Basic Module only)", E519&lt;&gt;""), template_label_ok, "")))</f>
        <v/>
      </c>
    </row>
    <row r="520" spans="1:9" ht="14.85" customHeight="1">
      <c r="B520" s="108"/>
      <c r="F520"/>
    </row>
    <row r="521" spans="1:9" ht="14.85" customHeight="1" thickBot="1">
      <c r="B521" s="108"/>
      <c r="F521"/>
    </row>
    <row r="522" spans="1:9" ht="14.85" customHeight="1" thickBot="1">
      <c r="B522" s="108"/>
      <c r="C522" s="713" t="str">
        <f xml:space="preserve"> template_label_c1_strategy_business_model_and_sustainability_related_initiatives &amp; " " &amp; template_label_from &amp; " " &amp; template_starting_date_display &amp; " " &amp; template_label_to &amp; " " &amp; template_ending_date_display</f>
        <v>C1 - Strategy: Business Model and Sustainability - Related Initiatives from - to -</v>
      </c>
      <c r="D522" s="713"/>
      <c r="E522" s="713"/>
      <c r="F522" s="713"/>
      <c r="G522" s="714"/>
    </row>
    <row r="523" spans="1:9">
      <c r="A523" s="365" t="s">
        <v>29</v>
      </c>
      <c r="B523" s="204" t="s">
        <v>9</v>
      </c>
      <c r="C523" s="737" t="str">
        <f>template_label_description_of_significant_groups_of_products_and_or_services_offered</f>
        <v>Description of significant groups of products and or services offered</v>
      </c>
      <c r="D523" s="737"/>
      <c r="E523" s="743"/>
      <c r="F523" s="743"/>
      <c r="G523" s="744"/>
      <c r="H523" s="1276" t="str">
        <f>IF(template_checkbox_c1_strategy_business_model_and_sustainability_initiatives_docx=TRUE,
IF(OR(
'Table of Contents &amp; Validation'!D47=TRUE,'General Information'!E280&lt;=10),
IF(AND($E$125="Option B (Basic Module and Comprehensive Module)", E523=""), "",
   IF(AND($E$125="Option A (Basic Module only)", E523&lt;&gt;""), template_label_ok,
   IF(AND($E$125="Option B (Basic Module and Comprehensive Module)", E523&lt;&gt;""), template_label_ok, ""))),
IF(AND($E$125="Option B (Basic Module and Comprehensive Module)", E523=""), "",
   IF(AND($E$125="Option A (Basic Module only)", E523&lt;&gt;""), template_label_ok,
   IF(AND($E$125="Option B (Basic Module and Comprehensive Module)", E523&lt;&gt;""), template_label_ok, "")))
),
IF(OR(
'Table of Contents &amp; Validation'!D47=TRUE,'General Information'!E280&lt;=10),
IF(AND($E$125="Option B (Basic Module and Comprehensive Module)", E523=""), "",
   IF(AND($E$125="Option A (Basic Module only)", E523&lt;&gt;""), template_label_ok,
   IF(AND($E$125="Option B (Basic Module and Comprehensive Module)", E523&lt;&gt;""), template_label_ok, ""))),
IF(AND($E$125="Option B (Basic Module and Comprehensive Module)", E523=""), template_label_missing_value,
   IF(AND($E$125="Option A (Basic Module only)", E523&lt;&gt;""), template_label_ok,
   IF(AND($E$125="Option B (Basic Module and Comprehensive Module)", E523&lt;&gt;""), template_label_ok, "")))
)
)</f>
        <v/>
      </c>
      <c r="I523" s="1275"/>
    </row>
    <row r="524" spans="1:9">
      <c r="A524" s="365" t="s">
        <v>30</v>
      </c>
      <c r="B524" s="204" t="s">
        <v>9</v>
      </c>
      <c r="C524" s="738" t="str">
        <f>template_label_description_of_significant_market_the_undertaking_operates_in</f>
        <v>Description of significant market(s) the undertaking operates in (e.g. B2B, wholesale, retail, countries)</v>
      </c>
      <c r="D524" s="738"/>
      <c r="E524" s="745"/>
      <c r="F524" s="745"/>
      <c r="G524" s="746"/>
      <c r="H524" s="1276" t="str">
        <f>IF(template_checkbox_c1_strategy_business_model_and_sustainability_initiatives_docx=TRUE,
IF(OR(
'Table of Contents &amp; Validation'!D47=TRUE,'General Information'!E280&lt;=10),
IF(AND($E$125="Option B (Basic Module and Comprehensive Module)", E524=""), "",
   IF(AND($E$125="Option A (Basic Module only)", E524&lt;&gt;""), template_label_ok,
   IF(AND($E$125="Option B (Basic Module and Comprehensive Module)", E524&lt;&gt;""), template_label_ok, ""))),
IF(AND($E$125="Option B (Basic Module and Comprehensive Module)", E524=""), "",
   IF(AND($E$125="Option A (Basic Module only)", E524&lt;&gt;""), template_label_ok,
   IF(AND($E$125="Option B (Basic Module and Comprehensive Module)", E524&lt;&gt;""), template_label_ok, "")))),
IF(OR(
'Table of Contents &amp; Validation'!D47=TRUE,'General Information'!E280&lt;=10),
IF(AND($E$125="Option B (Basic Module and Comprehensive Module)", E524=""), "",
   IF(AND($E$125="Option A (Basic Module only)", E524&lt;&gt;""), template_label_ok,
   IF(AND($E$125="Option B (Basic Module and Comprehensive Module)", E524&lt;&gt;""), template_label_ok, ""))),
IF(AND($E$125="Option B (Basic Module and Comprehensive Module)", E524=""), template_label_missing_value,
   IF(AND($E$125="Option A (Basic Module only)", E524&lt;&gt;""), template_label_ok,
   IF(AND($E$125="Option B (Basic Module and Comprehensive Module)", E524&lt;&gt;""), template_label_ok, ""))))
)</f>
        <v/>
      </c>
      <c r="I524" s="1275"/>
    </row>
    <row r="525" spans="1:9" ht="15" thickBot="1">
      <c r="A525" s="365" t="s">
        <v>31</v>
      </c>
      <c r="B525" s="366"/>
      <c r="C525" s="736" t="str">
        <f>template_label_description_of_main_business_relationships</f>
        <v>Description of main business relationships (such as key suppliers, customers, distribution channels)</v>
      </c>
      <c r="D525" s="736"/>
      <c r="E525" s="732"/>
      <c r="F525" s="732"/>
      <c r="G525" s="733"/>
      <c r="H525" s="1276" t="str">
        <f>IF(template_checkbox_c1_strategy_business_model_and_sustainability_initiatives_docx=TRUE,
IF(OR(
'Table of Contents &amp; Validation'!D47=TRUE,'General Information'!E280&lt;=10),
IF(AND($E$125="Option B (Basic Module and Comprehensive Module)", E525=""), "",
   IF(AND($E$125="Option A (Basic Module only)", E525&lt;&gt;""), template_label_ok,
   IF(AND($E$125="Option B (Basic Module and Comprehensive Module)", E525&lt;&gt;""), template_label_ok, ""))),
IF(AND($E$125="Option B (Basic Module and Comprehensive Module)", E525=""), "",
   IF(AND($E$125="Option A (Basic Module only)", E525&lt;&gt;""), template_label_ok,
   IF(AND($E$125="Option B (Basic Module and Comprehensive Module)", E525&lt;&gt;""), template_label_ok, "")))),
IF(OR(
'Table of Contents &amp; Validation'!D47=TRUE,'General Information'!E280&lt;=10),
IF(AND($E$125="Option B (Basic Module and Comprehensive Module)", E525=""), "",
   IF(AND($E$125="Option A (Basic Module only)", E525&lt;&gt;""), template_label_ok,
   IF(AND($E$125="Option B (Basic Module and Comprehensive Module)", E525&lt;&gt;""), template_label_ok, ""))),
IF(AND($E$125="Option B (Basic Module and Comprehensive Module)", E525=""), template_label_missing_value,
   IF(AND($E$125="Option A (Basic Module only)", E525&lt;&gt;""), template_label_ok,
   IF(AND($E$125="Option B (Basic Module and Comprehensive Module)", E525&lt;&gt;""), template_label_ok, ""))))
)</f>
        <v/>
      </c>
      <c r="I525" s="1275"/>
    </row>
    <row r="526" spans="1:9">
      <c r="A526" s="1275"/>
      <c r="B526" s="108"/>
      <c r="C526" s="739" t="str">
        <f>template_label_has_the_strategy_key_elements_that_relate_to_or_affect_sustainability_issues</f>
        <v>Voluntary for undertakings with 10 employees or less - Has the strategy key elements that relate to or affect sustainability issues?</v>
      </c>
      <c r="D526" s="740"/>
      <c r="E526" s="741" t="b">
        <v>0</v>
      </c>
      <c r="F526" s="741"/>
      <c r="G526" s="742"/>
      <c r="H526" s="1275"/>
      <c r="I526" s="1275"/>
    </row>
    <row r="527" spans="1:9" ht="15" thickBot="1">
      <c r="A527" s="365" t="s">
        <v>32</v>
      </c>
      <c r="B527" s="204" t="s">
        <v>9</v>
      </c>
      <c r="C527" s="731" t="str">
        <f>template_label_description_of_those_key_elements_in_the_strategy_that_relate_or_affect_sustainability_issues</f>
        <v>Description of those key elements in the strategy that relate or affect sustainability issues</v>
      </c>
      <c r="D527" s="735"/>
      <c r="E527" s="734"/>
      <c r="F527" s="734"/>
      <c r="G527" s="709"/>
      <c r="H527" s="16" t="str">
        <f>IF(template_checkbox_c1_strategy_business_model_and_sustainability_initiatives_docx=TRUE,
IF(AND($E$125="Option B (Basic Module and Comprehensive Module)", E527="", E526=TRUE), "",
   IF(AND($E$125="Option A (Basic Module only)", E527&lt;&gt;"", E526=TRUE), template_label_ok,
   IF(AND($E$125="Option B (Basic Module and Comprehensive Module)", E527&lt;&gt;"", E526=TRUE), template_label_ok, ""))),
IF(AND($E$125="Option B (Basic Module and Comprehensive Module)", E527="", E526=TRUE), template_label_missing_value,
   IF(AND($E$125="Option A (Basic Module only)", E527&lt;&gt;"", E526=TRUE), template_label_ok,
   IF(AND($E$125="Option B (Basic Module and Comprehensive Module)", E527&lt;&gt;"", E526=TRUE), template_label_ok, ""))))</f>
        <v/>
      </c>
    </row>
  </sheetData>
  <sheetProtection formatColumns="0" formatRows="0" insertRows="0"/>
  <mergeCells count="90">
    <mergeCell ref="E517:G517"/>
    <mergeCell ref="E519:G519"/>
    <mergeCell ref="E518:G518"/>
    <mergeCell ref="C517:D517"/>
    <mergeCell ref="C518:D518"/>
    <mergeCell ref="A516:B516"/>
    <mergeCell ref="C516:G516"/>
    <mergeCell ref="C511:D511"/>
    <mergeCell ref="C506:C507"/>
    <mergeCell ref="D506:M506"/>
    <mergeCell ref="C510:D510"/>
    <mergeCell ref="C2:E2"/>
    <mergeCell ref="C393:D393"/>
    <mergeCell ref="C19:E19"/>
    <mergeCell ref="C125:D125"/>
    <mergeCell ref="C21:D21"/>
    <mergeCell ref="C279:D279"/>
    <mergeCell ref="C280:D280"/>
    <mergeCell ref="C20:E20"/>
    <mergeCell ref="C175:D175"/>
    <mergeCell ref="C285:E285"/>
    <mergeCell ref="D3:E3"/>
    <mergeCell ref="D5:E5"/>
    <mergeCell ref="D6:E6"/>
    <mergeCell ref="D7:E7"/>
    <mergeCell ref="D8:E8"/>
    <mergeCell ref="C282:D282"/>
    <mergeCell ref="G6:K8"/>
    <mergeCell ref="C178:D277"/>
    <mergeCell ref="C177:D177"/>
    <mergeCell ref="C176:D176"/>
    <mergeCell ref="D9:E9"/>
    <mergeCell ref="D10:E10"/>
    <mergeCell ref="D11:E11"/>
    <mergeCell ref="D12:E12"/>
    <mergeCell ref="D13:E13"/>
    <mergeCell ref="C124:E124"/>
    <mergeCell ref="C22:D121"/>
    <mergeCell ref="F6:F8"/>
    <mergeCell ref="F10:F12"/>
    <mergeCell ref="G10:K12"/>
    <mergeCell ref="G127:J129"/>
    <mergeCell ref="C15:E15"/>
    <mergeCell ref="E525:G525"/>
    <mergeCell ref="E527:G527"/>
    <mergeCell ref="C527:D527"/>
    <mergeCell ref="C525:D525"/>
    <mergeCell ref="C523:D523"/>
    <mergeCell ref="C524:D524"/>
    <mergeCell ref="C526:D526"/>
    <mergeCell ref="E526:G526"/>
    <mergeCell ref="E523:G523"/>
    <mergeCell ref="E524:G524"/>
    <mergeCell ref="C522:G522"/>
    <mergeCell ref="C392:D392"/>
    <mergeCell ref="E392:H392"/>
    <mergeCell ref="C397:H397"/>
    <mergeCell ref="C396:H396"/>
    <mergeCell ref="C398:C401"/>
    <mergeCell ref="G398:G401"/>
    <mergeCell ref="C505:O505"/>
    <mergeCell ref="C504:O504"/>
    <mergeCell ref="F398:F401"/>
    <mergeCell ref="E398:E401"/>
    <mergeCell ref="D398:D401"/>
    <mergeCell ref="C503:O503"/>
    <mergeCell ref="N506:N507"/>
    <mergeCell ref="O506:O507"/>
    <mergeCell ref="C519:D519"/>
    <mergeCell ref="C278:D278"/>
    <mergeCell ref="C281:D281"/>
    <mergeCell ref="C395:H395"/>
    <mergeCell ref="C122:D122"/>
    <mergeCell ref="C390:H390"/>
    <mergeCell ref="C127:D172"/>
    <mergeCell ref="C286:E286"/>
    <mergeCell ref="E393:H393"/>
    <mergeCell ref="C283:D283"/>
    <mergeCell ref="C391:H391"/>
    <mergeCell ref="C389:H389"/>
    <mergeCell ref="C16:E16"/>
    <mergeCell ref="C17:E17"/>
    <mergeCell ref="A176:A177"/>
    <mergeCell ref="A178:A277"/>
    <mergeCell ref="B178:B277"/>
    <mergeCell ref="B176:B177"/>
    <mergeCell ref="A127:A172"/>
    <mergeCell ref="B127:B172"/>
    <mergeCell ref="C174:E174"/>
    <mergeCell ref="C126:D126"/>
  </mergeCells>
  <phoneticPr fontId="3" type="noConversion"/>
  <conditionalFormatting sqref="C22 E22:E122 C122:D122">
    <cfRule type="expression" dxfId="370" priority="91">
      <formula>$E$21=TRUE</formula>
    </cfRule>
  </conditionalFormatting>
  <conditionalFormatting sqref="C177">
    <cfRule type="expression" dxfId="369" priority="107">
      <formula>$E$176="other (please specify the legal form in the row below)"</formula>
    </cfRule>
  </conditionalFormatting>
  <conditionalFormatting sqref="D512:D514">
    <cfRule type="expression" dxfId="368" priority="12">
      <formula>$E$176="cooperative"</formula>
    </cfRule>
  </conditionalFormatting>
  <conditionalFormatting sqref="D288:E387">
    <cfRule type="expression" dxfId="367" priority="59">
      <formula>$E$175="Sustainability report prepared on a consolidated basis"</formula>
    </cfRule>
  </conditionalFormatting>
  <conditionalFormatting sqref="D508:O508 E517 E519">
    <cfRule type="expression" dxfId="366" priority="21">
      <formula>$C$508=TRUE</formula>
    </cfRule>
  </conditionalFormatting>
  <conditionalFormatting sqref="D508:O508">
    <cfRule type="expression" dxfId="365" priority="31">
      <formula>$C$508=TRUE</formula>
    </cfRule>
  </conditionalFormatting>
  <conditionalFormatting sqref="E22:E121">
    <cfRule type="expression" dxfId="364" priority="145">
      <formula>AND(ISBLANK(#REF!), $E$21=TRUE)</formula>
    </cfRule>
  </conditionalFormatting>
  <conditionalFormatting sqref="E127:E172">
    <cfRule type="expression" dxfId="363" priority="3">
      <formula>ISNUMBER(MATCH(E127, enum_ListOmittedDisclosures, 0))</formula>
    </cfRule>
    <cfRule type="expression" dxfId="362" priority="4">
      <formula>$F$127="Disclosure completely omitted"</formula>
    </cfRule>
  </conditionalFormatting>
  <conditionalFormatting sqref="E177">
    <cfRule type="expression" dxfId="361" priority="106">
      <formula>$E$176="other (please specify the legal form in the row below)"</formula>
    </cfRule>
  </conditionalFormatting>
  <conditionalFormatting sqref="E392">
    <cfRule type="expression" dxfId="360" priority="57">
      <formula>$D$299="YES"</formula>
    </cfRule>
  </conditionalFormatting>
  <conditionalFormatting sqref="E512:E514">
    <cfRule type="expression" dxfId="359" priority="584">
      <formula>$E512=template_label_ok</formula>
    </cfRule>
  </conditionalFormatting>
  <conditionalFormatting sqref="E518:G518">
    <cfRule type="expression" dxfId="358" priority="375">
      <formula>AND($C$508=TRUE,$O$508=TRUE)</formula>
    </cfRule>
  </conditionalFormatting>
  <conditionalFormatting sqref="E527:G527">
    <cfRule type="expression" dxfId="357" priority="48">
      <formula>$E$526=TRUE</formula>
    </cfRule>
  </conditionalFormatting>
  <conditionalFormatting sqref="E393:H393">
    <cfRule type="expression" dxfId="356" priority="56">
      <formula>$E$392=TRUE</formula>
    </cfRule>
  </conditionalFormatting>
  <conditionalFormatting sqref="F3:F5 F288:F387">
    <cfRule type="expression" dxfId="355" priority="151">
      <formula>$F3=template_label_missing_value</formula>
    </cfRule>
    <cfRule type="expression" dxfId="354" priority="150">
      <formula>$F3=template_label_ok</formula>
    </cfRule>
  </conditionalFormatting>
  <conditionalFormatting sqref="F6:F8">
    <cfRule type="expression" dxfId="353" priority="6">
      <formula>$F$6=template_label_error</formula>
    </cfRule>
    <cfRule type="expression" dxfId="352" priority="61">
      <formula>$F$6=template_label_value_inconsistency</formula>
    </cfRule>
    <cfRule type="expression" dxfId="351" priority="63">
      <formula>$F$6=template_label_ok</formula>
    </cfRule>
    <cfRule type="expression" dxfId="350" priority="64">
      <formula>$F$6=template_label_missing_value</formula>
    </cfRule>
  </conditionalFormatting>
  <conditionalFormatting sqref="F10">
    <cfRule type="expression" dxfId="349" priority="65">
      <formula>$F$10=template_label_missing_value</formula>
    </cfRule>
    <cfRule type="expression" dxfId="348" priority="66">
      <formula>$F$10=template_label_value_inconsistency</formula>
    </cfRule>
    <cfRule type="expression" dxfId="347" priority="67">
      <formula>$F$10=template_label_ok</formula>
    </cfRule>
    <cfRule type="expression" dxfId="346" priority="60">
      <formula>$F$10=template_label_error</formula>
    </cfRule>
  </conditionalFormatting>
  <conditionalFormatting sqref="F13:F14">
    <cfRule type="expression" dxfId="345" priority="68">
      <formula>$F13="MISSING VALUE"</formula>
    </cfRule>
    <cfRule type="expression" dxfId="344" priority="69">
      <formula>$F13="OK"</formula>
    </cfRule>
  </conditionalFormatting>
  <conditionalFormatting sqref="F17">
    <cfRule type="expression" dxfId="343" priority="583">
      <formula>F17=template_label_ok</formula>
    </cfRule>
  </conditionalFormatting>
  <conditionalFormatting sqref="F21">
    <cfRule type="expression" dxfId="342" priority="92">
      <formula>$F$21=template_label_ok</formula>
    </cfRule>
  </conditionalFormatting>
  <conditionalFormatting sqref="F22:F122">
    <cfRule type="expression" dxfId="341" priority="11">
      <formula>$F22=template_label_value_inconsistency</formula>
    </cfRule>
    <cfRule type="expression" dxfId="340" priority="89">
      <formula>$F22=template_label_missing_value</formula>
    </cfRule>
    <cfRule type="expression" dxfId="339" priority="90">
      <formula>$F22=template_label_ok</formula>
    </cfRule>
  </conditionalFormatting>
  <conditionalFormatting sqref="F122">
    <cfRule type="expression" dxfId="338" priority="16">
      <formula>$F$122=template_label_invalid_url</formula>
    </cfRule>
  </conditionalFormatting>
  <conditionalFormatting sqref="F125:F126">
    <cfRule type="expression" dxfId="337" priority="72">
      <formula>$F125=template_label_missing_value</formula>
    </cfRule>
    <cfRule type="expression" dxfId="336" priority="73">
      <formula>$F125=template_label_ok</formula>
    </cfRule>
  </conditionalFormatting>
  <conditionalFormatting sqref="F127">
    <cfRule type="expression" dxfId="335" priority="9">
      <formula>$F$127=template_label_value_inconsistency</formula>
    </cfRule>
    <cfRule type="expression" dxfId="334" priority="122">
      <formula>$F$127=template_label_missing_value</formula>
    </cfRule>
    <cfRule type="expression" dxfId="333" priority="123">
      <formula>$F$127=template_label_ok</formula>
    </cfRule>
  </conditionalFormatting>
  <conditionalFormatting sqref="F175">
    <cfRule type="expression" dxfId="332" priority="155">
      <formula>$F$175=template_label_missing_value</formula>
    </cfRule>
    <cfRule type="expression" dxfId="331" priority="132">
      <formula>$F$175=template_label_ok</formula>
    </cfRule>
  </conditionalFormatting>
  <conditionalFormatting sqref="F176">
    <cfRule type="expression" dxfId="330" priority="131">
      <formula>$F$176=template_label_ok</formula>
    </cfRule>
    <cfRule type="expression" dxfId="329" priority="130">
      <formula>$F$176=template_label_missing_value</formula>
    </cfRule>
  </conditionalFormatting>
  <conditionalFormatting sqref="F177">
    <cfRule type="expression" dxfId="328" priority="93">
      <formula>$F$177=template_label_missing_value</formula>
    </cfRule>
    <cfRule type="expression" dxfId="327" priority="94">
      <formula>$F$177=template_label_ok</formula>
    </cfRule>
  </conditionalFormatting>
  <conditionalFormatting sqref="F178">
    <cfRule type="expression" dxfId="326" priority="153">
      <formula>$F$178=template_label_missing_value</formula>
    </cfRule>
    <cfRule type="expression" dxfId="325" priority="152">
      <formula>$F$178=template_label_ok</formula>
    </cfRule>
    <cfRule type="expression" dxfId="324" priority="8">
      <formula>$F$178=template_label_value_inconsistency</formula>
    </cfRule>
    <cfRule type="expression" dxfId="323" priority="45">
      <formula>$F$178=template_label_error</formula>
    </cfRule>
  </conditionalFormatting>
  <conditionalFormatting sqref="F179:F277">
    <cfRule type="expression" dxfId="322" priority="44">
      <formula>$F179=template_label_error</formula>
    </cfRule>
    <cfRule type="expression" dxfId="321" priority="43">
      <formula>$F179=template_label_ok</formula>
    </cfRule>
    <cfRule type="expression" dxfId="320" priority="42">
      <formula>$F179=template_label_missing_value</formula>
    </cfRule>
    <cfRule type="expression" dxfId="319" priority="7">
      <formula>$F179=template_label_value_inconsistency</formula>
    </cfRule>
  </conditionalFormatting>
  <conditionalFormatting sqref="F278">
    <cfRule type="expression" dxfId="318" priority="140">
      <formula>$F$278=template_label_missing_value</formula>
    </cfRule>
    <cfRule type="expression" dxfId="317" priority="139">
      <formula>$F$278=template_label_ok</formula>
    </cfRule>
  </conditionalFormatting>
  <conditionalFormatting sqref="F279:F283">
    <cfRule type="expression" dxfId="316" priority="137">
      <formula>$F279=template_label_ok</formula>
    </cfRule>
    <cfRule type="expression" dxfId="315" priority="138">
      <formula>$F279=template_label_missing_value</formula>
    </cfRule>
  </conditionalFormatting>
  <conditionalFormatting sqref="F387">
    <cfRule type="expression" dxfId="314" priority="276">
      <formula>$F398="MISSING VALUE"</formula>
    </cfRule>
    <cfRule type="expression" dxfId="313" priority="277">
      <formula>$F398="OK"</formula>
    </cfRule>
  </conditionalFormatting>
  <conditionalFormatting sqref="G176">
    <cfRule type="expression" dxfId="312" priority="136">
      <formula>$G$176="Please specify the legal form in the row below"</formula>
    </cfRule>
  </conditionalFormatting>
  <conditionalFormatting sqref="G280">
    <cfRule type="containsText" dxfId="311" priority="1" operator="containsText" text="MICROENTERPRISE">
      <formula>NOT(ISERROR(SEARCH("MICROENTERPRISE",G280)))</formula>
    </cfRule>
  </conditionalFormatting>
  <conditionalFormatting sqref="H402:H501">
    <cfRule type="expression" dxfId="310" priority="17">
      <formula>$H$401=FALSE</formula>
    </cfRule>
  </conditionalFormatting>
  <conditionalFormatting sqref="H517:H519">
    <cfRule type="expression" dxfId="309" priority="19">
      <formula>$H517=template_label_ok</formula>
    </cfRule>
    <cfRule type="expression" dxfId="308" priority="18">
      <formula>$H517=template_label_missing_value</formula>
    </cfRule>
  </conditionalFormatting>
  <conditionalFormatting sqref="H523:H525 H527">
    <cfRule type="expression" dxfId="307" priority="104">
      <formula>$H523=template_label_ok</formula>
    </cfRule>
    <cfRule type="expression" dxfId="306" priority="105">
      <formula>$H523=template_label_missing_value</formula>
    </cfRule>
  </conditionalFormatting>
  <conditionalFormatting sqref="I393">
    <cfRule type="expression" dxfId="305" priority="88">
      <formula>$I$393=template_label_ok</formula>
    </cfRule>
    <cfRule type="expression" dxfId="304" priority="47">
      <formula>$I$393=template_label_missing_value</formula>
    </cfRule>
  </conditionalFormatting>
  <conditionalFormatting sqref="I402:I501">
    <cfRule type="expression" dxfId="303" priority="95">
      <formula>$I402=template_label_ok</formula>
    </cfRule>
    <cfRule type="expression" dxfId="302" priority="96">
      <formula>$I402=template_label_missing_value</formula>
    </cfRule>
  </conditionalFormatting>
  <conditionalFormatting sqref="P508">
    <cfRule type="expression" dxfId="301" priority="28">
      <formula>$P$508=template_label_ok</formula>
    </cfRule>
    <cfRule type="expression" dxfId="300" priority="27">
      <formula>$P$508=template_label_missing_value</formula>
    </cfRule>
  </conditionalFormatting>
  <dataValidations xWindow="1485" yWindow="311" count="19">
    <dataValidation type="list" allowBlank="1" showInputMessage="1" showErrorMessage="1" sqref="E175" xr:uid="{4F13A5F9-E736-4E05-A233-B9B112EBE6A1}">
      <formula1>"Sustainability report prepared on an individual basis, Sustainability report prepared on a consolidated basis"</formula1>
    </dataValidation>
    <dataValidation type="list" allowBlank="1" showInputMessage="1" showErrorMessage="1" sqref="E282" xr:uid="{1DA6DC5E-36CE-4C4E-942D-7DCF7644718A}">
      <formula1>"Headcount, Full-time equivalent (FTE)"</formula1>
    </dataValidation>
    <dataValidation type="list" allowBlank="1" showInputMessage="1" showErrorMessage="1" sqref="G402:G501" xr:uid="{BE8F6A12-5C78-4D48-9F63-01FCA7AABD87}">
      <formula1>enum_ListCountriesName</formula1>
    </dataValidation>
    <dataValidation type="list" allowBlank="1" showInputMessage="1" showErrorMessage="1" sqref="E22:E121" xr:uid="{544D34CA-1630-49D5-B390-0FD7794F8530}">
      <formula1>enum_ListOmittedDisclosures</formula1>
    </dataValidation>
    <dataValidation type="decimal" operator="equal" allowBlank="1" showInputMessage="1" showErrorMessage="1" sqref="D513 E278:E280" xr:uid="{546D8560-FA10-4E3C-8848-2A7A25B13150}">
      <formula1>D278</formula1>
    </dataValidation>
    <dataValidation type="custom" showInputMessage="1" showErrorMessage="1" sqref="E526 I515:O521 E392 I392 C520:H521 C515:H515 H401 E21 C508:M509 N509:O509" xr:uid="{9BD8F46B-C9AA-4C89-814F-A6D87FB15620}">
      <formula1>OR(C21=TRUE,C21=FALSE)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2"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1" xr:uid="{144F4C96-EADD-4F0D-816D-09334348F775}">
      <formula1>enum_employee_methodology</formula1>
    </dataValidation>
    <dataValidation type="custom" showInputMessage="1" showErrorMessage="1" sqref="K402:K501" xr:uid="{87B45667-2565-4DEE-8FB7-7B0AF6539C1C}">
      <formula1>LOWER(SUBSTITUTE(D402," ","+" )) &amp; "+" &amp; LOWER(SUBSTITUTE(E402," ","+" )) &amp; "+" &amp; LOWER(SUBSTITUTE(F402," ","+" )) &amp; "+" &amp; LOWER(SUBSTITUTE(G402,"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78:E277" xr:uid="{EDCACB96-AA7D-42B4-A79D-8DE45409D62B}">
      <formula1>enum_ListNACETechnicalName</formula1>
    </dataValidation>
    <dataValidation type="list" allowBlank="1" showInputMessage="1" showErrorMessage="1" sqref="E125" xr:uid="{A53B3E48-2249-4EB2-9109-724985498E91}">
      <formula1>enum_list_options</formula1>
    </dataValidation>
    <dataValidation type="list" showInputMessage="1" showErrorMessage="1" sqref="N508:O508" xr:uid="{5DF04EA5-4448-4B3D-8846-FBF18CEE3669}">
      <formula1>enum_list_true_false</formula1>
    </dataValidation>
  </dataValidations>
  <hyperlinks>
    <hyperlink ref="C20:E20" r:id="rId1" display="https://knowledgehub.efrag.org/eng/interactive/voluntary-standard/standard-for-voluntary-use/da/18" xr:uid="{C6288B83-38FD-4709-9B33-F0054DEC3724}"/>
    <hyperlink ref="C286:E286" r:id="rId2" display="27(d)" xr:uid="{866DC784-0A33-4296-94DE-730486B814EB}"/>
    <hyperlink ref="C390:H390" r:id="rId3" display="https://knowledgehub.efrag.org/eng/interactive/voluntary-standard/standard-for-voluntary-use/da/28" xr:uid="{54DF6562-5AB5-4BA2-84D3-3DDE9832AD7E}"/>
    <hyperlink ref="C396:H396" r:id="rId4" display="27(e)(vii)" xr:uid="{B3308BD5-CB62-4F0C-87A6-146AA483697A}"/>
    <hyperlink ref="C504:O504" r:id="rId5" display="29-31" xr:uid="{63C6537F-D116-45BA-A6BC-D28D40439E04}"/>
    <hyperlink ref="A517" r:id="rId6" display="https://knowledgehub.efrag.org/eng/interactive/voluntary-standard/standard-for-voluntary-use/da/47" xr:uid="{C2A82C28-96C3-4BB8-BB11-D6F8F8783300}"/>
    <hyperlink ref="A519" r:id="rId7" display="https://knowledgehub.efrag.org/eng/interactive/voluntary-standard/standard-for-voluntary-use/da/48" xr:uid="{BEFF9414-B88D-4969-AC2C-7198F9BF54DF}"/>
    <hyperlink ref="A523" r:id="rId8" xr:uid="{1807F717-62C6-49F3-AAA4-CBD56B0E8817}"/>
    <hyperlink ref="A524" r:id="rId9" xr:uid="{68E2248F-8336-4B33-93BE-B6AFC4D8A606}"/>
    <hyperlink ref="A525" r:id="rId10" xr:uid="{B2C9ED42-61E9-4195-BE3D-D938ABECECC0}"/>
    <hyperlink ref="A527" r:id="rId11" xr:uid="{FD94F833-4E92-4157-A52C-B66DD33CFE3F}"/>
    <hyperlink ref="A125" r:id="rId12" xr:uid="{8EBCDC24-36DB-46B3-8D1D-9DCD530C843C}"/>
    <hyperlink ref="A127:A172" r:id="rId13" display="24(b)" xr:uid="{B917842C-2C60-41E9-89D2-8A2DBA36B4E9}"/>
    <hyperlink ref="A175" r:id="rId14" xr:uid="{ADECC625-0B55-465C-B2BD-5EFECF880BBA}"/>
    <hyperlink ref="A176:A177" r:id="rId15" display="27(e)(i)" xr:uid="{E1C27733-152F-4179-8EFF-F34BECD1BCEF}"/>
    <hyperlink ref="A178:A277" r:id="rId16" display="27(e)(ii)" xr:uid="{E2BB88AA-B51C-4158-88AB-A424BF457282}"/>
    <hyperlink ref="A278" r:id="rId17" xr:uid="{444C8ED6-E5B2-4BE8-B76D-993144E145B7}"/>
    <hyperlink ref="A279" r:id="rId18" xr:uid="{21550F72-CFC7-4DB9-A670-5EE464EE7763}"/>
    <hyperlink ref="A280" r:id="rId19" xr:uid="{7D723C6C-17E9-498C-9CAE-CA500D7388A6}"/>
    <hyperlink ref="A283" r:id="rId20" xr:uid="{42045304-FF87-4AAF-A8C4-0F94F3B97279}"/>
    <hyperlink ref="A516:B516" r:id="rId21" display="https://www.efrag.org/en/vsme-supporting-guide-on-disclosure-c2-comprehensive-module-practices-policies-and-future" xr:uid="{D2E4A3E9-6027-4469-A94E-9710EE9048D6}"/>
    <hyperlink ref="C16:E16" r:id="rId22" display="https://knowledgehub.efrag.org/eng/interactive/voluntary-standard/standard-for-voluntary-use/da/12" xr:uid="{7CBE50F8-D47F-49F5-8D11-AB0A365F7576}"/>
    <hyperlink ref="A126" r:id="rId23" xr:uid="{80189F3B-A1B2-43DC-93E4-689E06FA08F8}"/>
    <hyperlink ref="A127:A172" r:id="rId24" display="27(b)" xr:uid="{80D59AB0-AEF6-4B88-BDBC-08EF10A9E52C}"/>
    <hyperlink ref="A281" r:id="rId25" xr:uid="{19BEA738-945C-45A1-B89E-EF70D3D3745B}"/>
    <hyperlink ref="A282" r:id="rId26" xr:uid="{468851B8-9443-4DEF-A8D4-A4B4C26E0808}"/>
    <hyperlink ref="A518" r:id="rId27" display="https://knowledgehub.efrag.org/eng/interactive/voluntary-standard/standard-for-voluntary-use/da/47" xr:uid="{F1BBD721-9CE1-4367-A11C-DCC90C6D915A}"/>
  </hyperlinks>
  <pageMargins left="0.7" right="0.7" top="0.75" bottom="0.75" header="0.3" footer="0.3"/>
  <pageSetup paperSize="9" orientation="portrait" horizontalDpi="4294967293" verticalDpi="4294967293" r:id="rId28"/>
  <drawing r:id="rId29"/>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E283</xm:sqref>
        </x14:dataValidation>
        <x14:dataValidation type="list" allowBlank="1" showInputMessage="1" showErrorMessage="1" xr:uid="{386E27C7-13F7-4F0C-8DF1-6A82CC469E13}">
          <x14:formula1>
            <xm:f>'Enumeration Lists'!$J$2:$J$6</xm:f>
          </x14:formula1>
          <xm:sqref>E176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T534"/>
  <sheetViews>
    <sheetView showGridLines="0" zoomScaleNormal="100" workbookViewId="0"/>
  </sheetViews>
  <sheetFormatPr defaultColWidth="8.88671875" defaultRowHeight="14.4" outlineLevelRow="2"/>
  <cols>
    <col min="1" max="2" width="10" bestFit="1" customWidth="1"/>
    <col min="3" max="3" width="78.109375" customWidth="1"/>
    <col min="4" max="4" width="17.44140625" customWidth="1"/>
    <col min="5" max="5" width="19.5546875" customWidth="1"/>
    <col min="6" max="6" width="25.88671875" customWidth="1"/>
    <col min="7" max="7" width="23.88671875" customWidth="1"/>
    <col min="8" max="8" width="5.44140625" customWidth="1"/>
    <col min="9" max="9" width="13.5546875" customWidth="1"/>
    <col min="10" max="10" width="26.5546875" customWidth="1"/>
    <col min="11" max="11" width="24.5546875" customWidth="1"/>
    <col min="12" max="12" width="27.44140625" customWidth="1"/>
    <col min="13" max="13" width="29.5546875" customWidth="1"/>
  </cols>
  <sheetData>
    <row r="1" spans="1:13" ht="43.8" thickBot="1">
      <c r="A1" s="208" t="str">
        <f>template_label_paragraph_reference</f>
        <v>Paragraph Reference</v>
      </c>
      <c r="B1" s="208" t="str">
        <f>template_label_paragraph_guidance_reference</f>
        <v>Paragraph Guidance Reference</v>
      </c>
    </row>
    <row r="2" spans="1:13" ht="15" thickBot="1">
      <c r="C2" s="699" t="str">
        <f>template_label_b3_total_energy_consumption&amp;" "&amp;template_label_from&amp;" "&amp;template_starting_date_display&amp;" "&amp;template_label_to&amp;" "&amp;template_ending_date_display</f>
        <v>B3 - Total Energy Consumption (in MWh) from - to -</v>
      </c>
      <c r="D2" s="862"/>
      <c r="E2" s="862"/>
      <c r="F2" s="862"/>
      <c r="G2" s="862"/>
      <c r="H2" s="862"/>
      <c r="I2" s="862"/>
      <c r="J2" s="862"/>
      <c r="K2" s="863"/>
    </row>
    <row r="3" spans="1:13">
      <c r="C3" s="702">
        <v>32</v>
      </c>
      <c r="D3" s="817"/>
      <c r="E3" s="817"/>
      <c r="F3" s="817"/>
      <c r="G3" s="817"/>
      <c r="H3" s="817"/>
      <c r="I3" s="817"/>
      <c r="J3" s="817"/>
      <c r="K3" s="818"/>
    </row>
    <row r="4" spans="1:13">
      <c r="C4" s="711"/>
      <c r="D4" s="686"/>
      <c r="E4" s="686"/>
      <c r="F4" s="686"/>
      <c r="G4" s="686"/>
      <c r="H4" s="686"/>
      <c r="I4" s="686"/>
      <c r="J4" s="686"/>
      <c r="K4" s="808"/>
      <c r="M4" s="1275"/>
    </row>
    <row r="5" spans="1:13" ht="15" thickBot="1">
      <c r="C5" s="869" t="str">
        <f>template_label_total_energy_consumption</f>
        <v>Total Energy Consumption</v>
      </c>
      <c r="D5" s="870"/>
      <c r="E5" s="870"/>
      <c r="F5" s="870"/>
      <c r="G5" s="889"/>
      <c r="H5" s="889"/>
      <c r="I5" s="889"/>
      <c r="J5" s="889"/>
      <c r="K5" s="890"/>
      <c r="L5" s="16" t="str">
        <f>IF(OR(
'Table of Contents &amp; Validation'!D21=TRUE,
'Table of Contents &amp; Validation'!D20=TRUE,
'General Information'!E280&lt;=10
),
IF(AND(OR('General Information'!E125="Option A (Basic Module only)", 'General Information'!E125="Option B (Basic Module and Comprehensive Module)"), G5=""), "", IF('General Information'!E125="", "", template_label_ok)),
IF(AND(OR('General Information'!E125="Option A (Basic Module only)", 'General Information'!E125="Option B (Basic Module and Comprehensive Module)"), G5=""), template_label_missing_value, IF('General Information'!E125="", "", template_label_ok))
)</f>
        <v/>
      </c>
      <c r="M5" s="1275"/>
    </row>
    <row r="6" spans="1:13" ht="15" thickBot="1">
      <c r="M6" s="1275"/>
    </row>
    <row r="7" spans="1:13" ht="15" thickBot="1">
      <c r="C7" s="692" t="str">
        <f>template_label_b3_breakdown_of_energy_consumption&amp;" "&amp;template_label_from&amp;" "&amp;template_starting_date_display&amp;" "&amp;template_label_to&amp;" "&amp;template_ending_date_display</f>
        <v>B3 - Breakdown of energy consumption (in MWh) from - to -</v>
      </c>
      <c r="D7" s="693"/>
      <c r="E7" s="693"/>
      <c r="F7" s="693"/>
      <c r="G7" s="693"/>
      <c r="H7" s="693"/>
      <c r="I7" s="693"/>
      <c r="J7" s="693"/>
      <c r="K7" s="694"/>
      <c r="M7" s="1275"/>
    </row>
    <row r="8" spans="1:13">
      <c r="A8" s="1275"/>
      <c r="C8" s="702">
        <v>32</v>
      </c>
      <c r="D8" s="817"/>
      <c r="E8" s="817"/>
      <c r="F8" s="817"/>
      <c r="G8" s="817"/>
      <c r="H8" s="817"/>
      <c r="I8" s="817"/>
      <c r="J8" s="817"/>
      <c r="K8" s="818"/>
      <c r="M8" s="1275"/>
    </row>
    <row r="9" spans="1:13">
      <c r="A9" s="1275"/>
      <c r="C9" s="711"/>
      <c r="D9" s="686"/>
      <c r="E9" s="686"/>
      <c r="F9" s="686"/>
      <c r="G9" s="686"/>
      <c r="H9" s="686"/>
      <c r="I9" s="686"/>
      <c r="J9" s="686"/>
      <c r="K9" s="808"/>
      <c r="M9" s="1275"/>
    </row>
    <row r="10" spans="1:13">
      <c r="A10" s="1275"/>
      <c r="C10" s="886" t="str">
        <f>template_label_has_the_undertaking_obtained_the_necessary_information_to_provide_an_energy_consumption_breakdown</f>
        <v>Voluntary for undertakings with 10 employees or less - Has the undertaking obtained the necessary information to provide an energy consumption breakdown?</v>
      </c>
      <c r="D10" s="887"/>
      <c r="E10" s="887"/>
      <c r="F10" s="887"/>
      <c r="G10" s="888" t="b">
        <v>0</v>
      </c>
      <c r="H10" s="888"/>
      <c r="I10" s="888"/>
      <c r="J10" s="888"/>
      <c r="K10" s="717"/>
      <c r="M10" s="1275"/>
    </row>
    <row r="11" spans="1:13" ht="38.85" customHeight="1">
      <c r="A11" s="1275"/>
      <c r="C11" s="908"/>
      <c r="D11" s="909"/>
      <c r="E11" s="909"/>
      <c r="F11" s="909"/>
      <c r="G11" s="883" t="str">
        <f>template_label_renewable</f>
        <v>Renewable</v>
      </c>
      <c r="H11" s="884"/>
      <c r="I11" s="884"/>
      <c r="J11" s="91" t="str">
        <f>template_label_non_renewable</f>
        <v>Non-renewable</v>
      </c>
      <c r="K11" s="92" t="str">
        <f>template_label_total_renewable_and_nonrenewable</f>
        <v>Total renewable and non-renewable</v>
      </c>
      <c r="L11" s="16"/>
      <c r="M11" s="1275"/>
    </row>
    <row r="12" spans="1:13">
      <c r="A12" s="1275"/>
      <c r="C12" s="871" t="str">
        <f>template_label_electricity</f>
        <v>Electricity (as reflected in utility billings)</v>
      </c>
      <c r="D12" s="872"/>
      <c r="E12" s="872"/>
      <c r="F12" s="873"/>
      <c r="G12" s="877"/>
      <c r="H12" s="878"/>
      <c r="I12" s="879"/>
      <c r="J12" s="211"/>
      <c r="K12" s="236" t="str">
        <f>IF(AND(G12="",J12=""),"-",SUM(G12:J12))</f>
        <v>-</v>
      </c>
      <c r="L12" s="844" t="str" cm="1">
        <f t="array" ref="L12">IF(G10=TRUE,
    IF(SUMPRODUCT(--(G12:J14&lt;&gt;"-"), --(G12:J14&lt;&gt;""))&gt;0,
        IF(SUM(G12:J14) &gt; TotalEnergyConsumption, template_label_value_inconsistency, template_label_ok),
        template_label_missing_value),
"")</f>
        <v/>
      </c>
      <c r="M12" s="1275"/>
    </row>
    <row r="13" spans="1:13">
      <c r="A13" s="1275"/>
      <c r="C13" s="874" t="str">
        <f>template_label_selfgenerated_electricity</f>
        <v>Self-generated electricity</v>
      </c>
      <c r="D13" s="875"/>
      <c r="E13" s="875"/>
      <c r="F13" s="876"/>
      <c r="G13" s="877"/>
      <c r="H13" s="878"/>
      <c r="I13" s="879"/>
      <c r="J13" s="211"/>
      <c r="K13" s="236" t="str">
        <f>IF(AND(G13="",J13=""),"-",SUM(G13:J13))</f>
        <v>-</v>
      </c>
      <c r="L13" s="844"/>
      <c r="M13" s="1275"/>
    </row>
    <row r="14" spans="1:13" ht="15" thickBot="1">
      <c r="A14" s="1275"/>
      <c r="C14" s="910" t="str">
        <f>template_label_fuels</f>
        <v>Fuels (see Fuel Converter on Fuels worksheet)</v>
      </c>
      <c r="D14" s="911"/>
      <c r="E14" s="911"/>
      <c r="F14" s="912"/>
      <c r="G14" s="880" t="str">
        <f>IF('Fuel Converter'!D23=TRUE, 'Fuel Converter'!A32, "-")</f>
        <v>-</v>
      </c>
      <c r="H14" s="881"/>
      <c r="I14" s="882"/>
      <c r="J14" s="212" t="str">
        <f>IF('Fuel Converter'!D23=TRUE, 'Fuel Converter'!B32, "-")</f>
        <v>-</v>
      </c>
      <c r="K14" s="237" t="str">
        <f>IF(AND(G14="-",J14="-"),"-",SUM(G14:J14))</f>
        <v>-</v>
      </c>
      <c r="L14" s="844"/>
      <c r="M14" s="1275"/>
    </row>
    <row r="15" spans="1:13" ht="15" thickBot="1">
      <c r="A15" s="1275"/>
      <c r="M15" s="1275"/>
    </row>
    <row r="16" spans="1:13" ht="28.5" customHeight="1" thickBot="1">
      <c r="A16" s="1275"/>
      <c r="C16" s="727" t="str">
        <f>template_label_b3_estimated_absolute_greenhouse_gas_emissions</f>
        <v>B3 - Estimated Absolute Greenhouse Gas Emissions considering the GHG Protocol Corporate Accounting and Reporting  Standard 2004 (in tCO2eq)</v>
      </c>
      <c r="D16" s="815"/>
      <c r="E16" s="815"/>
      <c r="F16" s="816"/>
      <c r="G16" s="866" t="str">
        <f>template_label_c3_ghg_reduction_targets&amp;" "</f>
        <v xml:space="preserve">C3 - GHG reduction targets (in tC02e) </v>
      </c>
      <c r="H16" s="867"/>
      <c r="I16" s="867"/>
      <c r="J16" s="867"/>
      <c r="K16" s="868"/>
      <c r="M16" s="1275"/>
    </row>
    <row r="17" spans="1:20">
      <c r="A17" s="1275"/>
      <c r="C17" s="702">
        <v>33</v>
      </c>
      <c r="D17" s="817"/>
      <c r="E17" s="817"/>
      <c r="F17" s="818"/>
      <c r="G17" s="885" t="s">
        <v>33</v>
      </c>
      <c r="H17" s="817"/>
      <c r="I17" s="817"/>
      <c r="J17" s="377" t="s">
        <v>34</v>
      </c>
      <c r="K17" s="378" t="s">
        <v>35</v>
      </c>
      <c r="M17" s="1275"/>
    </row>
    <row r="18" spans="1:20">
      <c r="A18" s="1275"/>
      <c r="C18" s="380" t="s">
        <v>9</v>
      </c>
      <c r="D18" s="686"/>
      <c r="E18" s="686"/>
      <c r="F18" s="808"/>
      <c r="G18" s="849"/>
      <c r="H18" s="686"/>
      <c r="I18" s="686"/>
      <c r="J18" s="365"/>
      <c r="K18" s="367"/>
      <c r="M18" s="1275"/>
    </row>
    <row r="19" spans="1:20" ht="42.6" customHeight="1">
      <c r="A19" s="1275"/>
      <c r="C19" s="913"/>
      <c r="D19" s="914"/>
      <c r="E19" s="914"/>
      <c r="F19" s="915"/>
      <c r="G19" s="847" t="str">
        <f>template_label_has_the_undertaking_has_established_ghg_emission_reduction_targets</f>
        <v>Voluntary for undertakings with 10 employees or less - Has  the undertaking has established GHG emission reduction targets?</v>
      </c>
      <c r="H19" s="848"/>
      <c r="I19" s="848"/>
      <c r="J19" s="142" t="b">
        <v>0</v>
      </c>
      <c r="K19" s="95"/>
      <c r="M19" s="1275"/>
    </row>
    <row r="20" spans="1:20" ht="28.8">
      <c r="A20" s="1275"/>
      <c r="C20" s="93"/>
      <c r="D20" s="892" t="str">
        <f>template_label_current_reporting_period</f>
        <v>Current Reporting Period</v>
      </c>
      <c r="E20" s="892"/>
      <c r="F20" s="919"/>
      <c r="G20" s="891" t="str">
        <f>template_label_base_year</f>
        <v>Base Year</v>
      </c>
      <c r="H20" s="892"/>
      <c r="I20" s="892"/>
      <c r="J20" s="6" t="str">
        <f>template_label_target_year</f>
        <v>Target Year</v>
      </c>
      <c r="K20" s="46" t="str">
        <f>template_label_percentage_reduction_from_base_year</f>
        <v>Percentage reduction from base year</v>
      </c>
      <c r="M20" s="1275"/>
    </row>
    <row r="21" spans="1:20">
      <c r="A21" s="832" t="str">
        <f>template_label_GHG_calculator</f>
        <v>ℹ️ Check EFRAG website for a non-exhaustive list of GHG calculators.</v>
      </c>
      <c r="B21" s="832"/>
      <c r="C21" s="4" t="str">
        <f>template_label_year_date</f>
        <v>Year (date)</v>
      </c>
      <c r="D21" s="920" t="str">
        <f>IF('General Information'!$D$9="", "-", 'General Information'!$D$9) &amp; "  -  " &amp; IF('General Information'!$D$13="", "-", 'General Information'!$D$13)</f>
        <v>-  -  -</v>
      </c>
      <c r="E21" s="920"/>
      <c r="F21" s="921"/>
      <c r="G21" s="893"/>
      <c r="H21" s="894"/>
      <c r="I21" s="894"/>
      <c r="J21" s="121"/>
      <c r="K21" s="95"/>
      <c r="L21" s="16" t="str">
        <f>IF(AND(J19=TRUE, G21&lt;&gt;"", J21&lt;&gt;""), template_label_ok,
IF(AND(J19=TRUE, G21="", J21=""), template_label_missing_value,
IF(AND(J19=FALSE, G21="", J21=""), "",
IF(AND(J19=TRUE, OR(G21="", J21="")), template_label_missing_value, ""))))</f>
        <v/>
      </c>
      <c r="M21" s="1275"/>
    </row>
    <row r="22" spans="1:20">
      <c r="A22" s="832"/>
      <c r="B22" s="832"/>
      <c r="C22" s="4" t="str">
        <f>template_label_gross_scope_1_ghg_emissions</f>
        <v>Gross Scope 1 GHG Emissions</v>
      </c>
      <c r="D22" s="829"/>
      <c r="E22" s="829"/>
      <c r="F22" s="830"/>
      <c r="G22" s="879"/>
      <c r="H22" s="895"/>
      <c r="I22" s="895"/>
      <c r="J22" s="211"/>
      <c r="K22" s="96" t="str">
        <f>IF(AND(G22="", J22=""), "-", IFERROR(-(1 - (J22 / G22)), "-"))</f>
        <v>-</v>
      </c>
      <c r="L22" s="16" t="str">
        <f>IF(OR(
'Table of Contents &amp; Validation'!D23=TRUE,'Table of Contents &amp; Validation'!D20=TRUE,'General Information'!E280&lt;=10),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c r="M22" s="1275"/>
    </row>
    <row r="23" spans="1:20">
      <c r="A23" s="832"/>
      <c r="B23" s="832"/>
      <c r="C23" s="4" t="str">
        <f>template_label_gross_scope_2_location_based_ghg_emissions</f>
        <v>Gross Scope 2 location-based GHG Emissions</v>
      </c>
      <c r="D23" s="829"/>
      <c r="E23" s="829"/>
      <c r="F23" s="830"/>
      <c r="G23" s="879"/>
      <c r="H23" s="895"/>
      <c r="I23" s="895"/>
      <c r="J23" s="211"/>
      <c r="K23" s="96" t="str">
        <f t="shared" ref="K23:K26" si="0">IF(AND(G23="", J23=""), "-", IFERROR(-(1 - (J23 / G23)), "-"))</f>
        <v>-</v>
      </c>
      <c r="L23" s="16" t="str">
        <f>IF(OR(
'Table of Contents &amp; Validation'!D23=TRUE,'Table of Contents &amp; Validation'!D20=TRUE,'General Information'!E280&lt;=10),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c r="M23" s="1275"/>
    </row>
    <row r="24" spans="1:20" ht="33" customHeight="1">
      <c r="A24" s="832"/>
      <c r="B24" s="832"/>
      <c r="C24" s="109" t="str">
        <f xml:space="preserve"> template_label_disclosure_part_of_vs_guidance &amp; " " &amp; template_label_gross_scope_2_market_based_ghg_emissions &amp; " - "</f>
        <v xml:space="preserve">[Disclosure stemming from EFRAG non-mandatory guidance] Gross scope 2 market-based GHG Emissions - </v>
      </c>
      <c r="D24" s="829"/>
      <c r="E24" s="829"/>
      <c r="F24" s="830"/>
      <c r="G24" s="879"/>
      <c r="H24" s="895"/>
      <c r="I24" s="895"/>
      <c r="J24" s="211"/>
      <c r="K24" s="96" t="str">
        <f t="shared" si="0"/>
        <v>-</v>
      </c>
      <c r="L24" s="16" t="str">
        <f>IF(D24&lt;&gt;"",
    IF(AND(G24="", J24=""), template_label_ok,
       IF(AND(G24&lt;&gt;"", J24=""), template_label_missing_value, template_label_ok)
    ),
"")</f>
        <v/>
      </c>
      <c r="M24" s="1275"/>
    </row>
    <row r="25" spans="1:20">
      <c r="A25" s="832"/>
      <c r="B25" s="832"/>
      <c r="C25" s="4" t="str">
        <f>template_label_total_scope_1_and_scope_2_ghg_emissions_location_based</f>
        <v>Total Scope 1 and Scope 2 GHG Emissions (location-based)</v>
      </c>
      <c r="D25" s="901" t="str">
        <f>IF(AND(D22="",D23=""),"-",SUM(D22,D23))</f>
        <v>-</v>
      </c>
      <c r="E25" s="901"/>
      <c r="F25" s="906"/>
      <c r="G25" s="900" t="str">
        <f>IF(AND(G22="",G23=""),"-",SUM(G22,G23))</f>
        <v>-</v>
      </c>
      <c r="H25" s="901"/>
      <c r="I25" s="901"/>
      <c r="J25" s="379" t="str">
        <f>IF(AND(J22="",J23=""),"-",SUM(J22,J23))</f>
        <v>-</v>
      </c>
      <c r="K25" s="96" t="str">
        <f t="shared" si="0"/>
        <v>-</v>
      </c>
      <c r="M25" s="1275"/>
    </row>
    <row r="26" spans="1:20" ht="15" thickBot="1">
      <c r="A26" s="832"/>
      <c r="B26" s="832"/>
      <c r="C26" s="48" t="str">
        <f>template_label_total_scope_1_and_scope_2_ghg_emissions_market_based &amp; " - "</f>
        <v xml:space="preserve">Total Scope 1 and Scope 2 GHG emissions  (market-based) - </v>
      </c>
      <c r="D26" s="903" t="str">
        <f>IF(OR(D22="",D24=""),"-",SUM(D22,D24))</f>
        <v>-</v>
      </c>
      <c r="E26" s="903"/>
      <c r="F26" s="907"/>
      <c r="G26" s="902" t="str">
        <f>IF(OR(G22="",G24=""),"-",SUM(G22,G24))</f>
        <v>-</v>
      </c>
      <c r="H26" s="903"/>
      <c r="I26" s="903"/>
      <c r="J26" s="381" t="str">
        <f>IF(OR(J22="",J24=""),"-",SUM(J22,J24))</f>
        <v>-</v>
      </c>
      <c r="K26" s="382" t="str">
        <f t="shared" si="0"/>
        <v>-</v>
      </c>
      <c r="M26" s="1275"/>
    </row>
    <row r="27" spans="1:20">
      <c r="C27" s="850" t="s">
        <v>36</v>
      </c>
      <c r="D27" s="851"/>
      <c r="E27" s="851"/>
      <c r="F27" s="852"/>
      <c r="G27" s="896" t="s">
        <v>35</v>
      </c>
      <c r="H27" s="851"/>
      <c r="I27" s="851"/>
      <c r="J27" s="851"/>
      <c r="K27" s="97"/>
      <c r="M27" s="1275"/>
    </row>
    <row r="28" spans="1:20">
      <c r="C28" s="380" t="s">
        <v>9</v>
      </c>
      <c r="D28" s="686"/>
      <c r="E28" s="686"/>
      <c r="F28" s="808"/>
      <c r="G28" s="898" t="s">
        <v>9</v>
      </c>
      <c r="H28" s="899"/>
      <c r="I28" s="899"/>
      <c r="J28" s="364" t="s">
        <v>9</v>
      </c>
      <c r="K28" s="383"/>
    </row>
    <row r="29" spans="1:20" ht="22.35" customHeight="1">
      <c r="A29" s="1275"/>
      <c r="C29" s="916" t="str">
        <f>template_label_is_the_undertaking_disclosing_entity_specific_information_on_scope_3_emissions</f>
        <v>Voluntary for undertakings with 10 employees or less - Is the undertaking disclosing entity-specific information on Scope 3 emissions (in tCO2e)?</v>
      </c>
      <c r="D29" s="917"/>
      <c r="E29" s="917"/>
      <c r="F29" s="918"/>
      <c r="G29" s="897" t="b">
        <v>0</v>
      </c>
      <c r="H29" s="888"/>
      <c r="I29" s="888"/>
      <c r="J29" s="888"/>
      <c r="K29" s="717"/>
    </row>
    <row r="30" spans="1:20" ht="14.85" customHeight="1">
      <c r="C30" s="90" t="str">
        <f>template_label_1_purchased_goods_and_services</f>
        <v>1. Purchased Goods and Services</v>
      </c>
      <c r="D30" s="793"/>
      <c r="E30" s="793"/>
      <c r="F30" s="831"/>
      <c r="G30" s="843"/>
      <c r="H30" s="793"/>
      <c r="I30" s="793"/>
      <c r="J30" s="215"/>
      <c r="K30" s="234" t="str">
        <f>IF(OR(G30="", J30=""), "-", IFERROR(-(1 - (J30 / G30)), "-"))</f>
        <v>-</v>
      </c>
      <c r="L30" s="844" t="str" cm="1">
        <f t="array" ref="L30">IF(
   OR(
      SUMPRODUCT((G30:G44&lt;&gt;"")*(J30:J44="")) &gt; 0,
      SUMPRODUCT((J30:J44&lt;&gt;"")*(G30:G44="")) &gt; 0
   ),
   template_label_missing_value,
   IF(
      AND(G29=TRUE, COUNTA(D30:F44)=0),
      template_label_missing_value,
      IF(G29=FALSE, "", template_label_ok)
   )
)</f>
        <v/>
      </c>
      <c r="M30" s="707"/>
      <c r="N30" s="707"/>
      <c r="O30" s="707"/>
      <c r="P30" s="707"/>
      <c r="Q30" s="707"/>
      <c r="R30" s="707"/>
      <c r="S30" s="707"/>
      <c r="T30" s="707"/>
    </row>
    <row r="31" spans="1:20">
      <c r="C31" s="90" t="str">
        <f>template_label_2_capital_goods</f>
        <v>2. Capital Goods</v>
      </c>
      <c r="D31" s="793"/>
      <c r="E31" s="793"/>
      <c r="F31" s="831"/>
      <c r="G31" s="843"/>
      <c r="H31" s="793"/>
      <c r="I31" s="793"/>
      <c r="J31" s="215"/>
      <c r="K31" s="234" t="str">
        <f t="shared" ref="K31:K44" si="1">IF(OR(G31="", J31=""), "-", IFERROR(-(1 - (J31 / G31)), "-"))</f>
        <v>-</v>
      </c>
      <c r="L31" s="844"/>
      <c r="M31" s="707"/>
      <c r="N31" s="707"/>
      <c r="O31" s="707"/>
      <c r="P31" s="707"/>
      <c r="Q31" s="707"/>
      <c r="R31" s="707"/>
      <c r="S31" s="707"/>
      <c r="T31" s="707"/>
    </row>
    <row r="32" spans="1:20">
      <c r="C32" s="90" t="str">
        <f>template_label_3_fuel__and_energy_related_activities</f>
        <v>3. Fuel- and Energy-Related Activities (Not Included in Scope 1 or Scope 2)</v>
      </c>
      <c r="D32" s="793"/>
      <c r="E32" s="793"/>
      <c r="F32" s="831"/>
      <c r="G32" s="843"/>
      <c r="H32" s="793"/>
      <c r="I32" s="793"/>
      <c r="J32" s="215"/>
      <c r="K32" s="234" t="str">
        <f t="shared" si="1"/>
        <v>-</v>
      </c>
      <c r="L32" s="844"/>
      <c r="M32" s="707"/>
      <c r="N32" s="707"/>
      <c r="O32" s="707"/>
      <c r="P32" s="707"/>
      <c r="Q32" s="707"/>
      <c r="R32" s="707"/>
      <c r="S32" s="707"/>
      <c r="T32" s="707"/>
    </row>
    <row r="33" spans="3:20">
      <c r="C33" s="90" t="str">
        <f>template_label_4_upstream_transportation_and_distribution</f>
        <v>4. Upstream Transportation and Distribution</v>
      </c>
      <c r="D33" s="793"/>
      <c r="E33" s="793"/>
      <c r="F33" s="831"/>
      <c r="G33" s="843"/>
      <c r="H33" s="793"/>
      <c r="I33" s="793"/>
      <c r="J33" s="215"/>
      <c r="K33" s="234" t="str">
        <f t="shared" si="1"/>
        <v>-</v>
      </c>
      <c r="L33" s="844"/>
      <c r="M33" s="707"/>
      <c r="N33" s="707"/>
      <c r="O33" s="707"/>
      <c r="P33" s="707"/>
      <c r="Q33" s="707"/>
      <c r="R33" s="707"/>
      <c r="S33" s="707"/>
      <c r="T33" s="707"/>
    </row>
    <row r="34" spans="3:20">
      <c r="C34" s="90" t="str">
        <f>template_label_5_waste_generated_in_operations</f>
        <v>5. Waste Generated in Operations</v>
      </c>
      <c r="D34" s="793"/>
      <c r="E34" s="793"/>
      <c r="F34" s="831"/>
      <c r="G34" s="843"/>
      <c r="H34" s="793"/>
      <c r="I34" s="793"/>
      <c r="J34" s="215"/>
      <c r="K34" s="234" t="str">
        <f t="shared" si="1"/>
        <v>-</v>
      </c>
      <c r="L34" s="844"/>
      <c r="M34" s="707"/>
      <c r="N34" s="707"/>
      <c r="O34" s="707"/>
      <c r="P34" s="707"/>
      <c r="Q34" s="707"/>
      <c r="R34" s="707"/>
      <c r="S34" s="707"/>
      <c r="T34" s="707"/>
    </row>
    <row r="35" spans="3:20">
      <c r="C35" s="90" t="str">
        <f>template_label_6_business_travel</f>
        <v>6. Business Travel</v>
      </c>
      <c r="D35" s="793"/>
      <c r="E35" s="793"/>
      <c r="F35" s="831"/>
      <c r="G35" s="843"/>
      <c r="H35" s="793"/>
      <c r="I35" s="793"/>
      <c r="J35" s="215"/>
      <c r="K35" s="234" t="str">
        <f t="shared" si="1"/>
        <v>-</v>
      </c>
      <c r="L35" s="844"/>
      <c r="M35" s="707"/>
      <c r="N35" s="707"/>
      <c r="O35" s="707"/>
      <c r="P35" s="707"/>
      <c r="Q35" s="707"/>
      <c r="R35" s="707"/>
      <c r="S35" s="707"/>
      <c r="T35" s="707"/>
    </row>
    <row r="36" spans="3:20">
      <c r="C36" s="90" t="str">
        <f>template_label_7_employee_commuting</f>
        <v>7. Employee Commuting</v>
      </c>
      <c r="D36" s="793"/>
      <c r="E36" s="793"/>
      <c r="F36" s="831"/>
      <c r="G36" s="843"/>
      <c r="H36" s="793"/>
      <c r="I36" s="793"/>
      <c r="J36" s="215"/>
      <c r="K36" s="234" t="str">
        <f t="shared" si="1"/>
        <v>-</v>
      </c>
      <c r="L36" s="844"/>
      <c r="M36" s="707"/>
      <c r="N36" s="707"/>
      <c r="O36" s="707"/>
      <c r="P36" s="707"/>
      <c r="Q36" s="707"/>
      <c r="R36" s="707"/>
      <c r="S36" s="707"/>
      <c r="T36" s="707"/>
    </row>
    <row r="37" spans="3:20">
      <c r="C37" s="90" t="str">
        <f>template_label_8_upstream_leased_assets</f>
        <v>8. Upstream Leased Assets</v>
      </c>
      <c r="D37" s="793"/>
      <c r="E37" s="793"/>
      <c r="F37" s="831"/>
      <c r="G37" s="843"/>
      <c r="H37" s="793"/>
      <c r="I37" s="793"/>
      <c r="J37" s="215"/>
      <c r="K37" s="234" t="str">
        <f t="shared" si="1"/>
        <v>-</v>
      </c>
      <c r="L37" s="844"/>
      <c r="M37" s="707"/>
      <c r="N37" s="707"/>
      <c r="O37" s="707"/>
      <c r="P37" s="707"/>
      <c r="Q37" s="707"/>
      <c r="R37" s="707"/>
      <c r="S37" s="707"/>
      <c r="T37" s="707"/>
    </row>
    <row r="38" spans="3:20">
      <c r="C38" s="90" t="str">
        <f>template_label_9_downstream_transportation_and_distribution</f>
        <v>9. Downstream Transportation and Distribution</v>
      </c>
      <c r="D38" s="793"/>
      <c r="E38" s="793"/>
      <c r="F38" s="831"/>
      <c r="G38" s="843"/>
      <c r="H38" s="793"/>
      <c r="I38" s="793"/>
      <c r="J38" s="215"/>
      <c r="K38" s="234" t="str">
        <f t="shared" si="1"/>
        <v>-</v>
      </c>
      <c r="L38" s="844"/>
      <c r="M38" s="707"/>
      <c r="N38" s="707"/>
      <c r="O38" s="707"/>
      <c r="P38" s="707"/>
      <c r="Q38" s="707"/>
      <c r="R38" s="707"/>
      <c r="S38" s="707"/>
      <c r="T38" s="707"/>
    </row>
    <row r="39" spans="3:20">
      <c r="C39" s="90" t="str">
        <f>template_label_10_processing_of_sold_products</f>
        <v>10. Processing of Sold Products</v>
      </c>
      <c r="D39" s="793"/>
      <c r="E39" s="793"/>
      <c r="F39" s="831"/>
      <c r="G39" s="843"/>
      <c r="H39" s="793"/>
      <c r="I39" s="793"/>
      <c r="J39" s="215"/>
      <c r="K39" s="234" t="str">
        <f t="shared" si="1"/>
        <v>-</v>
      </c>
      <c r="L39" s="844"/>
      <c r="M39" s="707"/>
      <c r="N39" s="707"/>
      <c r="O39" s="707"/>
      <c r="P39" s="707"/>
      <c r="Q39" s="707"/>
      <c r="R39" s="707"/>
      <c r="S39" s="707"/>
      <c r="T39" s="707"/>
    </row>
    <row r="40" spans="3:20">
      <c r="C40" s="90" t="str">
        <f>template_label_11_use_of_sold_products</f>
        <v>11. Use of Sold Products</v>
      </c>
      <c r="D40" s="793"/>
      <c r="E40" s="793"/>
      <c r="F40" s="831"/>
      <c r="G40" s="843"/>
      <c r="H40" s="793"/>
      <c r="I40" s="793"/>
      <c r="J40" s="215"/>
      <c r="K40" s="234" t="str">
        <f t="shared" si="1"/>
        <v>-</v>
      </c>
      <c r="L40" s="844"/>
      <c r="M40" s="707"/>
      <c r="N40" s="707"/>
      <c r="O40" s="707"/>
      <c r="P40" s="707"/>
      <c r="Q40" s="707"/>
      <c r="R40" s="707"/>
      <c r="S40" s="707"/>
      <c r="T40" s="707"/>
    </row>
    <row r="41" spans="3:20">
      <c r="C41" s="90" t="str">
        <f>template_label_12_end_of_life_treatment_of_sold_products</f>
        <v>12. End-of-Life Treatment of Sold Products</v>
      </c>
      <c r="D41" s="793"/>
      <c r="E41" s="793"/>
      <c r="F41" s="831"/>
      <c r="G41" s="843"/>
      <c r="H41" s="793"/>
      <c r="I41" s="793"/>
      <c r="J41" s="215"/>
      <c r="K41" s="234" t="str">
        <f t="shared" si="1"/>
        <v>-</v>
      </c>
      <c r="L41" s="844"/>
      <c r="M41" s="707"/>
      <c r="N41" s="707"/>
      <c r="O41" s="707"/>
      <c r="P41" s="707"/>
      <c r="Q41" s="707"/>
      <c r="R41" s="707"/>
      <c r="S41" s="707"/>
      <c r="T41" s="707"/>
    </row>
    <row r="42" spans="3:20">
      <c r="C42" s="90" t="str">
        <f>template_label_13_downstream_leased_assets</f>
        <v>13. Downstream Leased Assets</v>
      </c>
      <c r="D42" s="793"/>
      <c r="E42" s="793"/>
      <c r="F42" s="831"/>
      <c r="G42" s="843"/>
      <c r="H42" s="793"/>
      <c r="I42" s="793"/>
      <c r="J42" s="215"/>
      <c r="K42" s="234" t="str">
        <f t="shared" si="1"/>
        <v>-</v>
      </c>
      <c r="L42" s="844"/>
      <c r="M42" s="707"/>
      <c r="N42" s="707"/>
      <c r="O42" s="707"/>
      <c r="P42" s="707"/>
      <c r="Q42" s="707"/>
      <c r="R42" s="707"/>
      <c r="S42" s="707"/>
      <c r="T42" s="707"/>
    </row>
    <row r="43" spans="3:20">
      <c r="C43" s="90" t="str">
        <f>template_label_14_franchises</f>
        <v>14. Franchises</v>
      </c>
      <c r="D43" s="793"/>
      <c r="E43" s="793"/>
      <c r="F43" s="831"/>
      <c r="G43" s="843"/>
      <c r="H43" s="793"/>
      <c r="I43" s="793"/>
      <c r="J43" s="215"/>
      <c r="K43" s="234" t="str">
        <f t="shared" si="1"/>
        <v>-</v>
      </c>
      <c r="L43" s="844"/>
      <c r="M43" s="707"/>
      <c r="N43" s="707"/>
      <c r="O43" s="707"/>
      <c r="P43" s="707"/>
      <c r="Q43" s="707"/>
      <c r="R43" s="707"/>
      <c r="S43" s="707"/>
      <c r="T43" s="707"/>
    </row>
    <row r="44" spans="3:20">
      <c r="C44" s="90" t="str">
        <f>template_label_15_investments</f>
        <v>15. Investments</v>
      </c>
      <c r="D44" s="793"/>
      <c r="E44" s="793"/>
      <c r="F44" s="831"/>
      <c r="G44" s="843"/>
      <c r="H44" s="793"/>
      <c r="I44" s="793"/>
      <c r="J44" s="215"/>
      <c r="K44" s="234" t="str">
        <f t="shared" si="1"/>
        <v>-</v>
      </c>
      <c r="L44" s="844"/>
      <c r="M44" s="707"/>
      <c r="N44" s="707"/>
      <c r="O44" s="707"/>
      <c r="P44" s="707"/>
      <c r="Q44" s="707"/>
      <c r="R44" s="707"/>
      <c r="S44" s="707"/>
      <c r="T44" s="707"/>
    </row>
    <row r="45" spans="3:20" ht="15" thickBot="1">
      <c r="C45" s="98" t="str">
        <f>template_label_total_scope_3_ghg_emissions</f>
        <v>Total Scope 3 GHG  emissions</v>
      </c>
      <c r="D45" s="846" t="str">
        <f>IF(AND(G29=FALSE, COUNTA(D30:F44)=0), "-", IF(G29=TRUE, IF(SUM(D30:F44)=0, "-", SUM(D30:F44)), "-"))</f>
        <v>-</v>
      </c>
      <c r="E45" s="846"/>
      <c r="F45" s="905"/>
      <c r="G45" s="845" t="str">
        <f>IF(AND(G29=FALSE, COUNTA(G30:I44)=0), "-", IF(G29=TRUE, IF(SUM(G30:I44)=0, "-", SUM(G30:I44)), "-"))</f>
        <v>-</v>
      </c>
      <c r="H45" s="846"/>
      <c r="I45" s="846"/>
      <c r="J45" s="216" t="str">
        <f>IF(AND(G29=FALSE, COUNTA(J30:J44)=0), "-", IF(G29=TRUE, IF(SUM(J30:J44)=0, "-", SUM(J30:J44)), "-"))</f>
        <v>-</v>
      </c>
      <c r="K45" s="188" t="str">
        <f t="shared" ref="K45:K47" si="2">IF(AND(G45="", J45=""), "-", IFERROR(-(1 - (J45 / G45)), "-"))</f>
        <v>-</v>
      </c>
      <c r="L45" s="16"/>
      <c r="M45" s="707"/>
      <c r="N45" s="707"/>
      <c r="O45" s="707"/>
      <c r="P45" s="707"/>
      <c r="Q45" s="707"/>
      <c r="R45" s="707"/>
      <c r="S45" s="707"/>
      <c r="T45" s="707"/>
    </row>
    <row r="46" spans="3:20">
      <c r="C46" s="13" t="str">
        <f>template_label_total_scope_1_scope_2_and_scope_3_ghg_emissions_location_based</f>
        <v>Total Scope 1 Scope 2 and Scope 3 GHG Emissions (location-based)</v>
      </c>
      <c r="D46" s="925" t="str">
        <f>IF(G29=FALSE, "-", IF(AND(D22="", D23="", D45=""), "-", IF(SUM(D22, D23, D45)=0, "-", SUM(D22, D23, D45))))</f>
        <v>-</v>
      </c>
      <c r="E46" s="925"/>
      <c r="F46" s="926"/>
      <c r="G46" s="966" t="str">
        <f>IF(G29=FALSE, "-", IF(AND(G22="", G23="", G45=""), "-", IF(SUM(G22, G23, G45)=0, "-", SUM(G22, G23, G45))))</f>
        <v>-</v>
      </c>
      <c r="H46" s="925"/>
      <c r="I46" s="925"/>
      <c r="J46" s="213" t="str">
        <f>IF(G29=FALSE, "-", IF(AND(J22="", J23="", J45=""), "-", IF(SUM(J22, J23, J45)=0, "-", SUM(J22, J23, J45))))</f>
        <v>-</v>
      </c>
      <c r="K46" s="189" t="str">
        <f t="shared" si="2"/>
        <v>-</v>
      </c>
      <c r="M46" s="330"/>
      <c r="N46" s="330"/>
      <c r="O46" s="330"/>
      <c r="P46" s="330"/>
      <c r="Q46" s="330"/>
      <c r="R46" s="330"/>
      <c r="S46" s="330"/>
    </row>
    <row r="47" spans="3:20" ht="15" thickBot="1">
      <c r="C47" s="99" t="str">
        <f>template_label_total_scope_1_scope_2_and_scope_3_ghg_emissions_market_based &amp; " - "</f>
        <v xml:space="preserve">Total Scope 1 Scope 2 and Scope 3 GHG Emissions (market-based) - </v>
      </c>
      <c r="D47" s="967" t="str">
        <f>IF(G29=FALSE,"-",IF(OR(D22="",D24="",D45=""),"-",SUM(D22,D24,D45)))</f>
        <v>-</v>
      </c>
      <c r="E47" s="968"/>
      <c r="F47" s="969"/>
      <c r="G47" s="970" t="str">
        <f>IF(G29=FALSE, "-", IF(OR(G22="", G24="", G45=""), "-", IF(SUM(G22, G24, G45)=0, "-", SUM(G22, G24, G45))))</f>
        <v>-</v>
      </c>
      <c r="H47" s="968"/>
      <c r="I47" s="971"/>
      <c r="J47" s="214" t="str">
        <f>IF(G29=FALSE, "-", IF(OR(J22="", J24="", J45=""), "-", IF(SUM(J22, J24, J45)=0, "-", SUM(J22, J24, J45))))</f>
        <v>-</v>
      </c>
      <c r="K47" s="188" t="str">
        <f t="shared" si="2"/>
        <v>-</v>
      </c>
      <c r="M47" s="330"/>
      <c r="N47" s="330"/>
      <c r="O47" s="330"/>
      <c r="P47" s="330"/>
      <c r="Q47" s="330"/>
      <c r="R47" s="330"/>
      <c r="S47" s="330"/>
    </row>
    <row r="48" spans="3:20" ht="15" thickBot="1">
      <c r="C48" s="100"/>
      <c r="D48" s="100"/>
      <c r="E48" s="100"/>
      <c r="F48" s="100"/>
      <c r="G48" s="100"/>
      <c r="H48" s="100"/>
      <c r="I48" s="100"/>
      <c r="J48" s="100"/>
      <c r="K48" s="100"/>
    </row>
    <row r="49" spans="1:12" ht="15" thickBot="1">
      <c r="C49" s="980" t="str">
        <f>template_label_c3_disclosure_of_list_of_main_actions_the_entity_seeks_in_order_to_achieve_its_targets&amp;" "&amp;template_label_from&amp;" "&amp;template_starting_date_display&amp;" "&amp;template_label_to&amp;" "&amp;template_ending_date_display&amp;" "</f>
        <v xml:space="preserve">C3 - Disclosure of list of main actions the entity seeks in order to achieve its targets from - to - </v>
      </c>
      <c r="D49" s="981"/>
      <c r="E49" s="981"/>
      <c r="F49" s="981"/>
      <c r="G49" s="981"/>
      <c r="H49" s="981"/>
      <c r="I49" s="981"/>
      <c r="J49" s="981"/>
      <c r="K49" s="982"/>
    </row>
    <row r="50" spans="1:12">
      <c r="C50" s="702" t="s">
        <v>37</v>
      </c>
      <c r="D50" s="817"/>
      <c r="E50" s="817"/>
      <c r="F50" s="817"/>
      <c r="G50" s="817"/>
      <c r="H50" s="817"/>
      <c r="I50" s="817"/>
      <c r="J50" s="817"/>
      <c r="K50" s="818"/>
    </row>
    <row r="51" spans="1:12">
      <c r="C51" s="711"/>
      <c r="D51" s="686"/>
      <c r="E51" s="686"/>
      <c r="F51" s="686"/>
      <c r="G51" s="686"/>
      <c r="H51" s="686"/>
      <c r="I51" s="686"/>
      <c r="J51" s="686"/>
      <c r="K51" s="808"/>
    </row>
    <row r="52" spans="1:12" ht="15" thickBot="1">
      <c r="C52" s="979"/>
      <c r="D52" s="734"/>
      <c r="E52" s="734"/>
      <c r="F52" s="734"/>
      <c r="G52" s="734"/>
      <c r="H52" s="734"/>
      <c r="I52" s="734"/>
      <c r="J52" s="734"/>
      <c r="K52" s="709"/>
      <c r="L52" s="16" t="str">
        <f>IF(template_checkbox_c3_list_of_main_actions_to_achieve_targets_docx=TRUE,
IF(AND(J19=TRUE, C52&lt;&gt;""), template_label_ok, IF(AND(J19=TRUE, C52=""), "", "")),
IF(AND(J19=TRUE, C52&lt;&gt;""), template_label_ok, IF(AND(J19=TRUE, C52=""), template_label_missing_value, "")))</f>
        <v/>
      </c>
    </row>
    <row r="54" spans="1:12" ht="15" thickBot="1">
      <c r="C54" s="9"/>
      <c r="D54" s="9"/>
      <c r="E54" s="9"/>
      <c r="F54" s="9"/>
      <c r="G54" s="9"/>
      <c r="H54" s="9"/>
      <c r="I54" s="9"/>
      <c r="J54" s="9"/>
      <c r="K54" s="9"/>
    </row>
    <row r="55" spans="1:12" ht="89.4" customHeight="1" thickBot="1">
      <c r="A55" s="780" t="str">
        <f>template_label_supporting_guidance_c3</f>
        <v>ℹ️ VSME Supporting guide on Disclosure C3 - Comprehensive Module (GHG reduction targets and climate transition)</v>
      </c>
      <c r="B55" s="828"/>
      <c r="C55" s="864" t="str">
        <f>template_label_c3_transition_plan_for_undertakings_operating_in_high_climate_impact_sectors&amp;" "&amp;template_label_from&amp;" "&amp;template_starting_date_display&amp;" "&amp;template_label_to&amp;" "&amp;template_ending_date_display</f>
        <v>C3 - Transition plan for undertakings operating in high climate impact sectors from - to -</v>
      </c>
      <c r="D55" s="864"/>
      <c r="E55" s="864"/>
      <c r="F55" s="864"/>
      <c r="G55" s="864"/>
      <c r="H55" s="864"/>
      <c r="I55" s="864"/>
      <c r="J55" s="864"/>
      <c r="K55" s="865"/>
    </row>
    <row r="56" spans="1:12" ht="38.4" customHeight="1">
      <c r="A56" s="365">
        <v>54</v>
      </c>
      <c r="B56" s="366"/>
      <c r="C56" s="389" t="str">
        <f>template_label_is_the_undertaking_operating_in_high_impact_sectors</f>
        <v>Is the undertaking operating in high impact sectors?</v>
      </c>
      <c r="D56" s="854" t="b">
        <f>OR(
  ISNUMBER(MATCH('General Information'!E178, 'Enumeration Lists'!A3:A677, 0)),
  ISNUMBER(MATCH('General Information'!E179, 'Enumeration Lists'!A3:A677, 0)),
  ISNUMBER(MATCH('General Information'!E180, 'Enumeration Lists'!A3:A677, 0)),
  ISNUMBER(MATCH('General Information'!E181, 'Enumeration Lists'!A3:A677, 0)),
  ISNUMBER(MATCH('General Information'!E182, 'Enumeration Lists'!A3:A677, 0)),
  ISNUMBER(MATCH('General Information'!E178, 'Enumeration Lists'!A782:A791, 0)),
  ISNUMBER(MATCH('General Information'!E179, 'Enumeration Lists'!A782:A791, 0)),
  ISNUMBER(MATCH('General Information'!E180, 'Enumeration Lists'!A782:A791, 0)),
  ISNUMBER(MATCH('General Information'!E181, 'Enumeration Lists'!A782:A791, 0)),
  ISNUMBER(MATCH('General Information'!E182, 'Enumeration Lists'!A782:A791, 0))
)</f>
        <v>0</v>
      </c>
      <c r="E56" s="855"/>
      <c r="F56" s="855"/>
      <c r="G56" s="855"/>
      <c r="H56" s="855"/>
      <c r="I56" s="855"/>
      <c r="J56" s="855"/>
      <c r="K56" s="856"/>
      <c r="L56" s="16"/>
    </row>
    <row r="57" spans="1:12">
      <c r="A57" s="365">
        <v>54</v>
      </c>
      <c r="B57" s="366"/>
      <c r="C57" s="90" t="str">
        <f>template_label_status_of_implementation_of_a_transition_plan_in_relation_to_climate_change_mitigation</f>
        <v>Status of implementation of a transition plan in relation to climate change mitigation</v>
      </c>
      <c r="D57" s="974"/>
      <c r="E57" s="975"/>
      <c r="F57" s="975"/>
      <c r="G57" s="975"/>
      <c r="H57" s="975"/>
      <c r="I57" s="975"/>
      <c r="J57" s="975"/>
      <c r="K57" s="976"/>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c r="A58" s="365">
        <v>54</v>
      </c>
      <c r="B58" s="366"/>
      <c r="C58" s="101" t="str">
        <f>template_label_description_of_a_transition_plan_for_climate_change_mitigation</f>
        <v>Description of a transition plan for climate change mitigation including an explanation of how it is contributing to reduce GHG emissions</v>
      </c>
      <c r="D58" s="977"/>
      <c r="E58" s="977"/>
      <c r="F58" s="977"/>
      <c r="G58" s="977"/>
      <c r="H58" s="977"/>
      <c r="I58" s="977"/>
      <c r="J58" s="977"/>
      <c r="K58" s="978"/>
      <c r="L58" s="16" t="str">
        <f>IF(AND(D57="A transition plan has already been adopted", DescriptionOfATransitionPlanForClimateChangeMitigationIncludingAnExplanationOfHowItIsContributingToReduceGhgEmissions&lt;&gt;""), template_label_ok, "")</f>
        <v/>
      </c>
    </row>
    <row r="59" spans="1:12">
      <c r="A59" s="686">
        <v>55</v>
      </c>
      <c r="B59" s="687"/>
      <c r="C59" s="834" t="str">
        <f>template_label_date_of_foreseen_adoption_of_transition_plan_for_undertaking_not_having_adopted_transition_plan_yet</f>
        <v>Date of foreseen adoption of transition plan for undertaking not having adopted transition plan yet</v>
      </c>
      <c r="D59" s="837" t="str">
        <f>template_label_year</f>
        <v>Year</v>
      </c>
      <c r="E59" s="838"/>
      <c r="F59" s="838"/>
      <c r="G59" s="838"/>
      <c r="H59" s="839"/>
      <c r="I59" s="840"/>
      <c r="J59" s="841"/>
      <c r="K59" s="842"/>
      <c r="L59" s="833"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c r="A60" s="686"/>
      <c r="B60" s="687"/>
      <c r="C60" s="835"/>
      <c r="D60" s="837" t="str">
        <f>template_label_month</f>
        <v>Month</v>
      </c>
      <c r="E60" s="838"/>
      <c r="F60" s="838"/>
      <c r="G60" s="838"/>
      <c r="H60" s="839"/>
      <c r="I60" s="840"/>
      <c r="J60" s="841"/>
      <c r="K60" s="842"/>
      <c r="L60" s="833"/>
    </row>
    <row r="61" spans="1:12">
      <c r="A61" s="686"/>
      <c r="B61" s="687"/>
      <c r="C61" s="835"/>
      <c r="D61" s="837" t="str">
        <f>template_label_day</f>
        <v>Day</v>
      </c>
      <c r="E61" s="838"/>
      <c r="F61" s="838"/>
      <c r="G61" s="838"/>
      <c r="H61" s="839"/>
      <c r="I61" s="840"/>
      <c r="J61" s="841"/>
      <c r="K61" s="842"/>
      <c r="L61" s="833"/>
    </row>
    <row r="62" spans="1:12" ht="15" thickBot="1">
      <c r="A62" s="686"/>
      <c r="B62" s="687"/>
      <c r="C62" s="836"/>
      <c r="D62" s="972" t="str">
        <f>IF(OR(ISBLANK(I59), ISBLANK(I60), ISBLANK(I61)), "-", I59 &amp; "-" &amp; TEXT(I60, "00") &amp; "-" &amp; TEXT(I61, "00"))</f>
        <v>-</v>
      </c>
      <c r="E62" s="972"/>
      <c r="F62" s="972"/>
      <c r="G62" s="972"/>
      <c r="H62" s="972"/>
      <c r="I62" s="972"/>
      <c r="J62" s="972"/>
      <c r="K62" s="973"/>
      <c r="L62" s="297"/>
    </row>
    <row r="64" spans="1:12" ht="15" thickBot="1"/>
    <row r="65" spans="3:12" ht="15" thickBot="1">
      <c r="C65" s="727" t="str">
        <f>template_label_b4_pollution_of_air_water_and_soil&amp;" "&amp;template_label_from&amp;" "&amp;template_starting_date_display&amp;" "&amp;template_label_to&amp;" "&amp;template_ending_date_display</f>
        <v>B4 - Pollution of air water and soil from - to -</v>
      </c>
      <c r="D65" s="815"/>
      <c r="E65" s="815"/>
      <c r="F65" s="815"/>
      <c r="G65" s="815"/>
      <c r="H65" s="815"/>
      <c r="I65" s="815"/>
      <c r="J65" s="815"/>
      <c r="K65" s="816"/>
    </row>
    <row r="66" spans="3:12">
      <c r="C66" s="702">
        <v>34</v>
      </c>
      <c r="D66" s="817"/>
      <c r="E66" s="817"/>
      <c r="F66" s="817"/>
      <c r="G66" s="817"/>
      <c r="H66" s="817"/>
      <c r="I66" s="817"/>
      <c r="J66" s="817"/>
      <c r="K66" s="818"/>
    </row>
    <row r="67" spans="3:12">
      <c r="C67" s="711"/>
      <c r="D67" s="686"/>
      <c r="E67" s="686"/>
      <c r="F67" s="686"/>
      <c r="G67" s="686"/>
      <c r="H67" s="686"/>
      <c r="I67" s="686"/>
      <c r="J67" s="686"/>
      <c r="K67" s="808"/>
    </row>
    <row r="68" spans="3:12" ht="30" customHeight="1">
      <c r="C68" s="783" t="str">
        <f>template_label_required_to_report_to_competent_authorities_by_EU_or_national_law_its_emissions_to_pollutants</f>
        <v>Is the undertaking already required to report to competent authorities by EU or national law its emissions to pollutants or does it already voluntarily report on them according to an Environmental Management System?</v>
      </c>
      <c r="D68" s="861"/>
      <c r="E68" s="861"/>
      <c r="F68" s="861"/>
      <c r="G68" s="857" t="b">
        <v>0</v>
      </c>
      <c r="H68" s="857"/>
      <c r="I68" s="857"/>
      <c r="J68" s="857"/>
      <c r="K68" s="858"/>
      <c r="L68" s="16"/>
    </row>
    <row r="69" spans="3:12">
      <c r="C69" s="769" t="str">
        <f>template_label_is_this_disclosure_already_publicly_available</f>
        <v>Is this disclosure already publicly available?</v>
      </c>
      <c r="D69" s="853"/>
      <c r="E69" s="853"/>
      <c r="F69" s="853"/>
      <c r="G69" s="984"/>
      <c r="H69" s="984"/>
      <c r="I69" s="984"/>
      <c r="J69" s="984"/>
      <c r="K69" s="985"/>
      <c r="L69" s="16" t="str" cm="1">
        <f t="array" ref="L69">IF(AND(G69=TRUE,D74:K173=""),
template_label_ok,IF(AND(G68=TRUE,G69=""),template_label_missing_value,IF(AND(G68=TRUE,PubliclyAvailableDisclosure=FALSE),template_label_ok,
IF(AND(OR(D74:K173&lt;&gt;""),G69=TRUE),
template_label_value_inconsistency,
""
)
)))</f>
        <v/>
      </c>
    </row>
    <row r="70" spans="3:12">
      <c r="C70" s="769" t="str">
        <f>template_label_please_provide_the_relevant_url_link_or_hyperlink_of_where_this_information_is_reported</f>
        <v>Please provide the relevant URL link or hyperlink of where this information is reported</v>
      </c>
      <c r="D70" s="853"/>
      <c r="E70" s="853"/>
      <c r="F70" s="853"/>
      <c r="G70" s="859"/>
      <c r="H70" s="803"/>
      <c r="I70" s="803"/>
      <c r="J70" s="803"/>
      <c r="K70" s="860"/>
      <c r="L70" s="16" t="str">
        <f>IF(G69=TRUE,
   IF(G70="",
      template_label_missing_value,
      IF(OR(LEFT(G70,7)="http://", LEFT(G70,8)="https://", LEFT(G70,4)="www."),
         template_label_ok,
         template_label_invalid_url
      )
   ),
"")</f>
        <v/>
      </c>
    </row>
    <row r="71" spans="3:12">
      <c r="C71" s="922" t="str">
        <f>template_label_please_select_the_unit_used_for_reporting_the_amount</f>
        <v>Please select the unit used for reporting the amount (i.e. either kg or tonne)</v>
      </c>
      <c r="D71" s="923"/>
      <c r="E71" s="923"/>
      <c r="F71" s="923"/>
      <c r="G71" s="923"/>
      <c r="H71" s="923"/>
      <c r="I71" s="923"/>
      <c r="J71" s="923"/>
      <c r="K71" s="924"/>
    </row>
    <row r="72" spans="3:12">
      <c r="C72" s="983"/>
      <c r="D72" s="803"/>
      <c r="E72" s="803"/>
      <c r="F72" s="803"/>
      <c r="G72" s="803"/>
      <c r="H72" s="803"/>
      <c r="I72" s="803"/>
      <c r="J72" s="803"/>
      <c r="K72" s="860"/>
      <c r="L72" s="17" t="str" cm="1">
        <f t="array" ref="L72">IF(PubliclyAvailableDisclosure="","",IF(AND(OR(D74:F173&lt;&gt;"",G74:I173&lt;&gt;"",J74:J173&lt;&gt;"",K74:K173&lt;&gt;""),C72&lt;&gt;"",G68=TRUE,G69=FALSE),
template_label_ok,
IF(AND(OR(D74:F173&lt;&gt;"",G74:I173&lt;&gt;"",J74:J173&lt;&gt;"",K74:K173&lt;&gt;""),C72&lt;&gt;"",G68=TRUE,G69=TRUE),
template_label_value_inconsistency,
IF(AND(OR(D74:D173="",G74:G173="",J74:J173="",K74:K173=""),C72&lt;&gt;"",G68=TRUE,G69=FALSE),
template_label_ok,
IF(AND(OR(D74:D173="",G74:G173="",J74:J173="",K74:K173=""),C72&lt;&gt;"",G68=TRUE,G69=TRUE),
template_label_value_inconsistency,
IF(AND(C72="",G68=TRUE,G69=FALSE),
template_label_missing_value,
""
)
)
)
)
))</f>
        <v/>
      </c>
    </row>
    <row r="73" spans="3:12">
      <c r="C73" s="103" t="str">
        <f>template_label_row_id</f>
        <v>Row ID</v>
      </c>
      <c r="D73" s="892" t="str">
        <f>template_label_pollutant</f>
        <v>Pollutant</v>
      </c>
      <c r="E73" s="892"/>
      <c r="F73" s="892"/>
      <c r="G73" s="892" t="str">
        <f>template_label_emission_to_air</f>
        <v>Emission to air</v>
      </c>
      <c r="H73" s="892"/>
      <c r="I73" s="892"/>
      <c r="J73" s="6" t="str">
        <f>template_label_emission_to_water</f>
        <v>Emission to water</v>
      </c>
      <c r="K73" s="94" t="str">
        <f>template_label_emission_to_soil</f>
        <v>Emission to soil</v>
      </c>
    </row>
    <row r="74" spans="3:12">
      <c r="C74" s="190">
        <v>1</v>
      </c>
      <c r="D74" s="803"/>
      <c r="E74" s="803"/>
      <c r="F74" s="803"/>
      <c r="G74" s="793"/>
      <c r="H74" s="793"/>
      <c r="I74" s="793"/>
      <c r="J74" s="215"/>
      <c r="K74" s="217"/>
      <c r="L74" s="16" t="str">
        <f>IF(PubliclyAvailableDisclosure="","",IF(AND($G$68=TRUE,$G$69=TRUE,OR(D74&lt;&gt;"",G74&lt;&gt;"",J74&lt;&gt;"",K74&lt;&gt;"")),
template_label_value_inconsistency,
IF($G$68&lt;&gt;TRUE,"",
IF(AND(D74="",G74="",J74="",K74="",G68=TRUE,G69=FALSE),template_label_missing_value,
IF(AND(D74="",G74="",J74="",K74="",G68=TRUE,G69=TRUE),"",
IF(AND(D74="",G74="",J74="",K74="",G68=FALSE),"",
IF(AND(D74&lt;&gt;"",G74="",J74="",K74=""),template_label_missing_value,
IF(AND(D74&lt;&gt;"",OR(G74&lt;&gt;"",J74&lt;&gt;"",K74&lt;&gt;"")),
IF(COUNTIF($D$74:$D$173,D74)&gt;1,template_label_value_inconsistency,template_label_ok),
template_label_missing_value))))))))</f>
        <v/>
      </c>
    </row>
    <row r="75" spans="3:12">
      <c r="C75" s="190">
        <v>2</v>
      </c>
      <c r="D75" s="803"/>
      <c r="E75" s="803"/>
      <c r="F75" s="803"/>
      <c r="G75" s="793"/>
      <c r="H75" s="793"/>
      <c r="I75" s="793"/>
      <c r="J75" s="215"/>
      <c r="K75" s="217"/>
      <c r="L75" s="16" t="str">
        <f t="shared" ref="L75:L173" si="3">IF(AND($G$68=TRUE,$G$69=TRUE,OR(D75&lt;&gt;"",G75&lt;&gt;"",J75&lt;&gt;"",K75&lt;&gt;"")),
    template_label_value_inconsistency,
IF($G$68&lt;&gt;TRUE, "",
IF(AND(D75="", G75="", J75="", K75=""), "",
IF(AND(D75&lt;&gt;"", G75="", J75="", K75=""), template_label_missing_value,
IF(AND(D75&lt;&gt;"", OR(G75&lt;&gt;"", J75&lt;&gt;"", K75&lt;&gt;"")),
    IF(COUNTIF($D$74:$D$173, D75)&gt;1, template_label_value_inconsistency, template_label_ok),
template_label_missing_value)))))</f>
        <v/>
      </c>
    </row>
    <row r="76" spans="3:12" ht="15" thickBot="1">
      <c r="C76" s="192">
        <v>3</v>
      </c>
      <c r="D76" s="927"/>
      <c r="E76" s="927"/>
      <c r="F76" s="927"/>
      <c r="G76" s="827"/>
      <c r="H76" s="827"/>
      <c r="I76" s="827"/>
      <c r="J76" s="218"/>
      <c r="K76" s="219"/>
      <c r="L76" s="16" t="str">
        <f t="shared" si="3"/>
        <v/>
      </c>
    </row>
    <row r="77" spans="3:12" ht="15" hidden="1" outlineLevel="1" thickBot="1">
      <c r="C77" s="191">
        <v>4</v>
      </c>
      <c r="D77" s="986"/>
      <c r="E77" s="986"/>
      <c r="F77" s="986"/>
      <c r="G77" s="904"/>
      <c r="H77" s="904"/>
      <c r="I77" s="904"/>
      <c r="J77" s="220"/>
      <c r="K77" s="221"/>
      <c r="L77" s="16" t="str">
        <f t="shared" si="3"/>
        <v/>
      </c>
    </row>
    <row r="78" spans="3:12" ht="15" hidden="1" outlineLevel="1" thickBot="1">
      <c r="C78" s="190">
        <v>5</v>
      </c>
      <c r="D78" s="803"/>
      <c r="E78" s="803"/>
      <c r="F78" s="803"/>
      <c r="G78" s="793"/>
      <c r="H78" s="793"/>
      <c r="I78" s="793"/>
      <c r="J78" s="215"/>
      <c r="K78" s="217"/>
      <c r="L78" s="16" t="str">
        <f t="shared" si="3"/>
        <v/>
      </c>
    </row>
    <row r="79" spans="3:12" ht="15" hidden="1" outlineLevel="1" thickBot="1">
      <c r="C79" s="190">
        <v>6</v>
      </c>
      <c r="D79" s="803"/>
      <c r="E79" s="803"/>
      <c r="F79" s="803"/>
      <c r="G79" s="793"/>
      <c r="H79" s="793"/>
      <c r="I79" s="793"/>
      <c r="J79" s="215"/>
      <c r="K79" s="217"/>
      <c r="L79" s="16" t="str">
        <f t="shared" si="3"/>
        <v/>
      </c>
    </row>
    <row r="80" spans="3:12" ht="15" hidden="1" outlineLevel="1" thickBot="1">
      <c r="C80" s="190">
        <v>7</v>
      </c>
      <c r="D80" s="803"/>
      <c r="E80" s="803"/>
      <c r="F80" s="803"/>
      <c r="G80" s="793"/>
      <c r="H80" s="793"/>
      <c r="I80" s="793"/>
      <c r="J80" s="215"/>
      <c r="K80" s="217"/>
      <c r="L80" s="16" t="str">
        <f t="shared" si="3"/>
        <v/>
      </c>
    </row>
    <row r="81" spans="3:12" ht="15" hidden="1" outlineLevel="1" thickBot="1">
      <c r="C81" s="190">
        <v>8</v>
      </c>
      <c r="D81" s="803"/>
      <c r="E81" s="803"/>
      <c r="F81" s="803"/>
      <c r="G81" s="793"/>
      <c r="H81" s="793"/>
      <c r="I81" s="793"/>
      <c r="J81" s="215"/>
      <c r="K81" s="217"/>
      <c r="L81" s="16" t="str">
        <f t="shared" si="3"/>
        <v/>
      </c>
    </row>
    <row r="82" spans="3:12" ht="15" hidden="1" outlineLevel="1" thickBot="1">
      <c r="C82" s="190">
        <v>9</v>
      </c>
      <c r="D82" s="803"/>
      <c r="E82" s="803"/>
      <c r="F82" s="803"/>
      <c r="G82" s="793"/>
      <c r="H82" s="793"/>
      <c r="I82" s="793"/>
      <c r="J82" s="215"/>
      <c r="K82" s="217"/>
      <c r="L82" s="16" t="str">
        <f t="shared" si="3"/>
        <v/>
      </c>
    </row>
    <row r="83" spans="3:12" ht="15" hidden="1" outlineLevel="1" thickBot="1">
      <c r="C83" s="190">
        <v>10</v>
      </c>
      <c r="D83" s="803"/>
      <c r="E83" s="803"/>
      <c r="F83" s="803"/>
      <c r="G83" s="793"/>
      <c r="H83" s="793"/>
      <c r="I83" s="793"/>
      <c r="J83" s="215"/>
      <c r="K83" s="217"/>
      <c r="L83" s="16" t="str">
        <f t="shared" si="3"/>
        <v/>
      </c>
    </row>
    <row r="84" spans="3:12" ht="15" hidden="1" outlineLevel="1" thickBot="1">
      <c r="C84" s="190">
        <v>11</v>
      </c>
      <c r="D84" s="803"/>
      <c r="E84" s="803"/>
      <c r="F84" s="803"/>
      <c r="G84" s="793"/>
      <c r="H84" s="793"/>
      <c r="I84" s="793"/>
      <c r="J84" s="215"/>
      <c r="K84" s="217"/>
      <c r="L84" s="16" t="str">
        <f t="shared" si="3"/>
        <v/>
      </c>
    </row>
    <row r="85" spans="3:12" ht="15" hidden="1" outlineLevel="1" thickBot="1">
      <c r="C85" s="190">
        <v>12</v>
      </c>
      <c r="D85" s="803"/>
      <c r="E85" s="803"/>
      <c r="F85" s="803"/>
      <c r="G85" s="793"/>
      <c r="H85" s="793"/>
      <c r="I85" s="793"/>
      <c r="J85" s="215"/>
      <c r="K85" s="217"/>
      <c r="L85" s="16" t="str">
        <f t="shared" si="3"/>
        <v/>
      </c>
    </row>
    <row r="86" spans="3:12" ht="15" hidden="1" outlineLevel="1" thickBot="1">
      <c r="C86" s="190">
        <v>13</v>
      </c>
      <c r="D86" s="803"/>
      <c r="E86" s="803"/>
      <c r="F86" s="803"/>
      <c r="G86" s="793"/>
      <c r="H86" s="793"/>
      <c r="I86" s="793"/>
      <c r="J86" s="215"/>
      <c r="K86" s="217"/>
      <c r="L86" s="16" t="str">
        <f t="shared" si="3"/>
        <v/>
      </c>
    </row>
    <row r="87" spans="3:12" ht="15" hidden="1" outlineLevel="1" thickBot="1">
      <c r="C87" s="190">
        <v>14</v>
      </c>
      <c r="D87" s="803"/>
      <c r="E87" s="803"/>
      <c r="F87" s="803"/>
      <c r="G87" s="793"/>
      <c r="H87" s="793"/>
      <c r="I87" s="793"/>
      <c r="J87" s="215"/>
      <c r="K87" s="217"/>
      <c r="L87" s="16" t="str">
        <f t="shared" si="3"/>
        <v/>
      </c>
    </row>
    <row r="88" spans="3:12" ht="15" hidden="1" outlineLevel="1" thickBot="1">
      <c r="C88" s="190">
        <v>15</v>
      </c>
      <c r="D88" s="803"/>
      <c r="E88" s="803"/>
      <c r="F88" s="803"/>
      <c r="G88" s="793"/>
      <c r="H88" s="793"/>
      <c r="I88" s="793"/>
      <c r="J88" s="215"/>
      <c r="K88" s="217"/>
      <c r="L88" s="16" t="str">
        <f t="shared" si="3"/>
        <v/>
      </c>
    </row>
    <row r="89" spans="3:12" ht="15" hidden="1" outlineLevel="1" thickBot="1">
      <c r="C89" s="190">
        <v>16</v>
      </c>
      <c r="D89" s="803"/>
      <c r="E89" s="803"/>
      <c r="F89" s="803"/>
      <c r="G89" s="793"/>
      <c r="H89" s="793"/>
      <c r="I89" s="793"/>
      <c r="J89" s="215"/>
      <c r="K89" s="217"/>
      <c r="L89" s="16" t="str">
        <f t="shared" si="3"/>
        <v/>
      </c>
    </row>
    <row r="90" spans="3:12" ht="15" hidden="1" outlineLevel="1" thickBot="1">
      <c r="C90" s="190">
        <v>17</v>
      </c>
      <c r="D90" s="803"/>
      <c r="E90" s="803"/>
      <c r="F90" s="803"/>
      <c r="G90" s="793"/>
      <c r="H90" s="793"/>
      <c r="I90" s="793"/>
      <c r="J90" s="215"/>
      <c r="K90" s="217"/>
      <c r="L90" s="16" t="str">
        <f t="shared" si="3"/>
        <v/>
      </c>
    </row>
    <row r="91" spans="3:12" ht="15" hidden="1" outlineLevel="1" thickBot="1">
      <c r="C91" s="190">
        <v>18</v>
      </c>
      <c r="D91" s="803"/>
      <c r="E91" s="803"/>
      <c r="F91" s="803"/>
      <c r="G91" s="793"/>
      <c r="H91" s="793"/>
      <c r="I91" s="793"/>
      <c r="J91" s="215"/>
      <c r="K91" s="217"/>
      <c r="L91" s="16" t="str">
        <f t="shared" si="3"/>
        <v/>
      </c>
    </row>
    <row r="92" spans="3:12" ht="15" hidden="1" outlineLevel="1" thickBot="1">
      <c r="C92" s="190">
        <v>19</v>
      </c>
      <c r="D92" s="803"/>
      <c r="E92" s="803"/>
      <c r="F92" s="803"/>
      <c r="G92" s="793"/>
      <c r="H92" s="793"/>
      <c r="I92" s="793"/>
      <c r="J92" s="215"/>
      <c r="K92" s="217"/>
      <c r="L92" s="16" t="str">
        <f t="shared" si="3"/>
        <v/>
      </c>
    </row>
    <row r="93" spans="3:12" ht="15" hidden="1" outlineLevel="1" thickBot="1">
      <c r="C93" s="190">
        <v>20</v>
      </c>
      <c r="D93" s="803"/>
      <c r="E93" s="803"/>
      <c r="F93" s="803"/>
      <c r="G93" s="793"/>
      <c r="H93" s="793"/>
      <c r="I93" s="793"/>
      <c r="J93" s="215"/>
      <c r="K93" s="217"/>
      <c r="L93" s="16" t="str">
        <f t="shared" si="3"/>
        <v/>
      </c>
    </row>
    <row r="94" spans="3:12" ht="15" hidden="1" outlineLevel="1" thickBot="1">
      <c r="C94" s="190">
        <v>21</v>
      </c>
      <c r="D94" s="803"/>
      <c r="E94" s="803"/>
      <c r="F94" s="803"/>
      <c r="G94" s="793"/>
      <c r="H94" s="793"/>
      <c r="I94" s="793"/>
      <c r="J94" s="215"/>
      <c r="K94" s="217"/>
      <c r="L94" s="16" t="str">
        <f t="shared" si="3"/>
        <v/>
      </c>
    </row>
    <row r="95" spans="3:12" ht="15" hidden="1" outlineLevel="1" thickBot="1">
      <c r="C95" s="190">
        <v>22</v>
      </c>
      <c r="D95" s="803"/>
      <c r="E95" s="803"/>
      <c r="F95" s="803"/>
      <c r="G95" s="793"/>
      <c r="H95" s="793"/>
      <c r="I95" s="793"/>
      <c r="J95" s="215"/>
      <c r="K95" s="217"/>
      <c r="L95" s="16" t="str">
        <f t="shared" si="3"/>
        <v/>
      </c>
    </row>
    <row r="96" spans="3:12" ht="15" hidden="1" outlineLevel="1" thickBot="1">
      <c r="C96" s="190">
        <v>23</v>
      </c>
      <c r="D96" s="803"/>
      <c r="E96" s="803"/>
      <c r="F96" s="803"/>
      <c r="G96" s="793"/>
      <c r="H96" s="793"/>
      <c r="I96" s="793"/>
      <c r="J96" s="215"/>
      <c r="K96" s="217"/>
      <c r="L96" s="16" t="str">
        <f t="shared" si="3"/>
        <v/>
      </c>
    </row>
    <row r="97" spans="3:12" ht="15" hidden="1" outlineLevel="1" thickBot="1">
      <c r="C97" s="190">
        <v>24</v>
      </c>
      <c r="D97" s="803"/>
      <c r="E97" s="803"/>
      <c r="F97" s="803"/>
      <c r="G97" s="793"/>
      <c r="H97" s="793"/>
      <c r="I97" s="793"/>
      <c r="J97" s="215"/>
      <c r="K97" s="217"/>
      <c r="L97" s="16" t="str">
        <f t="shared" si="3"/>
        <v/>
      </c>
    </row>
    <row r="98" spans="3:12" ht="15" hidden="1" outlineLevel="1" thickBot="1">
      <c r="C98" s="190">
        <v>25</v>
      </c>
      <c r="D98" s="803"/>
      <c r="E98" s="803"/>
      <c r="F98" s="803"/>
      <c r="G98" s="793"/>
      <c r="H98" s="793"/>
      <c r="I98" s="793"/>
      <c r="J98" s="215"/>
      <c r="K98" s="217"/>
      <c r="L98" s="16" t="str">
        <f t="shared" si="3"/>
        <v/>
      </c>
    </row>
    <row r="99" spans="3:12" ht="15" hidden="1" outlineLevel="1" thickBot="1">
      <c r="C99" s="190">
        <v>26</v>
      </c>
      <c r="D99" s="803"/>
      <c r="E99" s="803"/>
      <c r="F99" s="803"/>
      <c r="G99" s="793"/>
      <c r="H99" s="793"/>
      <c r="I99" s="793"/>
      <c r="J99" s="215"/>
      <c r="K99" s="217"/>
      <c r="L99" s="16" t="str">
        <f t="shared" si="3"/>
        <v/>
      </c>
    </row>
    <row r="100" spans="3:12" ht="15" hidden="1" outlineLevel="1" thickBot="1">
      <c r="C100" s="190">
        <v>27</v>
      </c>
      <c r="D100" s="803"/>
      <c r="E100" s="803"/>
      <c r="F100" s="803"/>
      <c r="G100" s="793"/>
      <c r="H100" s="793"/>
      <c r="I100" s="793"/>
      <c r="J100" s="215"/>
      <c r="K100" s="217"/>
      <c r="L100" s="16" t="str">
        <f t="shared" si="3"/>
        <v/>
      </c>
    </row>
    <row r="101" spans="3:12" ht="15" hidden="1" outlineLevel="1" thickBot="1">
      <c r="C101" s="190">
        <v>28</v>
      </c>
      <c r="D101" s="803"/>
      <c r="E101" s="803"/>
      <c r="F101" s="803"/>
      <c r="G101" s="793"/>
      <c r="H101" s="793"/>
      <c r="I101" s="793"/>
      <c r="J101" s="215"/>
      <c r="K101" s="217"/>
      <c r="L101" s="16" t="str">
        <f t="shared" si="3"/>
        <v/>
      </c>
    </row>
    <row r="102" spans="3:12" ht="15" hidden="1" outlineLevel="1" thickBot="1">
      <c r="C102" s="190">
        <v>29</v>
      </c>
      <c r="D102" s="803"/>
      <c r="E102" s="803"/>
      <c r="F102" s="803"/>
      <c r="G102" s="793"/>
      <c r="H102" s="793"/>
      <c r="I102" s="793"/>
      <c r="J102" s="215"/>
      <c r="K102" s="217"/>
      <c r="L102" s="16" t="str">
        <f t="shared" si="3"/>
        <v/>
      </c>
    </row>
    <row r="103" spans="3:12" ht="15" hidden="1" outlineLevel="1" thickBot="1">
      <c r="C103" s="190">
        <v>30</v>
      </c>
      <c r="D103" s="803"/>
      <c r="E103" s="803"/>
      <c r="F103" s="803"/>
      <c r="G103" s="793"/>
      <c r="H103" s="793"/>
      <c r="I103" s="793"/>
      <c r="J103" s="215"/>
      <c r="K103" s="217"/>
      <c r="L103" s="16" t="str">
        <f t="shared" si="3"/>
        <v/>
      </c>
    </row>
    <row r="104" spans="3:12" ht="15" hidden="1" outlineLevel="1" thickBot="1">
      <c r="C104" s="190">
        <v>31</v>
      </c>
      <c r="D104" s="803"/>
      <c r="E104" s="803"/>
      <c r="F104" s="803"/>
      <c r="G104" s="793"/>
      <c r="H104" s="793"/>
      <c r="I104" s="793"/>
      <c r="J104" s="215"/>
      <c r="K104" s="217"/>
      <c r="L104" s="16" t="str">
        <f t="shared" si="3"/>
        <v/>
      </c>
    </row>
    <row r="105" spans="3:12" ht="15" hidden="1" outlineLevel="1" thickBot="1">
      <c r="C105" s="190">
        <v>32</v>
      </c>
      <c r="D105" s="803"/>
      <c r="E105" s="803"/>
      <c r="F105" s="803"/>
      <c r="G105" s="793"/>
      <c r="H105" s="793"/>
      <c r="I105" s="793"/>
      <c r="J105" s="215"/>
      <c r="K105" s="217"/>
      <c r="L105" s="16" t="str">
        <f t="shared" si="3"/>
        <v/>
      </c>
    </row>
    <row r="106" spans="3:12" ht="15" hidden="1" outlineLevel="1" thickBot="1">
      <c r="C106" s="190">
        <v>33</v>
      </c>
      <c r="D106" s="803"/>
      <c r="E106" s="803"/>
      <c r="F106" s="803"/>
      <c r="G106" s="793"/>
      <c r="H106" s="793"/>
      <c r="I106" s="793"/>
      <c r="J106" s="215"/>
      <c r="K106" s="217"/>
      <c r="L106" s="16" t="str">
        <f t="shared" si="3"/>
        <v/>
      </c>
    </row>
    <row r="107" spans="3:12" ht="15" hidden="1" outlineLevel="1" thickBot="1">
      <c r="C107" s="190">
        <v>34</v>
      </c>
      <c r="D107" s="803"/>
      <c r="E107" s="803"/>
      <c r="F107" s="803"/>
      <c r="G107" s="793"/>
      <c r="H107" s="793"/>
      <c r="I107" s="793"/>
      <c r="J107" s="215"/>
      <c r="K107" s="217"/>
      <c r="L107" s="16" t="str">
        <f t="shared" si="3"/>
        <v/>
      </c>
    </row>
    <row r="108" spans="3:12" ht="15" hidden="1" outlineLevel="1" thickBot="1">
      <c r="C108" s="190">
        <v>35</v>
      </c>
      <c r="D108" s="803"/>
      <c r="E108" s="803"/>
      <c r="F108" s="803"/>
      <c r="G108" s="793"/>
      <c r="H108" s="793"/>
      <c r="I108" s="793"/>
      <c r="J108" s="215"/>
      <c r="K108" s="217"/>
      <c r="L108" s="16" t="str">
        <f t="shared" si="3"/>
        <v/>
      </c>
    </row>
    <row r="109" spans="3:12" ht="15" hidden="1" outlineLevel="1" thickBot="1">
      <c r="C109" s="190">
        <v>36</v>
      </c>
      <c r="D109" s="803"/>
      <c r="E109" s="803"/>
      <c r="F109" s="803"/>
      <c r="G109" s="793"/>
      <c r="H109" s="793"/>
      <c r="I109" s="793"/>
      <c r="J109" s="215"/>
      <c r="K109" s="217"/>
      <c r="L109" s="16" t="str">
        <f t="shared" si="3"/>
        <v/>
      </c>
    </row>
    <row r="110" spans="3:12" ht="15" hidden="1" outlineLevel="1" thickBot="1">
      <c r="C110" s="190">
        <v>37</v>
      </c>
      <c r="D110" s="803"/>
      <c r="E110" s="803"/>
      <c r="F110" s="803"/>
      <c r="G110" s="793"/>
      <c r="H110" s="793"/>
      <c r="I110" s="793"/>
      <c r="J110" s="215"/>
      <c r="K110" s="217"/>
      <c r="L110" s="16" t="str">
        <f t="shared" si="3"/>
        <v/>
      </c>
    </row>
    <row r="111" spans="3:12" ht="15" hidden="1" outlineLevel="1" thickBot="1">
      <c r="C111" s="190">
        <v>38</v>
      </c>
      <c r="D111" s="803"/>
      <c r="E111" s="803"/>
      <c r="F111" s="803"/>
      <c r="G111" s="793"/>
      <c r="H111" s="793"/>
      <c r="I111" s="793"/>
      <c r="J111" s="215"/>
      <c r="K111" s="217"/>
      <c r="L111" s="16" t="str">
        <f t="shared" si="3"/>
        <v/>
      </c>
    </row>
    <row r="112" spans="3:12" ht="15" hidden="1" outlineLevel="1" thickBot="1">
      <c r="C112" s="190">
        <v>39</v>
      </c>
      <c r="D112" s="803"/>
      <c r="E112" s="803"/>
      <c r="F112" s="803"/>
      <c r="G112" s="793"/>
      <c r="H112" s="793"/>
      <c r="I112" s="793"/>
      <c r="J112" s="215"/>
      <c r="K112" s="217"/>
      <c r="L112" s="16" t="str">
        <f t="shared" si="3"/>
        <v/>
      </c>
    </row>
    <row r="113" spans="3:12" ht="15" hidden="1" outlineLevel="1" thickBot="1">
      <c r="C113" s="190">
        <v>40</v>
      </c>
      <c r="D113" s="803"/>
      <c r="E113" s="803"/>
      <c r="F113" s="803"/>
      <c r="G113" s="793"/>
      <c r="H113" s="793"/>
      <c r="I113" s="793"/>
      <c r="J113" s="215"/>
      <c r="K113" s="217"/>
      <c r="L113" s="16" t="str">
        <f t="shared" si="3"/>
        <v/>
      </c>
    </row>
    <row r="114" spans="3:12" ht="15" hidden="1" outlineLevel="1" thickBot="1">
      <c r="C114" s="190">
        <v>41</v>
      </c>
      <c r="D114" s="803"/>
      <c r="E114" s="803"/>
      <c r="F114" s="803"/>
      <c r="G114" s="793"/>
      <c r="H114" s="793"/>
      <c r="I114" s="793"/>
      <c r="J114" s="215"/>
      <c r="K114" s="217"/>
      <c r="L114" s="16" t="str">
        <f t="shared" si="3"/>
        <v/>
      </c>
    </row>
    <row r="115" spans="3:12" ht="15" hidden="1" outlineLevel="1" thickBot="1">
      <c r="C115" s="190">
        <v>42</v>
      </c>
      <c r="D115" s="803"/>
      <c r="E115" s="803"/>
      <c r="F115" s="803"/>
      <c r="G115" s="793"/>
      <c r="H115" s="793"/>
      <c r="I115" s="793"/>
      <c r="J115" s="215"/>
      <c r="K115" s="217"/>
      <c r="L115" s="16" t="str">
        <f t="shared" si="3"/>
        <v/>
      </c>
    </row>
    <row r="116" spans="3:12" ht="15" hidden="1" outlineLevel="1" thickBot="1">
      <c r="C116" s="190">
        <v>43</v>
      </c>
      <c r="D116" s="803"/>
      <c r="E116" s="803"/>
      <c r="F116" s="803"/>
      <c r="G116" s="793"/>
      <c r="H116" s="793"/>
      <c r="I116" s="793"/>
      <c r="J116" s="215"/>
      <c r="K116" s="217"/>
      <c r="L116" s="16" t="str">
        <f t="shared" si="3"/>
        <v/>
      </c>
    </row>
    <row r="117" spans="3:12" ht="15" hidden="1" outlineLevel="1" thickBot="1">
      <c r="C117" s="190">
        <v>44</v>
      </c>
      <c r="D117" s="803"/>
      <c r="E117" s="803"/>
      <c r="F117" s="803"/>
      <c r="G117" s="793"/>
      <c r="H117" s="793"/>
      <c r="I117" s="793"/>
      <c r="J117" s="215"/>
      <c r="K117" s="217"/>
      <c r="L117" s="16" t="str">
        <f t="shared" si="3"/>
        <v/>
      </c>
    </row>
    <row r="118" spans="3:12" ht="15" hidden="1" outlineLevel="1" thickBot="1">
      <c r="C118" s="190">
        <v>45</v>
      </c>
      <c r="D118" s="803"/>
      <c r="E118" s="803"/>
      <c r="F118" s="803"/>
      <c r="G118" s="793"/>
      <c r="H118" s="793"/>
      <c r="I118" s="793"/>
      <c r="J118" s="215"/>
      <c r="K118" s="217"/>
      <c r="L118" s="16" t="str">
        <f t="shared" si="3"/>
        <v/>
      </c>
    </row>
    <row r="119" spans="3:12" ht="15" hidden="1" outlineLevel="1" thickBot="1">
      <c r="C119" s="190">
        <v>46</v>
      </c>
      <c r="D119" s="803"/>
      <c r="E119" s="803"/>
      <c r="F119" s="803"/>
      <c r="G119" s="793"/>
      <c r="H119" s="793"/>
      <c r="I119" s="793"/>
      <c r="J119" s="215"/>
      <c r="K119" s="217"/>
      <c r="L119" s="16" t="str">
        <f t="shared" si="3"/>
        <v/>
      </c>
    </row>
    <row r="120" spans="3:12" ht="15" hidden="1" outlineLevel="1" thickBot="1">
      <c r="C120" s="190">
        <v>47</v>
      </c>
      <c r="D120" s="803"/>
      <c r="E120" s="803"/>
      <c r="F120" s="803"/>
      <c r="G120" s="793"/>
      <c r="H120" s="793"/>
      <c r="I120" s="793"/>
      <c r="J120" s="215"/>
      <c r="K120" s="217"/>
      <c r="L120" s="16" t="str">
        <f t="shared" si="3"/>
        <v/>
      </c>
    </row>
    <row r="121" spans="3:12" ht="15" hidden="1" outlineLevel="1" thickBot="1">
      <c r="C121" s="190">
        <v>48</v>
      </c>
      <c r="D121" s="803"/>
      <c r="E121" s="803"/>
      <c r="F121" s="803"/>
      <c r="G121" s="793"/>
      <c r="H121" s="793"/>
      <c r="I121" s="793"/>
      <c r="J121" s="215"/>
      <c r="K121" s="217"/>
      <c r="L121" s="16" t="str">
        <f t="shared" si="3"/>
        <v/>
      </c>
    </row>
    <row r="122" spans="3:12" ht="15" hidden="1" outlineLevel="1" thickBot="1">
      <c r="C122" s="190">
        <v>49</v>
      </c>
      <c r="D122" s="803"/>
      <c r="E122" s="803"/>
      <c r="F122" s="803"/>
      <c r="G122" s="793"/>
      <c r="H122" s="793"/>
      <c r="I122" s="793"/>
      <c r="J122" s="215"/>
      <c r="K122" s="217"/>
      <c r="L122" s="16" t="str">
        <f t="shared" si="3"/>
        <v/>
      </c>
    </row>
    <row r="123" spans="3:12" ht="15" hidden="1" outlineLevel="1" thickBot="1">
      <c r="C123" s="190">
        <v>50</v>
      </c>
      <c r="D123" s="803"/>
      <c r="E123" s="803"/>
      <c r="F123" s="803"/>
      <c r="G123" s="793"/>
      <c r="H123" s="793"/>
      <c r="I123" s="793"/>
      <c r="J123" s="215"/>
      <c r="K123" s="217"/>
      <c r="L123" s="16" t="str">
        <f t="shared" si="3"/>
        <v/>
      </c>
    </row>
    <row r="124" spans="3:12" ht="15" hidden="1" outlineLevel="1" thickBot="1">
      <c r="C124" s="190">
        <v>51</v>
      </c>
      <c r="D124" s="803"/>
      <c r="E124" s="803"/>
      <c r="F124" s="803"/>
      <c r="G124" s="793"/>
      <c r="H124" s="793"/>
      <c r="I124" s="793"/>
      <c r="J124" s="215"/>
      <c r="K124" s="217"/>
      <c r="L124" s="16" t="str">
        <f t="shared" si="3"/>
        <v/>
      </c>
    </row>
    <row r="125" spans="3:12" ht="15" hidden="1" outlineLevel="1" thickBot="1">
      <c r="C125" s="190">
        <v>52</v>
      </c>
      <c r="D125" s="803"/>
      <c r="E125" s="803"/>
      <c r="F125" s="803"/>
      <c r="G125" s="793"/>
      <c r="H125" s="793"/>
      <c r="I125" s="793"/>
      <c r="J125" s="215"/>
      <c r="K125" s="217"/>
      <c r="L125" s="16" t="str">
        <f t="shared" si="3"/>
        <v/>
      </c>
    </row>
    <row r="126" spans="3:12" ht="15" hidden="1" outlineLevel="1" thickBot="1">
      <c r="C126" s="190">
        <v>53</v>
      </c>
      <c r="D126" s="803"/>
      <c r="E126" s="803"/>
      <c r="F126" s="803"/>
      <c r="G126" s="793"/>
      <c r="H126" s="793"/>
      <c r="I126" s="793"/>
      <c r="J126" s="215"/>
      <c r="K126" s="217"/>
      <c r="L126" s="16" t="str">
        <f t="shared" si="3"/>
        <v/>
      </c>
    </row>
    <row r="127" spans="3:12" ht="15" hidden="1" outlineLevel="1" thickBot="1">
      <c r="C127" s="190">
        <v>54</v>
      </c>
      <c r="D127" s="803"/>
      <c r="E127" s="803"/>
      <c r="F127" s="803"/>
      <c r="G127" s="793"/>
      <c r="H127" s="793"/>
      <c r="I127" s="793"/>
      <c r="J127" s="215"/>
      <c r="K127" s="217"/>
      <c r="L127" s="16" t="str">
        <f t="shared" si="3"/>
        <v/>
      </c>
    </row>
    <row r="128" spans="3:12" ht="15" hidden="1" outlineLevel="1" thickBot="1">
      <c r="C128" s="190">
        <v>55</v>
      </c>
      <c r="D128" s="803"/>
      <c r="E128" s="803"/>
      <c r="F128" s="803"/>
      <c r="G128" s="793"/>
      <c r="H128" s="793"/>
      <c r="I128" s="793"/>
      <c r="J128" s="215"/>
      <c r="K128" s="217"/>
      <c r="L128" s="16" t="str">
        <f t="shared" si="3"/>
        <v/>
      </c>
    </row>
    <row r="129" spans="3:12" ht="15" hidden="1" outlineLevel="1" thickBot="1">
      <c r="C129" s="190">
        <v>56</v>
      </c>
      <c r="D129" s="803"/>
      <c r="E129" s="803"/>
      <c r="F129" s="803"/>
      <c r="G129" s="793"/>
      <c r="H129" s="793"/>
      <c r="I129" s="793"/>
      <c r="J129" s="215"/>
      <c r="K129" s="217"/>
      <c r="L129" s="16" t="str">
        <f t="shared" si="3"/>
        <v/>
      </c>
    </row>
    <row r="130" spans="3:12" ht="15" hidden="1" outlineLevel="1" thickBot="1">
      <c r="C130" s="190">
        <v>57</v>
      </c>
      <c r="D130" s="803"/>
      <c r="E130" s="803"/>
      <c r="F130" s="803"/>
      <c r="G130" s="793"/>
      <c r="H130" s="793"/>
      <c r="I130" s="793"/>
      <c r="J130" s="215"/>
      <c r="K130" s="217"/>
      <c r="L130" s="16" t="str">
        <f t="shared" si="3"/>
        <v/>
      </c>
    </row>
    <row r="131" spans="3:12" ht="15" hidden="1" outlineLevel="1" thickBot="1">
      <c r="C131" s="190">
        <v>58</v>
      </c>
      <c r="D131" s="803"/>
      <c r="E131" s="803"/>
      <c r="F131" s="803"/>
      <c r="G131" s="793"/>
      <c r="H131" s="793"/>
      <c r="I131" s="793"/>
      <c r="J131" s="215"/>
      <c r="K131" s="217"/>
      <c r="L131" s="16" t="str">
        <f t="shared" si="3"/>
        <v/>
      </c>
    </row>
    <row r="132" spans="3:12" ht="15" hidden="1" outlineLevel="1" thickBot="1">
      <c r="C132" s="190">
        <v>59</v>
      </c>
      <c r="D132" s="803"/>
      <c r="E132" s="803"/>
      <c r="F132" s="803"/>
      <c r="G132" s="793"/>
      <c r="H132" s="793"/>
      <c r="I132" s="793"/>
      <c r="J132" s="215"/>
      <c r="K132" s="217"/>
      <c r="L132" s="16" t="str">
        <f t="shared" si="3"/>
        <v/>
      </c>
    </row>
    <row r="133" spans="3:12" ht="15" hidden="1" outlineLevel="1" thickBot="1">
      <c r="C133" s="190">
        <v>60</v>
      </c>
      <c r="D133" s="803"/>
      <c r="E133" s="803"/>
      <c r="F133" s="803"/>
      <c r="G133" s="793"/>
      <c r="H133" s="793"/>
      <c r="I133" s="793"/>
      <c r="J133" s="215"/>
      <c r="K133" s="217"/>
      <c r="L133" s="16" t="str">
        <f t="shared" si="3"/>
        <v/>
      </c>
    </row>
    <row r="134" spans="3:12" ht="15" hidden="1" outlineLevel="1" thickBot="1">
      <c r="C134" s="190">
        <v>61</v>
      </c>
      <c r="D134" s="803"/>
      <c r="E134" s="803"/>
      <c r="F134" s="803"/>
      <c r="G134" s="793"/>
      <c r="H134" s="793"/>
      <c r="I134" s="793"/>
      <c r="J134" s="215"/>
      <c r="K134" s="217"/>
      <c r="L134" s="16" t="str">
        <f t="shared" si="3"/>
        <v/>
      </c>
    </row>
    <row r="135" spans="3:12" ht="15" hidden="1" outlineLevel="1" thickBot="1">
      <c r="C135" s="190">
        <v>62</v>
      </c>
      <c r="D135" s="803"/>
      <c r="E135" s="803"/>
      <c r="F135" s="803"/>
      <c r="G135" s="793"/>
      <c r="H135" s="793"/>
      <c r="I135" s="793"/>
      <c r="J135" s="215"/>
      <c r="K135" s="217"/>
      <c r="L135" s="16" t="str">
        <f t="shared" si="3"/>
        <v/>
      </c>
    </row>
    <row r="136" spans="3:12" ht="15" hidden="1" outlineLevel="1" thickBot="1">
      <c r="C136" s="190">
        <v>63</v>
      </c>
      <c r="D136" s="803"/>
      <c r="E136" s="803"/>
      <c r="F136" s="803"/>
      <c r="G136" s="793"/>
      <c r="H136" s="793"/>
      <c r="I136" s="793"/>
      <c r="J136" s="215"/>
      <c r="K136" s="217"/>
      <c r="L136" s="16" t="str">
        <f t="shared" si="3"/>
        <v/>
      </c>
    </row>
    <row r="137" spans="3:12" ht="15" hidden="1" outlineLevel="1" thickBot="1">
      <c r="C137" s="190">
        <v>64</v>
      </c>
      <c r="D137" s="803"/>
      <c r="E137" s="803"/>
      <c r="F137" s="803"/>
      <c r="G137" s="793"/>
      <c r="H137" s="793"/>
      <c r="I137" s="793"/>
      <c r="J137" s="215"/>
      <c r="K137" s="217"/>
      <c r="L137" s="16" t="str">
        <f t="shared" si="3"/>
        <v/>
      </c>
    </row>
    <row r="138" spans="3:12" ht="15" hidden="1" outlineLevel="1" thickBot="1">
      <c r="C138" s="190">
        <v>65</v>
      </c>
      <c r="D138" s="803"/>
      <c r="E138" s="803"/>
      <c r="F138" s="803"/>
      <c r="G138" s="793"/>
      <c r="H138" s="793"/>
      <c r="I138" s="793"/>
      <c r="J138" s="215"/>
      <c r="K138" s="217"/>
      <c r="L138" s="16" t="str">
        <f t="shared" si="3"/>
        <v/>
      </c>
    </row>
    <row r="139" spans="3:12" ht="15" hidden="1" outlineLevel="1" thickBot="1">
      <c r="C139" s="190">
        <v>66</v>
      </c>
      <c r="D139" s="803"/>
      <c r="E139" s="803"/>
      <c r="F139" s="803"/>
      <c r="G139" s="793"/>
      <c r="H139" s="793"/>
      <c r="I139" s="793"/>
      <c r="J139" s="215"/>
      <c r="K139" s="217"/>
      <c r="L139" s="16" t="str">
        <f t="shared" si="3"/>
        <v/>
      </c>
    </row>
    <row r="140" spans="3:12" ht="15" hidden="1" outlineLevel="1" thickBot="1">
      <c r="C140" s="190">
        <v>67</v>
      </c>
      <c r="D140" s="803"/>
      <c r="E140" s="803"/>
      <c r="F140" s="803"/>
      <c r="G140" s="793"/>
      <c r="H140" s="793"/>
      <c r="I140" s="793"/>
      <c r="J140" s="215"/>
      <c r="K140" s="217"/>
      <c r="L140" s="16" t="str">
        <f t="shared" si="3"/>
        <v/>
      </c>
    </row>
    <row r="141" spans="3:12" ht="15" hidden="1" outlineLevel="1" thickBot="1">
      <c r="C141" s="190">
        <v>68</v>
      </c>
      <c r="D141" s="803"/>
      <c r="E141" s="803"/>
      <c r="F141" s="803"/>
      <c r="G141" s="793"/>
      <c r="H141" s="793"/>
      <c r="I141" s="793"/>
      <c r="J141" s="215"/>
      <c r="K141" s="217"/>
      <c r="L141" s="16" t="str">
        <f t="shared" si="3"/>
        <v/>
      </c>
    </row>
    <row r="142" spans="3:12" ht="15" hidden="1" outlineLevel="1" thickBot="1">
      <c r="C142" s="190">
        <v>69</v>
      </c>
      <c r="D142" s="803"/>
      <c r="E142" s="803"/>
      <c r="F142" s="803"/>
      <c r="G142" s="793"/>
      <c r="H142" s="793"/>
      <c r="I142" s="793"/>
      <c r="J142" s="215"/>
      <c r="K142" s="217"/>
      <c r="L142" s="16" t="str">
        <f t="shared" si="3"/>
        <v/>
      </c>
    </row>
    <row r="143" spans="3:12" ht="15" hidden="1" outlineLevel="1" thickBot="1">
      <c r="C143" s="190">
        <v>70</v>
      </c>
      <c r="D143" s="803"/>
      <c r="E143" s="803"/>
      <c r="F143" s="803"/>
      <c r="G143" s="793"/>
      <c r="H143" s="793"/>
      <c r="I143" s="793"/>
      <c r="J143" s="215"/>
      <c r="K143" s="217"/>
      <c r="L143" s="16" t="str">
        <f t="shared" si="3"/>
        <v/>
      </c>
    </row>
    <row r="144" spans="3:12" ht="15" hidden="1" outlineLevel="1" thickBot="1">
      <c r="C144" s="190">
        <v>71</v>
      </c>
      <c r="D144" s="803"/>
      <c r="E144" s="803"/>
      <c r="F144" s="803"/>
      <c r="G144" s="793"/>
      <c r="H144" s="793"/>
      <c r="I144" s="793"/>
      <c r="J144" s="215"/>
      <c r="K144" s="217"/>
      <c r="L144" s="16" t="str">
        <f t="shared" si="3"/>
        <v/>
      </c>
    </row>
    <row r="145" spans="3:12" ht="15" hidden="1" outlineLevel="1" thickBot="1">
      <c r="C145" s="190">
        <v>72</v>
      </c>
      <c r="D145" s="803"/>
      <c r="E145" s="803"/>
      <c r="F145" s="803"/>
      <c r="G145" s="793"/>
      <c r="H145" s="793"/>
      <c r="I145" s="793"/>
      <c r="J145" s="215"/>
      <c r="K145" s="217"/>
      <c r="L145" s="16" t="str">
        <f t="shared" si="3"/>
        <v/>
      </c>
    </row>
    <row r="146" spans="3:12" ht="15" hidden="1" outlineLevel="1" thickBot="1">
      <c r="C146" s="190">
        <v>73</v>
      </c>
      <c r="D146" s="803"/>
      <c r="E146" s="803"/>
      <c r="F146" s="803"/>
      <c r="G146" s="793"/>
      <c r="H146" s="793"/>
      <c r="I146" s="793"/>
      <c r="J146" s="215"/>
      <c r="K146" s="217"/>
      <c r="L146" s="16" t="str">
        <f t="shared" si="3"/>
        <v/>
      </c>
    </row>
    <row r="147" spans="3:12" ht="15" hidden="1" outlineLevel="1" thickBot="1">
      <c r="C147" s="190">
        <v>74</v>
      </c>
      <c r="D147" s="803"/>
      <c r="E147" s="803"/>
      <c r="F147" s="803"/>
      <c r="G147" s="793"/>
      <c r="H147" s="793"/>
      <c r="I147" s="793"/>
      <c r="J147" s="215"/>
      <c r="K147" s="217"/>
      <c r="L147" s="16" t="str">
        <f t="shared" si="3"/>
        <v/>
      </c>
    </row>
    <row r="148" spans="3:12" ht="15" hidden="1" outlineLevel="1" thickBot="1">
      <c r="C148" s="190">
        <v>75</v>
      </c>
      <c r="D148" s="803"/>
      <c r="E148" s="803"/>
      <c r="F148" s="803"/>
      <c r="G148" s="793"/>
      <c r="H148" s="793"/>
      <c r="I148" s="793"/>
      <c r="J148" s="215"/>
      <c r="K148" s="217"/>
      <c r="L148" s="16" t="str">
        <f t="shared" si="3"/>
        <v/>
      </c>
    </row>
    <row r="149" spans="3:12" ht="15" hidden="1" outlineLevel="1" thickBot="1">
      <c r="C149" s="190">
        <v>76</v>
      </c>
      <c r="D149" s="803"/>
      <c r="E149" s="803"/>
      <c r="F149" s="803"/>
      <c r="G149" s="793"/>
      <c r="H149" s="793"/>
      <c r="I149" s="793"/>
      <c r="J149" s="215"/>
      <c r="K149" s="217"/>
      <c r="L149" s="16" t="str">
        <f t="shared" si="3"/>
        <v/>
      </c>
    </row>
    <row r="150" spans="3:12" ht="15" hidden="1" outlineLevel="1" thickBot="1">
      <c r="C150" s="190">
        <v>77</v>
      </c>
      <c r="D150" s="803"/>
      <c r="E150" s="803"/>
      <c r="F150" s="803"/>
      <c r="G150" s="793"/>
      <c r="H150" s="793"/>
      <c r="I150" s="793"/>
      <c r="J150" s="215"/>
      <c r="K150" s="217"/>
      <c r="L150" s="16" t="str">
        <f t="shared" si="3"/>
        <v/>
      </c>
    </row>
    <row r="151" spans="3:12" ht="15" hidden="1" outlineLevel="1" thickBot="1">
      <c r="C151" s="190">
        <v>78</v>
      </c>
      <c r="D151" s="803"/>
      <c r="E151" s="803"/>
      <c r="F151" s="803"/>
      <c r="G151" s="793"/>
      <c r="H151" s="793"/>
      <c r="I151" s="793"/>
      <c r="J151" s="215"/>
      <c r="K151" s="217"/>
      <c r="L151" s="16" t="str">
        <f t="shared" si="3"/>
        <v/>
      </c>
    </row>
    <row r="152" spans="3:12" ht="15" hidden="1" outlineLevel="1" thickBot="1">
      <c r="C152" s="190">
        <v>79</v>
      </c>
      <c r="D152" s="803"/>
      <c r="E152" s="803"/>
      <c r="F152" s="803"/>
      <c r="G152" s="793"/>
      <c r="H152" s="793"/>
      <c r="I152" s="793"/>
      <c r="J152" s="215"/>
      <c r="K152" s="217"/>
      <c r="L152" s="16" t="str">
        <f t="shared" si="3"/>
        <v/>
      </c>
    </row>
    <row r="153" spans="3:12" ht="15" hidden="1" outlineLevel="1" thickBot="1">
      <c r="C153" s="190">
        <v>80</v>
      </c>
      <c r="D153" s="803"/>
      <c r="E153" s="803"/>
      <c r="F153" s="803"/>
      <c r="G153" s="793"/>
      <c r="H153" s="793"/>
      <c r="I153" s="793"/>
      <c r="J153" s="215"/>
      <c r="K153" s="217"/>
      <c r="L153" s="16" t="str">
        <f t="shared" si="3"/>
        <v/>
      </c>
    </row>
    <row r="154" spans="3:12" ht="15" hidden="1" outlineLevel="1" thickBot="1">
      <c r="C154" s="190">
        <v>81</v>
      </c>
      <c r="D154" s="803"/>
      <c r="E154" s="803"/>
      <c r="F154" s="803"/>
      <c r="G154" s="793"/>
      <c r="H154" s="793"/>
      <c r="I154" s="793"/>
      <c r="J154" s="215"/>
      <c r="K154" s="217"/>
      <c r="L154" s="16" t="str">
        <f t="shared" si="3"/>
        <v/>
      </c>
    </row>
    <row r="155" spans="3:12" ht="15" hidden="1" outlineLevel="1" thickBot="1">
      <c r="C155" s="190">
        <v>82</v>
      </c>
      <c r="D155" s="803"/>
      <c r="E155" s="803"/>
      <c r="F155" s="803"/>
      <c r="G155" s="793"/>
      <c r="H155" s="793"/>
      <c r="I155" s="793"/>
      <c r="J155" s="215"/>
      <c r="K155" s="217"/>
      <c r="L155" s="16" t="str">
        <f t="shared" si="3"/>
        <v/>
      </c>
    </row>
    <row r="156" spans="3:12" ht="15" hidden="1" outlineLevel="1" thickBot="1">
      <c r="C156" s="190">
        <v>83</v>
      </c>
      <c r="D156" s="803"/>
      <c r="E156" s="803"/>
      <c r="F156" s="803"/>
      <c r="G156" s="793"/>
      <c r="H156" s="793"/>
      <c r="I156" s="793"/>
      <c r="J156" s="215"/>
      <c r="K156" s="217"/>
      <c r="L156" s="16" t="str">
        <f t="shared" si="3"/>
        <v/>
      </c>
    </row>
    <row r="157" spans="3:12" ht="15" hidden="1" outlineLevel="1" thickBot="1">
      <c r="C157" s="190">
        <v>84</v>
      </c>
      <c r="D157" s="803"/>
      <c r="E157" s="803"/>
      <c r="F157" s="803"/>
      <c r="G157" s="793"/>
      <c r="H157" s="793"/>
      <c r="I157" s="793"/>
      <c r="J157" s="215"/>
      <c r="K157" s="217"/>
      <c r="L157" s="16" t="str">
        <f t="shared" si="3"/>
        <v/>
      </c>
    </row>
    <row r="158" spans="3:12" ht="15" hidden="1" outlineLevel="1" thickBot="1">
      <c r="C158" s="190">
        <v>85</v>
      </c>
      <c r="D158" s="803"/>
      <c r="E158" s="803"/>
      <c r="F158" s="803"/>
      <c r="G158" s="793"/>
      <c r="H158" s="793"/>
      <c r="I158" s="793"/>
      <c r="J158" s="215"/>
      <c r="K158" s="217"/>
      <c r="L158" s="16" t="str">
        <f t="shared" si="3"/>
        <v/>
      </c>
    </row>
    <row r="159" spans="3:12" ht="15" hidden="1" outlineLevel="1" thickBot="1">
      <c r="C159" s="190">
        <v>86</v>
      </c>
      <c r="D159" s="803"/>
      <c r="E159" s="803"/>
      <c r="F159" s="803"/>
      <c r="G159" s="793"/>
      <c r="H159" s="793"/>
      <c r="I159" s="793"/>
      <c r="J159" s="215"/>
      <c r="K159" s="217"/>
      <c r="L159" s="16" t="str">
        <f t="shared" si="3"/>
        <v/>
      </c>
    </row>
    <row r="160" spans="3:12" ht="15" hidden="1" outlineLevel="1" thickBot="1">
      <c r="C160" s="190">
        <v>87</v>
      </c>
      <c r="D160" s="803"/>
      <c r="E160" s="803"/>
      <c r="F160" s="803"/>
      <c r="G160" s="793"/>
      <c r="H160" s="793"/>
      <c r="I160" s="793"/>
      <c r="J160" s="215"/>
      <c r="K160" s="217"/>
      <c r="L160" s="16" t="str">
        <f t="shared" si="3"/>
        <v/>
      </c>
    </row>
    <row r="161" spans="3:12" ht="15" hidden="1" outlineLevel="1" thickBot="1">
      <c r="C161" s="190">
        <v>88</v>
      </c>
      <c r="D161" s="803"/>
      <c r="E161" s="803"/>
      <c r="F161" s="803"/>
      <c r="G161" s="793"/>
      <c r="H161" s="793"/>
      <c r="I161" s="793"/>
      <c r="J161" s="215"/>
      <c r="K161" s="217"/>
      <c r="L161" s="16" t="str">
        <f t="shared" si="3"/>
        <v/>
      </c>
    </row>
    <row r="162" spans="3:12" ht="15" hidden="1" outlineLevel="1" thickBot="1">
      <c r="C162" s="190">
        <v>89</v>
      </c>
      <c r="D162" s="803"/>
      <c r="E162" s="803"/>
      <c r="F162" s="803"/>
      <c r="G162" s="793"/>
      <c r="H162" s="793"/>
      <c r="I162" s="793"/>
      <c r="J162" s="215"/>
      <c r="K162" s="217"/>
      <c r="L162" s="16" t="str">
        <f t="shared" si="3"/>
        <v/>
      </c>
    </row>
    <row r="163" spans="3:12" ht="15" hidden="1" outlineLevel="1" thickBot="1">
      <c r="C163" s="190">
        <v>90</v>
      </c>
      <c r="D163" s="803"/>
      <c r="E163" s="803"/>
      <c r="F163" s="803"/>
      <c r="G163" s="793"/>
      <c r="H163" s="793"/>
      <c r="I163" s="793"/>
      <c r="J163" s="215"/>
      <c r="K163" s="217"/>
      <c r="L163" s="16" t="str">
        <f t="shared" si="3"/>
        <v/>
      </c>
    </row>
    <row r="164" spans="3:12" ht="15" hidden="1" outlineLevel="1" thickBot="1">
      <c r="C164" s="190">
        <v>91</v>
      </c>
      <c r="D164" s="803"/>
      <c r="E164" s="803"/>
      <c r="F164" s="803"/>
      <c r="G164" s="793"/>
      <c r="H164" s="793"/>
      <c r="I164" s="793"/>
      <c r="J164" s="215"/>
      <c r="K164" s="217"/>
      <c r="L164" s="16" t="str">
        <f t="shared" si="3"/>
        <v/>
      </c>
    </row>
    <row r="165" spans="3:12" ht="15" hidden="1" outlineLevel="1" thickBot="1">
      <c r="C165" s="190">
        <v>92</v>
      </c>
      <c r="D165" s="803"/>
      <c r="E165" s="803"/>
      <c r="F165" s="803"/>
      <c r="G165" s="793"/>
      <c r="H165" s="793"/>
      <c r="I165" s="793"/>
      <c r="J165" s="215"/>
      <c r="K165" s="217"/>
      <c r="L165" s="16" t="str">
        <f t="shared" si="3"/>
        <v/>
      </c>
    </row>
    <row r="166" spans="3:12" ht="15" hidden="1" outlineLevel="1" thickBot="1">
      <c r="C166" s="190">
        <v>93</v>
      </c>
      <c r="D166" s="803"/>
      <c r="E166" s="803"/>
      <c r="F166" s="803"/>
      <c r="G166" s="793"/>
      <c r="H166" s="793"/>
      <c r="I166" s="793"/>
      <c r="J166" s="215"/>
      <c r="K166" s="217"/>
      <c r="L166" s="16" t="str">
        <f t="shared" si="3"/>
        <v/>
      </c>
    </row>
    <row r="167" spans="3:12" ht="15" hidden="1" outlineLevel="1" thickBot="1">
      <c r="C167" s="190">
        <v>94</v>
      </c>
      <c r="D167" s="803"/>
      <c r="E167" s="803"/>
      <c r="F167" s="803"/>
      <c r="G167" s="793"/>
      <c r="H167" s="793"/>
      <c r="I167" s="793"/>
      <c r="J167" s="215"/>
      <c r="K167" s="217"/>
      <c r="L167" s="16" t="str">
        <f t="shared" si="3"/>
        <v/>
      </c>
    </row>
    <row r="168" spans="3:12" ht="15" hidden="1" outlineLevel="1" thickBot="1">
      <c r="C168" s="190">
        <v>95</v>
      </c>
      <c r="D168" s="803"/>
      <c r="E168" s="803"/>
      <c r="F168" s="803"/>
      <c r="G168" s="793"/>
      <c r="H168" s="793"/>
      <c r="I168" s="793"/>
      <c r="J168" s="215"/>
      <c r="K168" s="217"/>
      <c r="L168" s="16" t="str">
        <f t="shared" si="3"/>
        <v/>
      </c>
    </row>
    <row r="169" spans="3:12" ht="15" hidden="1" outlineLevel="1" thickBot="1">
      <c r="C169" s="190">
        <v>96</v>
      </c>
      <c r="D169" s="803"/>
      <c r="E169" s="803"/>
      <c r="F169" s="803"/>
      <c r="G169" s="793"/>
      <c r="H169" s="793"/>
      <c r="I169" s="793"/>
      <c r="J169" s="215"/>
      <c r="K169" s="217"/>
      <c r="L169" s="16" t="str">
        <f t="shared" si="3"/>
        <v/>
      </c>
    </row>
    <row r="170" spans="3:12" ht="15" hidden="1" outlineLevel="1" thickBot="1">
      <c r="C170" s="190">
        <v>97</v>
      </c>
      <c r="D170" s="803"/>
      <c r="E170" s="803"/>
      <c r="F170" s="803"/>
      <c r="G170" s="793"/>
      <c r="H170" s="793"/>
      <c r="I170" s="793"/>
      <c r="J170" s="215"/>
      <c r="K170" s="217"/>
      <c r="L170" s="16" t="str">
        <f t="shared" si="3"/>
        <v/>
      </c>
    </row>
    <row r="171" spans="3:12" ht="15" hidden="1" outlineLevel="1" thickBot="1">
      <c r="C171" s="190">
        <v>98</v>
      </c>
      <c r="D171" s="803"/>
      <c r="E171" s="803"/>
      <c r="F171" s="803"/>
      <c r="G171" s="793"/>
      <c r="H171" s="793"/>
      <c r="I171" s="793"/>
      <c r="J171" s="215"/>
      <c r="K171" s="217"/>
      <c r="L171" s="16" t="str">
        <f t="shared" si="3"/>
        <v/>
      </c>
    </row>
    <row r="172" spans="3:12" ht="15" hidden="1" outlineLevel="1" thickBot="1">
      <c r="C172" s="190">
        <v>99</v>
      </c>
      <c r="D172" s="803"/>
      <c r="E172" s="803"/>
      <c r="F172" s="803"/>
      <c r="G172" s="793"/>
      <c r="H172" s="793"/>
      <c r="I172" s="793"/>
      <c r="J172" s="215"/>
      <c r="K172" s="217"/>
      <c r="L172" s="16" t="str">
        <f t="shared" si="3"/>
        <v/>
      </c>
    </row>
    <row r="173" spans="3:12" ht="15" hidden="1" outlineLevel="1" thickBot="1">
      <c r="C173" s="190">
        <v>100</v>
      </c>
      <c r="D173" s="803"/>
      <c r="E173" s="803"/>
      <c r="F173" s="803"/>
      <c r="G173" s="827"/>
      <c r="H173" s="827"/>
      <c r="I173" s="827"/>
      <c r="J173" s="218"/>
      <c r="K173" s="222"/>
      <c r="L173" s="16" t="str">
        <f t="shared" si="3"/>
        <v/>
      </c>
    </row>
    <row r="174" spans="3:12" ht="15" collapsed="1" thickBot="1">
      <c r="C174" s="14"/>
      <c r="D174" s="14"/>
      <c r="E174" s="14"/>
      <c r="F174" s="14"/>
      <c r="G174" s="14"/>
      <c r="H174" s="14"/>
      <c r="I174" s="14"/>
      <c r="J174" s="14"/>
      <c r="K174" s="14"/>
    </row>
    <row r="175" spans="3:12" ht="15" thickBot="1">
      <c r="C175" s="727" t="str">
        <f>template_label_b5_sites_in_biodiversity_sensitive_areas&amp;" "&amp;template_label_from&amp;" "&amp;template_starting_date_display&amp;" "&amp;template_label_to&amp;" "&amp;template_ending_date_display&amp;""</f>
        <v>B5 - Sites in biodiversity sensitive areas from - to -</v>
      </c>
      <c r="D175" s="815"/>
      <c r="E175" s="815"/>
      <c r="F175" s="815"/>
      <c r="G175" s="815"/>
      <c r="H175" s="815"/>
      <c r="I175" s="815"/>
      <c r="J175" s="815"/>
      <c r="K175" s="816"/>
    </row>
    <row r="176" spans="3:12">
      <c r="C176" s="702">
        <v>35</v>
      </c>
      <c r="D176" s="817"/>
      <c r="E176" s="817"/>
      <c r="F176" s="817"/>
      <c r="G176" s="817"/>
      <c r="H176" s="817"/>
      <c r="I176" s="817"/>
      <c r="J176" s="817"/>
      <c r="K176" s="818"/>
    </row>
    <row r="177" spans="3:16">
      <c r="C177" s="711"/>
      <c r="D177" s="686"/>
      <c r="E177" s="686"/>
      <c r="F177" s="686"/>
      <c r="G177" s="686"/>
      <c r="H177" s="686"/>
      <c r="I177" s="686"/>
      <c r="J177" s="686"/>
      <c r="K177" s="808"/>
    </row>
    <row r="178" spans="3:16">
      <c r="C178" s="886" t="str">
        <f>template_label_does_the_undertaking_have_sites_that_are_located_in_or_near_biodiversity_sensitive_areas</f>
        <v>Does the undertaking have sites that are located in or near biodiversity sensitive areas?</v>
      </c>
      <c r="D178" s="887"/>
      <c r="E178" s="887"/>
      <c r="F178" s="887"/>
      <c r="G178" s="990" t="b">
        <v>0</v>
      </c>
      <c r="H178" s="990"/>
      <c r="I178" s="990"/>
      <c r="J178" s="990"/>
      <c r="K178" s="991"/>
    </row>
    <row r="179" spans="3:16" ht="57.6" customHeight="1">
      <c r="C179" s="384" t="str">
        <f>template_label_related_site_id</f>
        <v>Related Site ID (select an ID from a site location reported in B1)</v>
      </c>
      <c r="D179" s="824" t="str">
        <f>template_label_site_location_in_near_a_biodiversity_area</f>
        <v>Site Location in near a biodiversity area - auto filled from B1</v>
      </c>
      <c r="E179" s="825"/>
      <c r="F179" s="826"/>
      <c r="G179" s="824" t="str">
        <f>template_label_name_of_biodiversity_sensitive_area</f>
        <v>Name of biodiversity sensitive area</v>
      </c>
      <c r="H179" s="825"/>
      <c r="I179" s="826"/>
      <c r="J179" s="258" t="str">
        <f>template_label_site_located_in_a_biodiversity_sensitive_area</f>
        <v>Site located in a biodiversity sensitive area</v>
      </c>
      <c r="K179" s="385" t="str">
        <f>template_label_site_located_near_a_biodiversity_sensitive_area</f>
        <v>Site located near a biodiversity sensitive area</v>
      </c>
    </row>
    <row r="180" spans="3:16">
      <c r="C180" s="190"/>
      <c r="D180" s="944" t="str">
        <f>IF(C180 = "", "",
IF(AND(COUNTIF('General Information'!C402:C501, C180),
        INDEX('General Information'!D402:D501, MATCH(C180, 'General Information'!C402:C501, 0)) = ""),
   "VALUE INCONSISTENCY",
IFERROR(VLOOKUP(C180, ListOfSitesTable, 5, FALSE),"") &amp; " " &amp;
IFERROR(VLOOKUP(C180, ListOfSitesTable, 4, FALSE),"") &amp; " " &amp;
IFERROR(VLOOKUP(C180, ListOfSitesTable, 2, FALSE),"")))</f>
        <v/>
      </c>
      <c r="E180" s="945"/>
      <c r="F180" s="946"/>
      <c r="G180" s="794"/>
      <c r="H180" s="795"/>
      <c r="I180" s="795"/>
      <c r="J180" s="197" t="b">
        <v>0</v>
      </c>
      <c r="K180" s="195" t="b">
        <v>0</v>
      </c>
      <c r="L180" s="17" t="str">
        <f t="shared" ref="L180:L278" si="4">IF($G$178=FALSE, "",
    IF(AND($G$178=TRUE, TRIM(D180)&lt;&gt;"", TRIM(G180)&lt;&gt;"", OR(J180=TRUE, K180=TRUE)), template_label_ok,
        IF(AND($G$178=TRUE, TRIM(D180)&lt;&gt;"", TRIM(G180)&lt;&gt;"", J180=FALSE, K180=FALSE), template_label_missing_value,
            IF(AND($G$178=TRUE, TRIM(D180)&lt;&gt;"", TRIM(G180)="", J180=FALSE, K180=FALSE), template_label_missing_value,
                IF(AND($G$178=TRUE, TRIM(D180)&lt;&gt;"", TRIM(G180)="", OR(J180=TRUE, K180=TRUE)), template_label_missing_value,
                    IF(AND($G$178=TRUE, TRIM(D180)="", TRIM(G180)&lt;&gt;"", J180=FALSE, K180=FALSE), template_label_missing_value,
                        IF(AND($G$178=TRUE, TRIM(D180)="", TRIM(G180)="", OR(J180=TRUE, K180=TRUE)), template_label_missing_value,
                            IF(AND($G$178=TRUE, TRIM(D180)="", TRIM(G180)&lt;&gt;"", OR(J180=TRUE, K180=TRUE)), template_label_missing_value,
                                ""
                            )
                        )
                    )
                )
            )
        )
    )
)</f>
        <v/>
      </c>
    </row>
    <row r="181" spans="3:16">
      <c r="C181" s="190"/>
      <c r="D181" s="821" t="str">
        <f>IF(C181 = "", "",
IF(COUNTIF($C$180:C180, C181), "VALUE INCONSISTENCY",
IF(AND(COUNTIF('General Information'!$C$402:$C$501, C181),
       INDEX('General Information'!$D$402:$D$501, MATCH(C181, 'General Information'!$C$402:$C$501, 0)) = ""),
   "VALUE INCONSISTENCY",
IFERROR(VLOOKUP(C181, ListOfSitesTable, 5, FALSE), "") &amp; " " &amp;
IFERROR(VLOOKUP(C181, ListOfSitesTable, 4, FALSE), "") &amp; " " &amp;
IFERROR(VLOOKUP(C181, ListOfSitesTable, 2, FALSE), ""))))</f>
        <v/>
      </c>
      <c r="E181" s="822"/>
      <c r="F181" s="823"/>
      <c r="G181" s="794"/>
      <c r="H181" s="795"/>
      <c r="I181" s="795"/>
      <c r="J181" s="197" t="b">
        <v>0</v>
      </c>
      <c r="K181" s="195" t="b">
        <v>0</v>
      </c>
      <c r="L181" s="17" t="str">
        <f t="shared" si="4"/>
        <v/>
      </c>
    </row>
    <row r="182" spans="3:16" ht="15" thickBot="1">
      <c r="C182" s="192"/>
      <c r="D182" s="950" t="str">
        <f>IF(C182 = "", "",
IF(COUNTIF($C$180:C181, C182), "VALUE INCONSISTENCY",
IF(AND(COUNTIF('General Information'!$C$402:$C$501, C182),
       INDEX('General Information'!$D$402:$D$501, MATCH(C182, 'General Information'!$C$402:$C$501, 0)) = ""),
   "VALUE INCONSISTENCY",
IFERROR(VLOOKUP(C182, ListOfSitesTable, 5, FALSE), "") &amp; " " &amp;
IFERROR(VLOOKUP(C182, ListOfSitesTable, 4, FALSE), "") &amp; " " &amp;
IFERROR(VLOOKUP(C182, ListOfSitesTable, 2, FALSE), ""))))</f>
        <v/>
      </c>
      <c r="E182" s="951"/>
      <c r="F182" s="952"/>
      <c r="G182" s="964"/>
      <c r="H182" s="964"/>
      <c r="I182" s="964"/>
      <c r="J182" s="198" t="b">
        <v>0</v>
      </c>
      <c r="K182" s="196" t="b">
        <v>0</v>
      </c>
      <c r="L182" s="17" t="str">
        <f t="shared" si="4"/>
        <v/>
      </c>
    </row>
    <row r="183" spans="3:16" hidden="1" outlineLevel="1">
      <c r="C183" s="191"/>
      <c r="D183" s="1002" t="str">
        <f>IF(C183 = "", "",
IF(COUNTIF($C$180:C182, C183), "VALUE INCONSISTENCY",
IF(AND(COUNTIF('General Information'!$C$402:$C$501, C183),
       INDEX('General Information'!$D$402:$D$501, MATCH(C183, 'General Information'!$C$402:$C$501, 0)) = ""),
   "VALUE INCONSISTENCY",
IFERROR(VLOOKUP(C183, ListOfSitesTable, 5, FALSE), "") &amp; " " &amp;
IFERROR(VLOOKUP(C183, ListOfSitesTable, 4, FALSE), "") &amp; " " &amp;
IFERROR(VLOOKUP(C183, ListOfSitesTable, 2, FALSE), ""))))</f>
        <v/>
      </c>
      <c r="E183" s="1003"/>
      <c r="F183" s="1004"/>
      <c r="G183" s="987"/>
      <c r="H183" s="988"/>
      <c r="I183" s="989"/>
      <c r="J183" s="199" t="b">
        <v>0</v>
      </c>
      <c r="K183" s="194" t="b">
        <v>0</v>
      </c>
      <c r="L183" s="17" t="str">
        <f t="shared" si="4"/>
        <v/>
      </c>
      <c r="M183" s="10"/>
      <c r="N183" s="10"/>
      <c r="O183" s="10"/>
      <c r="P183" s="10"/>
    </row>
    <row r="184" spans="3:16" hidden="1" outlineLevel="1">
      <c r="C184" s="191"/>
      <c r="D184" s="821" t="str">
        <f>IF(C184 = "", "",
IF(COUNTIF($C$180:C183, C184), "VALUE INCONSISTENCY",
IF(AND(COUNTIF('General Information'!$C$402:$C$501, C184),
       INDEX('General Information'!$D$402:$D$501, MATCH(C184, 'General Information'!$C$402:$C$501, 0)) = ""),
   "VALUE INCONSISTENCY",
IFERROR(VLOOKUP(C184, ListOfSitesTable, 5, FALSE), "") &amp; " " &amp;
IFERROR(VLOOKUP(C184, ListOfSitesTable, 4, FALSE), "") &amp; " " &amp;
IFERROR(VLOOKUP(C184, ListOfSitesTable, 2, FALSE), ""))))</f>
        <v/>
      </c>
      <c r="E184" s="822"/>
      <c r="F184" s="823"/>
      <c r="G184" s="794"/>
      <c r="H184" s="795"/>
      <c r="I184" s="796"/>
      <c r="J184" s="200" t="b">
        <v>0</v>
      </c>
      <c r="K184" s="195" t="b">
        <v>0</v>
      </c>
      <c r="L184" s="17" t="str">
        <f t="shared" si="4"/>
        <v/>
      </c>
      <c r="M184" s="10"/>
      <c r="N184" s="10"/>
      <c r="O184" s="10"/>
      <c r="P184" s="10"/>
    </row>
    <row r="185" spans="3:16" hidden="1" outlineLevel="1">
      <c r="C185" s="190"/>
      <c r="D185" s="821" t="str">
        <f>IF(C185 = "", "",
IF(COUNTIF($C$180:C184, C185), "VALUE INCONSISTENCY",
IF(AND(COUNTIF('General Information'!$C$402:$C$501, C185),
       INDEX('General Information'!$D$402:$D$501, MATCH(C185, 'General Information'!$C$402:$C$501, 0)) = ""),
   "VALUE INCONSISTENCY",
IFERROR(VLOOKUP(C185, ListOfSitesTable, 5, FALSE), "") &amp; " " &amp;
IFERROR(VLOOKUP(C185, ListOfSitesTable, 4, FALSE), "") &amp; " " &amp;
IFERROR(VLOOKUP(C185, ListOfSitesTable, 2, FALSE), ""))))</f>
        <v/>
      </c>
      <c r="E185" s="822"/>
      <c r="F185" s="823"/>
      <c r="G185" s="794"/>
      <c r="H185" s="795"/>
      <c r="I185" s="796"/>
      <c r="J185" s="200" t="b">
        <v>0</v>
      </c>
      <c r="K185" s="195" t="b">
        <v>0</v>
      </c>
      <c r="L185" s="17" t="str">
        <f t="shared" si="4"/>
        <v/>
      </c>
      <c r="M185" s="10"/>
      <c r="N185" s="10"/>
      <c r="O185" s="10"/>
      <c r="P185" s="10"/>
    </row>
    <row r="186" spans="3:16" hidden="1" outlineLevel="1">
      <c r="C186" s="190"/>
      <c r="D186" s="821" t="str">
        <f>IF(C186 = "", "",
IF(COUNTIF($C$180:C185, C186), "VALUE INCONSISTENCY",
IF(AND(COUNTIF('General Information'!$C$402:$C$501, C186),
       INDEX('General Information'!$D$402:$D$501, MATCH(C186, 'General Information'!$C$402:$C$501, 0)) = ""),
   "VALUE INCONSISTENCY",
IFERROR(VLOOKUP(C186, ListOfSitesTable, 5, FALSE), "") &amp; " " &amp;
IFERROR(VLOOKUP(C186, ListOfSitesTable, 4, FALSE), "") &amp; " " &amp;
IFERROR(VLOOKUP(C186, ListOfSitesTable, 2, FALSE), ""))))</f>
        <v/>
      </c>
      <c r="E186" s="822"/>
      <c r="F186" s="823"/>
      <c r="G186" s="794"/>
      <c r="H186" s="795"/>
      <c r="I186" s="796"/>
      <c r="J186" s="200" t="b">
        <v>0</v>
      </c>
      <c r="K186" s="195" t="b">
        <v>0</v>
      </c>
      <c r="L186" s="17" t="str">
        <f t="shared" si="4"/>
        <v/>
      </c>
      <c r="M186" s="10"/>
      <c r="N186" s="10"/>
      <c r="O186" s="10"/>
      <c r="P186" s="10"/>
    </row>
    <row r="187" spans="3:16" hidden="1" outlineLevel="1">
      <c r="C187" s="190"/>
      <c r="D187" s="821" t="str">
        <f>IF(C187 = "", "",
IF(COUNTIF($C$180:C186, C187), "VALUE INCONSISTENCY",
IF(AND(COUNTIF('General Information'!$C$402:$C$501, C187),
       INDEX('General Information'!$D$402:$D$501, MATCH(C187, 'General Information'!$C$402:$C$501, 0)) = ""),
   "VALUE INCONSISTENCY",
IFERROR(VLOOKUP(C187, ListOfSitesTable, 5, FALSE), "") &amp; " " &amp;
IFERROR(VLOOKUP(C187, ListOfSitesTable, 4, FALSE), "") &amp; " " &amp;
IFERROR(VLOOKUP(C187, ListOfSitesTable, 2, FALSE), ""))))</f>
        <v/>
      </c>
      <c r="E187" s="822"/>
      <c r="F187" s="823"/>
      <c r="G187" s="794"/>
      <c r="H187" s="795"/>
      <c r="I187" s="796"/>
      <c r="J187" s="200" t="b">
        <v>0</v>
      </c>
      <c r="K187" s="195" t="b">
        <v>0</v>
      </c>
      <c r="L187" s="17" t="str">
        <f t="shared" si="4"/>
        <v/>
      </c>
      <c r="M187" s="10"/>
      <c r="N187" s="10"/>
      <c r="O187" s="10"/>
      <c r="P187" s="10"/>
    </row>
    <row r="188" spans="3:16" hidden="1" outlineLevel="1">
      <c r="C188" s="190"/>
      <c r="D188" s="821" t="str">
        <f>IF(C188 = "", "",
IF(COUNTIF($C$180:C187, C188), "VALUE INCONSISTENCY",
IF(AND(COUNTIF('General Information'!$C$402:$C$501, C188),
       INDEX('General Information'!$D$402:$D$501, MATCH(C188, 'General Information'!$C$402:$C$501, 0)) = ""),
   "VALUE INCONSISTENCY",
IFERROR(VLOOKUP(C188, ListOfSitesTable, 5, FALSE), "") &amp; " " &amp;
IFERROR(VLOOKUP(C188, ListOfSitesTable, 4, FALSE), "") &amp; " " &amp;
IFERROR(VLOOKUP(C188, ListOfSitesTable, 2, FALSE), ""))))</f>
        <v/>
      </c>
      <c r="E188" s="822"/>
      <c r="F188" s="823"/>
      <c r="G188" s="794"/>
      <c r="H188" s="795"/>
      <c r="I188" s="796"/>
      <c r="J188" s="200" t="b">
        <v>0</v>
      </c>
      <c r="K188" s="195" t="b">
        <v>0</v>
      </c>
      <c r="L188" s="17" t="str">
        <f t="shared" si="4"/>
        <v/>
      </c>
      <c r="M188" s="10"/>
      <c r="N188" s="10"/>
      <c r="O188" s="10"/>
      <c r="P188" s="10"/>
    </row>
    <row r="189" spans="3:16" hidden="1" outlineLevel="1">
      <c r="C189" s="190"/>
      <c r="D189" s="821" t="str">
        <f>IF(C189 = "", "",
IF(COUNTIF($C$180:C188, C189), "VALUE INCONSISTENCY",
IF(AND(COUNTIF('General Information'!$C$402:$C$501, C189),
       INDEX('General Information'!$D$402:$D$501, MATCH(C189, 'General Information'!$C$402:$C$501, 0)) = ""),
   "VALUE INCONSISTENCY",
IFERROR(VLOOKUP(C189, ListOfSitesTable, 5, FALSE), "") &amp; " " &amp;
IFERROR(VLOOKUP(C189, ListOfSitesTable, 4, FALSE), "") &amp; " " &amp;
IFERROR(VLOOKUP(C189, ListOfSitesTable, 2, FALSE), ""))))</f>
        <v/>
      </c>
      <c r="E189" s="822"/>
      <c r="F189" s="823"/>
      <c r="G189" s="794"/>
      <c r="H189" s="795"/>
      <c r="I189" s="796"/>
      <c r="J189" s="200" t="b">
        <v>0</v>
      </c>
      <c r="K189" s="195" t="b">
        <v>0</v>
      </c>
      <c r="L189" s="17" t="str">
        <f t="shared" si="4"/>
        <v/>
      </c>
      <c r="M189" s="10"/>
      <c r="N189" s="10"/>
      <c r="O189" s="10"/>
      <c r="P189" s="10"/>
    </row>
    <row r="190" spans="3:16" hidden="1" outlineLevel="1">
      <c r="C190" s="190"/>
      <c r="D190" s="821" t="str">
        <f>IF(C190 = "", "",
IF(COUNTIF($C$180:C189, C190), "VALUE INCONSISTENCY",
IF(AND(COUNTIF('General Information'!$C$402:$C$501, C190),
       INDEX('General Information'!$D$402:$D$501, MATCH(C190, 'General Information'!$C$402:$C$501, 0)) = ""),
   "VALUE INCONSISTENCY",
IFERROR(VLOOKUP(C190, ListOfSitesTable, 5, FALSE), "") &amp; " " &amp;
IFERROR(VLOOKUP(C190, ListOfSitesTable, 4, FALSE), "") &amp; " " &amp;
IFERROR(VLOOKUP(C190, ListOfSitesTable, 2, FALSE), ""))))</f>
        <v/>
      </c>
      <c r="E190" s="822"/>
      <c r="F190" s="823"/>
      <c r="G190" s="794"/>
      <c r="H190" s="795"/>
      <c r="I190" s="796"/>
      <c r="J190" s="200" t="b">
        <v>0</v>
      </c>
      <c r="K190" s="195" t="b">
        <v>0</v>
      </c>
      <c r="L190" s="17" t="str">
        <f t="shared" si="4"/>
        <v/>
      </c>
      <c r="M190" s="10"/>
      <c r="N190" s="10"/>
      <c r="O190" s="10"/>
      <c r="P190" s="10"/>
    </row>
    <row r="191" spans="3:16" hidden="1" outlineLevel="1">
      <c r="C191" s="190"/>
      <c r="D191" s="821" t="str">
        <f>IF(C191 = "", "",
IF(COUNTIF($C$180:C190, C191), "VALUE INCONSISTENCY",
IF(AND(COUNTIF('General Information'!$C$402:$C$501, C191),
       INDEX('General Information'!$D$402:$D$501, MATCH(C191, 'General Information'!$C$402:$C$501, 0)) = ""),
   "VALUE INCONSISTENCY",
IFERROR(VLOOKUP(C191, ListOfSitesTable, 5, FALSE), "") &amp; " " &amp;
IFERROR(VLOOKUP(C191, ListOfSitesTable, 4, FALSE), "") &amp; " " &amp;
IFERROR(VLOOKUP(C191, ListOfSitesTable, 2, FALSE), ""))))</f>
        <v/>
      </c>
      <c r="E191" s="822"/>
      <c r="F191" s="823"/>
      <c r="G191" s="794"/>
      <c r="H191" s="795"/>
      <c r="I191" s="796"/>
      <c r="J191" s="200" t="b">
        <v>0</v>
      </c>
      <c r="K191" s="195" t="b">
        <v>0</v>
      </c>
      <c r="L191" s="17" t="str">
        <f t="shared" si="4"/>
        <v/>
      </c>
      <c r="M191" s="10"/>
      <c r="N191" s="10"/>
      <c r="O191" s="10"/>
      <c r="P191" s="10"/>
    </row>
    <row r="192" spans="3:16" hidden="1" outlineLevel="1">
      <c r="C192" s="190"/>
      <c r="D192" s="821" t="str">
        <f>IF(C192 = "", "",
IF(COUNTIF($C$180:C191, C192), "VALUE INCONSISTENCY",
IF(AND(COUNTIF('General Information'!$C$402:$C$501, C192),
       INDEX('General Information'!$D$402:$D$501, MATCH(C192, 'General Information'!$C$402:$C$501, 0)) = ""),
   "VALUE INCONSISTENCY",
IFERROR(VLOOKUP(C192, ListOfSitesTable, 5, FALSE), "") &amp; " " &amp;
IFERROR(VLOOKUP(C192, ListOfSitesTable, 4, FALSE), "") &amp; " " &amp;
IFERROR(VLOOKUP(C192, ListOfSitesTable, 2, FALSE), ""))))</f>
        <v/>
      </c>
      <c r="E192" s="822"/>
      <c r="F192" s="823"/>
      <c r="G192" s="794"/>
      <c r="H192" s="795"/>
      <c r="I192" s="796"/>
      <c r="J192" s="200" t="b">
        <v>0</v>
      </c>
      <c r="K192" s="195" t="b">
        <v>0</v>
      </c>
      <c r="L192" s="17" t="str">
        <f t="shared" si="4"/>
        <v/>
      </c>
      <c r="M192" s="10"/>
      <c r="N192" s="10"/>
      <c r="O192" s="10"/>
      <c r="P192" s="10"/>
    </row>
    <row r="193" spans="3:16" hidden="1" outlineLevel="1">
      <c r="C193" s="190"/>
      <c r="D193" s="821" t="str">
        <f>IF(C193 = "", "",
IF(COUNTIF($C$180:C192, C193), "VALUE INCONSISTENCY",
IF(AND(COUNTIF('General Information'!$C$402:$C$501, C193),
       INDEX('General Information'!$D$402:$D$501, MATCH(C193, 'General Information'!$C$402:$C$501, 0)) = ""),
   "VALUE INCONSISTENCY",
IFERROR(VLOOKUP(C193, ListOfSitesTable, 5, FALSE), "") &amp; " " &amp;
IFERROR(VLOOKUP(C193, ListOfSitesTable, 4, FALSE), "") &amp; " " &amp;
IFERROR(VLOOKUP(C193, ListOfSitesTable, 2, FALSE), ""))))</f>
        <v/>
      </c>
      <c r="E193" s="822"/>
      <c r="F193" s="823"/>
      <c r="G193" s="794"/>
      <c r="H193" s="795"/>
      <c r="I193" s="796"/>
      <c r="J193" s="200" t="b">
        <v>0</v>
      </c>
      <c r="K193" s="195" t="b">
        <v>0</v>
      </c>
      <c r="L193" s="17" t="str">
        <f t="shared" si="4"/>
        <v/>
      </c>
      <c r="M193" s="10"/>
      <c r="N193" s="10"/>
      <c r="O193" s="10"/>
      <c r="P193" s="10"/>
    </row>
    <row r="194" spans="3:16" hidden="1" outlineLevel="1">
      <c r="C194" s="190"/>
      <c r="D194" s="821" t="str">
        <f>IF(C194 = "", "",
IF(COUNTIF($C$180:C193, C194), "VALUE INCONSISTENCY",
IF(AND(COUNTIF('General Information'!$C$402:$C$501, C194),
       INDEX('General Information'!$D$402:$D$501, MATCH(C194, 'General Information'!$C$402:$C$501, 0)) = ""),
   "VALUE INCONSISTENCY",
IFERROR(VLOOKUP(C194, ListOfSitesTable, 5, FALSE), "") &amp; " " &amp;
IFERROR(VLOOKUP(C194, ListOfSitesTable, 4, FALSE), "") &amp; " " &amp;
IFERROR(VLOOKUP(C194, ListOfSitesTable, 2, FALSE), ""))))</f>
        <v/>
      </c>
      <c r="E194" s="822"/>
      <c r="F194" s="823"/>
      <c r="G194" s="794"/>
      <c r="H194" s="795"/>
      <c r="I194" s="796"/>
      <c r="J194" s="200" t="b">
        <v>0</v>
      </c>
      <c r="K194" s="195" t="b">
        <v>0</v>
      </c>
      <c r="L194" s="17" t="str">
        <f t="shared" si="4"/>
        <v/>
      </c>
      <c r="M194" s="10"/>
      <c r="N194" s="10"/>
      <c r="O194" s="10"/>
      <c r="P194" s="10"/>
    </row>
    <row r="195" spans="3:16" hidden="1" outlineLevel="1">
      <c r="C195" s="190"/>
      <c r="D195" s="821" t="str">
        <f>IF(C195 = "", "",
IF(COUNTIF($C$180:C194, C195), "VALUE INCONSISTENCY",
IF(AND(COUNTIF('General Information'!$C$402:$C$501, C195),
       INDEX('General Information'!$D$402:$D$501, MATCH(C195, 'General Information'!$C$402:$C$501, 0)) = ""),
   "VALUE INCONSISTENCY",
IFERROR(VLOOKUP(C195, ListOfSitesTable, 5, FALSE), "") &amp; " " &amp;
IFERROR(VLOOKUP(C195, ListOfSitesTable, 4, FALSE), "") &amp; " " &amp;
IFERROR(VLOOKUP(C195, ListOfSitesTable, 2, FALSE), ""))))</f>
        <v/>
      </c>
      <c r="E195" s="822"/>
      <c r="F195" s="823"/>
      <c r="G195" s="794"/>
      <c r="H195" s="795"/>
      <c r="I195" s="796"/>
      <c r="J195" s="200" t="b">
        <v>0</v>
      </c>
      <c r="K195" s="195" t="b">
        <v>0</v>
      </c>
      <c r="L195" s="17" t="str">
        <f t="shared" si="4"/>
        <v/>
      </c>
      <c r="M195" s="10"/>
      <c r="N195" s="10"/>
      <c r="O195" s="10"/>
      <c r="P195" s="10"/>
    </row>
    <row r="196" spans="3:16" hidden="1" outlineLevel="1">
      <c r="C196" s="190"/>
      <c r="D196" s="821" t="str">
        <f>IF(C196 = "", "",
IF(COUNTIF($C$180:C195, C196), "VALUE INCONSISTENCY",
IF(AND(COUNTIF('General Information'!$C$402:$C$501, C196),
       INDEX('General Information'!$D$402:$D$501, MATCH(C196, 'General Information'!$C$402:$C$501, 0)) = ""),
   "VALUE INCONSISTENCY",
IFERROR(VLOOKUP(C196, ListOfSitesTable, 5, FALSE), "") &amp; " " &amp;
IFERROR(VLOOKUP(C196, ListOfSitesTable, 4, FALSE), "") &amp; " " &amp;
IFERROR(VLOOKUP(C196, ListOfSitesTable, 2, FALSE), ""))))</f>
        <v/>
      </c>
      <c r="E196" s="822"/>
      <c r="F196" s="823"/>
      <c r="G196" s="794"/>
      <c r="H196" s="795"/>
      <c r="I196" s="796"/>
      <c r="J196" s="200" t="b">
        <v>0</v>
      </c>
      <c r="K196" s="195" t="b">
        <v>0</v>
      </c>
      <c r="L196" s="17" t="str">
        <f t="shared" si="4"/>
        <v/>
      </c>
      <c r="M196" s="10"/>
      <c r="N196" s="10"/>
      <c r="O196" s="10"/>
      <c r="P196" s="10"/>
    </row>
    <row r="197" spans="3:16" hidden="1" outlineLevel="1">
      <c r="C197" s="190"/>
      <c r="D197" s="821" t="str">
        <f>IF(C197 = "", "",
IF(COUNTIF($C$180:C196, C197), "VALUE INCONSISTENCY",
IF(AND(COUNTIF('General Information'!$C$402:$C$501, C197),
       INDEX('General Information'!$D$402:$D$501, MATCH(C197, 'General Information'!$C$402:$C$501, 0)) = ""),
   "VALUE INCONSISTENCY",
IFERROR(VLOOKUP(C197, ListOfSitesTable, 5, FALSE), "") &amp; " " &amp;
IFERROR(VLOOKUP(C197, ListOfSitesTable, 4, FALSE), "") &amp; " " &amp;
IFERROR(VLOOKUP(C197, ListOfSitesTable, 2, FALSE), ""))))</f>
        <v/>
      </c>
      <c r="E197" s="822"/>
      <c r="F197" s="823"/>
      <c r="G197" s="794"/>
      <c r="H197" s="795"/>
      <c r="I197" s="796"/>
      <c r="J197" s="200" t="b">
        <v>0</v>
      </c>
      <c r="K197" s="195" t="b">
        <v>0</v>
      </c>
      <c r="L197" s="17" t="str">
        <f t="shared" si="4"/>
        <v/>
      </c>
      <c r="M197" s="10"/>
      <c r="N197" s="10"/>
      <c r="O197" s="10"/>
      <c r="P197" s="10"/>
    </row>
    <row r="198" spans="3:16" hidden="1" outlineLevel="1">
      <c r="C198" s="190"/>
      <c r="D198" s="821" t="str">
        <f>IF(C198 = "", "",
IF(COUNTIF($C$180:C197, C198), "VALUE INCONSISTENCY",
IF(AND(COUNTIF('General Information'!$C$402:$C$501, C198),
       INDEX('General Information'!$D$402:$D$501, MATCH(C198, 'General Information'!$C$402:$C$501, 0)) = ""),
   "VALUE INCONSISTENCY",
IFERROR(VLOOKUP(C198, ListOfSitesTable, 5, FALSE), "") &amp; " " &amp;
IFERROR(VLOOKUP(C198, ListOfSitesTable, 4, FALSE), "") &amp; " " &amp;
IFERROR(VLOOKUP(C198, ListOfSitesTable, 2, FALSE), ""))))</f>
        <v/>
      </c>
      <c r="E198" s="822"/>
      <c r="F198" s="823"/>
      <c r="G198" s="794"/>
      <c r="H198" s="795"/>
      <c r="I198" s="796"/>
      <c r="J198" s="200" t="b">
        <v>0</v>
      </c>
      <c r="K198" s="195" t="b">
        <v>0</v>
      </c>
      <c r="L198" s="17" t="str">
        <f t="shared" si="4"/>
        <v/>
      </c>
      <c r="M198" s="10"/>
      <c r="N198" s="10"/>
      <c r="O198" s="10"/>
      <c r="P198" s="10"/>
    </row>
    <row r="199" spans="3:16" hidden="1" outlineLevel="1">
      <c r="C199" s="190"/>
      <c r="D199" s="821" t="str">
        <f>IF(C199 = "", "",
IF(COUNTIF($C$180:C198, C199), "VALUE INCONSISTENCY",
IF(AND(COUNTIF('General Information'!$C$402:$C$501, C199),
       INDEX('General Information'!$D$402:$D$501, MATCH(C199, 'General Information'!$C$402:$C$501, 0)) = ""),
   "VALUE INCONSISTENCY",
IFERROR(VLOOKUP(C199, ListOfSitesTable, 5, FALSE), "") &amp; " " &amp;
IFERROR(VLOOKUP(C199, ListOfSitesTable, 4, FALSE), "") &amp; " " &amp;
IFERROR(VLOOKUP(C199, ListOfSitesTable, 2, FALSE), ""))))</f>
        <v/>
      </c>
      <c r="E199" s="822"/>
      <c r="F199" s="823"/>
      <c r="G199" s="794"/>
      <c r="H199" s="795"/>
      <c r="I199" s="796"/>
      <c r="J199" s="200" t="b">
        <v>0</v>
      </c>
      <c r="K199" s="195" t="b">
        <v>0</v>
      </c>
      <c r="L199" s="17" t="str">
        <f t="shared" si="4"/>
        <v/>
      </c>
      <c r="M199" s="10"/>
      <c r="N199" s="10"/>
      <c r="O199" s="10"/>
      <c r="P199" s="10"/>
    </row>
    <row r="200" spans="3:16" hidden="1" outlineLevel="1">
      <c r="C200" s="190"/>
      <c r="D200" s="821" t="str">
        <f>IF(C200 = "", "",
IF(COUNTIF($C$180:C199, C200), "VALUE INCONSISTENCY",
IF(AND(COUNTIF('General Information'!$C$402:$C$501, C200),
       INDEX('General Information'!$D$402:$D$501, MATCH(C200, 'General Information'!$C$402:$C$501, 0)) = ""),
   "VALUE INCONSISTENCY",
IFERROR(VLOOKUP(C200, ListOfSitesTable, 5, FALSE), "") &amp; " " &amp;
IFERROR(VLOOKUP(C200, ListOfSitesTable, 4, FALSE), "") &amp; " " &amp;
IFERROR(VLOOKUP(C200, ListOfSitesTable, 2, FALSE), ""))))</f>
        <v/>
      </c>
      <c r="E200" s="822"/>
      <c r="F200" s="823"/>
      <c r="G200" s="794"/>
      <c r="H200" s="795"/>
      <c r="I200" s="796"/>
      <c r="J200" s="200" t="b">
        <v>0</v>
      </c>
      <c r="K200" s="195" t="b">
        <v>0</v>
      </c>
      <c r="L200" s="17" t="str">
        <f t="shared" si="4"/>
        <v/>
      </c>
      <c r="M200" s="10"/>
      <c r="N200" s="10"/>
      <c r="O200" s="10"/>
      <c r="P200" s="10"/>
    </row>
    <row r="201" spans="3:16" hidden="1" outlineLevel="1">
      <c r="C201" s="190"/>
      <c r="D201" s="821" t="str">
        <f>IF(C201 = "", "",
IF(COUNTIF($C$180:C200, C201), "VALUE INCONSISTENCY",
IF(AND(COUNTIF('General Information'!$C$402:$C$501, C201),
       INDEX('General Information'!$D$402:$D$501, MATCH(C201, 'General Information'!$C$402:$C$501, 0)) = ""),
   "VALUE INCONSISTENCY",
IFERROR(VLOOKUP(C201, ListOfSitesTable, 5, FALSE), "") &amp; " " &amp;
IFERROR(VLOOKUP(C201, ListOfSitesTable, 4, FALSE), "") &amp; " " &amp;
IFERROR(VLOOKUP(C201, ListOfSitesTable, 2, FALSE), ""))))</f>
        <v/>
      </c>
      <c r="E201" s="822"/>
      <c r="F201" s="823"/>
      <c r="G201" s="794"/>
      <c r="H201" s="795"/>
      <c r="I201" s="796"/>
      <c r="J201" s="200" t="b">
        <v>0</v>
      </c>
      <c r="K201" s="195" t="b">
        <v>0</v>
      </c>
      <c r="L201" s="17" t="str">
        <f t="shared" si="4"/>
        <v/>
      </c>
      <c r="M201" s="10"/>
      <c r="N201" s="10"/>
      <c r="O201" s="10"/>
      <c r="P201" s="10"/>
    </row>
    <row r="202" spans="3:16" hidden="1" outlineLevel="1">
      <c r="C202" s="190"/>
      <c r="D202" s="821" t="str">
        <f>IF(C202 = "", "",
IF(COUNTIF($C$180:C201, C202), "VALUE INCONSISTENCY",
IF(AND(COUNTIF('General Information'!$C$402:$C$501, C202),
       INDEX('General Information'!$D$402:$D$501, MATCH(C202, 'General Information'!$C$402:$C$501, 0)) = ""),
   "VALUE INCONSISTENCY",
IFERROR(VLOOKUP(C202, ListOfSitesTable, 5, FALSE), "") &amp; " " &amp;
IFERROR(VLOOKUP(C202, ListOfSitesTable, 4, FALSE), "") &amp; " " &amp;
IFERROR(VLOOKUP(C202, ListOfSitesTable, 2, FALSE), ""))))</f>
        <v/>
      </c>
      <c r="E202" s="822"/>
      <c r="F202" s="823"/>
      <c r="G202" s="794"/>
      <c r="H202" s="795"/>
      <c r="I202" s="796"/>
      <c r="J202" s="200" t="b">
        <v>0</v>
      </c>
      <c r="K202" s="195" t="b">
        <v>0</v>
      </c>
      <c r="L202" s="17" t="str">
        <f t="shared" si="4"/>
        <v/>
      </c>
      <c r="M202" s="10"/>
      <c r="N202" s="10"/>
      <c r="O202" s="10"/>
      <c r="P202" s="10"/>
    </row>
    <row r="203" spans="3:16" hidden="1" outlineLevel="1">
      <c r="C203" s="190"/>
      <c r="D203" s="821" t="str">
        <f>IF(C203 = "", "",
IF(COUNTIF($C$180:C202, C203), "VALUE INCONSISTENCY",
IF(AND(COUNTIF('General Information'!$C$402:$C$501, C203),
       INDEX('General Information'!$D$402:$D$501, MATCH(C203, 'General Information'!$C$402:$C$501, 0)) = ""),
   "VALUE INCONSISTENCY",
IFERROR(VLOOKUP(C203, ListOfSitesTable, 5, FALSE), "") &amp; " " &amp;
IFERROR(VLOOKUP(C203, ListOfSitesTable, 4, FALSE), "") &amp; " " &amp;
IFERROR(VLOOKUP(C203, ListOfSitesTable, 2, FALSE), ""))))</f>
        <v/>
      </c>
      <c r="E203" s="822"/>
      <c r="F203" s="823"/>
      <c r="G203" s="794"/>
      <c r="H203" s="795"/>
      <c r="I203" s="796"/>
      <c r="J203" s="200" t="b">
        <v>0</v>
      </c>
      <c r="K203" s="195" t="b">
        <v>0</v>
      </c>
      <c r="L203" s="17" t="str">
        <f t="shared" si="4"/>
        <v/>
      </c>
      <c r="M203" s="10"/>
      <c r="N203" s="10"/>
      <c r="O203" s="10"/>
      <c r="P203" s="10"/>
    </row>
    <row r="204" spans="3:16" hidden="1" outlineLevel="1">
      <c r="C204" s="190"/>
      <c r="D204" s="821" t="str">
        <f>IF(C204 = "", "",
IF(COUNTIF($C$180:C203, C204), "VALUE INCONSISTENCY",
IF(AND(COUNTIF('General Information'!$C$402:$C$501, C204),
       INDEX('General Information'!$D$402:$D$501, MATCH(C204, 'General Information'!$C$402:$C$501, 0)) = ""),
   "VALUE INCONSISTENCY",
IFERROR(VLOOKUP(C204, ListOfSitesTable, 5, FALSE), "") &amp; " " &amp;
IFERROR(VLOOKUP(C204, ListOfSitesTable, 4, FALSE), "") &amp; " " &amp;
IFERROR(VLOOKUP(C204, ListOfSitesTable, 2, FALSE), ""))))</f>
        <v/>
      </c>
      <c r="E204" s="822"/>
      <c r="F204" s="823"/>
      <c r="G204" s="794"/>
      <c r="H204" s="795"/>
      <c r="I204" s="796"/>
      <c r="J204" s="200" t="b">
        <v>0</v>
      </c>
      <c r="K204" s="195" t="b">
        <v>0</v>
      </c>
      <c r="L204" s="17" t="str">
        <f t="shared" si="4"/>
        <v/>
      </c>
      <c r="M204" s="10"/>
      <c r="N204" s="10"/>
      <c r="O204" s="10"/>
      <c r="P204" s="10"/>
    </row>
    <row r="205" spans="3:16" hidden="1" outlineLevel="1">
      <c r="C205" s="190"/>
      <c r="D205" s="821" t="str">
        <f>IF(C205 = "", "",
IF(COUNTIF($C$180:C204, C205), "VALUE INCONSISTENCY",
IF(AND(COUNTIF('General Information'!$C$402:$C$501, C205),
       INDEX('General Information'!$D$402:$D$501, MATCH(C205, 'General Information'!$C$402:$C$501, 0)) = ""),
   "VALUE INCONSISTENCY",
IFERROR(VLOOKUP(C205, ListOfSitesTable, 5, FALSE), "") &amp; " " &amp;
IFERROR(VLOOKUP(C205, ListOfSitesTable, 4, FALSE), "") &amp; " " &amp;
IFERROR(VLOOKUP(C205, ListOfSitesTable, 2, FALSE), ""))))</f>
        <v/>
      </c>
      <c r="E205" s="822"/>
      <c r="F205" s="823"/>
      <c r="G205" s="794"/>
      <c r="H205" s="795"/>
      <c r="I205" s="796"/>
      <c r="J205" s="200" t="b">
        <v>0</v>
      </c>
      <c r="K205" s="195" t="b">
        <v>0</v>
      </c>
      <c r="L205" s="17" t="str">
        <f t="shared" si="4"/>
        <v/>
      </c>
      <c r="M205" s="10"/>
      <c r="N205" s="10"/>
      <c r="O205" s="10"/>
      <c r="P205" s="10"/>
    </row>
    <row r="206" spans="3:16" hidden="1" outlineLevel="1">
      <c r="C206" s="190"/>
      <c r="D206" s="821" t="str">
        <f>IF(C206 = "", "",
IF(COUNTIF($C$180:C205, C206), "VALUE INCONSISTENCY",
IF(AND(COUNTIF('General Information'!$C$402:$C$501, C206),
       INDEX('General Information'!$D$402:$D$501, MATCH(C206, 'General Information'!$C$402:$C$501, 0)) = ""),
   "VALUE INCONSISTENCY",
IFERROR(VLOOKUP(C206, ListOfSitesTable, 5, FALSE), "") &amp; " " &amp;
IFERROR(VLOOKUP(C206, ListOfSitesTable, 4, FALSE), "") &amp; " " &amp;
IFERROR(VLOOKUP(C206, ListOfSitesTable, 2, FALSE), ""))))</f>
        <v/>
      </c>
      <c r="E206" s="822"/>
      <c r="F206" s="823"/>
      <c r="G206" s="794"/>
      <c r="H206" s="795"/>
      <c r="I206" s="796"/>
      <c r="J206" s="200" t="b">
        <v>0</v>
      </c>
      <c r="K206" s="195" t="b">
        <v>0</v>
      </c>
      <c r="L206" s="17" t="str">
        <f t="shared" si="4"/>
        <v/>
      </c>
      <c r="M206" s="10"/>
      <c r="N206" s="10"/>
      <c r="O206" s="10"/>
      <c r="P206" s="10"/>
    </row>
    <row r="207" spans="3:16" hidden="1" outlineLevel="1">
      <c r="C207" s="190"/>
      <c r="D207" s="821" t="str">
        <f>IF(C207 = "", "",
IF(COUNTIF($C$180:C206, C207), "VALUE INCONSISTENCY",
IF(AND(COUNTIF('General Information'!$C$402:$C$501, C207),
       INDEX('General Information'!$D$402:$D$501, MATCH(C207, 'General Information'!$C$402:$C$501, 0)) = ""),
   "VALUE INCONSISTENCY",
IFERROR(VLOOKUP(C207, ListOfSitesTable, 5, FALSE), "") &amp; " " &amp;
IFERROR(VLOOKUP(C207, ListOfSitesTable, 4, FALSE), "") &amp; " " &amp;
IFERROR(VLOOKUP(C207, ListOfSitesTable, 2, FALSE), ""))))</f>
        <v/>
      </c>
      <c r="E207" s="822"/>
      <c r="F207" s="823"/>
      <c r="G207" s="794"/>
      <c r="H207" s="795"/>
      <c r="I207" s="796"/>
      <c r="J207" s="200" t="b">
        <v>0</v>
      </c>
      <c r="K207" s="195" t="b">
        <v>0</v>
      </c>
      <c r="L207" s="17" t="str">
        <f t="shared" si="4"/>
        <v/>
      </c>
      <c r="M207" s="10"/>
      <c r="N207" s="10"/>
      <c r="O207" s="10"/>
      <c r="P207" s="10"/>
    </row>
    <row r="208" spans="3:16" hidden="1" outlineLevel="1">
      <c r="C208" s="190"/>
      <c r="D208" s="821" t="str">
        <f>IF(C208 = "", "",
IF(COUNTIF($C$180:C207, C208), "VALUE INCONSISTENCY",
IF(AND(COUNTIF('General Information'!$C$402:$C$501, C208),
       INDEX('General Information'!$D$402:$D$501, MATCH(C208, 'General Information'!$C$402:$C$501, 0)) = ""),
   "VALUE INCONSISTENCY",
IFERROR(VLOOKUP(C208, ListOfSitesTable, 5, FALSE), "") &amp; " " &amp;
IFERROR(VLOOKUP(C208, ListOfSitesTable, 4, FALSE), "") &amp; " " &amp;
IFERROR(VLOOKUP(C208, ListOfSitesTable, 2, FALSE), ""))))</f>
        <v/>
      </c>
      <c r="E208" s="822"/>
      <c r="F208" s="823"/>
      <c r="G208" s="794"/>
      <c r="H208" s="795"/>
      <c r="I208" s="796"/>
      <c r="J208" s="200" t="b">
        <v>0</v>
      </c>
      <c r="K208" s="195" t="b">
        <v>0</v>
      </c>
      <c r="L208" s="17" t="str">
        <f t="shared" si="4"/>
        <v/>
      </c>
      <c r="M208" s="10"/>
      <c r="N208" s="10"/>
      <c r="O208" s="10"/>
      <c r="P208" s="10"/>
    </row>
    <row r="209" spans="3:16" hidden="1" outlineLevel="1">
      <c r="C209" s="190"/>
      <c r="D209" s="821" t="str">
        <f>IF(C209 = "", "",
IF(COUNTIF($C$180:C208, C209), "VALUE INCONSISTENCY",
IF(AND(COUNTIF('General Information'!$C$402:$C$501, C209),
       INDEX('General Information'!$D$402:$D$501, MATCH(C209, 'General Information'!$C$402:$C$501, 0)) = ""),
   "VALUE INCONSISTENCY",
IFERROR(VLOOKUP(C209, ListOfSitesTable, 5, FALSE), "") &amp; " " &amp;
IFERROR(VLOOKUP(C209, ListOfSitesTable, 4, FALSE), "") &amp; " " &amp;
IFERROR(VLOOKUP(C209, ListOfSitesTable, 2, FALSE), ""))))</f>
        <v/>
      </c>
      <c r="E209" s="822"/>
      <c r="F209" s="823"/>
      <c r="G209" s="794"/>
      <c r="H209" s="795"/>
      <c r="I209" s="796"/>
      <c r="J209" s="200" t="b">
        <v>0</v>
      </c>
      <c r="K209" s="195" t="b">
        <v>0</v>
      </c>
      <c r="L209" s="17" t="str">
        <f t="shared" si="4"/>
        <v/>
      </c>
      <c r="M209" s="10"/>
      <c r="N209" s="10"/>
      <c r="O209" s="10"/>
      <c r="P209" s="10"/>
    </row>
    <row r="210" spans="3:16" hidden="1" outlineLevel="1">
      <c r="C210" s="190"/>
      <c r="D210" s="821" t="str">
        <f>IF(C210 = "", "",
IF(COUNTIF($C$180:C209, C210), "VALUE INCONSISTENCY",
IF(AND(COUNTIF('General Information'!$C$402:$C$501, C210),
       INDEX('General Information'!$D$402:$D$501, MATCH(C210, 'General Information'!$C$402:$C$501, 0)) = ""),
   "VALUE INCONSISTENCY",
IFERROR(VLOOKUP(C210, ListOfSitesTable, 5, FALSE), "") &amp; " " &amp;
IFERROR(VLOOKUP(C210, ListOfSitesTable, 4, FALSE), "") &amp; " " &amp;
IFERROR(VLOOKUP(C210, ListOfSitesTable, 2, FALSE), ""))))</f>
        <v/>
      </c>
      <c r="E210" s="822"/>
      <c r="F210" s="823"/>
      <c r="G210" s="794"/>
      <c r="H210" s="795"/>
      <c r="I210" s="796"/>
      <c r="J210" s="200" t="b">
        <v>0</v>
      </c>
      <c r="K210" s="195" t="b">
        <v>0</v>
      </c>
      <c r="L210" s="17" t="str">
        <f t="shared" si="4"/>
        <v/>
      </c>
      <c r="M210" s="10"/>
      <c r="N210" s="10"/>
      <c r="O210" s="10"/>
      <c r="P210" s="10"/>
    </row>
    <row r="211" spans="3:16" hidden="1" outlineLevel="1">
      <c r="C211" s="190"/>
      <c r="D211" s="821" t="str">
        <f>IF(C211 = "", "",
IF(COUNTIF($C$180:C210, C211), "VALUE INCONSISTENCY",
IF(AND(COUNTIF('General Information'!$C$402:$C$501, C211),
       INDEX('General Information'!$D$402:$D$501, MATCH(C211, 'General Information'!$C$402:$C$501, 0)) = ""),
   "VALUE INCONSISTENCY",
IFERROR(VLOOKUP(C211, ListOfSitesTable, 5, FALSE), "") &amp; " " &amp;
IFERROR(VLOOKUP(C211, ListOfSitesTable, 4, FALSE), "") &amp; " " &amp;
IFERROR(VLOOKUP(C211, ListOfSitesTable, 2, FALSE), ""))))</f>
        <v/>
      </c>
      <c r="E211" s="822"/>
      <c r="F211" s="823"/>
      <c r="G211" s="794"/>
      <c r="H211" s="795"/>
      <c r="I211" s="796"/>
      <c r="J211" s="200" t="b">
        <v>0</v>
      </c>
      <c r="K211" s="195" t="b">
        <v>0</v>
      </c>
      <c r="L211" s="17" t="str">
        <f t="shared" si="4"/>
        <v/>
      </c>
      <c r="M211" s="10"/>
      <c r="N211" s="10"/>
      <c r="O211" s="10"/>
      <c r="P211" s="10"/>
    </row>
    <row r="212" spans="3:16" hidden="1" outlineLevel="1">
      <c r="C212" s="190"/>
      <c r="D212" s="821" t="str">
        <f>IF(C212 = "", "",
IF(COUNTIF($C$180:C211, C212), "VALUE INCONSISTENCY",
IF(AND(COUNTIF('General Information'!$C$402:$C$501, C212),
       INDEX('General Information'!$D$402:$D$501, MATCH(C212, 'General Information'!$C$402:$C$501, 0)) = ""),
   "VALUE INCONSISTENCY",
IFERROR(VLOOKUP(C212, ListOfSitesTable, 5, FALSE), "") &amp; " " &amp;
IFERROR(VLOOKUP(C212, ListOfSitesTable, 4, FALSE), "") &amp; " " &amp;
IFERROR(VLOOKUP(C212, ListOfSitesTable, 2, FALSE), ""))))</f>
        <v/>
      </c>
      <c r="E212" s="822"/>
      <c r="F212" s="823"/>
      <c r="G212" s="794"/>
      <c r="H212" s="795"/>
      <c r="I212" s="796"/>
      <c r="J212" s="200" t="b">
        <v>0</v>
      </c>
      <c r="K212" s="195" t="b">
        <v>0</v>
      </c>
      <c r="L212" s="17" t="str">
        <f t="shared" si="4"/>
        <v/>
      </c>
      <c r="M212" s="10"/>
      <c r="N212" s="10"/>
      <c r="O212" s="10"/>
      <c r="P212" s="10"/>
    </row>
    <row r="213" spans="3:16" hidden="1" outlineLevel="1">
      <c r="C213" s="190"/>
      <c r="D213" s="821" t="str">
        <f>IF(C213 = "", "",
IF(COUNTIF($C$180:C212, C213), "VALUE INCONSISTENCY",
IF(AND(COUNTIF('General Information'!$C$402:$C$501, C213),
       INDEX('General Information'!$D$402:$D$501, MATCH(C213, 'General Information'!$C$402:$C$501, 0)) = ""),
   "VALUE INCONSISTENCY",
IFERROR(VLOOKUP(C213, ListOfSitesTable, 5, FALSE), "") &amp; " " &amp;
IFERROR(VLOOKUP(C213, ListOfSitesTable, 4, FALSE), "") &amp; " " &amp;
IFERROR(VLOOKUP(C213, ListOfSitesTable, 2, FALSE), ""))))</f>
        <v/>
      </c>
      <c r="E213" s="822"/>
      <c r="F213" s="823"/>
      <c r="G213" s="794"/>
      <c r="H213" s="795"/>
      <c r="I213" s="796"/>
      <c r="J213" s="200" t="b">
        <v>0</v>
      </c>
      <c r="K213" s="195" t="b">
        <v>0</v>
      </c>
      <c r="L213" s="17" t="str">
        <f t="shared" si="4"/>
        <v/>
      </c>
      <c r="M213" s="10"/>
      <c r="N213" s="10"/>
      <c r="O213" s="10"/>
      <c r="P213" s="10"/>
    </row>
    <row r="214" spans="3:16" hidden="1" outlineLevel="1">
      <c r="C214" s="190"/>
      <c r="D214" s="821" t="str">
        <f>IF(C214 = "", "",
IF(COUNTIF($C$180:C213, C214), "VALUE INCONSISTENCY",
IF(AND(COUNTIF('General Information'!$C$402:$C$501, C214),
       INDEX('General Information'!$D$402:$D$501, MATCH(C214, 'General Information'!$C$402:$C$501, 0)) = ""),
   "VALUE INCONSISTENCY",
IFERROR(VLOOKUP(C214, ListOfSitesTable, 5, FALSE), "") &amp; " " &amp;
IFERROR(VLOOKUP(C214, ListOfSitesTable, 4, FALSE), "") &amp; " " &amp;
IFERROR(VLOOKUP(C214, ListOfSitesTable, 2, FALSE), ""))))</f>
        <v/>
      </c>
      <c r="E214" s="822"/>
      <c r="F214" s="823"/>
      <c r="G214" s="794"/>
      <c r="H214" s="795"/>
      <c r="I214" s="796"/>
      <c r="J214" s="200" t="b">
        <v>0</v>
      </c>
      <c r="K214" s="195" t="b">
        <v>0</v>
      </c>
      <c r="L214" s="17" t="str">
        <f t="shared" si="4"/>
        <v/>
      </c>
      <c r="M214" s="10"/>
      <c r="N214" s="10"/>
      <c r="O214" s="10"/>
      <c r="P214" s="10"/>
    </row>
    <row r="215" spans="3:16" hidden="1" outlineLevel="1">
      <c r="C215" s="190"/>
      <c r="D215" s="821" t="str">
        <f>IF(C215 = "", "",
IF(COUNTIF($C$180:C214, C215), "VALUE INCONSISTENCY",
IF(AND(COUNTIF('General Information'!$C$402:$C$501, C215),
       INDEX('General Information'!$D$402:$D$501, MATCH(C215, 'General Information'!$C$402:$C$501, 0)) = ""),
   "VALUE INCONSISTENCY",
IFERROR(VLOOKUP(C215, ListOfSitesTable, 5, FALSE), "") &amp; " " &amp;
IFERROR(VLOOKUP(C215, ListOfSitesTable, 4, FALSE), "") &amp; " " &amp;
IFERROR(VLOOKUP(C215, ListOfSitesTable, 2, FALSE), ""))))</f>
        <v/>
      </c>
      <c r="E215" s="822"/>
      <c r="F215" s="823"/>
      <c r="G215" s="794"/>
      <c r="H215" s="795"/>
      <c r="I215" s="796"/>
      <c r="J215" s="200" t="b">
        <v>0</v>
      </c>
      <c r="K215" s="195" t="b">
        <v>0</v>
      </c>
      <c r="L215" s="17" t="str">
        <f t="shared" si="4"/>
        <v/>
      </c>
      <c r="M215" s="10"/>
      <c r="N215" s="10"/>
      <c r="O215" s="10"/>
      <c r="P215" s="10"/>
    </row>
    <row r="216" spans="3:16" hidden="1" outlineLevel="1">
      <c r="C216" s="190"/>
      <c r="D216" s="821" t="str">
        <f>IF(C216 = "", "",
IF(COUNTIF($C$180:C215, C216), "VALUE INCONSISTENCY",
IF(AND(COUNTIF('General Information'!$C$402:$C$501, C216),
       INDEX('General Information'!$D$402:$D$501, MATCH(C216, 'General Information'!$C$402:$C$501, 0)) = ""),
   "VALUE INCONSISTENCY",
IFERROR(VLOOKUP(C216, ListOfSitesTable, 5, FALSE), "") &amp; " " &amp;
IFERROR(VLOOKUP(C216, ListOfSitesTable, 4, FALSE), "") &amp; " " &amp;
IFERROR(VLOOKUP(C216, ListOfSitesTable, 2, FALSE), ""))))</f>
        <v/>
      </c>
      <c r="E216" s="822"/>
      <c r="F216" s="823"/>
      <c r="G216" s="794"/>
      <c r="H216" s="795"/>
      <c r="I216" s="796"/>
      <c r="J216" s="200" t="b">
        <v>0</v>
      </c>
      <c r="K216" s="195" t="b">
        <v>0</v>
      </c>
      <c r="L216" s="17" t="str">
        <f t="shared" si="4"/>
        <v/>
      </c>
      <c r="M216" s="10"/>
      <c r="N216" s="10"/>
      <c r="O216" s="10"/>
      <c r="P216" s="10"/>
    </row>
    <row r="217" spans="3:16" hidden="1" outlineLevel="1">
      <c r="C217" s="190"/>
      <c r="D217" s="821" t="str">
        <f>IF(C217 = "", "",
IF(COUNTIF($C$180:C216, C217), "VALUE INCONSISTENCY",
IF(AND(COUNTIF('General Information'!$C$402:$C$501, C217),
       INDEX('General Information'!$D$402:$D$501, MATCH(C217, 'General Information'!$C$402:$C$501, 0)) = ""),
   "VALUE INCONSISTENCY",
IFERROR(VLOOKUP(C217, ListOfSitesTable, 5, FALSE), "") &amp; " " &amp;
IFERROR(VLOOKUP(C217, ListOfSitesTable, 4, FALSE), "") &amp; " " &amp;
IFERROR(VLOOKUP(C217, ListOfSitesTable, 2, FALSE), ""))))</f>
        <v/>
      </c>
      <c r="E217" s="822"/>
      <c r="F217" s="823"/>
      <c r="G217" s="794"/>
      <c r="H217" s="795"/>
      <c r="I217" s="796"/>
      <c r="J217" s="200" t="b">
        <v>0</v>
      </c>
      <c r="K217" s="195" t="b">
        <v>0</v>
      </c>
      <c r="L217" s="17" t="str">
        <f t="shared" si="4"/>
        <v/>
      </c>
      <c r="M217" s="10"/>
      <c r="N217" s="10"/>
      <c r="O217" s="10"/>
      <c r="P217" s="10"/>
    </row>
    <row r="218" spans="3:16" hidden="1" outlineLevel="1">
      <c r="C218" s="190"/>
      <c r="D218" s="821" t="str">
        <f>IF(C218 = "", "",
IF(COUNTIF($C$180:C217, C218), "VALUE INCONSISTENCY",
IF(AND(COUNTIF('General Information'!$C$402:$C$501, C218),
       INDEX('General Information'!$D$402:$D$501, MATCH(C218, 'General Information'!$C$402:$C$501, 0)) = ""),
   "VALUE INCONSISTENCY",
IFERROR(VLOOKUP(C218, ListOfSitesTable, 5, FALSE), "") &amp; " " &amp;
IFERROR(VLOOKUP(C218, ListOfSitesTable, 4, FALSE), "") &amp; " " &amp;
IFERROR(VLOOKUP(C218, ListOfSitesTable, 2, FALSE), ""))))</f>
        <v/>
      </c>
      <c r="E218" s="822"/>
      <c r="F218" s="823"/>
      <c r="G218" s="794"/>
      <c r="H218" s="795"/>
      <c r="I218" s="796"/>
      <c r="J218" s="200" t="b">
        <v>0</v>
      </c>
      <c r="K218" s="195" t="b">
        <v>0</v>
      </c>
      <c r="L218" s="17" t="str">
        <f t="shared" si="4"/>
        <v/>
      </c>
      <c r="M218" s="10"/>
      <c r="N218" s="10"/>
      <c r="O218" s="10"/>
      <c r="P218" s="10"/>
    </row>
    <row r="219" spans="3:16" hidden="1" outlineLevel="1">
      <c r="C219" s="190"/>
      <c r="D219" s="821" t="str">
        <f>IF(C219 = "", "",
IF(COUNTIF($C$180:C218, C219), "VALUE INCONSISTENCY",
IF(AND(COUNTIF('General Information'!$C$402:$C$501, C219),
       INDEX('General Information'!$D$402:$D$501, MATCH(C219, 'General Information'!$C$402:$C$501, 0)) = ""),
   "VALUE INCONSISTENCY",
IFERROR(VLOOKUP(C219, ListOfSitesTable, 5, FALSE), "") &amp; " " &amp;
IFERROR(VLOOKUP(C219, ListOfSitesTable, 4, FALSE), "") &amp; " " &amp;
IFERROR(VLOOKUP(C219, ListOfSitesTable, 2, FALSE), ""))))</f>
        <v/>
      </c>
      <c r="E219" s="822"/>
      <c r="F219" s="823"/>
      <c r="G219" s="794"/>
      <c r="H219" s="795"/>
      <c r="I219" s="796"/>
      <c r="J219" s="200" t="b">
        <v>0</v>
      </c>
      <c r="K219" s="195" t="b">
        <v>0</v>
      </c>
      <c r="L219" s="17" t="str">
        <f t="shared" si="4"/>
        <v/>
      </c>
      <c r="M219" s="10"/>
      <c r="N219" s="10"/>
      <c r="O219" s="10"/>
      <c r="P219" s="10"/>
    </row>
    <row r="220" spans="3:16" hidden="1" outlineLevel="1">
      <c r="C220" s="190"/>
      <c r="D220" s="821" t="str">
        <f>IF(C220 = "", "",
IF(COUNTIF($C$180:C219, C220), "VALUE INCONSISTENCY",
IF(AND(COUNTIF('General Information'!$C$402:$C$501, C220),
       INDEX('General Information'!$D$402:$D$501, MATCH(C220, 'General Information'!$C$402:$C$501, 0)) = ""),
   "VALUE INCONSISTENCY",
IFERROR(VLOOKUP(C220, ListOfSitesTable, 5, FALSE), "") &amp; " " &amp;
IFERROR(VLOOKUP(C220, ListOfSitesTable, 4, FALSE), "") &amp; " " &amp;
IFERROR(VLOOKUP(C220, ListOfSitesTable, 2, FALSE), ""))))</f>
        <v/>
      </c>
      <c r="E220" s="822"/>
      <c r="F220" s="823"/>
      <c r="G220" s="794"/>
      <c r="H220" s="795"/>
      <c r="I220" s="796"/>
      <c r="J220" s="200" t="b">
        <v>0</v>
      </c>
      <c r="K220" s="195" t="b">
        <v>0</v>
      </c>
      <c r="L220" s="17" t="str">
        <f t="shared" si="4"/>
        <v/>
      </c>
      <c r="M220" s="10"/>
      <c r="N220" s="10"/>
      <c r="O220" s="10"/>
      <c r="P220" s="10"/>
    </row>
    <row r="221" spans="3:16" hidden="1" outlineLevel="1">
      <c r="C221" s="190"/>
      <c r="D221" s="821" t="str">
        <f>IF(C221 = "", "",
IF(COUNTIF($C$180:C220, C221), "VALUE INCONSISTENCY",
IF(AND(COUNTIF('General Information'!$C$402:$C$501, C221),
       INDEX('General Information'!$D$402:$D$501, MATCH(C221, 'General Information'!$C$402:$C$501, 0)) = ""),
   "VALUE INCONSISTENCY",
IFERROR(VLOOKUP(C221, ListOfSitesTable, 5, FALSE), "") &amp; " " &amp;
IFERROR(VLOOKUP(C221, ListOfSitesTable, 4, FALSE), "") &amp; " " &amp;
IFERROR(VLOOKUP(C221, ListOfSitesTable, 2, FALSE), ""))))</f>
        <v/>
      </c>
      <c r="E221" s="822"/>
      <c r="F221" s="823"/>
      <c r="G221" s="794"/>
      <c r="H221" s="795"/>
      <c r="I221" s="796"/>
      <c r="J221" s="200" t="b">
        <v>0</v>
      </c>
      <c r="K221" s="195" t="b">
        <v>0</v>
      </c>
      <c r="L221" s="17" t="str">
        <f t="shared" si="4"/>
        <v/>
      </c>
      <c r="M221" s="10"/>
      <c r="N221" s="10"/>
      <c r="O221" s="10"/>
      <c r="P221" s="10"/>
    </row>
    <row r="222" spans="3:16" hidden="1" outlineLevel="1">
      <c r="C222" s="190"/>
      <c r="D222" s="821" t="str">
        <f>IF(C222 = "", "",
IF(COUNTIF($C$180:C221, C222), "VALUE INCONSISTENCY",
IF(AND(COUNTIF('General Information'!$C$402:$C$501, C222),
       INDEX('General Information'!$D$402:$D$501, MATCH(C222, 'General Information'!$C$402:$C$501, 0)) = ""),
   "VALUE INCONSISTENCY",
IFERROR(VLOOKUP(C222, ListOfSitesTable, 5, FALSE), "") &amp; " " &amp;
IFERROR(VLOOKUP(C222, ListOfSitesTable, 4, FALSE), "") &amp; " " &amp;
IFERROR(VLOOKUP(C222, ListOfSitesTable, 2, FALSE), ""))))</f>
        <v/>
      </c>
      <c r="E222" s="822"/>
      <c r="F222" s="823"/>
      <c r="G222" s="794"/>
      <c r="H222" s="795"/>
      <c r="I222" s="796"/>
      <c r="J222" s="200" t="b">
        <v>0</v>
      </c>
      <c r="K222" s="195" t="b">
        <v>0</v>
      </c>
      <c r="L222" s="17" t="str">
        <f t="shared" si="4"/>
        <v/>
      </c>
      <c r="M222" s="10"/>
      <c r="N222" s="10"/>
      <c r="O222" s="10"/>
      <c r="P222" s="10"/>
    </row>
    <row r="223" spans="3:16" hidden="1" outlineLevel="1">
      <c r="C223" s="190"/>
      <c r="D223" s="821" t="str">
        <f>IF(C223 = "", "",
IF(COUNTIF($C$180:C222, C223), "VALUE INCONSISTENCY",
IF(AND(COUNTIF('General Information'!$C$402:$C$501, C223),
       INDEX('General Information'!$D$402:$D$501, MATCH(C223, 'General Information'!$C$402:$C$501, 0)) = ""),
   "VALUE INCONSISTENCY",
IFERROR(VLOOKUP(C223, ListOfSitesTable, 5, FALSE), "") &amp; " " &amp;
IFERROR(VLOOKUP(C223, ListOfSitesTable, 4, FALSE), "") &amp; " " &amp;
IFERROR(VLOOKUP(C223, ListOfSitesTable, 2, FALSE), ""))))</f>
        <v/>
      </c>
      <c r="E223" s="822"/>
      <c r="F223" s="823"/>
      <c r="G223" s="794"/>
      <c r="H223" s="795"/>
      <c r="I223" s="796"/>
      <c r="J223" s="200" t="b">
        <v>0</v>
      </c>
      <c r="K223" s="195" t="b">
        <v>0</v>
      </c>
      <c r="L223" s="17" t="str">
        <f t="shared" si="4"/>
        <v/>
      </c>
      <c r="M223" s="10"/>
      <c r="N223" s="10"/>
      <c r="O223" s="10"/>
      <c r="P223" s="10"/>
    </row>
    <row r="224" spans="3:16" hidden="1" outlineLevel="1">
      <c r="C224" s="190"/>
      <c r="D224" s="821" t="str">
        <f>IF(C224 = "", "",
IF(COUNTIF($C$180:C223, C224), "VALUE INCONSISTENCY",
IF(AND(COUNTIF('General Information'!$C$402:$C$501, C224),
       INDEX('General Information'!$D$402:$D$501, MATCH(C224, 'General Information'!$C$402:$C$501, 0)) = ""),
   "VALUE INCONSISTENCY",
IFERROR(VLOOKUP(C224, ListOfSitesTable, 5, FALSE), "") &amp; " " &amp;
IFERROR(VLOOKUP(C224, ListOfSitesTable, 4, FALSE), "") &amp; " " &amp;
IFERROR(VLOOKUP(C224, ListOfSitesTable, 2, FALSE), ""))))</f>
        <v/>
      </c>
      <c r="E224" s="822"/>
      <c r="F224" s="823"/>
      <c r="G224" s="794"/>
      <c r="H224" s="795"/>
      <c r="I224" s="796"/>
      <c r="J224" s="200" t="b">
        <v>0</v>
      </c>
      <c r="K224" s="195" t="b">
        <v>0</v>
      </c>
      <c r="L224" s="17" t="str">
        <f t="shared" si="4"/>
        <v/>
      </c>
      <c r="M224" s="10"/>
      <c r="N224" s="10"/>
      <c r="O224" s="10"/>
      <c r="P224" s="10"/>
    </row>
    <row r="225" spans="3:16" hidden="1" outlineLevel="1">
      <c r="C225" s="190"/>
      <c r="D225" s="821" t="str">
        <f>IF(C225 = "", "",
IF(COUNTIF($C$180:C224, C225), "VALUE INCONSISTENCY",
IF(AND(COUNTIF('General Information'!$C$402:$C$501, C225),
       INDEX('General Information'!$D$402:$D$501, MATCH(C225, 'General Information'!$C$402:$C$501, 0)) = ""),
   "VALUE INCONSISTENCY",
IFERROR(VLOOKUP(C225, ListOfSitesTable, 5, FALSE), "") &amp; " " &amp;
IFERROR(VLOOKUP(C225, ListOfSitesTable, 4, FALSE), "") &amp; " " &amp;
IFERROR(VLOOKUP(C225, ListOfSitesTable, 2, FALSE), ""))))</f>
        <v/>
      </c>
      <c r="E225" s="822"/>
      <c r="F225" s="823"/>
      <c r="G225" s="794"/>
      <c r="H225" s="795"/>
      <c r="I225" s="796"/>
      <c r="J225" s="200" t="b">
        <v>0</v>
      </c>
      <c r="K225" s="195" t="b">
        <v>0</v>
      </c>
      <c r="L225" s="17" t="str">
        <f t="shared" si="4"/>
        <v/>
      </c>
      <c r="M225" s="10"/>
      <c r="N225" s="10"/>
      <c r="O225" s="10"/>
      <c r="P225" s="10"/>
    </row>
    <row r="226" spans="3:16" hidden="1" outlineLevel="1">
      <c r="C226" s="190"/>
      <c r="D226" s="821" t="str">
        <f>IF(C226 = "", "",
IF(COUNTIF($C$180:C225, C226), "VALUE INCONSISTENCY",
IF(AND(COUNTIF('General Information'!$C$402:$C$501, C226),
       INDEX('General Information'!$D$402:$D$501, MATCH(C226, 'General Information'!$C$402:$C$501, 0)) = ""),
   "VALUE INCONSISTENCY",
IFERROR(VLOOKUP(C226, ListOfSitesTable, 5, FALSE), "") &amp; " " &amp;
IFERROR(VLOOKUP(C226, ListOfSitesTable, 4, FALSE), "") &amp; " " &amp;
IFERROR(VLOOKUP(C226, ListOfSitesTable, 2, FALSE), ""))))</f>
        <v/>
      </c>
      <c r="E226" s="822"/>
      <c r="F226" s="823"/>
      <c r="G226" s="794"/>
      <c r="H226" s="795"/>
      <c r="I226" s="796"/>
      <c r="J226" s="200" t="b">
        <v>0</v>
      </c>
      <c r="K226" s="195" t="b">
        <v>0</v>
      </c>
      <c r="L226" s="17" t="str">
        <f t="shared" si="4"/>
        <v/>
      </c>
      <c r="M226" s="10"/>
      <c r="N226" s="10"/>
      <c r="O226" s="10"/>
      <c r="P226" s="10"/>
    </row>
    <row r="227" spans="3:16" hidden="1" outlineLevel="1">
      <c r="C227" s="190"/>
      <c r="D227" s="821" t="str">
        <f>IF(C227 = "", "",
IF(COUNTIF($C$180:C226, C227), "VALUE INCONSISTENCY",
IF(AND(COUNTIF('General Information'!$C$402:$C$501, C227),
       INDEX('General Information'!$D$402:$D$501, MATCH(C227, 'General Information'!$C$402:$C$501, 0)) = ""),
   "VALUE INCONSISTENCY",
IFERROR(VLOOKUP(C227, ListOfSitesTable, 5, FALSE), "") &amp; " " &amp;
IFERROR(VLOOKUP(C227, ListOfSitesTable, 4, FALSE), "") &amp; " " &amp;
IFERROR(VLOOKUP(C227, ListOfSitesTable, 2, FALSE), ""))))</f>
        <v/>
      </c>
      <c r="E227" s="822"/>
      <c r="F227" s="823"/>
      <c r="G227" s="794"/>
      <c r="H227" s="795"/>
      <c r="I227" s="796"/>
      <c r="J227" s="200" t="b">
        <v>0</v>
      </c>
      <c r="K227" s="195" t="b">
        <v>0</v>
      </c>
      <c r="L227" s="17" t="str">
        <f t="shared" si="4"/>
        <v/>
      </c>
      <c r="M227" s="10"/>
      <c r="N227" s="10"/>
      <c r="O227" s="10"/>
      <c r="P227" s="10"/>
    </row>
    <row r="228" spans="3:16" hidden="1" outlineLevel="1">
      <c r="C228" s="190"/>
      <c r="D228" s="821" t="str">
        <f>IF(C228 = "", "",
IF(COUNTIF($C$180:C227, C228), "VALUE INCONSISTENCY",
IF(AND(COUNTIF('General Information'!$C$402:$C$501, C228),
       INDEX('General Information'!$D$402:$D$501, MATCH(C228, 'General Information'!$C$402:$C$501, 0)) = ""),
   "VALUE INCONSISTENCY",
IFERROR(VLOOKUP(C228, ListOfSitesTable, 5, FALSE), "") &amp; " " &amp;
IFERROR(VLOOKUP(C228, ListOfSitesTable, 4, FALSE), "") &amp; " " &amp;
IFERROR(VLOOKUP(C228, ListOfSitesTable, 2, FALSE), ""))))</f>
        <v/>
      </c>
      <c r="E228" s="822"/>
      <c r="F228" s="823"/>
      <c r="G228" s="794"/>
      <c r="H228" s="795"/>
      <c r="I228" s="796"/>
      <c r="J228" s="200" t="b">
        <v>0</v>
      </c>
      <c r="K228" s="195" t="b">
        <v>0</v>
      </c>
      <c r="L228" s="17" t="str">
        <f t="shared" si="4"/>
        <v/>
      </c>
      <c r="M228" s="10"/>
      <c r="N228" s="10"/>
      <c r="O228" s="10"/>
      <c r="P228" s="10"/>
    </row>
    <row r="229" spans="3:16" hidden="1" outlineLevel="1">
      <c r="C229" s="190"/>
      <c r="D229" s="821" t="str">
        <f>IF(C229 = "", "",
IF(COUNTIF($C$180:C228, C229), "VALUE INCONSISTENCY",
IF(AND(COUNTIF('General Information'!$C$402:$C$501, C229),
       INDEX('General Information'!$D$402:$D$501, MATCH(C229, 'General Information'!$C$402:$C$501, 0)) = ""),
   "VALUE INCONSISTENCY",
IFERROR(VLOOKUP(C229, ListOfSitesTable, 5, FALSE), "") &amp; " " &amp;
IFERROR(VLOOKUP(C229, ListOfSitesTable, 4, FALSE), "") &amp; " " &amp;
IFERROR(VLOOKUP(C229, ListOfSitesTable, 2, FALSE), ""))))</f>
        <v/>
      </c>
      <c r="E229" s="822"/>
      <c r="F229" s="823"/>
      <c r="G229" s="794"/>
      <c r="H229" s="795"/>
      <c r="I229" s="796"/>
      <c r="J229" s="200" t="b">
        <v>0</v>
      </c>
      <c r="K229" s="195" t="b">
        <v>0</v>
      </c>
      <c r="L229" s="17" t="str">
        <f t="shared" si="4"/>
        <v/>
      </c>
      <c r="M229" s="10"/>
      <c r="N229" s="10"/>
      <c r="O229" s="10"/>
      <c r="P229" s="10"/>
    </row>
    <row r="230" spans="3:16" hidden="1" outlineLevel="1">
      <c r="C230" s="190"/>
      <c r="D230" s="821" t="str">
        <f>IF(C230 = "", "",
IF(COUNTIF($C$180:C229, C230), "VALUE INCONSISTENCY",
IF(AND(COUNTIF('General Information'!$C$402:$C$501, C230),
       INDEX('General Information'!$D$402:$D$501, MATCH(C230, 'General Information'!$C$402:$C$501, 0)) = ""),
   "VALUE INCONSISTENCY",
IFERROR(VLOOKUP(C230, ListOfSitesTable, 5, FALSE), "") &amp; " " &amp;
IFERROR(VLOOKUP(C230, ListOfSitesTable, 4, FALSE), "") &amp; " " &amp;
IFERROR(VLOOKUP(C230, ListOfSitesTable, 2, FALSE), ""))))</f>
        <v/>
      </c>
      <c r="E230" s="822"/>
      <c r="F230" s="823"/>
      <c r="G230" s="794"/>
      <c r="H230" s="795"/>
      <c r="I230" s="796"/>
      <c r="J230" s="200" t="b">
        <v>0</v>
      </c>
      <c r="K230" s="195" t="b">
        <v>0</v>
      </c>
      <c r="L230" s="17" t="str">
        <f t="shared" si="4"/>
        <v/>
      </c>
      <c r="M230" s="10"/>
      <c r="N230" s="10"/>
      <c r="O230" s="10"/>
      <c r="P230" s="10"/>
    </row>
    <row r="231" spans="3:16" hidden="1" outlineLevel="1">
      <c r="C231" s="190"/>
      <c r="D231" s="821" t="str">
        <f>IF(C231 = "", "",
IF(COUNTIF($C$180:C230, C231), "VALUE INCONSISTENCY",
IF(AND(COUNTIF('General Information'!$C$402:$C$501, C231),
       INDEX('General Information'!$D$402:$D$501, MATCH(C231, 'General Information'!$C$402:$C$501, 0)) = ""),
   "VALUE INCONSISTENCY",
IFERROR(VLOOKUP(C231, ListOfSitesTable, 5, FALSE), "") &amp; " " &amp;
IFERROR(VLOOKUP(C231, ListOfSitesTable, 4, FALSE), "") &amp; " " &amp;
IFERROR(VLOOKUP(C231, ListOfSitesTable, 2, FALSE), ""))))</f>
        <v/>
      </c>
      <c r="E231" s="822"/>
      <c r="F231" s="823"/>
      <c r="G231" s="794"/>
      <c r="H231" s="795"/>
      <c r="I231" s="796"/>
      <c r="J231" s="200" t="b">
        <v>0</v>
      </c>
      <c r="K231" s="195" t="b">
        <v>0</v>
      </c>
      <c r="L231" s="17" t="str">
        <f t="shared" si="4"/>
        <v/>
      </c>
      <c r="M231" s="10"/>
      <c r="N231" s="10"/>
      <c r="O231" s="10"/>
      <c r="P231" s="10"/>
    </row>
    <row r="232" spans="3:16" hidden="1" outlineLevel="1">
      <c r="C232" s="190"/>
      <c r="D232" s="821" t="str">
        <f>IF(C232 = "", "",
IF(COUNTIF($C$180:C231, C232), "VALUE INCONSISTENCY",
IF(AND(COUNTIF('General Information'!$C$402:$C$501, C232),
       INDEX('General Information'!$D$402:$D$501, MATCH(C232, 'General Information'!$C$402:$C$501, 0)) = ""),
   "VALUE INCONSISTENCY",
IFERROR(VLOOKUP(C232, ListOfSitesTable, 5, FALSE), "") &amp; " " &amp;
IFERROR(VLOOKUP(C232, ListOfSitesTable, 4, FALSE), "") &amp; " " &amp;
IFERROR(VLOOKUP(C232, ListOfSitesTable, 2, FALSE), ""))))</f>
        <v/>
      </c>
      <c r="E232" s="822"/>
      <c r="F232" s="823"/>
      <c r="G232" s="794"/>
      <c r="H232" s="795"/>
      <c r="I232" s="796"/>
      <c r="J232" s="200" t="b">
        <v>0</v>
      </c>
      <c r="K232" s="195" t="b">
        <v>0</v>
      </c>
      <c r="L232" s="17" t="str">
        <f t="shared" si="4"/>
        <v/>
      </c>
      <c r="M232" s="10"/>
      <c r="N232" s="10"/>
      <c r="O232" s="10"/>
      <c r="P232" s="10"/>
    </row>
    <row r="233" spans="3:16" hidden="1" outlineLevel="1">
      <c r="C233" s="190"/>
      <c r="D233" s="821" t="str">
        <f>IF(C233 = "", "",
IF(COUNTIF($C$180:C232, C233), "VALUE INCONSISTENCY",
IF(AND(COUNTIF('General Information'!$C$402:$C$501, C233),
       INDEX('General Information'!$D$402:$D$501, MATCH(C233, 'General Information'!$C$402:$C$501, 0)) = ""),
   "VALUE INCONSISTENCY",
IFERROR(VLOOKUP(C233, ListOfSitesTable, 5, FALSE), "") &amp; " " &amp;
IFERROR(VLOOKUP(C233, ListOfSitesTable, 4, FALSE), "") &amp; " " &amp;
IFERROR(VLOOKUP(C233, ListOfSitesTable, 2, FALSE), ""))))</f>
        <v/>
      </c>
      <c r="E233" s="822"/>
      <c r="F233" s="823"/>
      <c r="G233" s="794"/>
      <c r="H233" s="795"/>
      <c r="I233" s="796"/>
      <c r="J233" s="200" t="b">
        <v>0</v>
      </c>
      <c r="K233" s="195" t="b">
        <v>0</v>
      </c>
      <c r="L233" s="17" t="str">
        <f t="shared" si="4"/>
        <v/>
      </c>
      <c r="M233" s="10"/>
      <c r="N233" s="10"/>
      <c r="O233" s="10"/>
      <c r="P233" s="10"/>
    </row>
    <row r="234" spans="3:16" hidden="1" outlineLevel="1">
      <c r="C234" s="190"/>
      <c r="D234" s="821" t="str">
        <f>IF(C234 = "", "",
IF(COUNTIF($C$180:C233, C234), "VALUE INCONSISTENCY",
IF(AND(COUNTIF('General Information'!$C$402:$C$501, C234),
       INDEX('General Information'!$D$402:$D$501, MATCH(C234, 'General Information'!$C$402:$C$501, 0)) = ""),
   "VALUE INCONSISTENCY",
IFERROR(VLOOKUP(C234, ListOfSitesTable, 5, FALSE), "") &amp; " " &amp;
IFERROR(VLOOKUP(C234, ListOfSitesTable, 4, FALSE), "") &amp; " " &amp;
IFERROR(VLOOKUP(C234, ListOfSitesTable, 2, FALSE), ""))))</f>
        <v/>
      </c>
      <c r="E234" s="822"/>
      <c r="F234" s="823"/>
      <c r="G234" s="794"/>
      <c r="H234" s="795"/>
      <c r="I234" s="796"/>
      <c r="J234" s="200" t="b">
        <v>0</v>
      </c>
      <c r="K234" s="195" t="b">
        <v>0</v>
      </c>
      <c r="L234" s="17" t="str">
        <f t="shared" si="4"/>
        <v/>
      </c>
      <c r="M234" s="10"/>
      <c r="N234" s="10"/>
      <c r="O234" s="10"/>
      <c r="P234" s="10"/>
    </row>
    <row r="235" spans="3:16" hidden="1" outlineLevel="1">
      <c r="C235" s="190"/>
      <c r="D235" s="821" t="str">
        <f>IF(C235 = "", "",
IF(COUNTIF($C$180:C234, C235), "VALUE INCONSISTENCY",
IF(AND(COUNTIF('General Information'!$C$402:$C$501, C235),
       INDEX('General Information'!$D$402:$D$501, MATCH(C235, 'General Information'!$C$402:$C$501, 0)) = ""),
   "VALUE INCONSISTENCY",
IFERROR(VLOOKUP(C235, ListOfSitesTable, 5, FALSE), "") &amp; " " &amp;
IFERROR(VLOOKUP(C235, ListOfSitesTable, 4, FALSE), "") &amp; " " &amp;
IFERROR(VLOOKUP(C235, ListOfSitesTable, 2, FALSE), ""))))</f>
        <v/>
      </c>
      <c r="E235" s="822"/>
      <c r="F235" s="823"/>
      <c r="G235" s="794"/>
      <c r="H235" s="795"/>
      <c r="I235" s="796"/>
      <c r="J235" s="200" t="b">
        <v>0</v>
      </c>
      <c r="K235" s="195" t="b">
        <v>0</v>
      </c>
      <c r="L235" s="17" t="str">
        <f t="shared" si="4"/>
        <v/>
      </c>
      <c r="M235" s="10"/>
      <c r="N235" s="10"/>
      <c r="O235" s="10"/>
      <c r="P235" s="10"/>
    </row>
    <row r="236" spans="3:16" hidden="1" outlineLevel="1">
      <c r="C236" s="190"/>
      <c r="D236" s="821" t="str">
        <f>IF(C236 = "", "",
IF(COUNTIF($C$180:C235, C236), "VALUE INCONSISTENCY",
IF(AND(COUNTIF('General Information'!$C$402:$C$501, C236),
       INDEX('General Information'!$D$402:$D$501, MATCH(C236, 'General Information'!$C$402:$C$501, 0)) = ""),
   "VALUE INCONSISTENCY",
IFERROR(VLOOKUP(C236, ListOfSitesTable, 5, FALSE), "") &amp; " " &amp;
IFERROR(VLOOKUP(C236, ListOfSitesTable, 4, FALSE), "") &amp; " " &amp;
IFERROR(VLOOKUP(C236, ListOfSitesTable, 2, FALSE), ""))))</f>
        <v/>
      </c>
      <c r="E236" s="822"/>
      <c r="F236" s="823"/>
      <c r="G236" s="794"/>
      <c r="H236" s="795"/>
      <c r="I236" s="796"/>
      <c r="J236" s="200" t="b">
        <v>0</v>
      </c>
      <c r="K236" s="195" t="b">
        <v>0</v>
      </c>
      <c r="L236" s="17" t="str">
        <f t="shared" si="4"/>
        <v/>
      </c>
      <c r="M236" s="10"/>
      <c r="N236" s="10"/>
      <c r="O236" s="10"/>
      <c r="P236" s="10"/>
    </row>
    <row r="237" spans="3:16" hidden="1" outlineLevel="1">
      <c r="C237" s="190"/>
      <c r="D237" s="821" t="str">
        <f>IF(C237 = "", "",
IF(COUNTIF($C$180:C236, C237), "VALUE INCONSISTENCY",
IF(AND(COUNTIF('General Information'!$C$402:$C$501, C237),
       INDEX('General Information'!$D$402:$D$501, MATCH(C237, 'General Information'!$C$402:$C$501, 0)) = ""),
   "VALUE INCONSISTENCY",
IFERROR(VLOOKUP(C237, ListOfSitesTable, 5, FALSE), "") &amp; " " &amp;
IFERROR(VLOOKUP(C237, ListOfSitesTable, 4, FALSE), "") &amp; " " &amp;
IFERROR(VLOOKUP(C237, ListOfSitesTable, 2, FALSE), ""))))</f>
        <v/>
      </c>
      <c r="E237" s="822"/>
      <c r="F237" s="823"/>
      <c r="G237" s="794"/>
      <c r="H237" s="795"/>
      <c r="I237" s="796"/>
      <c r="J237" s="200" t="b">
        <v>0</v>
      </c>
      <c r="K237" s="195" t="b">
        <v>0</v>
      </c>
      <c r="L237" s="17" t="str">
        <f t="shared" si="4"/>
        <v/>
      </c>
      <c r="M237" s="10"/>
      <c r="N237" s="10"/>
      <c r="O237" s="10"/>
      <c r="P237" s="10"/>
    </row>
    <row r="238" spans="3:16" hidden="1" outlineLevel="1">
      <c r="C238" s="190"/>
      <c r="D238" s="821" t="str">
        <f>IF(C238 = "", "",
IF(COUNTIF($C$180:C237, C238), "VALUE INCONSISTENCY",
IF(AND(COUNTIF('General Information'!$C$402:$C$501, C238),
       INDEX('General Information'!$D$402:$D$501, MATCH(C238, 'General Information'!$C$402:$C$501, 0)) = ""),
   "VALUE INCONSISTENCY",
IFERROR(VLOOKUP(C238, ListOfSitesTable, 5, FALSE), "") &amp; " " &amp;
IFERROR(VLOOKUP(C238, ListOfSitesTable, 4, FALSE), "") &amp; " " &amp;
IFERROR(VLOOKUP(C238, ListOfSitesTable, 2, FALSE), ""))))</f>
        <v/>
      </c>
      <c r="E238" s="822"/>
      <c r="F238" s="823"/>
      <c r="G238" s="794"/>
      <c r="H238" s="795"/>
      <c r="I238" s="796"/>
      <c r="J238" s="200" t="b">
        <v>0</v>
      </c>
      <c r="K238" s="195" t="b">
        <v>0</v>
      </c>
      <c r="L238" s="17" t="str">
        <f t="shared" si="4"/>
        <v/>
      </c>
      <c r="M238" s="10"/>
      <c r="N238" s="10"/>
      <c r="O238" s="10"/>
      <c r="P238" s="10"/>
    </row>
    <row r="239" spans="3:16" hidden="1" outlineLevel="1">
      <c r="C239" s="190"/>
      <c r="D239" s="821" t="str">
        <f>IF(C239 = "", "",
IF(COUNTIF($C$180:C238, C239), "VALUE INCONSISTENCY",
IF(AND(COUNTIF('General Information'!$C$402:$C$501, C239),
       INDEX('General Information'!$D$402:$D$501, MATCH(C239, 'General Information'!$C$402:$C$501, 0)) = ""),
   "VALUE INCONSISTENCY",
IFERROR(VLOOKUP(C239, ListOfSitesTable, 5, FALSE), "") &amp; " " &amp;
IFERROR(VLOOKUP(C239, ListOfSitesTable, 4, FALSE), "") &amp; " " &amp;
IFERROR(VLOOKUP(C239, ListOfSitesTable, 2, FALSE), ""))))</f>
        <v/>
      </c>
      <c r="E239" s="822"/>
      <c r="F239" s="823"/>
      <c r="G239" s="794"/>
      <c r="H239" s="795"/>
      <c r="I239" s="796"/>
      <c r="J239" s="200" t="b">
        <v>0</v>
      </c>
      <c r="K239" s="195" t="b">
        <v>0</v>
      </c>
      <c r="L239" s="17" t="str">
        <f t="shared" si="4"/>
        <v/>
      </c>
      <c r="M239" s="10"/>
      <c r="N239" s="10"/>
      <c r="O239" s="10"/>
      <c r="P239" s="10"/>
    </row>
    <row r="240" spans="3:16" hidden="1" outlineLevel="1">
      <c r="C240" s="190"/>
      <c r="D240" s="821" t="str">
        <f>IF(C240 = "", "",
IF(COUNTIF($C$180:C239, C240), "VALUE INCONSISTENCY",
IF(AND(COUNTIF('General Information'!$C$402:$C$501, C240),
       INDEX('General Information'!$D$402:$D$501, MATCH(C240, 'General Information'!$C$402:$C$501, 0)) = ""),
   "VALUE INCONSISTENCY",
IFERROR(VLOOKUP(C240, ListOfSitesTable, 5, FALSE), "") &amp; " " &amp;
IFERROR(VLOOKUP(C240, ListOfSitesTable, 4, FALSE), "") &amp; " " &amp;
IFERROR(VLOOKUP(C240, ListOfSitesTable, 2, FALSE), ""))))</f>
        <v/>
      </c>
      <c r="E240" s="822"/>
      <c r="F240" s="823"/>
      <c r="G240" s="794"/>
      <c r="H240" s="795"/>
      <c r="I240" s="796"/>
      <c r="J240" s="200" t="b">
        <v>0</v>
      </c>
      <c r="K240" s="195" t="b">
        <v>0</v>
      </c>
      <c r="L240" s="17" t="str">
        <f t="shared" si="4"/>
        <v/>
      </c>
      <c r="M240" s="10"/>
      <c r="N240" s="10"/>
      <c r="O240" s="10"/>
      <c r="P240" s="10"/>
    </row>
    <row r="241" spans="3:16" hidden="1" outlineLevel="1">
      <c r="C241" s="190"/>
      <c r="D241" s="821" t="str">
        <f>IF(C241 = "", "",
IF(COUNTIF($C$180:C240, C241), "VALUE INCONSISTENCY",
IF(AND(COUNTIF('General Information'!$C$402:$C$501, C241),
       INDEX('General Information'!$D$402:$D$501, MATCH(C241, 'General Information'!$C$402:$C$501, 0)) = ""),
   "VALUE INCONSISTENCY",
IFERROR(VLOOKUP(C241, ListOfSitesTable, 5, FALSE), "") &amp; " " &amp;
IFERROR(VLOOKUP(C241, ListOfSitesTable, 4, FALSE), "") &amp; " " &amp;
IFERROR(VLOOKUP(C241, ListOfSitesTable, 2, FALSE), ""))))</f>
        <v/>
      </c>
      <c r="E241" s="822"/>
      <c r="F241" s="823"/>
      <c r="G241" s="794"/>
      <c r="H241" s="795"/>
      <c r="I241" s="796"/>
      <c r="J241" s="200" t="b">
        <v>0</v>
      </c>
      <c r="K241" s="195" t="b">
        <v>0</v>
      </c>
      <c r="L241" s="17" t="str">
        <f t="shared" si="4"/>
        <v/>
      </c>
      <c r="M241" s="10"/>
      <c r="N241" s="10"/>
      <c r="O241" s="10"/>
      <c r="P241" s="10"/>
    </row>
    <row r="242" spans="3:16" hidden="1" outlineLevel="1">
      <c r="C242" s="190"/>
      <c r="D242" s="821" t="str">
        <f>IF(C242 = "", "",
IF(COUNTIF($C$180:C241, C242), "VALUE INCONSISTENCY",
IF(AND(COUNTIF('General Information'!$C$402:$C$501, C242),
       INDEX('General Information'!$D$402:$D$501, MATCH(C242, 'General Information'!$C$402:$C$501, 0)) = ""),
   "VALUE INCONSISTENCY",
IFERROR(VLOOKUP(C242, ListOfSitesTable, 5, FALSE), "") &amp; " " &amp;
IFERROR(VLOOKUP(C242, ListOfSitesTable, 4, FALSE), "") &amp; " " &amp;
IFERROR(VLOOKUP(C242, ListOfSitesTable, 2, FALSE), ""))))</f>
        <v/>
      </c>
      <c r="E242" s="822"/>
      <c r="F242" s="823"/>
      <c r="G242" s="794"/>
      <c r="H242" s="795"/>
      <c r="I242" s="796"/>
      <c r="J242" s="200" t="b">
        <v>0</v>
      </c>
      <c r="K242" s="195" t="b">
        <v>0</v>
      </c>
      <c r="L242" s="17" t="str">
        <f t="shared" si="4"/>
        <v/>
      </c>
      <c r="M242" s="10"/>
      <c r="N242" s="10"/>
      <c r="O242" s="10"/>
      <c r="P242" s="10"/>
    </row>
    <row r="243" spans="3:16" hidden="1" outlineLevel="1">
      <c r="C243" s="190"/>
      <c r="D243" s="821" t="str">
        <f>IF(C243 = "", "",
IF(COUNTIF($C$180:C242, C243), "VALUE INCONSISTENCY",
IF(AND(COUNTIF('General Information'!$C$402:$C$501, C243),
       INDEX('General Information'!$D$402:$D$501, MATCH(C243, 'General Information'!$C$402:$C$501, 0)) = ""),
   "VALUE INCONSISTENCY",
IFERROR(VLOOKUP(C243, ListOfSitesTable, 5, FALSE), "") &amp; " " &amp;
IFERROR(VLOOKUP(C243, ListOfSitesTable, 4, FALSE), "") &amp; " " &amp;
IFERROR(VLOOKUP(C243, ListOfSitesTable, 2, FALSE), ""))))</f>
        <v/>
      </c>
      <c r="E243" s="822"/>
      <c r="F243" s="823"/>
      <c r="G243" s="794"/>
      <c r="H243" s="795"/>
      <c r="I243" s="796"/>
      <c r="J243" s="200" t="b">
        <v>0</v>
      </c>
      <c r="K243" s="195" t="b">
        <v>0</v>
      </c>
      <c r="L243" s="17" t="str">
        <f t="shared" si="4"/>
        <v/>
      </c>
      <c r="M243" s="10"/>
      <c r="N243" s="10"/>
      <c r="O243" s="10"/>
      <c r="P243" s="10"/>
    </row>
    <row r="244" spans="3:16" hidden="1" outlineLevel="1">
      <c r="C244" s="190"/>
      <c r="D244" s="821" t="str">
        <f>IF(C244 = "", "",
IF(COUNTIF($C$180:C243, C244), "VALUE INCONSISTENCY",
IF(AND(COUNTIF('General Information'!$C$402:$C$501, C244),
       INDEX('General Information'!$D$402:$D$501, MATCH(C244, 'General Information'!$C$402:$C$501, 0)) = ""),
   "VALUE INCONSISTENCY",
IFERROR(VLOOKUP(C244, ListOfSitesTable, 5, FALSE), "") &amp; " " &amp;
IFERROR(VLOOKUP(C244, ListOfSitesTable, 4, FALSE), "") &amp; " " &amp;
IFERROR(VLOOKUP(C244, ListOfSitesTable, 2, FALSE), ""))))</f>
        <v/>
      </c>
      <c r="E244" s="822"/>
      <c r="F244" s="823"/>
      <c r="G244" s="794"/>
      <c r="H244" s="795"/>
      <c r="I244" s="796"/>
      <c r="J244" s="200" t="b">
        <v>0</v>
      </c>
      <c r="K244" s="195" t="b">
        <v>0</v>
      </c>
      <c r="L244" s="17" t="str">
        <f t="shared" si="4"/>
        <v/>
      </c>
      <c r="M244" s="10"/>
      <c r="N244" s="10"/>
      <c r="O244" s="10"/>
      <c r="P244" s="10"/>
    </row>
    <row r="245" spans="3:16" hidden="1" outlineLevel="1">
      <c r="C245" s="190"/>
      <c r="D245" s="821" t="str">
        <f>IF(C245 = "", "",
IF(COUNTIF($C$180:C244, C245), "VALUE INCONSISTENCY",
IF(AND(COUNTIF('General Information'!$C$402:$C$501, C245),
       INDEX('General Information'!$D$402:$D$501, MATCH(C245, 'General Information'!$C$402:$C$501, 0)) = ""),
   "VALUE INCONSISTENCY",
IFERROR(VLOOKUP(C245, ListOfSitesTable, 5, FALSE), "") &amp; " " &amp;
IFERROR(VLOOKUP(C245, ListOfSitesTable, 4, FALSE), "") &amp; " " &amp;
IFERROR(VLOOKUP(C245, ListOfSitesTable, 2, FALSE), ""))))</f>
        <v/>
      </c>
      <c r="E245" s="822"/>
      <c r="F245" s="823"/>
      <c r="G245" s="794"/>
      <c r="H245" s="795"/>
      <c r="I245" s="796"/>
      <c r="J245" s="200" t="b">
        <v>0</v>
      </c>
      <c r="K245" s="195" t="b">
        <v>0</v>
      </c>
      <c r="L245" s="17" t="str">
        <f t="shared" si="4"/>
        <v/>
      </c>
      <c r="M245" s="10"/>
      <c r="N245" s="10"/>
      <c r="O245" s="10"/>
      <c r="P245" s="10"/>
    </row>
    <row r="246" spans="3:16" hidden="1" outlineLevel="1">
      <c r="C246" s="190"/>
      <c r="D246" s="821" t="str">
        <f>IF(C246 = "", "",
IF(COUNTIF($C$180:C245, C246), "VALUE INCONSISTENCY",
IF(AND(COUNTIF('General Information'!$C$402:$C$501, C246),
       INDEX('General Information'!$D$402:$D$501, MATCH(C246, 'General Information'!$C$402:$C$501, 0)) = ""),
   "VALUE INCONSISTENCY",
IFERROR(VLOOKUP(C246, ListOfSitesTable, 5, FALSE), "") &amp; " " &amp;
IFERROR(VLOOKUP(C246, ListOfSitesTable, 4, FALSE), "") &amp; " " &amp;
IFERROR(VLOOKUP(C246, ListOfSitesTable, 2, FALSE), ""))))</f>
        <v/>
      </c>
      <c r="E246" s="822"/>
      <c r="F246" s="823"/>
      <c r="G246" s="794"/>
      <c r="H246" s="795"/>
      <c r="I246" s="796"/>
      <c r="J246" s="200" t="b">
        <v>0</v>
      </c>
      <c r="K246" s="195" t="b">
        <v>0</v>
      </c>
      <c r="L246" s="17" t="str">
        <f t="shared" si="4"/>
        <v/>
      </c>
      <c r="M246" s="10"/>
      <c r="N246" s="10"/>
      <c r="O246" s="10"/>
      <c r="P246" s="10"/>
    </row>
    <row r="247" spans="3:16" hidden="1" outlineLevel="1">
      <c r="C247" s="190"/>
      <c r="D247" s="821" t="str">
        <f>IF(C247 = "", "",
IF(COUNTIF($C$180:C246, C247), "VALUE INCONSISTENCY",
IF(AND(COUNTIF('General Information'!$C$402:$C$501, C247),
       INDEX('General Information'!$D$402:$D$501, MATCH(C247, 'General Information'!$C$402:$C$501, 0)) = ""),
   "VALUE INCONSISTENCY",
IFERROR(VLOOKUP(C247, ListOfSitesTable, 5, FALSE), "") &amp; " " &amp;
IFERROR(VLOOKUP(C247, ListOfSitesTable, 4, FALSE), "") &amp; " " &amp;
IFERROR(VLOOKUP(C247, ListOfSitesTable, 2, FALSE), ""))))</f>
        <v/>
      </c>
      <c r="E247" s="822"/>
      <c r="F247" s="823"/>
      <c r="G247" s="794"/>
      <c r="H247" s="795"/>
      <c r="I247" s="796"/>
      <c r="J247" s="200" t="b">
        <v>0</v>
      </c>
      <c r="K247" s="195" t="b">
        <v>0</v>
      </c>
      <c r="L247" s="17" t="str">
        <f t="shared" si="4"/>
        <v/>
      </c>
      <c r="M247" s="10"/>
      <c r="N247" s="10"/>
      <c r="O247" s="10"/>
      <c r="P247" s="10"/>
    </row>
    <row r="248" spans="3:16" hidden="1" outlineLevel="1">
      <c r="C248" s="190"/>
      <c r="D248" s="821" t="str">
        <f>IF(C248 = "", "",
IF(COUNTIF($C$180:C247, C248), "VALUE INCONSISTENCY",
IF(AND(COUNTIF('General Information'!$C$402:$C$501, C248),
       INDEX('General Information'!$D$402:$D$501, MATCH(C248, 'General Information'!$C$402:$C$501, 0)) = ""),
   "VALUE INCONSISTENCY",
IFERROR(VLOOKUP(C248, ListOfSitesTable, 5, FALSE), "") &amp; " " &amp;
IFERROR(VLOOKUP(C248, ListOfSitesTable, 4, FALSE), "") &amp; " " &amp;
IFERROR(VLOOKUP(C248, ListOfSitesTable, 2, FALSE), ""))))</f>
        <v/>
      </c>
      <c r="E248" s="822"/>
      <c r="F248" s="823"/>
      <c r="G248" s="794"/>
      <c r="H248" s="795"/>
      <c r="I248" s="796"/>
      <c r="J248" s="200" t="b">
        <v>0</v>
      </c>
      <c r="K248" s="195" t="b">
        <v>0</v>
      </c>
      <c r="L248" s="17" t="str">
        <f t="shared" si="4"/>
        <v/>
      </c>
      <c r="M248" s="10"/>
      <c r="N248" s="10"/>
      <c r="O248" s="10"/>
      <c r="P248" s="10"/>
    </row>
    <row r="249" spans="3:16" hidden="1" outlineLevel="1">
      <c r="C249" s="190"/>
      <c r="D249" s="821" t="str">
        <f>IF(C249 = "", "",
IF(COUNTIF($C$180:C248, C249), "VALUE INCONSISTENCY",
IF(AND(COUNTIF('General Information'!$C$402:$C$501, C249),
       INDEX('General Information'!$D$402:$D$501, MATCH(C249, 'General Information'!$C$402:$C$501, 0)) = ""),
   "VALUE INCONSISTENCY",
IFERROR(VLOOKUP(C249, ListOfSitesTable, 5, FALSE), "") &amp; " " &amp;
IFERROR(VLOOKUP(C249, ListOfSitesTable, 4, FALSE), "") &amp; " " &amp;
IFERROR(VLOOKUP(C249, ListOfSitesTable, 2, FALSE), ""))))</f>
        <v/>
      </c>
      <c r="E249" s="822"/>
      <c r="F249" s="823"/>
      <c r="G249" s="794"/>
      <c r="H249" s="795"/>
      <c r="I249" s="796"/>
      <c r="J249" s="200" t="b">
        <v>0</v>
      </c>
      <c r="K249" s="195" t="b">
        <v>0</v>
      </c>
      <c r="L249" s="17" t="str">
        <f t="shared" si="4"/>
        <v/>
      </c>
      <c r="M249" s="10"/>
      <c r="N249" s="10"/>
      <c r="O249" s="10"/>
      <c r="P249" s="10"/>
    </row>
    <row r="250" spans="3:16" hidden="1" outlineLevel="1">
      <c r="C250" s="190"/>
      <c r="D250" s="821" t="str">
        <f>IF(C250 = "", "",
IF(COUNTIF($C$180:C249, C250), "VALUE INCONSISTENCY",
IF(AND(COUNTIF('General Information'!$C$402:$C$501, C250),
       INDEX('General Information'!$D$402:$D$501, MATCH(C250, 'General Information'!$C$402:$C$501, 0)) = ""),
   "VALUE INCONSISTENCY",
IFERROR(VLOOKUP(C250, ListOfSitesTable, 5, FALSE), "") &amp; " " &amp;
IFERROR(VLOOKUP(C250, ListOfSitesTable, 4, FALSE), "") &amp; " " &amp;
IFERROR(VLOOKUP(C250, ListOfSitesTable, 2, FALSE), ""))))</f>
        <v/>
      </c>
      <c r="E250" s="822"/>
      <c r="F250" s="823"/>
      <c r="G250" s="794"/>
      <c r="H250" s="795"/>
      <c r="I250" s="796"/>
      <c r="J250" s="200" t="b">
        <v>0</v>
      </c>
      <c r="K250" s="195" t="b">
        <v>0</v>
      </c>
      <c r="L250" s="17" t="str">
        <f t="shared" si="4"/>
        <v/>
      </c>
      <c r="M250" s="10"/>
      <c r="N250" s="10"/>
      <c r="O250" s="10"/>
      <c r="P250" s="10"/>
    </row>
    <row r="251" spans="3:16" hidden="1" outlineLevel="1">
      <c r="C251" s="190"/>
      <c r="D251" s="821" t="str">
        <f>IF(C251 = "", "",
IF(COUNTIF($C$180:C250, C251), "VALUE INCONSISTENCY",
IF(AND(COUNTIF('General Information'!$C$402:$C$501, C251),
       INDEX('General Information'!$D$402:$D$501, MATCH(C251, 'General Information'!$C$402:$C$501, 0)) = ""),
   "VALUE INCONSISTENCY",
IFERROR(VLOOKUP(C251, ListOfSitesTable, 5, FALSE), "") &amp; " " &amp;
IFERROR(VLOOKUP(C251, ListOfSitesTable, 4, FALSE), "") &amp; " " &amp;
IFERROR(VLOOKUP(C251, ListOfSitesTable, 2, FALSE), ""))))</f>
        <v/>
      </c>
      <c r="E251" s="822"/>
      <c r="F251" s="823"/>
      <c r="G251" s="794"/>
      <c r="H251" s="795"/>
      <c r="I251" s="796"/>
      <c r="J251" s="200" t="b">
        <v>0</v>
      </c>
      <c r="K251" s="195" t="b">
        <v>0</v>
      </c>
      <c r="L251" s="17" t="str">
        <f t="shared" si="4"/>
        <v/>
      </c>
      <c r="M251" s="10"/>
      <c r="N251" s="10"/>
      <c r="O251" s="10"/>
      <c r="P251" s="10"/>
    </row>
    <row r="252" spans="3:16" hidden="1" outlineLevel="1">
      <c r="C252" s="190"/>
      <c r="D252" s="821" t="str">
        <f>IF(C252 = "", "",
IF(COUNTIF($C$180:C251, C252), "VALUE INCONSISTENCY",
IF(AND(COUNTIF('General Information'!$C$402:$C$501, C252),
       INDEX('General Information'!$D$402:$D$501, MATCH(C252, 'General Information'!$C$402:$C$501, 0)) = ""),
   "VALUE INCONSISTENCY",
IFERROR(VLOOKUP(C252, ListOfSitesTable, 5, FALSE), "") &amp; " " &amp;
IFERROR(VLOOKUP(C252, ListOfSitesTable, 4, FALSE), "") &amp; " " &amp;
IFERROR(VLOOKUP(C252, ListOfSitesTable, 2, FALSE), ""))))</f>
        <v/>
      </c>
      <c r="E252" s="822"/>
      <c r="F252" s="823"/>
      <c r="G252" s="794"/>
      <c r="H252" s="795"/>
      <c r="I252" s="796"/>
      <c r="J252" s="200" t="b">
        <v>0</v>
      </c>
      <c r="K252" s="195" t="b">
        <v>0</v>
      </c>
      <c r="L252" s="17" t="str">
        <f t="shared" si="4"/>
        <v/>
      </c>
      <c r="M252" s="10"/>
      <c r="N252" s="10"/>
      <c r="O252" s="10"/>
      <c r="P252" s="10"/>
    </row>
    <row r="253" spans="3:16" hidden="1" outlineLevel="1">
      <c r="C253" s="190"/>
      <c r="D253" s="821" t="str">
        <f>IF(C253 = "", "",
IF(COUNTIF($C$180:C252, C253), "VALUE INCONSISTENCY",
IF(AND(COUNTIF('General Information'!$C$402:$C$501, C253),
       INDEX('General Information'!$D$402:$D$501, MATCH(C253, 'General Information'!$C$402:$C$501, 0)) = ""),
   "VALUE INCONSISTENCY",
IFERROR(VLOOKUP(C253, ListOfSitesTable, 5, FALSE), "") &amp; " " &amp;
IFERROR(VLOOKUP(C253, ListOfSitesTable, 4, FALSE), "") &amp; " " &amp;
IFERROR(VLOOKUP(C253, ListOfSitesTable, 2, FALSE), ""))))</f>
        <v/>
      </c>
      <c r="E253" s="822"/>
      <c r="F253" s="823"/>
      <c r="G253" s="794"/>
      <c r="H253" s="795"/>
      <c r="I253" s="796"/>
      <c r="J253" s="200" t="b">
        <v>0</v>
      </c>
      <c r="K253" s="195" t="b">
        <v>0</v>
      </c>
      <c r="L253" s="17" t="str">
        <f t="shared" si="4"/>
        <v/>
      </c>
      <c r="M253" s="10"/>
      <c r="N253" s="10"/>
      <c r="O253" s="10"/>
      <c r="P253" s="10"/>
    </row>
    <row r="254" spans="3:16" hidden="1" outlineLevel="1">
      <c r="C254" s="190"/>
      <c r="D254" s="821" t="str">
        <f>IF(C254 = "", "",
IF(COUNTIF($C$180:C253, C254), "VALUE INCONSISTENCY",
IF(AND(COUNTIF('General Information'!$C$402:$C$501, C254),
       INDEX('General Information'!$D$402:$D$501, MATCH(C254, 'General Information'!$C$402:$C$501, 0)) = ""),
   "VALUE INCONSISTENCY",
IFERROR(VLOOKUP(C254, ListOfSitesTable, 5, FALSE), "") &amp; " " &amp;
IFERROR(VLOOKUP(C254, ListOfSitesTable, 4, FALSE), "") &amp; " " &amp;
IFERROR(VLOOKUP(C254, ListOfSitesTable, 2, FALSE), ""))))</f>
        <v/>
      </c>
      <c r="E254" s="822"/>
      <c r="F254" s="823"/>
      <c r="G254" s="794"/>
      <c r="H254" s="795"/>
      <c r="I254" s="796"/>
      <c r="J254" s="200" t="b">
        <v>0</v>
      </c>
      <c r="K254" s="195" t="b">
        <v>0</v>
      </c>
      <c r="L254" s="17" t="str">
        <f t="shared" si="4"/>
        <v/>
      </c>
      <c r="M254" s="10"/>
      <c r="N254" s="10"/>
      <c r="O254" s="10"/>
      <c r="P254" s="10"/>
    </row>
    <row r="255" spans="3:16" hidden="1" outlineLevel="1">
      <c r="C255" s="190"/>
      <c r="D255" s="821" t="str">
        <f>IF(C255 = "", "",
IF(COUNTIF($C$180:C254, C255), "VALUE INCONSISTENCY",
IF(AND(COUNTIF('General Information'!$C$402:$C$501, C255),
       INDEX('General Information'!$D$402:$D$501, MATCH(C255, 'General Information'!$C$402:$C$501, 0)) = ""),
   "VALUE INCONSISTENCY",
IFERROR(VLOOKUP(C255, ListOfSitesTable, 5, FALSE), "") &amp; " " &amp;
IFERROR(VLOOKUP(C255, ListOfSitesTable, 4, FALSE), "") &amp; " " &amp;
IFERROR(VLOOKUP(C255, ListOfSitesTable, 2, FALSE), ""))))</f>
        <v/>
      </c>
      <c r="E255" s="822"/>
      <c r="F255" s="823"/>
      <c r="G255" s="794"/>
      <c r="H255" s="795"/>
      <c r="I255" s="796"/>
      <c r="J255" s="200" t="b">
        <v>0</v>
      </c>
      <c r="K255" s="195" t="b">
        <v>0</v>
      </c>
      <c r="L255" s="17" t="str">
        <f t="shared" si="4"/>
        <v/>
      </c>
      <c r="M255" s="10"/>
      <c r="N255" s="10"/>
      <c r="O255" s="10"/>
      <c r="P255" s="10"/>
    </row>
    <row r="256" spans="3:16" hidden="1" outlineLevel="1">
      <c r="C256" s="190"/>
      <c r="D256" s="821" t="str">
        <f>IF(C256 = "", "",
IF(COUNTIF($C$180:C255, C256), "VALUE INCONSISTENCY",
IF(AND(COUNTIF('General Information'!$C$402:$C$501, C256),
       INDEX('General Information'!$D$402:$D$501, MATCH(C256, 'General Information'!$C$402:$C$501, 0)) = ""),
   "VALUE INCONSISTENCY",
IFERROR(VLOOKUP(C256, ListOfSitesTable, 5, FALSE), "") &amp; " " &amp;
IFERROR(VLOOKUP(C256, ListOfSitesTable, 4, FALSE), "") &amp; " " &amp;
IFERROR(VLOOKUP(C256, ListOfSitesTable, 2, FALSE), ""))))</f>
        <v/>
      </c>
      <c r="E256" s="822"/>
      <c r="F256" s="823"/>
      <c r="G256" s="794"/>
      <c r="H256" s="795"/>
      <c r="I256" s="796"/>
      <c r="J256" s="200" t="b">
        <v>0</v>
      </c>
      <c r="K256" s="195" t="b">
        <v>0</v>
      </c>
      <c r="L256" s="17" t="str">
        <f t="shared" si="4"/>
        <v/>
      </c>
      <c r="M256" s="10"/>
      <c r="N256" s="10"/>
      <c r="O256" s="10"/>
      <c r="P256" s="10"/>
    </row>
    <row r="257" spans="3:16" hidden="1" outlineLevel="1">
      <c r="C257" s="190"/>
      <c r="D257" s="821" t="str">
        <f>IF(C257 = "", "",
IF(COUNTIF($C$180:C256, C257), "VALUE INCONSISTENCY",
IF(AND(COUNTIF('General Information'!$C$402:$C$501, C257),
       INDEX('General Information'!$D$402:$D$501, MATCH(C257, 'General Information'!$C$402:$C$501, 0)) = ""),
   "VALUE INCONSISTENCY",
IFERROR(VLOOKUP(C257, ListOfSitesTable, 5, FALSE), "") &amp; " " &amp;
IFERROR(VLOOKUP(C257, ListOfSitesTable, 4, FALSE), "") &amp; " " &amp;
IFERROR(VLOOKUP(C257, ListOfSitesTable, 2, FALSE), ""))))</f>
        <v/>
      </c>
      <c r="E257" s="822"/>
      <c r="F257" s="823"/>
      <c r="G257" s="794"/>
      <c r="H257" s="795"/>
      <c r="I257" s="796"/>
      <c r="J257" s="200" t="b">
        <v>0</v>
      </c>
      <c r="K257" s="195" t="b">
        <v>0</v>
      </c>
      <c r="L257" s="17" t="str">
        <f t="shared" si="4"/>
        <v/>
      </c>
      <c r="M257" s="10"/>
      <c r="N257" s="10"/>
      <c r="O257" s="10"/>
      <c r="P257" s="10"/>
    </row>
    <row r="258" spans="3:16" hidden="1" outlineLevel="1">
      <c r="C258" s="190"/>
      <c r="D258" s="821" t="str">
        <f>IF(C258 = "", "",
IF(COUNTIF($C$180:C257, C258), "VALUE INCONSISTENCY",
IF(AND(COUNTIF('General Information'!$C$402:$C$501, C258),
       INDEX('General Information'!$D$402:$D$501, MATCH(C258, 'General Information'!$C$402:$C$501, 0)) = ""),
   "VALUE INCONSISTENCY",
IFERROR(VLOOKUP(C258, ListOfSitesTable, 5, FALSE), "") &amp; " " &amp;
IFERROR(VLOOKUP(C258, ListOfSitesTable, 4, FALSE), "") &amp; " " &amp;
IFERROR(VLOOKUP(C258, ListOfSitesTable, 2, FALSE), ""))))</f>
        <v/>
      </c>
      <c r="E258" s="822"/>
      <c r="F258" s="823"/>
      <c r="G258" s="794"/>
      <c r="H258" s="795"/>
      <c r="I258" s="796"/>
      <c r="J258" s="200" t="b">
        <v>0</v>
      </c>
      <c r="K258" s="195" t="b">
        <v>0</v>
      </c>
      <c r="L258" s="17" t="str">
        <f t="shared" si="4"/>
        <v/>
      </c>
      <c r="M258" s="10"/>
      <c r="N258" s="10"/>
      <c r="O258" s="10"/>
      <c r="P258" s="10"/>
    </row>
    <row r="259" spans="3:16" hidden="1" outlineLevel="1">
      <c r="C259" s="190"/>
      <c r="D259" s="821" t="str">
        <f>IF(C259 = "", "",
IF(COUNTIF($C$180:C258, C259), "VALUE INCONSISTENCY",
IF(AND(COUNTIF('General Information'!$C$402:$C$501, C259),
       INDEX('General Information'!$D$402:$D$501, MATCH(C259, 'General Information'!$C$402:$C$501, 0)) = ""),
   "VALUE INCONSISTENCY",
IFERROR(VLOOKUP(C259, ListOfSitesTable, 5, FALSE), "") &amp; " " &amp;
IFERROR(VLOOKUP(C259, ListOfSitesTable, 4, FALSE), "") &amp; " " &amp;
IFERROR(VLOOKUP(C259, ListOfSitesTable, 2, FALSE), ""))))</f>
        <v/>
      </c>
      <c r="E259" s="822"/>
      <c r="F259" s="823"/>
      <c r="G259" s="794"/>
      <c r="H259" s="795"/>
      <c r="I259" s="796"/>
      <c r="J259" s="200" t="b">
        <v>0</v>
      </c>
      <c r="K259" s="195" t="b">
        <v>0</v>
      </c>
      <c r="L259" s="17" t="str">
        <f t="shared" si="4"/>
        <v/>
      </c>
      <c r="M259" s="10"/>
      <c r="N259" s="10"/>
      <c r="O259" s="10"/>
      <c r="P259" s="10"/>
    </row>
    <row r="260" spans="3:16" hidden="1" outlineLevel="1">
      <c r="C260" s="190"/>
      <c r="D260" s="821" t="str">
        <f>IF(C260 = "", "",
IF(COUNTIF($C$180:C259, C260), "VALUE INCONSISTENCY",
IF(AND(COUNTIF('General Information'!$C$402:$C$501, C260),
       INDEX('General Information'!$D$402:$D$501, MATCH(C260, 'General Information'!$C$402:$C$501, 0)) = ""),
   "VALUE INCONSISTENCY",
IFERROR(VLOOKUP(C260, ListOfSitesTable, 5, FALSE), "") &amp; " " &amp;
IFERROR(VLOOKUP(C260, ListOfSitesTable, 4, FALSE), "") &amp; " " &amp;
IFERROR(VLOOKUP(C260, ListOfSitesTable, 2, FALSE), ""))))</f>
        <v/>
      </c>
      <c r="E260" s="822"/>
      <c r="F260" s="823"/>
      <c r="G260" s="794"/>
      <c r="H260" s="795"/>
      <c r="I260" s="796"/>
      <c r="J260" s="200" t="b">
        <v>0</v>
      </c>
      <c r="K260" s="195" t="b">
        <v>0</v>
      </c>
      <c r="L260" s="17" t="str">
        <f t="shared" si="4"/>
        <v/>
      </c>
      <c r="M260" s="10"/>
      <c r="N260" s="10"/>
      <c r="O260" s="10"/>
      <c r="P260" s="10"/>
    </row>
    <row r="261" spans="3:16" hidden="1" outlineLevel="1">
      <c r="C261" s="190"/>
      <c r="D261" s="821" t="str">
        <f>IF(C261 = "", "",
IF(COUNTIF($C$180:C260, C261), "VALUE INCONSISTENCY",
IF(AND(COUNTIF('General Information'!$C$402:$C$501, C261),
       INDEX('General Information'!$D$402:$D$501, MATCH(C261, 'General Information'!$C$402:$C$501, 0)) = ""),
   "VALUE INCONSISTENCY",
IFERROR(VLOOKUP(C261, ListOfSitesTable, 5, FALSE), "") &amp; " " &amp;
IFERROR(VLOOKUP(C261, ListOfSitesTable, 4, FALSE), "") &amp; " " &amp;
IFERROR(VLOOKUP(C261, ListOfSitesTable, 2, FALSE), ""))))</f>
        <v/>
      </c>
      <c r="E261" s="822"/>
      <c r="F261" s="823"/>
      <c r="G261" s="794"/>
      <c r="H261" s="795"/>
      <c r="I261" s="796"/>
      <c r="J261" s="200" t="b">
        <v>0</v>
      </c>
      <c r="K261" s="195" t="b">
        <v>0</v>
      </c>
      <c r="L261" s="17" t="str">
        <f t="shared" si="4"/>
        <v/>
      </c>
      <c r="M261" s="10"/>
      <c r="N261" s="10"/>
      <c r="O261" s="10"/>
      <c r="P261" s="10"/>
    </row>
    <row r="262" spans="3:16" hidden="1" outlineLevel="1">
      <c r="C262" s="190"/>
      <c r="D262" s="821" t="str">
        <f>IF(C262 = "", "",
IF(COUNTIF($C$180:C261, C262), "VALUE INCONSISTENCY",
IF(AND(COUNTIF('General Information'!$C$402:$C$501, C262),
       INDEX('General Information'!$D$402:$D$501, MATCH(C262, 'General Information'!$C$402:$C$501, 0)) = ""),
   "VALUE INCONSISTENCY",
IFERROR(VLOOKUP(C262, ListOfSitesTable, 5, FALSE), "") &amp; " " &amp;
IFERROR(VLOOKUP(C262, ListOfSitesTable, 4, FALSE), "") &amp; " " &amp;
IFERROR(VLOOKUP(C262, ListOfSitesTable, 2, FALSE), ""))))</f>
        <v/>
      </c>
      <c r="E262" s="822"/>
      <c r="F262" s="823"/>
      <c r="G262" s="794"/>
      <c r="H262" s="795"/>
      <c r="I262" s="796"/>
      <c r="J262" s="200" t="b">
        <v>0</v>
      </c>
      <c r="K262" s="195" t="b">
        <v>0</v>
      </c>
      <c r="L262" s="17" t="str">
        <f t="shared" si="4"/>
        <v/>
      </c>
      <c r="M262" s="10"/>
      <c r="N262" s="10"/>
      <c r="O262" s="10"/>
      <c r="P262" s="10"/>
    </row>
    <row r="263" spans="3:16" hidden="1" outlineLevel="1">
      <c r="C263" s="190"/>
      <c r="D263" s="821" t="str">
        <f>IF(C263 = "", "",
IF(COUNTIF($C$180:C262, C263), "VALUE INCONSISTENCY",
IF(AND(COUNTIF('General Information'!$C$402:$C$501, C263),
       INDEX('General Information'!$D$402:$D$501, MATCH(C263, 'General Information'!$C$402:$C$501, 0)) = ""),
   "VALUE INCONSISTENCY",
IFERROR(VLOOKUP(C263, ListOfSitesTable, 5, FALSE), "") &amp; " " &amp;
IFERROR(VLOOKUP(C263, ListOfSitesTable, 4, FALSE), "") &amp; " " &amp;
IFERROR(VLOOKUP(C263, ListOfSitesTable, 2, FALSE), ""))))</f>
        <v/>
      </c>
      <c r="E263" s="822"/>
      <c r="F263" s="823"/>
      <c r="G263" s="794"/>
      <c r="H263" s="795"/>
      <c r="I263" s="796"/>
      <c r="J263" s="200" t="b">
        <v>0</v>
      </c>
      <c r="K263" s="195" t="b">
        <v>0</v>
      </c>
      <c r="L263" s="17" t="str">
        <f t="shared" si="4"/>
        <v/>
      </c>
      <c r="M263" s="10"/>
      <c r="N263" s="10"/>
      <c r="O263" s="10"/>
      <c r="P263" s="10"/>
    </row>
    <row r="264" spans="3:16" hidden="1" outlineLevel="1">
      <c r="C264" s="190"/>
      <c r="D264" s="821" t="str">
        <f>IF(C264 = "", "",
IF(COUNTIF($C$180:C263, C264), "VALUE INCONSISTENCY",
IF(AND(COUNTIF('General Information'!$C$402:$C$501, C264),
       INDEX('General Information'!$D$402:$D$501, MATCH(C264, 'General Information'!$C$402:$C$501, 0)) = ""),
   "VALUE INCONSISTENCY",
IFERROR(VLOOKUP(C264, ListOfSitesTable, 5, FALSE), "") &amp; " " &amp;
IFERROR(VLOOKUP(C264, ListOfSitesTable, 4, FALSE), "") &amp; " " &amp;
IFERROR(VLOOKUP(C264, ListOfSitesTable, 2, FALSE), ""))))</f>
        <v/>
      </c>
      <c r="E264" s="822"/>
      <c r="F264" s="823"/>
      <c r="G264" s="794"/>
      <c r="H264" s="795"/>
      <c r="I264" s="796"/>
      <c r="J264" s="200" t="b">
        <v>0</v>
      </c>
      <c r="K264" s="195" t="b">
        <v>0</v>
      </c>
      <c r="L264" s="17" t="str">
        <f t="shared" si="4"/>
        <v/>
      </c>
      <c r="M264" s="10"/>
      <c r="N264" s="10"/>
      <c r="O264" s="10"/>
      <c r="P264" s="10"/>
    </row>
    <row r="265" spans="3:16" hidden="1" outlineLevel="1">
      <c r="C265" s="190"/>
      <c r="D265" s="821" t="str">
        <f>IF(C265 = "", "",
IF(COUNTIF($C$180:C264, C265), "VALUE INCONSISTENCY",
IF(AND(COUNTIF('General Information'!$C$402:$C$501, C265),
       INDEX('General Information'!$D$402:$D$501, MATCH(C265, 'General Information'!$C$402:$C$501, 0)) = ""),
   "VALUE INCONSISTENCY",
IFERROR(VLOOKUP(C265, ListOfSitesTable, 5, FALSE), "") &amp; " " &amp;
IFERROR(VLOOKUP(C265, ListOfSitesTable, 4, FALSE), "") &amp; " " &amp;
IFERROR(VLOOKUP(C265, ListOfSitesTable, 2, FALSE), ""))))</f>
        <v/>
      </c>
      <c r="E265" s="822"/>
      <c r="F265" s="823"/>
      <c r="G265" s="794"/>
      <c r="H265" s="795"/>
      <c r="I265" s="796"/>
      <c r="J265" s="200" t="b">
        <v>0</v>
      </c>
      <c r="K265" s="195" t="b">
        <v>0</v>
      </c>
      <c r="L265" s="17" t="str">
        <f t="shared" si="4"/>
        <v/>
      </c>
      <c r="M265" s="10"/>
      <c r="N265" s="10"/>
      <c r="O265" s="10"/>
      <c r="P265" s="10"/>
    </row>
    <row r="266" spans="3:16" hidden="1" outlineLevel="1">
      <c r="C266" s="190"/>
      <c r="D266" s="821" t="str">
        <f>IF(C266 = "", "",
IF(COUNTIF($C$180:C265, C266), "VALUE INCONSISTENCY",
IF(AND(COUNTIF('General Information'!$C$402:$C$501, C266),
       INDEX('General Information'!$D$402:$D$501, MATCH(C266, 'General Information'!$C$402:$C$501, 0)) = ""),
   "VALUE INCONSISTENCY",
IFERROR(VLOOKUP(C266, ListOfSitesTable, 5, FALSE), "") &amp; " " &amp;
IFERROR(VLOOKUP(C266, ListOfSitesTable, 4, FALSE), "") &amp; " " &amp;
IFERROR(VLOOKUP(C266, ListOfSitesTable, 2, FALSE), ""))))</f>
        <v/>
      </c>
      <c r="E266" s="822"/>
      <c r="F266" s="823"/>
      <c r="G266" s="794"/>
      <c r="H266" s="795"/>
      <c r="I266" s="796"/>
      <c r="J266" s="200" t="b">
        <v>0</v>
      </c>
      <c r="K266" s="195" t="b">
        <v>0</v>
      </c>
      <c r="L266" s="17" t="str">
        <f t="shared" si="4"/>
        <v/>
      </c>
      <c r="M266" s="10"/>
      <c r="N266" s="10"/>
      <c r="O266" s="10"/>
      <c r="P266" s="10"/>
    </row>
    <row r="267" spans="3:16" hidden="1" outlineLevel="1">
      <c r="C267" s="190"/>
      <c r="D267" s="821" t="str">
        <f>IF(C267 = "", "",
IF(COUNTIF($C$180:C266, C267), "VALUE INCONSISTENCY",
IF(AND(COUNTIF('General Information'!$C$402:$C$501, C267),
       INDEX('General Information'!$D$402:$D$501, MATCH(C267, 'General Information'!$C$402:$C$501, 0)) = ""),
   "VALUE INCONSISTENCY",
IFERROR(VLOOKUP(C267, ListOfSitesTable, 5, FALSE), "") &amp; " " &amp;
IFERROR(VLOOKUP(C267, ListOfSitesTable, 4, FALSE), "") &amp; " " &amp;
IFERROR(VLOOKUP(C267, ListOfSitesTable, 2, FALSE), ""))))</f>
        <v/>
      </c>
      <c r="E267" s="822"/>
      <c r="F267" s="823"/>
      <c r="G267" s="794"/>
      <c r="H267" s="795"/>
      <c r="I267" s="796"/>
      <c r="J267" s="200" t="b">
        <v>0</v>
      </c>
      <c r="K267" s="195" t="b">
        <v>0</v>
      </c>
      <c r="L267" s="17" t="str">
        <f t="shared" si="4"/>
        <v/>
      </c>
      <c r="M267" s="10"/>
      <c r="N267" s="10"/>
      <c r="O267" s="10"/>
      <c r="P267" s="10"/>
    </row>
    <row r="268" spans="3:16" hidden="1" outlineLevel="1">
      <c r="C268" s="190"/>
      <c r="D268" s="821" t="str">
        <f>IF(C268 = "", "",
IF(COUNTIF($C$180:C267, C268), "VALUE INCONSISTENCY",
IF(AND(COUNTIF('General Information'!$C$402:$C$501, C268),
       INDEX('General Information'!$D$402:$D$501, MATCH(C268, 'General Information'!$C$402:$C$501, 0)) = ""),
   "VALUE INCONSISTENCY",
IFERROR(VLOOKUP(C268, ListOfSitesTable, 5, FALSE), "") &amp; " " &amp;
IFERROR(VLOOKUP(C268, ListOfSitesTable, 4, FALSE), "") &amp; " " &amp;
IFERROR(VLOOKUP(C268, ListOfSitesTable, 2, FALSE), ""))))</f>
        <v/>
      </c>
      <c r="E268" s="822"/>
      <c r="F268" s="823"/>
      <c r="G268" s="794"/>
      <c r="H268" s="795"/>
      <c r="I268" s="796"/>
      <c r="J268" s="200" t="b">
        <v>0</v>
      </c>
      <c r="K268" s="195" t="b">
        <v>0</v>
      </c>
      <c r="L268" s="17" t="str">
        <f t="shared" si="4"/>
        <v/>
      </c>
      <c r="M268" s="10"/>
      <c r="N268" s="10"/>
      <c r="O268" s="10"/>
      <c r="P268" s="10"/>
    </row>
    <row r="269" spans="3:16" hidden="1" outlineLevel="1">
      <c r="C269" s="190"/>
      <c r="D269" s="821" t="str">
        <f>IF(C269 = "", "",
IF(COUNTIF($C$180:C268, C269), "VALUE INCONSISTENCY",
IF(AND(COUNTIF('General Information'!$C$402:$C$501, C269),
       INDEX('General Information'!$D$402:$D$501, MATCH(C269, 'General Information'!$C$402:$C$501, 0)) = ""),
   "VALUE INCONSISTENCY",
IFERROR(VLOOKUP(C269, ListOfSitesTable, 5, FALSE), "") &amp; " " &amp;
IFERROR(VLOOKUP(C269, ListOfSitesTable, 4, FALSE), "") &amp; " " &amp;
IFERROR(VLOOKUP(C269, ListOfSitesTable, 2, FALSE), ""))))</f>
        <v/>
      </c>
      <c r="E269" s="822"/>
      <c r="F269" s="823"/>
      <c r="G269" s="794"/>
      <c r="H269" s="795"/>
      <c r="I269" s="796"/>
      <c r="J269" s="200" t="b">
        <v>0</v>
      </c>
      <c r="K269" s="195" t="b">
        <v>0</v>
      </c>
      <c r="L269" s="17" t="str">
        <f t="shared" si="4"/>
        <v/>
      </c>
      <c r="M269" s="10"/>
      <c r="N269" s="10"/>
      <c r="O269" s="10"/>
      <c r="P269" s="10"/>
    </row>
    <row r="270" spans="3:16" hidden="1" outlineLevel="1">
      <c r="C270" s="190"/>
      <c r="D270" s="821" t="str">
        <f>IF(C270 = "", "",
IF(COUNTIF($C$180:C269, C270), "VALUE INCONSISTENCY",
IF(AND(COUNTIF('General Information'!$C$402:$C$501, C270),
       INDEX('General Information'!$D$402:$D$501, MATCH(C270, 'General Information'!$C$402:$C$501, 0)) = ""),
   "VALUE INCONSISTENCY",
IFERROR(VLOOKUP(C270, ListOfSitesTable, 5, FALSE), "") &amp; " " &amp;
IFERROR(VLOOKUP(C270, ListOfSitesTable, 4, FALSE), "") &amp; " " &amp;
IFERROR(VLOOKUP(C270, ListOfSitesTable, 2, FALSE), ""))))</f>
        <v/>
      </c>
      <c r="E270" s="822"/>
      <c r="F270" s="823"/>
      <c r="G270" s="794"/>
      <c r="H270" s="795"/>
      <c r="I270" s="796"/>
      <c r="J270" s="200" t="b">
        <v>0</v>
      </c>
      <c r="K270" s="195" t="b">
        <v>0</v>
      </c>
      <c r="L270" s="17" t="str">
        <f t="shared" si="4"/>
        <v/>
      </c>
      <c r="M270" s="10"/>
      <c r="N270" s="10"/>
      <c r="O270" s="10"/>
      <c r="P270" s="10"/>
    </row>
    <row r="271" spans="3:16" hidden="1" outlineLevel="1">
      <c r="C271" s="190"/>
      <c r="D271" s="821" t="str">
        <f>IF(C271 = "", "",
IF(COUNTIF($C$180:C270, C271), "VALUE INCONSISTENCY",
IF(AND(COUNTIF('General Information'!$C$402:$C$501, C271),
       INDEX('General Information'!$D$402:$D$501, MATCH(C271, 'General Information'!$C$402:$C$501, 0)) = ""),
   "VALUE INCONSISTENCY",
IFERROR(VLOOKUP(C271, ListOfSitesTable, 5, FALSE), "") &amp; " " &amp;
IFERROR(VLOOKUP(C271, ListOfSitesTable, 4, FALSE), "") &amp; " " &amp;
IFERROR(VLOOKUP(C271, ListOfSitesTable, 2, FALSE), ""))))</f>
        <v/>
      </c>
      <c r="E271" s="822"/>
      <c r="F271" s="823"/>
      <c r="G271" s="794"/>
      <c r="H271" s="795"/>
      <c r="I271" s="796"/>
      <c r="J271" s="200" t="b">
        <v>0</v>
      </c>
      <c r="K271" s="195" t="b">
        <v>0</v>
      </c>
      <c r="L271" s="17" t="str">
        <f t="shared" si="4"/>
        <v/>
      </c>
      <c r="M271" s="10"/>
      <c r="N271" s="10"/>
      <c r="O271" s="10"/>
      <c r="P271" s="10"/>
    </row>
    <row r="272" spans="3:16" hidden="1" outlineLevel="1">
      <c r="C272" s="190"/>
      <c r="D272" s="821" t="str">
        <f>IF(C272 = "", "",
IF(COUNTIF($C$180:C271, C272), "VALUE INCONSISTENCY",
IF(AND(COUNTIF('General Information'!$C$402:$C$501, C272),
       INDEX('General Information'!$D$402:$D$501, MATCH(C272, 'General Information'!$C$402:$C$501, 0)) = ""),
   "VALUE INCONSISTENCY",
IFERROR(VLOOKUP(C272, ListOfSitesTable, 5, FALSE), "") &amp; " " &amp;
IFERROR(VLOOKUP(C272, ListOfSitesTable, 4, FALSE), "") &amp; " " &amp;
IFERROR(VLOOKUP(C272, ListOfSitesTable, 2, FALSE), ""))))</f>
        <v/>
      </c>
      <c r="E272" s="822"/>
      <c r="F272" s="823"/>
      <c r="G272" s="794"/>
      <c r="H272" s="795"/>
      <c r="I272" s="796"/>
      <c r="J272" s="200" t="b">
        <v>0</v>
      </c>
      <c r="K272" s="195" t="b">
        <v>0</v>
      </c>
      <c r="L272" s="17" t="str">
        <f t="shared" si="4"/>
        <v/>
      </c>
      <c r="M272" s="10"/>
      <c r="N272" s="10"/>
      <c r="O272" s="10"/>
      <c r="P272" s="10"/>
    </row>
    <row r="273" spans="1:16" hidden="1" outlineLevel="1">
      <c r="C273" s="190"/>
      <c r="D273" s="821" t="str">
        <f>IF(C273 = "", "",
IF(COUNTIF($C$180:C272, C273), "VALUE INCONSISTENCY",
IF(AND(COUNTIF('General Information'!$C$402:$C$501, C273),
       INDEX('General Information'!$D$402:$D$501, MATCH(C273, 'General Information'!$C$402:$C$501, 0)) = ""),
   "VALUE INCONSISTENCY",
IFERROR(VLOOKUP(C273, ListOfSitesTable, 5, FALSE), "") &amp; " " &amp;
IFERROR(VLOOKUP(C273, ListOfSitesTable, 4, FALSE), "") &amp; " " &amp;
IFERROR(VLOOKUP(C273, ListOfSitesTable, 2, FALSE), ""))))</f>
        <v/>
      </c>
      <c r="E273" s="822"/>
      <c r="F273" s="823"/>
      <c r="G273" s="794"/>
      <c r="H273" s="795"/>
      <c r="I273" s="796"/>
      <c r="J273" s="200" t="b">
        <v>0</v>
      </c>
      <c r="K273" s="195" t="b">
        <v>0</v>
      </c>
      <c r="L273" s="17" t="str">
        <f t="shared" si="4"/>
        <v/>
      </c>
      <c r="M273" s="10"/>
      <c r="N273" s="10"/>
      <c r="O273" s="10"/>
      <c r="P273" s="10"/>
    </row>
    <row r="274" spans="1:16" hidden="1" outlineLevel="1">
      <c r="C274" s="190"/>
      <c r="D274" s="821" t="str">
        <f>IF(C274 = "", "",
IF(COUNTIF($C$180:C273, C274), "VALUE INCONSISTENCY",
IF(AND(COUNTIF('General Information'!$C$402:$C$501, C274),
       INDEX('General Information'!$D$402:$D$501, MATCH(C274, 'General Information'!$C$402:$C$501, 0)) = ""),
   "VALUE INCONSISTENCY",
IFERROR(VLOOKUP(C274, ListOfSitesTable, 5, FALSE), "") &amp; " " &amp;
IFERROR(VLOOKUP(C274, ListOfSitesTable, 4, FALSE), "") &amp; " " &amp;
IFERROR(VLOOKUP(C274, ListOfSitesTable, 2, FALSE), ""))))</f>
        <v/>
      </c>
      <c r="E274" s="822"/>
      <c r="F274" s="823"/>
      <c r="G274" s="794"/>
      <c r="H274" s="795"/>
      <c r="I274" s="796"/>
      <c r="J274" s="200" t="b">
        <v>0</v>
      </c>
      <c r="K274" s="195" t="b">
        <v>0</v>
      </c>
      <c r="L274" s="17" t="str">
        <f t="shared" si="4"/>
        <v/>
      </c>
      <c r="M274" s="10"/>
      <c r="N274" s="10"/>
      <c r="O274" s="10"/>
      <c r="P274" s="10"/>
    </row>
    <row r="275" spans="1:16" hidden="1" outlineLevel="1">
      <c r="C275" s="190"/>
      <c r="D275" s="821" t="str">
        <f>IF(C275 = "", "",
IF(COUNTIF($C$180:C274, C275), "VALUE INCONSISTENCY",
IF(AND(COUNTIF('General Information'!$C$402:$C$501, C275),
       INDEX('General Information'!$D$402:$D$501, MATCH(C275, 'General Information'!$C$402:$C$501, 0)) = ""),
   "VALUE INCONSISTENCY",
IFERROR(VLOOKUP(C275, ListOfSitesTable, 5, FALSE), "") &amp; " " &amp;
IFERROR(VLOOKUP(C275, ListOfSitesTable, 4, FALSE), "") &amp; " " &amp;
IFERROR(VLOOKUP(C275, ListOfSitesTable, 2, FALSE), ""))))</f>
        <v/>
      </c>
      <c r="E275" s="822"/>
      <c r="F275" s="823"/>
      <c r="G275" s="794"/>
      <c r="H275" s="795"/>
      <c r="I275" s="796"/>
      <c r="J275" s="200" t="b">
        <v>0</v>
      </c>
      <c r="K275" s="195" t="b">
        <v>0</v>
      </c>
      <c r="L275" s="17" t="str">
        <f t="shared" si="4"/>
        <v/>
      </c>
      <c r="M275" s="10"/>
      <c r="N275" s="10"/>
      <c r="O275" s="10"/>
      <c r="P275" s="10"/>
    </row>
    <row r="276" spans="1:16" hidden="1" outlineLevel="1">
      <c r="C276" s="190"/>
      <c r="D276" s="821" t="str">
        <f>IF(C276 = "", "",
IF(COUNTIF($C$180:C275, C276), "VALUE INCONSISTENCY",
IF(AND(COUNTIF('General Information'!$C$402:$C$501, C276),
       INDEX('General Information'!$D$402:$D$501, MATCH(C276, 'General Information'!$C$402:$C$501, 0)) = ""),
   "VALUE INCONSISTENCY",
IFERROR(VLOOKUP(C276, ListOfSitesTable, 5, FALSE), "") &amp; " " &amp;
IFERROR(VLOOKUP(C276, ListOfSitesTable, 4, FALSE), "") &amp; " " &amp;
IFERROR(VLOOKUP(C276, ListOfSitesTable, 2, FALSE), ""))))</f>
        <v/>
      </c>
      <c r="E276" s="822"/>
      <c r="F276" s="823"/>
      <c r="G276" s="794"/>
      <c r="H276" s="795"/>
      <c r="I276" s="796"/>
      <c r="J276" s="200" t="b">
        <v>0</v>
      </c>
      <c r="K276" s="195" t="b">
        <v>0</v>
      </c>
      <c r="L276" s="17" t="str">
        <f t="shared" si="4"/>
        <v/>
      </c>
      <c r="M276" s="10"/>
      <c r="N276" s="10"/>
      <c r="O276" s="10"/>
      <c r="P276" s="10"/>
    </row>
    <row r="277" spans="1:16" hidden="1" outlineLevel="1">
      <c r="C277" s="190"/>
      <c r="D277" s="821" t="str">
        <f>IF(C277 = "", "",
IF(COUNTIF($C$180:C276, C277), "VALUE INCONSISTENCY",
IF(AND(COUNTIF('General Information'!$C$402:$C$501, C277),
       INDEX('General Information'!$D$402:$D$501, MATCH(C277, 'General Information'!$C$402:$C$501, 0)) = ""),
   "VALUE INCONSISTENCY",
IFERROR(VLOOKUP(C277, ListOfSitesTable, 5, FALSE), "") &amp; " " &amp;
IFERROR(VLOOKUP(C277, ListOfSitesTable, 4, FALSE), "") &amp; " " &amp;
IFERROR(VLOOKUP(C277, ListOfSitesTable, 2, FALSE), ""))))</f>
        <v/>
      </c>
      <c r="E277" s="822"/>
      <c r="F277" s="823"/>
      <c r="G277" s="794"/>
      <c r="H277" s="795"/>
      <c r="I277" s="796"/>
      <c r="J277" s="200" t="b">
        <v>0</v>
      </c>
      <c r="K277" s="195" t="b">
        <v>0</v>
      </c>
      <c r="L277" s="17" t="str">
        <f t="shared" si="4"/>
        <v/>
      </c>
      <c r="M277" s="10"/>
      <c r="N277" s="10"/>
      <c r="O277" s="10"/>
      <c r="P277" s="10"/>
    </row>
    <row r="278" spans="1:16" hidden="1" outlineLevel="1">
      <c r="C278" s="190"/>
      <c r="D278" s="821" t="str">
        <f>IF(C278 = "", "",
IF(COUNTIF($C$180:C203, C278), "VALUE INCONSISTENCY",
IF(AND(COUNTIF('General Information'!$C$402:$C$501, C278),
       INDEX('General Information'!$D$402:$D$501, MATCH(C278, 'General Information'!$C$402:$C$501, 0)) = ""),
   "VALUE INCONSISTENCY",
IFERROR(VLOOKUP(C278, ListOfSitesTable, 5, FALSE), "") &amp; " " &amp;
IFERROR(VLOOKUP(C278, ListOfSitesTable, 4, FALSE), "") &amp; " " &amp;
IFERROR(VLOOKUP(C278, ListOfSitesTable, 2, FALSE), ""))))</f>
        <v/>
      </c>
      <c r="E278" s="822"/>
      <c r="F278" s="823"/>
      <c r="G278" s="999"/>
      <c r="H278" s="795"/>
      <c r="I278" s="796"/>
      <c r="J278" s="200" t="b">
        <v>0</v>
      </c>
      <c r="K278" s="195" t="b">
        <v>0</v>
      </c>
      <c r="L278" s="17" t="str">
        <f t="shared" si="4"/>
        <v/>
      </c>
      <c r="M278" s="10"/>
      <c r="N278" s="10"/>
      <c r="O278" s="10"/>
      <c r="P278" s="10"/>
    </row>
    <row r="279" spans="1:16" ht="15" hidden="1" outlineLevel="1" thickBot="1">
      <c r="C279" s="193"/>
      <c r="D279" s="821" t="str">
        <f>IF(C279 = "", "",
IF(COUNTIF($C$180:C278, C279), "VALUE INCONSISTENCY",
IF(AND(COUNTIF('General Information'!$C$402:$C$501, C279),
       INDEX('General Information'!$D$402:$D$501, MATCH(C279, 'General Information'!$C$402:$C$501, 0)) = ""),
   "VALUE INCONSISTENCY",
IFERROR(VLOOKUP(C279, ListOfSitesTable, 5, FALSE), "") &amp; " " &amp;
IFERROR(VLOOKUP(C279, ListOfSitesTable, 4, FALSE), "") &amp; " " &amp;
IFERROR(VLOOKUP(C279, ListOfSitesTable, 2, FALSE), ""))))</f>
        <v/>
      </c>
      <c r="E279" s="822"/>
      <c r="F279" s="823"/>
      <c r="G279" s="963"/>
      <c r="H279" s="964"/>
      <c r="I279" s="965"/>
      <c r="J279" s="201" t="b">
        <v>0</v>
      </c>
      <c r="K279" s="196" t="b">
        <v>0</v>
      </c>
      <c r="L279" s="17" t="str">
        <f>IF($G$178=FALSE, "",
    IF(AND($G$178=TRUE, TRIM(D279)&lt;&gt;"", TRIM(G279)&lt;&gt;"", OR(J279=TRUE, K279=TRUE)), template_label_ok,
        IF(AND($G$178=TRUE, TRIM(D279)&lt;&gt;"", TRIM(G279)&lt;&gt;"", J279=FALSE, K279=FALSE), template_label_missing_value,
            IF(AND($G$178=TRUE, TRIM(D279)&lt;&gt;"", TRIM(G279)="", J279=FALSE, K279=FALSE), template_label_missing_value,
                IF(AND($G$178=TRUE, TRIM(D279)&lt;&gt;"", TRIM(G279)="", OR(J279=TRUE, K279=TRUE)), template_label_missing_value,
                    IF(AND($G$178=TRUE, TRIM(D279)="", TRIM(G279)&lt;&gt;"", J279=FALSE, K279=FALSE), template_label_missing_value,
                        IF(AND($G$178=TRUE, TRIM(D279)="", TRIM(G279)="", OR(J279=TRUE, K279=TRUE)), template_label_missing_value,
                            IF(AND($G$178=TRUE, TRIM(D279)="", TRIM(G279)&lt;&gt;"", OR(J279=TRUE, K279=TRUE)), template_label_missing_value,
                                ""
                            )
                        )
                    )
                )
            )
        )
    )
)</f>
        <v/>
      </c>
      <c r="M279" s="10"/>
      <c r="N279" s="10"/>
      <c r="O279" s="10"/>
      <c r="P279" s="10"/>
    </row>
    <row r="280" spans="1:16" collapsed="1">
      <c r="D280" s="14"/>
      <c r="E280" s="14"/>
      <c r="F280" s="14"/>
      <c r="H280" s="14"/>
      <c r="I280" s="14"/>
      <c r="J280" s="14"/>
    </row>
    <row r="281" spans="1:16" ht="15" thickBot="1"/>
    <row r="282" spans="1:16">
      <c r="C282" s="992" t="str">
        <f>template_label_b6_water_withdrawal&amp;" "&amp;template_label_from&amp;" "&amp;template_starting_date_display&amp;" "&amp;template_label_to&amp;" "&amp;template_ending_date_display&amp;" "</f>
        <v xml:space="preserve">B6 - Water Withdrawal from - to - </v>
      </c>
      <c r="D282" s="993"/>
      <c r="E282" s="15"/>
      <c r="F282" s="15"/>
      <c r="G282" s="16"/>
      <c r="H282" s="16"/>
      <c r="I282" s="16"/>
      <c r="K282" s="16"/>
    </row>
    <row r="283" spans="1:16">
      <c r="C283" s="711">
        <v>36</v>
      </c>
      <c r="D283" s="808"/>
      <c r="E283" s="110"/>
      <c r="F283" s="110"/>
      <c r="G283" s="16"/>
      <c r="H283" s="16"/>
      <c r="I283" s="16"/>
    </row>
    <row r="284" spans="1:16">
      <c r="C284" s="711"/>
      <c r="D284" s="808"/>
      <c r="E284" s="111"/>
      <c r="F284" s="111"/>
      <c r="G284" s="16"/>
      <c r="H284" s="16"/>
      <c r="I284" s="16"/>
      <c r="K284" s="45"/>
      <c r="L284" s="45"/>
    </row>
    <row r="285" spans="1:16" ht="22.35" customHeight="1">
      <c r="C285" s="88" t="str">
        <f>template_label_total_amount_of_water_withdrawn_from_all_sites</f>
        <v>Total amount of water withdrawn from all sites (cubic meters m³)</v>
      </c>
      <c r="D285" s="223"/>
      <c r="E285" s="844" t="str">
        <f>IF(OR(
'Table of Contents &amp; Validation'!D28=TRUE,'Table of Contents &amp; Validation'!D27=TRUE,'General Information'!E280&lt;=10),
IF(
    AND(
        OR(
            'General Information'!E125="Option A (Basic Module only)",
            'General Information'!E125="Option B (Basic Module and Comprehensive Module)"
        ),
        TotalAmountOfWaterWithdrawnFromAllSites=""
    ),
    "",
    IF('General Information'!E125="", "", template_label_ok)
),
IF(
    AND(
        OR(
            'General Information'!E125="Option A (Basic Module only)",
            'General Information'!E125="Option B (Basic Module and Comprehensive Module)"
        ),
        TotalAmountOfWaterWithdrawnFromAllSites=""
    ),
    template_label_missing_value,
    IF('General Information'!E125="", "", template_label_ok)
)
)</f>
        <v/>
      </c>
      <c r="F285" s="844"/>
      <c r="G285" s="1276"/>
      <c r="H285" s="16"/>
      <c r="I285" s="16"/>
    </row>
    <row r="286" spans="1:16" ht="15" thickBot="1">
      <c r="K286" s="33"/>
    </row>
    <row r="287" spans="1:16" ht="15" thickBot="1">
      <c r="A287" s="1275"/>
      <c r="C287" s="727" t="str">
        <f>template_label_b6_water_consumption&amp;" "&amp;template_label_from&amp;" "&amp;template_starting_date_display&amp;" "&amp;template_label_to&amp;" "&amp;template_ending_date_display&amp;" "</f>
        <v xml:space="preserve">B6 - Water Consumption from - to - </v>
      </c>
      <c r="D287" s="816"/>
      <c r="E287" s="15"/>
      <c r="F287" s="15"/>
    </row>
    <row r="288" spans="1:16">
      <c r="A288" s="1275"/>
      <c r="C288" s="702">
        <v>37</v>
      </c>
      <c r="D288" s="818"/>
      <c r="E288" s="110"/>
      <c r="F288" s="110"/>
    </row>
    <row r="289" spans="1:13">
      <c r="A289" s="1275"/>
      <c r="C289" s="711"/>
      <c r="D289" s="808"/>
      <c r="E289" s="111"/>
      <c r="F289" s="111"/>
    </row>
    <row r="290" spans="1:13" ht="50.85" customHeight="1">
      <c r="A290" s="1275"/>
      <c r="C290" s="113" t="str">
        <f>template_label_does_the_undertaking_have_production_processes_in_place_which_significantly_consume_water</f>
        <v>Voluntary for undertakings with 10 employees or less - Does the undertaking have production processes in place which significantly consume water (e.g. thermal energy processes like drying or power production production of goods agricultural irrigation etc.)?</v>
      </c>
      <c r="D290" s="141" t="b">
        <v>0</v>
      </c>
      <c r="E290" s="112"/>
      <c r="F290" s="112"/>
      <c r="G290" s="16"/>
      <c r="H290" s="16"/>
      <c r="I290" s="16"/>
    </row>
    <row r="291" spans="1:13">
      <c r="A291" s="1275"/>
      <c r="C291" s="88" t="str">
        <f>template_label_water_discharge_from_undertaking_production_processes</f>
        <v>Water discharge from undertaking production processes (m³)</v>
      </c>
      <c r="D291" s="229"/>
      <c r="E291" s="995" t="str">
        <f>IF(
    AND(D290=TRUE, D291=""),
    template_label_missing_value,
    IF(AND(D290=TRUE, D291&lt;&gt;""),
        template_label_ok,
        ""
    )
)</f>
        <v/>
      </c>
      <c r="F291" s="995"/>
      <c r="G291" s="16"/>
      <c r="H291" s="16"/>
      <c r="I291" s="16"/>
    </row>
    <row r="292" spans="1:13" ht="21" customHeight="1" thickBot="1">
      <c r="A292" s="1275"/>
      <c r="C292" s="358" t="str">
        <f>template_label_total_water_consumption</f>
        <v>Total water consumption (m³)</v>
      </c>
      <c r="D292" s="386" t="str">
        <f>IF(D291&lt;&gt;"",$D$285-$D$291,"-")</f>
        <v>-</v>
      </c>
      <c r="E292" s="114"/>
      <c r="F292" s="114"/>
    </row>
    <row r="293" spans="1:13" ht="33.6" customHeight="1" thickBot="1">
      <c r="A293" s="1275"/>
      <c r="C293" s="358" t="str">
        <f>template_label_amount_of_water_consumed_at_sites_located_in_areas_with_water_stress</f>
        <v>Amount of water consumed at sites located in areas with water-stress (cubic meters m³)</v>
      </c>
      <c r="D293" s="624"/>
      <c r="E293" s="995" t="str">
        <f>IF(
    OR(
        'Table of Contents &amp; Validation'!D28=TRUE,
        'Table of Contents &amp; Validation'!D27=TRUE,
        'General Information'!E280&lt;=10
    ),
    IF(
        AND(
            OR(
                'General Information'!E125="Option A (Basic Module only)",
                'General Information'!E125="Option B (Basic Module and Comprehensive Module)"
            ),
            AmountOfWaterConsumedAtSitesLocatedInAreasWithWaterStress=""
        ),
        "",
        IF(
            AND(D290=TRUE,'General Information'!E125&lt;&gt;""),
            template_label_ok,
            ""
        )
    ),
    IF(
        AND(
            D290=TRUE,
            OR(
                'General Information'!E125="Option A (Basic Module only)",
                'General Information'!E125="Option B (Basic Module and Comprehensive Module)"
            ),
            AmountOfWaterConsumedAtSitesLocatedInAreasWithWaterStress=""
        ),
        template_label_missing_value,
        IF(
            AND(D290=TRUE,'General Information'!E125&lt;&gt;""),
            template_label_ok,
            ""
        )
    )
)</f>
        <v/>
      </c>
      <c r="F293" s="995"/>
      <c r="G293" s="1276"/>
      <c r="H293" s="16"/>
      <c r="I293" s="16"/>
    </row>
    <row r="294" spans="1:13" ht="15" thickBot="1">
      <c r="A294" s="1275"/>
    </row>
    <row r="295" spans="1:13" ht="15" thickBot="1">
      <c r="A295" s="1275"/>
      <c r="C295" s="727" t="str">
        <f>template_label_b7_description_of_circular_economy_principles&amp;" "&amp;template_label_from&amp;" "&amp;template_starting_date_display&amp;" "&amp;template_label_to&amp;" "&amp;template_ending_date_display&amp;" "</f>
        <v xml:space="preserve">B7 - Description of circular economy principles from - to - </v>
      </c>
      <c r="D295" s="815"/>
      <c r="E295" s="815"/>
      <c r="F295" s="815"/>
      <c r="G295" s="816"/>
      <c r="H295" s="16"/>
      <c r="I295" s="16"/>
    </row>
    <row r="296" spans="1:13">
      <c r="C296" s="702">
        <v>38</v>
      </c>
      <c r="D296" s="817"/>
      <c r="E296" s="817"/>
      <c r="F296" s="817"/>
      <c r="G296" s="818"/>
      <c r="H296" s="115"/>
      <c r="I296" s="115"/>
    </row>
    <row r="297" spans="1:13">
      <c r="C297" s="711"/>
      <c r="D297" s="686"/>
      <c r="E297" s="686"/>
      <c r="F297" s="686"/>
      <c r="G297" s="808"/>
      <c r="H297" s="116"/>
      <c r="I297" s="116"/>
    </row>
    <row r="298" spans="1:13">
      <c r="C298" s="87" t="str">
        <f>template_label_undertaking_applies_circular_economy_principles</f>
        <v>Undertaking applies circular economy principles</v>
      </c>
      <c r="D298" s="996"/>
      <c r="E298" s="996"/>
      <c r="F298" s="996"/>
      <c r="G298" s="997"/>
      <c r="H298" s="994" t="str">
        <f>IF(OR(
'Table of Contents &amp; Validation'!D31=TRUE,'Table of Contents &amp; Validation'!D30=TRUE,'General Information'!E280&lt;=10),
IF(
    AND(
        OR(
            'General Information'!E125="Option A (Basic Module only)",
            'General Information'!E125="Option B (Basic Module and Comprehensive Module)"
        ),
        UndertakingAppliesCircularEconomyPrinciples=""
    ),
    "",
    IF('General Information'!E125="", "", template_label_ok)
),
IF(
    AND(
        OR(
            'General Information'!E125="Option A (Basic Module only)",
            'General Information'!E125="Option B (Basic Module and Comprehensive Module)"
        ),
        UndertakingAppliesCircularEconomyPrinciples=""
    ),
    template_label_missing_value,
    IF('General Information'!E125="", "", template_label_ok)
)
)</f>
        <v/>
      </c>
      <c r="I298" s="994"/>
      <c r="J298" s="1276"/>
    </row>
    <row r="299" spans="1:13" ht="15" thickBot="1">
      <c r="C299" s="102" t="str">
        <f>template_label_description_of_how_it_applies_these_principles</f>
        <v>Description of how it applies these principles</v>
      </c>
      <c r="D299" s="734"/>
      <c r="E299" s="734"/>
      <c r="F299" s="734"/>
      <c r="G299" s="709"/>
      <c r="H299" s="994" t="str">
        <f>IF('Table of Contents &amp; Validation'!E31=TRUE,
IF(
    AND(D298="YES", D299=""),
    "",
    IF(
        AND(D298="YES", D299&lt;&gt;""),
        template_label_ok,
        IF(
            AND(D298="NO", D299&lt;&gt;""),
            template_label_value_inconsistency,
            ""
        )
    )
),
IF(
    AND(D298="YES", D299=""),
    template_label_missing_value,
    IF(
        AND(D298="YES", D299&lt;&gt;""),
        template_label_ok,
        IF(
            AND(D298="NO", D299&lt;&gt;""),
            template_label_value_inconsistency,
            ""
        )
    )
)
)</f>
        <v/>
      </c>
      <c r="I299" s="994"/>
      <c r="J299" s="16"/>
    </row>
    <row r="300" spans="1:13" ht="15" thickBot="1"/>
    <row r="301" spans="1:13">
      <c r="C301" s="992" t="str">
        <f>template_label_b7_waste_generated&amp;" "&amp;template_label_from&amp;" "&amp;template_starting_date_display&amp;" "&amp;template_label_to&amp;" "&amp;template_ending_date_display&amp;" "</f>
        <v xml:space="preserve">B7 - Waste generated from - to - </v>
      </c>
      <c r="D301" s="998"/>
      <c r="E301" s="998"/>
      <c r="F301" s="998"/>
      <c r="G301" s="998"/>
      <c r="H301" s="998"/>
      <c r="I301" s="998"/>
      <c r="J301" s="998"/>
      <c r="K301" s="998"/>
      <c r="L301" s="993"/>
    </row>
    <row r="302" spans="1:13">
      <c r="C302" s="711" t="s">
        <v>39</v>
      </c>
      <c r="D302" s="686"/>
      <c r="E302" s="686"/>
      <c r="F302" s="686"/>
      <c r="G302" s="686"/>
      <c r="H302" s="686"/>
      <c r="I302" s="686"/>
      <c r="J302" s="686"/>
      <c r="K302" s="686"/>
      <c r="L302" s="808"/>
    </row>
    <row r="303" spans="1:13">
      <c r="C303" s="711"/>
      <c r="D303" s="686"/>
      <c r="E303" s="686"/>
      <c r="F303" s="686"/>
      <c r="G303" s="686"/>
      <c r="H303" s="686"/>
      <c r="I303" s="686"/>
      <c r="J303" s="686"/>
      <c r="K303" s="686"/>
      <c r="L303" s="808"/>
    </row>
    <row r="304" spans="1:13" ht="49.35" customHeight="1">
      <c r="C304" s="119" t="str">
        <f>template_label_row_id</f>
        <v>Row ID</v>
      </c>
      <c r="D304" s="802" t="str">
        <f>template_label_type_of_waste</f>
        <v>Type of waste</v>
      </c>
      <c r="E304" s="802"/>
      <c r="F304" s="802"/>
      <c r="G304" s="892" t="str">
        <f>template_label_unit_of_measurement</f>
        <v>Unit of measurement</v>
      </c>
      <c r="H304" s="892"/>
      <c r="I304" s="892"/>
      <c r="J304" s="235" t="str">
        <f>template_label_weight_or_volume_of_waste_generated</f>
        <v>Weight or volume of waste generated</v>
      </c>
      <c r="K304" s="235" t="str">
        <f>template_label_proportion_of_waste_diverted_to_recycling</f>
        <v xml:space="preserve">Percentage of waste diverted to recycling </v>
      </c>
      <c r="L304" s="46" t="str">
        <f>template_label_proportion_of_waste_diverted_to_preparation_for_reuse</f>
        <v>Percentage of waste diverted to preparation for reuse</v>
      </c>
      <c r="M304" s="1275"/>
    </row>
    <row r="305" spans="3:14">
      <c r="C305" s="190">
        <v>1</v>
      </c>
      <c r="D305" s="1277"/>
      <c r="E305" s="1278"/>
      <c r="F305" s="1279"/>
      <c r="G305" s="806"/>
      <c r="H305" s="1280"/>
      <c r="I305" s="1281"/>
      <c r="J305" s="224"/>
      <c r="K305" s="613"/>
      <c r="L305" s="626"/>
      <c r="M305" s="1276" t="str">
        <f>IF(OR(
'Table of Contents &amp; Validation'!D32=TRUE,'Table of Contents &amp; Validation'!D30=TRUE,'General Information'!E280&lt;=10),
IF(
AND(
    COUNTBLANK(D305:D404)=ROWS(D305:D404),
    OR(
        'General Information'!E125="Option A (Basic Module only)",
        'General Information'!E125="Option B (Basic Module and Comprehensive Module)"
    )
),
"",
IF(D305&lt;&gt;"",
    IF(
        IFERROR(LEN(LEFT(D305,FIND("-",D305)-1)),0)=13,
        IF(
            OR(
                'General Information'!E125="Option A (Basic Module only)",
                'General Information'!E125="Option B (Basic Module and Comprehensive Module)"
            ),
            IF(
                COUNTIF(enum_ListWasteCategories,D305)&gt;0,
                template_label_error,
                IF(
                    OR(D305="",G305="",J305="",K305="",L305=""),
                    template_label_missing_value,
                    IF(
                        COUNTIF(D305:D404,D305)&gt;1,
                        template_label_value_inconsistency,
                        template_label_ok
                    )
                )
            ),
            ""
        ),
        template_label_error
    ),
""
)),
IF(
AND(
    COUNTBLANK(D305:D404)=ROWS(D305:D404),
    OR(
        'General Information'!E125="Option A (Basic Module only)",
        'General Information'!E125="Option B (Basic Module and Comprehensive Module)"
    )
),
template_label_missing_value,
IF(D305&lt;&gt;"",
    IF(
        IFERROR(LEN(LEFT(D305,FIND("-",D305)-1)),0)=13,
        IF(
            OR(
                'General Information'!E125="Option A (Basic Module only)",
                'General Information'!E125="Option B (Basic Module and Comprehensive Module)"
            ),
            IF(
                COUNTIF(enum_ListWasteCategories,D305)&gt;0,
                template_label_error,
                IF(
                    OR(D305="",G305="",J305="",K305="",L305=""),
                    template_label_missing_value,
                    IF(
                        COUNTIF(D305:D404,D305)&gt;1,
                        template_label_value_inconsistency,
                        template_label_ok
                    )
                )
            ),
            ""
        ),
        template_label_error
    ),
""
))
)</f>
        <v/>
      </c>
      <c r="N305" t="str">
        <f>template_label_type_of_waste_warning</f>
        <v>ℹ️  Please select a Type of waste (Hazardous or Non-Hazardous) rather than a category else an ERROR message will appear.</v>
      </c>
    </row>
    <row r="306" spans="3:14">
      <c r="C306" s="190">
        <v>2</v>
      </c>
      <c r="D306" s="1277"/>
      <c r="E306" s="1278"/>
      <c r="F306" s="1279"/>
      <c r="G306" s="806"/>
      <c r="H306" s="1280"/>
      <c r="I306" s="1281"/>
      <c r="J306" s="225"/>
      <c r="K306" s="613"/>
      <c r="L306" s="626"/>
      <c r="M306" s="11" t="str">
        <f t="shared" ref="M306:M337" si="5">IF(
    AND(D306="",G306="",J306="",K306="",L306=""),
    "",
    IF(
        IFERROR(LEN(LEFT(D306,FIND("-",D306)-1)),0)=13,
        IF(
            COUNTIF(enum_ListWasteCategories,D306)&gt;0,
            template_label_error,
            IF(
                AND(D306&lt;&gt;"",G306&lt;&gt;"",J306&lt;&gt;"",K306&lt;&gt;"",L306&lt;&gt;""),
                IF(
                    COUNTIF($D$305:$D$404,D306)&gt;1,
                    template_label_value_inconsistency,
                    template_label_ok
                ),
                template_label_missing_value
            )
        ),
        template_label_error
    )
)</f>
        <v/>
      </c>
    </row>
    <row r="307" spans="3:14" ht="15" thickBot="1">
      <c r="C307" s="192">
        <v>3</v>
      </c>
      <c r="D307" s="1282"/>
      <c r="E307" s="1283"/>
      <c r="F307" s="1284"/>
      <c r="G307" s="1110"/>
      <c r="H307" s="1111"/>
      <c r="I307" s="1288"/>
      <c r="J307" s="226"/>
      <c r="K307" s="628"/>
      <c r="L307" s="627"/>
      <c r="M307" s="11" t="str">
        <f t="shared" si="5"/>
        <v/>
      </c>
      <c r="N307" t="str">
        <f>template_label_additional_rows_warning</f>
        <v>ℹ️  Lists can be expanded using the little [+] button on the left.  If the number of rows is not sufficient, those can be added by right clicking the second row and selecting "Insert row".</v>
      </c>
    </row>
    <row r="308" spans="3:14" ht="14.4" hidden="1" customHeight="1" outlineLevel="1">
      <c r="C308" s="298">
        <v>4</v>
      </c>
      <c r="D308" s="1285"/>
      <c r="E308" s="1286"/>
      <c r="F308" s="1287"/>
      <c r="G308" s="1289"/>
      <c r="H308" s="1290"/>
      <c r="I308" s="1291"/>
      <c r="J308" s="228"/>
      <c r="K308" s="625"/>
      <c r="L308" s="629"/>
      <c r="M308" s="11" t="str">
        <f t="shared" si="5"/>
        <v/>
      </c>
    </row>
    <row r="309" spans="3:14" ht="14.4" hidden="1" customHeight="1" outlineLevel="1">
      <c r="C309" s="299">
        <v>5</v>
      </c>
      <c r="D309" s="1277"/>
      <c r="E309" s="1278"/>
      <c r="F309" s="1279"/>
      <c r="G309" s="806"/>
      <c r="H309" s="1280"/>
      <c r="I309" s="1281"/>
      <c r="J309" s="225"/>
      <c r="K309" s="613"/>
      <c r="L309" s="626"/>
      <c r="M309" s="11" t="str">
        <f t="shared" si="5"/>
        <v/>
      </c>
    </row>
    <row r="310" spans="3:14" ht="14.4" hidden="1" customHeight="1" outlineLevel="1">
      <c r="C310" s="299">
        <v>6</v>
      </c>
      <c r="D310" s="1277"/>
      <c r="E310" s="1278"/>
      <c r="F310" s="1279"/>
      <c r="G310" s="806"/>
      <c r="H310" s="1280"/>
      <c r="I310" s="1281"/>
      <c r="J310" s="225"/>
      <c r="K310" s="613"/>
      <c r="L310" s="626"/>
      <c r="M310" s="11" t="str">
        <f t="shared" si="5"/>
        <v/>
      </c>
    </row>
    <row r="311" spans="3:14" ht="14.4" hidden="1" customHeight="1" outlineLevel="1">
      <c r="C311" s="299">
        <v>7</v>
      </c>
      <c r="D311" s="1277"/>
      <c r="E311" s="1278"/>
      <c r="F311" s="1279"/>
      <c r="G311" s="806"/>
      <c r="H311" s="1280"/>
      <c r="I311" s="1281"/>
      <c r="J311" s="225"/>
      <c r="K311" s="613"/>
      <c r="L311" s="626"/>
      <c r="M311" s="11" t="str">
        <f t="shared" si="5"/>
        <v/>
      </c>
    </row>
    <row r="312" spans="3:14" ht="14.4" hidden="1" customHeight="1" outlineLevel="1">
      <c r="C312" s="299">
        <v>8</v>
      </c>
      <c r="D312" s="1277"/>
      <c r="E312" s="1278"/>
      <c r="F312" s="1279"/>
      <c r="G312" s="806"/>
      <c r="H312" s="1280"/>
      <c r="I312" s="1281"/>
      <c r="J312" s="225"/>
      <c r="K312" s="613"/>
      <c r="L312" s="626"/>
      <c r="M312" s="11" t="str">
        <f t="shared" si="5"/>
        <v/>
      </c>
    </row>
    <row r="313" spans="3:14" ht="14.4" hidden="1" customHeight="1" outlineLevel="1">
      <c r="C313" s="299">
        <v>9</v>
      </c>
      <c r="D313" s="1277"/>
      <c r="E313" s="1278"/>
      <c r="F313" s="1279"/>
      <c r="G313" s="806"/>
      <c r="H313" s="1280"/>
      <c r="I313" s="1281"/>
      <c r="J313" s="225"/>
      <c r="K313" s="613"/>
      <c r="L313" s="626"/>
      <c r="M313" s="11" t="str">
        <f t="shared" si="5"/>
        <v/>
      </c>
    </row>
    <row r="314" spans="3:14" ht="14.4" hidden="1" customHeight="1" outlineLevel="1">
      <c r="C314" s="299">
        <v>10</v>
      </c>
      <c r="D314" s="1277"/>
      <c r="E314" s="1278"/>
      <c r="F314" s="1279"/>
      <c r="G314" s="806"/>
      <c r="H314" s="1280"/>
      <c r="I314" s="1281"/>
      <c r="J314" s="225"/>
      <c r="K314" s="613"/>
      <c r="L314" s="626"/>
      <c r="M314" s="11" t="str">
        <f t="shared" si="5"/>
        <v/>
      </c>
    </row>
    <row r="315" spans="3:14" ht="14.4" hidden="1" customHeight="1" outlineLevel="1">
      <c r="C315" s="299">
        <v>11</v>
      </c>
      <c r="D315" s="1277"/>
      <c r="E315" s="1278"/>
      <c r="F315" s="1279"/>
      <c r="G315" s="806"/>
      <c r="H315" s="1280"/>
      <c r="I315" s="1281"/>
      <c r="J315" s="225"/>
      <c r="K315" s="613"/>
      <c r="L315" s="626"/>
      <c r="M315" s="11" t="str">
        <f t="shared" si="5"/>
        <v/>
      </c>
    </row>
    <row r="316" spans="3:14" ht="14.4" hidden="1" customHeight="1" outlineLevel="1">
      <c r="C316" s="299">
        <v>12</v>
      </c>
      <c r="D316" s="1277"/>
      <c r="E316" s="1278"/>
      <c r="F316" s="1279"/>
      <c r="G316" s="806"/>
      <c r="H316" s="1280"/>
      <c r="I316" s="1281"/>
      <c r="J316" s="225"/>
      <c r="K316" s="613"/>
      <c r="L316" s="626"/>
      <c r="M316" s="11" t="str">
        <f t="shared" si="5"/>
        <v/>
      </c>
    </row>
    <row r="317" spans="3:14" ht="14.4" hidden="1" customHeight="1" outlineLevel="1">
      <c r="C317" s="299">
        <v>13</v>
      </c>
      <c r="D317" s="1277"/>
      <c r="E317" s="1278"/>
      <c r="F317" s="1279"/>
      <c r="G317" s="806"/>
      <c r="H317" s="1280"/>
      <c r="I317" s="1281"/>
      <c r="J317" s="225"/>
      <c r="K317" s="613"/>
      <c r="L317" s="626"/>
      <c r="M317" s="11" t="str">
        <f t="shared" si="5"/>
        <v/>
      </c>
    </row>
    <row r="318" spans="3:14" ht="14.4" hidden="1" customHeight="1" outlineLevel="1">
      <c r="C318" s="299">
        <v>14</v>
      </c>
      <c r="D318" s="1277"/>
      <c r="E318" s="1278"/>
      <c r="F318" s="1279"/>
      <c r="G318" s="806"/>
      <c r="H318" s="1280"/>
      <c r="I318" s="1281"/>
      <c r="J318" s="225"/>
      <c r="K318" s="613"/>
      <c r="L318" s="626"/>
      <c r="M318" s="11" t="str">
        <f t="shared" si="5"/>
        <v/>
      </c>
    </row>
    <row r="319" spans="3:14" ht="14.4" hidden="1" customHeight="1" outlineLevel="1">
      <c r="C319" s="299">
        <v>15</v>
      </c>
      <c r="D319" s="1277"/>
      <c r="E319" s="1278"/>
      <c r="F319" s="1279"/>
      <c r="G319" s="806"/>
      <c r="H319" s="1280"/>
      <c r="I319" s="1281"/>
      <c r="J319" s="335"/>
      <c r="K319" s="613"/>
      <c r="L319" s="626"/>
      <c r="M319" s="11" t="str">
        <f t="shared" si="5"/>
        <v/>
      </c>
    </row>
    <row r="320" spans="3:14" ht="14.4" hidden="1" customHeight="1" outlineLevel="1">
      <c r="C320" s="299">
        <v>16</v>
      </c>
      <c r="D320" s="1277"/>
      <c r="E320" s="1278"/>
      <c r="F320" s="1279"/>
      <c r="G320" s="806"/>
      <c r="H320" s="1280"/>
      <c r="I320" s="1281"/>
      <c r="J320" s="335"/>
      <c r="K320" s="613"/>
      <c r="L320" s="626"/>
      <c r="M320" s="11" t="str">
        <f t="shared" si="5"/>
        <v/>
      </c>
    </row>
    <row r="321" spans="3:13" ht="14.4" hidden="1" customHeight="1" outlineLevel="1">
      <c r="C321" s="299">
        <v>17</v>
      </c>
      <c r="D321" s="1277"/>
      <c r="E321" s="1278"/>
      <c r="F321" s="1279"/>
      <c r="G321" s="806"/>
      <c r="H321" s="1280"/>
      <c r="I321" s="1281"/>
      <c r="J321" s="335"/>
      <c r="K321" s="613"/>
      <c r="L321" s="626"/>
      <c r="M321" s="11" t="str">
        <f t="shared" si="5"/>
        <v/>
      </c>
    </row>
    <row r="322" spans="3:13" ht="14.4" hidden="1" customHeight="1" outlineLevel="1">
      <c r="C322" s="299">
        <v>18</v>
      </c>
      <c r="D322" s="1277"/>
      <c r="E322" s="1278"/>
      <c r="F322" s="1279"/>
      <c r="G322" s="806"/>
      <c r="H322" s="1280"/>
      <c r="I322" s="1281"/>
      <c r="J322" s="335"/>
      <c r="K322" s="613"/>
      <c r="L322" s="626"/>
      <c r="M322" s="11" t="str">
        <f t="shared" si="5"/>
        <v/>
      </c>
    </row>
    <row r="323" spans="3:13" ht="14.4" hidden="1" customHeight="1" outlineLevel="1">
      <c r="C323" s="299">
        <v>19</v>
      </c>
      <c r="D323" s="1277"/>
      <c r="E323" s="1278"/>
      <c r="F323" s="1279"/>
      <c r="G323" s="806"/>
      <c r="H323" s="1280"/>
      <c r="I323" s="1281"/>
      <c r="J323" s="335"/>
      <c r="K323" s="613"/>
      <c r="L323" s="626"/>
      <c r="M323" s="11" t="str">
        <f t="shared" si="5"/>
        <v/>
      </c>
    </row>
    <row r="324" spans="3:13" ht="14.4" hidden="1" customHeight="1" outlineLevel="1">
      <c r="C324" s="299">
        <v>20</v>
      </c>
      <c r="D324" s="1277"/>
      <c r="E324" s="1278"/>
      <c r="F324" s="1279"/>
      <c r="G324" s="806"/>
      <c r="H324" s="1280"/>
      <c r="I324" s="1281"/>
      <c r="J324" s="335"/>
      <c r="K324" s="613"/>
      <c r="L324" s="626"/>
      <c r="M324" s="11" t="str">
        <f t="shared" si="5"/>
        <v/>
      </c>
    </row>
    <row r="325" spans="3:13" ht="14.4" hidden="1" customHeight="1" outlineLevel="1">
      <c r="C325" s="299">
        <v>21</v>
      </c>
      <c r="D325" s="1277"/>
      <c r="E325" s="1278"/>
      <c r="F325" s="1279"/>
      <c r="G325" s="806"/>
      <c r="H325" s="1280"/>
      <c r="I325" s="1281"/>
      <c r="J325" s="335"/>
      <c r="K325" s="613"/>
      <c r="L325" s="626"/>
      <c r="M325" s="11" t="str">
        <f t="shared" si="5"/>
        <v/>
      </c>
    </row>
    <row r="326" spans="3:13" ht="14.4" hidden="1" customHeight="1" outlineLevel="1">
      <c r="C326" s="299">
        <v>22</v>
      </c>
      <c r="D326" s="1277"/>
      <c r="E326" s="1278"/>
      <c r="F326" s="1279"/>
      <c r="G326" s="806"/>
      <c r="H326" s="1280"/>
      <c r="I326" s="1281"/>
      <c r="J326" s="335"/>
      <c r="K326" s="613"/>
      <c r="L326" s="626"/>
      <c r="M326" s="11" t="str">
        <f t="shared" si="5"/>
        <v/>
      </c>
    </row>
    <row r="327" spans="3:13" ht="14.4" hidden="1" customHeight="1" outlineLevel="1">
      <c r="C327" s="299">
        <v>23</v>
      </c>
      <c r="D327" s="1277"/>
      <c r="E327" s="1278"/>
      <c r="F327" s="1279"/>
      <c r="G327" s="806"/>
      <c r="H327" s="1280"/>
      <c r="I327" s="1281"/>
      <c r="J327" s="335"/>
      <c r="K327" s="613"/>
      <c r="L327" s="626"/>
      <c r="M327" s="11" t="str">
        <f t="shared" si="5"/>
        <v/>
      </c>
    </row>
    <row r="328" spans="3:13" ht="14.4" hidden="1" customHeight="1" outlineLevel="1">
      <c r="C328" s="299">
        <v>24</v>
      </c>
      <c r="D328" s="1277"/>
      <c r="E328" s="1278"/>
      <c r="F328" s="1279"/>
      <c r="G328" s="806"/>
      <c r="H328" s="1280"/>
      <c r="I328" s="1281"/>
      <c r="J328" s="335"/>
      <c r="K328" s="613"/>
      <c r="L328" s="626"/>
      <c r="M328" s="11" t="str">
        <f t="shared" si="5"/>
        <v/>
      </c>
    </row>
    <row r="329" spans="3:13" ht="14.4" hidden="1" customHeight="1" outlineLevel="1">
      <c r="C329" s="299">
        <v>25</v>
      </c>
      <c r="D329" s="1277"/>
      <c r="E329" s="1278"/>
      <c r="F329" s="1279"/>
      <c r="G329" s="806"/>
      <c r="H329" s="1280"/>
      <c r="I329" s="1281"/>
      <c r="J329" s="335"/>
      <c r="K329" s="613"/>
      <c r="L329" s="626"/>
      <c r="M329" s="11" t="str">
        <f t="shared" si="5"/>
        <v/>
      </c>
    </row>
    <row r="330" spans="3:13" ht="14.4" hidden="1" customHeight="1" outlineLevel="1">
      <c r="C330" s="299">
        <v>26</v>
      </c>
      <c r="D330" s="1277"/>
      <c r="E330" s="1278"/>
      <c r="F330" s="1279"/>
      <c r="G330" s="806"/>
      <c r="H330" s="1280"/>
      <c r="I330" s="1281"/>
      <c r="J330" s="335"/>
      <c r="K330" s="613"/>
      <c r="L330" s="626"/>
      <c r="M330" s="11" t="str">
        <f t="shared" si="5"/>
        <v/>
      </c>
    </row>
    <row r="331" spans="3:13" ht="14.4" hidden="1" customHeight="1" outlineLevel="1">
      <c r="C331" s="299">
        <v>27</v>
      </c>
      <c r="D331" s="1277"/>
      <c r="E331" s="1278"/>
      <c r="F331" s="1279"/>
      <c r="G331" s="806"/>
      <c r="H331" s="1280"/>
      <c r="I331" s="1281"/>
      <c r="J331" s="335"/>
      <c r="K331" s="613"/>
      <c r="L331" s="626"/>
      <c r="M331" s="11" t="str">
        <f t="shared" si="5"/>
        <v/>
      </c>
    </row>
    <row r="332" spans="3:13" ht="14.4" hidden="1" customHeight="1" outlineLevel="1">
      <c r="C332" s="299">
        <v>28</v>
      </c>
      <c r="D332" s="1277"/>
      <c r="E332" s="1278"/>
      <c r="F332" s="1279"/>
      <c r="G332" s="806"/>
      <c r="H332" s="1280"/>
      <c r="I332" s="1281"/>
      <c r="J332" s="335"/>
      <c r="K332" s="613"/>
      <c r="L332" s="626"/>
      <c r="M332" s="11" t="str">
        <f t="shared" si="5"/>
        <v/>
      </c>
    </row>
    <row r="333" spans="3:13" ht="14.4" hidden="1" customHeight="1" outlineLevel="1">
      <c r="C333" s="299">
        <v>29</v>
      </c>
      <c r="D333" s="1277"/>
      <c r="E333" s="1278"/>
      <c r="F333" s="1279"/>
      <c r="G333" s="806"/>
      <c r="H333" s="1280"/>
      <c r="I333" s="1281"/>
      <c r="J333" s="335"/>
      <c r="K333" s="613"/>
      <c r="L333" s="626"/>
      <c r="M333" s="11" t="str">
        <f t="shared" si="5"/>
        <v/>
      </c>
    </row>
    <row r="334" spans="3:13" ht="14.4" hidden="1" customHeight="1" outlineLevel="1">
      <c r="C334" s="299">
        <v>30</v>
      </c>
      <c r="D334" s="1277"/>
      <c r="E334" s="1278"/>
      <c r="F334" s="1279"/>
      <c r="G334" s="806"/>
      <c r="H334" s="1280"/>
      <c r="I334" s="1281"/>
      <c r="J334" s="335"/>
      <c r="K334" s="613"/>
      <c r="L334" s="626"/>
      <c r="M334" s="11" t="str">
        <f t="shared" si="5"/>
        <v/>
      </c>
    </row>
    <row r="335" spans="3:13" ht="14.4" hidden="1" customHeight="1" outlineLevel="1">
      <c r="C335" s="299">
        <v>31</v>
      </c>
      <c r="D335" s="1277"/>
      <c r="E335" s="1278"/>
      <c r="F335" s="1279"/>
      <c r="G335" s="806"/>
      <c r="H335" s="1280"/>
      <c r="I335" s="1281"/>
      <c r="J335" s="335"/>
      <c r="K335" s="613"/>
      <c r="L335" s="626"/>
      <c r="M335" s="11" t="str">
        <f t="shared" si="5"/>
        <v/>
      </c>
    </row>
    <row r="336" spans="3:13" ht="14.4" hidden="1" customHeight="1" outlineLevel="1">
      <c r="C336" s="299">
        <v>32</v>
      </c>
      <c r="D336" s="1277"/>
      <c r="E336" s="1278"/>
      <c r="F336" s="1279"/>
      <c r="G336" s="806"/>
      <c r="H336" s="1280"/>
      <c r="I336" s="1281"/>
      <c r="J336" s="335"/>
      <c r="K336" s="613"/>
      <c r="L336" s="626"/>
      <c r="M336" s="11" t="str">
        <f t="shared" si="5"/>
        <v/>
      </c>
    </row>
    <row r="337" spans="3:13" ht="14.4" hidden="1" customHeight="1" outlineLevel="1">
      <c r="C337" s="299">
        <v>33</v>
      </c>
      <c r="D337" s="1277"/>
      <c r="E337" s="1278"/>
      <c r="F337" s="1279"/>
      <c r="G337" s="806"/>
      <c r="H337" s="1280"/>
      <c r="I337" s="1281"/>
      <c r="J337" s="335"/>
      <c r="K337" s="613"/>
      <c r="L337" s="626"/>
      <c r="M337" s="11" t="str">
        <f t="shared" si="5"/>
        <v/>
      </c>
    </row>
    <row r="338" spans="3:13" ht="14.4" hidden="1" customHeight="1" outlineLevel="1">
      <c r="C338" s="299">
        <v>34</v>
      </c>
      <c r="D338" s="1277"/>
      <c r="E338" s="1278"/>
      <c r="F338" s="1279"/>
      <c r="G338" s="806"/>
      <c r="H338" s="1280"/>
      <c r="I338" s="1281"/>
      <c r="J338" s="335"/>
      <c r="K338" s="613"/>
      <c r="L338" s="626"/>
      <c r="M338" s="11" t="str">
        <f t="shared" ref="M338:M369" si="6">IF(
    AND(D338="",G338="",J338="",K338="",L338=""),
    "",
    IF(
        IFERROR(LEN(LEFT(D338,FIND("-",D338)-1)),0)=13,
        IF(
            COUNTIF(enum_ListWasteCategories,D338)&gt;0,
            template_label_error,
            IF(
                AND(D338&lt;&gt;"",G338&lt;&gt;"",J338&lt;&gt;"",K338&lt;&gt;"",L338&lt;&gt;""),
                IF(
                    COUNTIF($D$305:$D$404,D338)&gt;1,
                    template_label_value_inconsistency,
                    template_label_ok
                ),
                template_label_missing_value
            )
        ),
        template_label_error
    )
)</f>
        <v/>
      </c>
    </row>
    <row r="339" spans="3:13" ht="14.4" hidden="1" customHeight="1" outlineLevel="1">
      <c r="C339" s="299">
        <v>35</v>
      </c>
      <c r="D339" s="1277"/>
      <c r="E339" s="1278"/>
      <c r="F339" s="1279"/>
      <c r="G339" s="806"/>
      <c r="H339" s="1280"/>
      <c r="I339" s="1281"/>
      <c r="J339" s="335"/>
      <c r="K339" s="613"/>
      <c r="L339" s="626"/>
      <c r="M339" s="11" t="str">
        <f t="shared" si="6"/>
        <v/>
      </c>
    </row>
    <row r="340" spans="3:13" ht="14.4" hidden="1" customHeight="1" outlineLevel="1">
      <c r="C340" s="299">
        <v>36</v>
      </c>
      <c r="D340" s="1277"/>
      <c r="E340" s="1278"/>
      <c r="F340" s="1279"/>
      <c r="G340" s="806"/>
      <c r="H340" s="1280"/>
      <c r="I340" s="1281"/>
      <c r="J340" s="335"/>
      <c r="K340" s="613"/>
      <c r="L340" s="626"/>
      <c r="M340" s="11" t="str">
        <f t="shared" si="6"/>
        <v/>
      </c>
    </row>
    <row r="341" spans="3:13" ht="14.4" hidden="1" customHeight="1" outlineLevel="1">
      <c r="C341" s="299">
        <v>37</v>
      </c>
      <c r="D341" s="1277"/>
      <c r="E341" s="1278"/>
      <c r="F341" s="1279"/>
      <c r="G341" s="806"/>
      <c r="H341" s="1280"/>
      <c r="I341" s="1281"/>
      <c r="J341" s="335"/>
      <c r="K341" s="613"/>
      <c r="L341" s="626"/>
      <c r="M341" s="11" t="str">
        <f t="shared" si="6"/>
        <v/>
      </c>
    </row>
    <row r="342" spans="3:13" ht="14.4" hidden="1" customHeight="1" outlineLevel="1">
      <c r="C342" s="299">
        <v>38</v>
      </c>
      <c r="D342" s="1277"/>
      <c r="E342" s="1278"/>
      <c r="F342" s="1279"/>
      <c r="G342" s="806"/>
      <c r="H342" s="1280"/>
      <c r="I342" s="1281"/>
      <c r="J342" s="335"/>
      <c r="K342" s="613"/>
      <c r="L342" s="626"/>
      <c r="M342" s="11" t="str">
        <f t="shared" si="6"/>
        <v/>
      </c>
    </row>
    <row r="343" spans="3:13" ht="14.4" hidden="1" customHeight="1" outlineLevel="1">
      <c r="C343" s="299">
        <v>39</v>
      </c>
      <c r="D343" s="1277"/>
      <c r="E343" s="1278"/>
      <c r="F343" s="1279"/>
      <c r="G343" s="806"/>
      <c r="H343" s="1280"/>
      <c r="I343" s="1281"/>
      <c r="J343" s="335"/>
      <c r="K343" s="613"/>
      <c r="L343" s="626"/>
      <c r="M343" s="11" t="str">
        <f t="shared" si="6"/>
        <v/>
      </c>
    </row>
    <row r="344" spans="3:13" ht="14.4" hidden="1" customHeight="1" outlineLevel="1">
      <c r="C344" s="299">
        <v>40</v>
      </c>
      <c r="D344" s="1277"/>
      <c r="E344" s="1278"/>
      <c r="F344" s="1279"/>
      <c r="G344" s="806"/>
      <c r="H344" s="1280"/>
      <c r="I344" s="1281"/>
      <c r="J344" s="335"/>
      <c r="K344" s="613"/>
      <c r="L344" s="626"/>
      <c r="M344" s="11" t="str">
        <f t="shared" si="6"/>
        <v/>
      </c>
    </row>
    <row r="345" spans="3:13" ht="14.4" hidden="1" customHeight="1" outlineLevel="1">
      <c r="C345" s="299">
        <v>41</v>
      </c>
      <c r="D345" s="1277"/>
      <c r="E345" s="1278"/>
      <c r="F345" s="1279"/>
      <c r="G345" s="806"/>
      <c r="H345" s="1280"/>
      <c r="I345" s="1281"/>
      <c r="J345" s="335"/>
      <c r="K345" s="613"/>
      <c r="L345" s="626"/>
      <c r="M345" s="11" t="str">
        <f t="shared" si="6"/>
        <v/>
      </c>
    </row>
    <row r="346" spans="3:13" ht="14.4" hidden="1" customHeight="1" outlineLevel="1">
      <c r="C346" s="299">
        <v>42</v>
      </c>
      <c r="D346" s="1277"/>
      <c r="E346" s="1278"/>
      <c r="F346" s="1279"/>
      <c r="G346" s="806"/>
      <c r="H346" s="1280"/>
      <c r="I346" s="1281"/>
      <c r="J346" s="335"/>
      <c r="K346" s="613"/>
      <c r="L346" s="626"/>
      <c r="M346" s="11" t="str">
        <f t="shared" si="6"/>
        <v/>
      </c>
    </row>
    <row r="347" spans="3:13" ht="14.4" hidden="1" customHeight="1" outlineLevel="1">
      <c r="C347" s="299">
        <v>43</v>
      </c>
      <c r="D347" s="1277"/>
      <c r="E347" s="1278"/>
      <c r="F347" s="1279"/>
      <c r="G347" s="806"/>
      <c r="H347" s="1280"/>
      <c r="I347" s="1281"/>
      <c r="J347" s="335"/>
      <c r="K347" s="613"/>
      <c r="L347" s="626"/>
      <c r="M347" s="11" t="str">
        <f t="shared" si="6"/>
        <v/>
      </c>
    </row>
    <row r="348" spans="3:13" ht="14.4" hidden="1" customHeight="1" outlineLevel="1">
      <c r="C348" s="299">
        <v>44</v>
      </c>
      <c r="D348" s="1277"/>
      <c r="E348" s="1278"/>
      <c r="F348" s="1279"/>
      <c r="G348" s="806"/>
      <c r="H348" s="1280"/>
      <c r="I348" s="1281"/>
      <c r="J348" s="335"/>
      <c r="K348" s="613"/>
      <c r="L348" s="626"/>
      <c r="M348" s="11" t="str">
        <f t="shared" si="6"/>
        <v/>
      </c>
    </row>
    <row r="349" spans="3:13" ht="14.4" hidden="1" customHeight="1" outlineLevel="1">
      <c r="C349" s="299">
        <v>45</v>
      </c>
      <c r="D349" s="1277"/>
      <c r="E349" s="1278"/>
      <c r="F349" s="1279"/>
      <c r="G349" s="806"/>
      <c r="H349" s="1280"/>
      <c r="I349" s="1281"/>
      <c r="J349" s="335"/>
      <c r="K349" s="613"/>
      <c r="L349" s="626"/>
      <c r="M349" s="11" t="str">
        <f t="shared" si="6"/>
        <v/>
      </c>
    </row>
    <row r="350" spans="3:13" ht="14.4" hidden="1" customHeight="1" outlineLevel="1">
      <c r="C350" s="299">
        <v>46</v>
      </c>
      <c r="D350" s="1277"/>
      <c r="E350" s="1278"/>
      <c r="F350" s="1279"/>
      <c r="G350" s="806"/>
      <c r="H350" s="1280"/>
      <c r="I350" s="1281"/>
      <c r="J350" s="335"/>
      <c r="K350" s="613"/>
      <c r="L350" s="626"/>
      <c r="M350" s="11" t="str">
        <f t="shared" si="6"/>
        <v/>
      </c>
    </row>
    <row r="351" spans="3:13" ht="14.4" hidden="1" customHeight="1" outlineLevel="1">
      <c r="C351" s="299">
        <v>47</v>
      </c>
      <c r="D351" s="1277"/>
      <c r="E351" s="1278"/>
      <c r="F351" s="1279"/>
      <c r="G351" s="806"/>
      <c r="H351" s="1280"/>
      <c r="I351" s="1281"/>
      <c r="J351" s="335"/>
      <c r="K351" s="613"/>
      <c r="L351" s="626"/>
      <c r="M351" s="11" t="str">
        <f t="shared" si="6"/>
        <v/>
      </c>
    </row>
    <row r="352" spans="3:13" ht="14.4" hidden="1" customHeight="1" outlineLevel="1">
      <c r="C352" s="299">
        <v>48</v>
      </c>
      <c r="D352" s="1277"/>
      <c r="E352" s="1278"/>
      <c r="F352" s="1279"/>
      <c r="G352" s="806"/>
      <c r="H352" s="1280"/>
      <c r="I352" s="1281"/>
      <c r="J352" s="335"/>
      <c r="K352" s="613"/>
      <c r="L352" s="626"/>
      <c r="M352" s="11" t="str">
        <f t="shared" si="6"/>
        <v/>
      </c>
    </row>
    <row r="353" spans="3:13" ht="14.4" hidden="1" customHeight="1" outlineLevel="1">
      <c r="C353" s="299">
        <v>49</v>
      </c>
      <c r="D353" s="1277"/>
      <c r="E353" s="1278"/>
      <c r="F353" s="1279"/>
      <c r="G353" s="806"/>
      <c r="H353" s="1280"/>
      <c r="I353" s="1281"/>
      <c r="J353" s="335"/>
      <c r="K353" s="613"/>
      <c r="L353" s="626"/>
      <c r="M353" s="11" t="str">
        <f t="shared" si="6"/>
        <v/>
      </c>
    </row>
    <row r="354" spans="3:13" ht="14.4" hidden="1" customHeight="1" outlineLevel="1">
      <c r="C354" s="299">
        <v>50</v>
      </c>
      <c r="D354" s="1277"/>
      <c r="E354" s="1278"/>
      <c r="F354" s="1279"/>
      <c r="G354" s="806"/>
      <c r="H354" s="1280"/>
      <c r="I354" s="1281"/>
      <c r="J354" s="335"/>
      <c r="K354" s="613"/>
      <c r="L354" s="626"/>
      <c r="M354" s="11" t="str">
        <f t="shared" si="6"/>
        <v/>
      </c>
    </row>
    <row r="355" spans="3:13" ht="14.4" hidden="1" customHeight="1" outlineLevel="1">
      <c r="C355" s="299">
        <v>51</v>
      </c>
      <c r="D355" s="1277"/>
      <c r="E355" s="1278"/>
      <c r="F355" s="1279"/>
      <c r="G355" s="806"/>
      <c r="H355" s="1280"/>
      <c r="I355" s="1281"/>
      <c r="J355" s="335"/>
      <c r="K355" s="613"/>
      <c r="L355" s="626"/>
      <c r="M355" s="11" t="str">
        <f t="shared" si="6"/>
        <v/>
      </c>
    </row>
    <row r="356" spans="3:13" ht="14.4" hidden="1" customHeight="1" outlineLevel="1">
      <c r="C356" s="299">
        <v>52</v>
      </c>
      <c r="D356" s="1277"/>
      <c r="E356" s="1278"/>
      <c r="F356" s="1279"/>
      <c r="G356" s="806"/>
      <c r="H356" s="1280"/>
      <c r="I356" s="1281"/>
      <c r="J356" s="335"/>
      <c r="K356" s="613"/>
      <c r="L356" s="626"/>
      <c r="M356" s="11" t="str">
        <f t="shared" si="6"/>
        <v/>
      </c>
    </row>
    <row r="357" spans="3:13" ht="14.4" hidden="1" customHeight="1" outlineLevel="1">
      <c r="C357" s="299">
        <v>53</v>
      </c>
      <c r="D357" s="1277"/>
      <c r="E357" s="1278"/>
      <c r="F357" s="1279"/>
      <c r="G357" s="806"/>
      <c r="H357" s="1280"/>
      <c r="I357" s="1281"/>
      <c r="J357" s="335"/>
      <c r="K357" s="613"/>
      <c r="L357" s="626"/>
      <c r="M357" s="11" t="str">
        <f t="shared" si="6"/>
        <v/>
      </c>
    </row>
    <row r="358" spans="3:13" ht="14.4" hidden="1" customHeight="1" outlineLevel="1">
      <c r="C358" s="299">
        <v>54</v>
      </c>
      <c r="D358" s="1277"/>
      <c r="E358" s="1278"/>
      <c r="F358" s="1279"/>
      <c r="G358" s="806"/>
      <c r="H358" s="1280"/>
      <c r="I358" s="1281"/>
      <c r="J358" s="335"/>
      <c r="K358" s="613"/>
      <c r="L358" s="626"/>
      <c r="M358" s="11" t="str">
        <f t="shared" si="6"/>
        <v/>
      </c>
    </row>
    <row r="359" spans="3:13" ht="14.4" hidden="1" customHeight="1" outlineLevel="1">
      <c r="C359" s="299">
        <v>55</v>
      </c>
      <c r="D359" s="1277"/>
      <c r="E359" s="1278"/>
      <c r="F359" s="1279"/>
      <c r="G359" s="806"/>
      <c r="H359" s="1280"/>
      <c r="I359" s="1281"/>
      <c r="J359" s="335"/>
      <c r="K359" s="613"/>
      <c r="L359" s="626"/>
      <c r="M359" s="11" t="str">
        <f t="shared" si="6"/>
        <v/>
      </c>
    </row>
    <row r="360" spans="3:13" ht="14.4" hidden="1" customHeight="1" outlineLevel="1">
      <c r="C360" s="299">
        <v>56</v>
      </c>
      <c r="D360" s="1277"/>
      <c r="E360" s="1278"/>
      <c r="F360" s="1279"/>
      <c r="G360" s="806"/>
      <c r="H360" s="1280"/>
      <c r="I360" s="1281"/>
      <c r="J360" s="335"/>
      <c r="K360" s="613"/>
      <c r="L360" s="626"/>
      <c r="M360" s="11" t="str">
        <f t="shared" si="6"/>
        <v/>
      </c>
    </row>
    <row r="361" spans="3:13" ht="14.4" hidden="1" customHeight="1" outlineLevel="1">
      <c r="C361" s="299">
        <v>57</v>
      </c>
      <c r="D361" s="1277"/>
      <c r="E361" s="1278"/>
      <c r="F361" s="1279"/>
      <c r="G361" s="806"/>
      <c r="H361" s="1280"/>
      <c r="I361" s="1281"/>
      <c r="J361" s="335"/>
      <c r="K361" s="613"/>
      <c r="L361" s="626"/>
      <c r="M361" s="11" t="str">
        <f t="shared" si="6"/>
        <v/>
      </c>
    </row>
    <row r="362" spans="3:13" ht="14.4" hidden="1" customHeight="1" outlineLevel="1">
      <c r="C362" s="299">
        <v>58</v>
      </c>
      <c r="D362" s="1277"/>
      <c r="E362" s="1278"/>
      <c r="F362" s="1279"/>
      <c r="G362" s="806"/>
      <c r="H362" s="1280"/>
      <c r="I362" s="1281"/>
      <c r="J362" s="335"/>
      <c r="K362" s="613"/>
      <c r="L362" s="626"/>
      <c r="M362" s="11" t="str">
        <f t="shared" si="6"/>
        <v/>
      </c>
    </row>
    <row r="363" spans="3:13" ht="14.4" hidden="1" customHeight="1" outlineLevel="1">
      <c r="C363" s="299">
        <v>59</v>
      </c>
      <c r="D363" s="1277"/>
      <c r="E363" s="1278"/>
      <c r="F363" s="1279"/>
      <c r="G363" s="806"/>
      <c r="H363" s="1280"/>
      <c r="I363" s="1281"/>
      <c r="J363" s="335"/>
      <c r="K363" s="613"/>
      <c r="L363" s="626"/>
      <c r="M363" s="11" t="str">
        <f t="shared" si="6"/>
        <v/>
      </c>
    </row>
    <row r="364" spans="3:13" ht="14.4" hidden="1" customHeight="1" outlineLevel="1">
      <c r="C364" s="299">
        <v>60</v>
      </c>
      <c r="D364" s="1277"/>
      <c r="E364" s="1278"/>
      <c r="F364" s="1279"/>
      <c r="G364" s="806"/>
      <c r="H364" s="1280"/>
      <c r="I364" s="1281"/>
      <c r="J364" s="335"/>
      <c r="K364" s="613"/>
      <c r="L364" s="626"/>
      <c r="M364" s="11" t="str">
        <f t="shared" si="6"/>
        <v/>
      </c>
    </row>
    <row r="365" spans="3:13" ht="14.4" hidden="1" customHeight="1" outlineLevel="1">
      <c r="C365" s="299">
        <v>61</v>
      </c>
      <c r="D365" s="1277"/>
      <c r="E365" s="1278"/>
      <c r="F365" s="1279"/>
      <c r="G365" s="806"/>
      <c r="H365" s="1280"/>
      <c r="I365" s="1281"/>
      <c r="J365" s="335"/>
      <c r="K365" s="613"/>
      <c r="L365" s="626"/>
      <c r="M365" s="11" t="str">
        <f t="shared" si="6"/>
        <v/>
      </c>
    </row>
    <row r="366" spans="3:13" ht="14.4" hidden="1" customHeight="1" outlineLevel="1">
      <c r="C366" s="299">
        <v>62</v>
      </c>
      <c r="D366" s="1277"/>
      <c r="E366" s="1278"/>
      <c r="F366" s="1279"/>
      <c r="G366" s="806"/>
      <c r="H366" s="1280"/>
      <c r="I366" s="1281"/>
      <c r="J366" s="335"/>
      <c r="K366" s="613"/>
      <c r="L366" s="626"/>
      <c r="M366" s="11" t="str">
        <f t="shared" si="6"/>
        <v/>
      </c>
    </row>
    <row r="367" spans="3:13" ht="14.4" hidden="1" customHeight="1" outlineLevel="1">
      <c r="C367" s="299">
        <v>63</v>
      </c>
      <c r="D367" s="1277"/>
      <c r="E367" s="1278"/>
      <c r="F367" s="1279"/>
      <c r="G367" s="806"/>
      <c r="H367" s="1280"/>
      <c r="I367" s="1281"/>
      <c r="J367" s="335"/>
      <c r="K367" s="613"/>
      <c r="L367" s="626"/>
      <c r="M367" s="11" t="str">
        <f t="shared" si="6"/>
        <v/>
      </c>
    </row>
    <row r="368" spans="3:13" ht="14.4" hidden="1" customHeight="1" outlineLevel="1">
      <c r="C368" s="299">
        <v>64</v>
      </c>
      <c r="D368" s="1277"/>
      <c r="E368" s="1278"/>
      <c r="F368" s="1279"/>
      <c r="G368" s="806"/>
      <c r="H368" s="1280"/>
      <c r="I368" s="1281"/>
      <c r="J368" s="335"/>
      <c r="K368" s="613"/>
      <c r="L368" s="626"/>
      <c r="M368" s="11" t="str">
        <f t="shared" si="6"/>
        <v/>
      </c>
    </row>
    <row r="369" spans="3:13" ht="14.4" hidden="1" customHeight="1" outlineLevel="1">
      <c r="C369" s="299">
        <v>65</v>
      </c>
      <c r="D369" s="1277"/>
      <c r="E369" s="1278"/>
      <c r="F369" s="1279"/>
      <c r="G369" s="806"/>
      <c r="H369" s="1280"/>
      <c r="I369" s="1281"/>
      <c r="J369" s="335"/>
      <c r="K369" s="613"/>
      <c r="L369" s="626"/>
      <c r="M369" s="11" t="str">
        <f t="shared" si="6"/>
        <v/>
      </c>
    </row>
    <row r="370" spans="3:13" ht="14.4" hidden="1" customHeight="1" outlineLevel="1">
      <c r="C370" s="299">
        <v>66</v>
      </c>
      <c r="D370" s="1277"/>
      <c r="E370" s="1278"/>
      <c r="F370" s="1279"/>
      <c r="G370" s="806"/>
      <c r="H370" s="1280"/>
      <c r="I370" s="1281"/>
      <c r="J370" s="335"/>
      <c r="K370" s="613"/>
      <c r="L370" s="626"/>
      <c r="M370" s="11" t="str">
        <f t="shared" ref="M370:M401" si="7">IF(
    AND(D370="",G370="",J370="",K370="",L370=""),
    "",
    IF(
        IFERROR(LEN(LEFT(D370,FIND("-",D370)-1)),0)=13,
        IF(
            COUNTIF(enum_ListWasteCategories,D370)&gt;0,
            template_label_error,
            IF(
                AND(D370&lt;&gt;"",G370&lt;&gt;"",J370&lt;&gt;"",K370&lt;&gt;"",L370&lt;&gt;""),
                IF(
                    COUNTIF($D$305:$D$404,D370)&gt;1,
                    template_label_value_inconsistency,
                    template_label_ok
                ),
                template_label_missing_value
            )
        ),
        template_label_error
    )
)</f>
        <v/>
      </c>
    </row>
    <row r="371" spans="3:13" ht="14.4" hidden="1" customHeight="1" outlineLevel="1">
      <c r="C371" s="299">
        <v>67</v>
      </c>
      <c r="D371" s="1277"/>
      <c r="E371" s="1278"/>
      <c r="F371" s="1279"/>
      <c r="G371" s="806"/>
      <c r="H371" s="1280"/>
      <c r="I371" s="1281"/>
      <c r="J371" s="335"/>
      <c r="K371" s="613"/>
      <c r="L371" s="626"/>
      <c r="M371" s="11" t="str">
        <f t="shared" si="7"/>
        <v/>
      </c>
    </row>
    <row r="372" spans="3:13" ht="14.4" hidden="1" customHeight="1" outlineLevel="1">
      <c r="C372" s="299">
        <v>68</v>
      </c>
      <c r="D372" s="1277"/>
      <c r="E372" s="1278"/>
      <c r="F372" s="1279"/>
      <c r="G372" s="806"/>
      <c r="H372" s="1280"/>
      <c r="I372" s="1281"/>
      <c r="J372" s="335"/>
      <c r="K372" s="613"/>
      <c r="L372" s="626"/>
      <c r="M372" s="11" t="str">
        <f t="shared" si="7"/>
        <v/>
      </c>
    </row>
    <row r="373" spans="3:13" ht="14.4" hidden="1" customHeight="1" outlineLevel="1">
      <c r="C373" s="299">
        <v>69</v>
      </c>
      <c r="D373" s="1277"/>
      <c r="E373" s="1278"/>
      <c r="F373" s="1279"/>
      <c r="G373" s="806"/>
      <c r="H373" s="1280"/>
      <c r="I373" s="1281"/>
      <c r="J373" s="335"/>
      <c r="K373" s="613"/>
      <c r="L373" s="626"/>
      <c r="M373" s="11" t="str">
        <f t="shared" si="7"/>
        <v/>
      </c>
    </row>
    <row r="374" spans="3:13" ht="14.4" hidden="1" customHeight="1" outlineLevel="1">
      <c r="C374" s="299">
        <v>70</v>
      </c>
      <c r="D374" s="1277"/>
      <c r="E374" s="1278"/>
      <c r="F374" s="1279"/>
      <c r="G374" s="806"/>
      <c r="H374" s="1280"/>
      <c r="I374" s="1281"/>
      <c r="J374" s="335"/>
      <c r="K374" s="613"/>
      <c r="L374" s="626"/>
      <c r="M374" s="11" t="str">
        <f t="shared" si="7"/>
        <v/>
      </c>
    </row>
    <row r="375" spans="3:13" ht="14.4" hidden="1" customHeight="1" outlineLevel="1">
      <c r="C375" s="299">
        <v>71</v>
      </c>
      <c r="D375" s="1277"/>
      <c r="E375" s="1278"/>
      <c r="F375" s="1279"/>
      <c r="G375" s="806"/>
      <c r="H375" s="1280"/>
      <c r="I375" s="1281"/>
      <c r="J375" s="335"/>
      <c r="K375" s="613"/>
      <c r="L375" s="626"/>
      <c r="M375" s="11" t="str">
        <f t="shared" si="7"/>
        <v/>
      </c>
    </row>
    <row r="376" spans="3:13" ht="14.4" hidden="1" customHeight="1" outlineLevel="1">
      <c r="C376" s="299">
        <v>72</v>
      </c>
      <c r="D376" s="1277"/>
      <c r="E376" s="1278"/>
      <c r="F376" s="1279"/>
      <c r="G376" s="806"/>
      <c r="H376" s="1280"/>
      <c r="I376" s="1281"/>
      <c r="J376" s="335"/>
      <c r="K376" s="613"/>
      <c r="L376" s="626"/>
      <c r="M376" s="11" t="str">
        <f t="shared" si="7"/>
        <v/>
      </c>
    </row>
    <row r="377" spans="3:13" ht="14.4" hidden="1" customHeight="1" outlineLevel="1">
      <c r="C377" s="299">
        <v>73</v>
      </c>
      <c r="D377" s="1277"/>
      <c r="E377" s="1278"/>
      <c r="F377" s="1279"/>
      <c r="G377" s="806"/>
      <c r="H377" s="1280"/>
      <c r="I377" s="1281"/>
      <c r="J377" s="335"/>
      <c r="K377" s="613"/>
      <c r="L377" s="626"/>
      <c r="M377" s="11" t="str">
        <f t="shared" si="7"/>
        <v/>
      </c>
    </row>
    <row r="378" spans="3:13" ht="14.4" hidden="1" customHeight="1" outlineLevel="1">
      <c r="C378" s="299">
        <v>74</v>
      </c>
      <c r="D378" s="1277"/>
      <c r="E378" s="1278"/>
      <c r="F378" s="1279"/>
      <c r="G378" s="806"/>
      <c r="H378" s="1280"/>
      <c r="I378" s="1281"/>
      <c r="J378" s="335"/>
      <c r="K378" s="613"/>
      <c r="L378" s="626"/>
      <c r="M378" s="11" t="str">
        <f t="shared" si="7"/>
        <v/>
      </c>
    </row>
    <row r="379" spans="3:13" ht="14.4" hidden="1" customHeight="1" outlineLevel="1">
      <c r="C379" s="299">
        <v>75</v>
      </c>
      <c r="D379" s="1277"/>
      <c r="E379" s="1278"/>
      <c r="F379" s="1279"/>
      <c r="G379" s="806"/>
      <c r="H379" s="1280"/>
      <c r="I379" s="1281"/>
      <c r="J379" s="335"/>
      <c r="K379" s="613"/>
      <c r="L379" s="626"/>
      <c r="M379" s="11" t="str">
        <f t="shared" si="7"/>
        <v/>
      </c>
    </row>
    <row r="380" spans="3:13" ht="14.4" hidden="1" customHeight="1" outlineLevel="1">
      <c r="C380" s="299">
        <v>76</v>
      </c>
      <c r="D380" s="1277"/>
      <c r="E380" s="1278"/>
      <c r="F380" s="1279"/>
      <c r="G380" s="806"/>
      <c r="H380" s="1280"/>
      <c r="I380" s="1281"/>
      <c r="J380" s="335"/>
      <c r="K380" s="613"/>
      <c r="L380" s="626"/>
      <c r="M380" s="11" t="str">
        <f t="shared" si="7"/>
        <v/>
      </c>
    </row>
    <row r="381" spans="3:13" ht="14.4" hidden="1" customHeight="1" outlineLevel="1">
      <c r="C381" s="299">
        <v>77</v>
      </c>
      <c r="D381" s="1277"/>
      <c r="E381" s="1278"/>
      <c r="F381" s="1279"/>
      <c r="G381" s="806"/>
      <c r="H381" s="1280"/>
      <c r="I381" s="1281"/>
      <c r="J381" s="335"/>
      <c r="K381" s="613"/>
      <c r="L381" s="626"/>
      <c r="M381" s="11" t="str">
        <f t="shared" si="7"/>
        <v/>
      </c>
    </row>
    <row r="382" spans="3:13" ht="14.4" hidden="1" customHeight="1" outlineLevel="1">
      <c r="C382" s="299">
        <v>78</v>
      </c>
      <c r="D382" s="1277"/>
      <c r="E382" s="1278"/>
      <c r="F382" s="1279"/>
      <c r="G382" s="806"/>
      <c r="H382" s="1280"/>
      <c r="I382" s="1281"/>
      <c r="J382" s="335"/>
      <c r="K382" s="613"/>
      <c r="L382" s="626"/>
      <c r="M382" s="11" t="str">
        <f t="shared" si="7"/>
        <v/>
      </c>
    </row>
    <row r="383" spans="3:13" ht="14.4" hidden="1" customHeight="1" outlineLevel="1">
      <c r="C383" s="299">
        <v>79</v>
      </c>
      <c r="D383" s="1277"/>
      <c r="E383" s="1278"/>
      <c r="F383" s="1279"/>
      <c r="G383" s="806"/>
      <c r="H383" s="1280"/>
      <c r="I383" s="1281"/>
      <c r="J383" s="335"/>
      <c r="K383" s="613"/>
      <c r="L383" s="626"/>
      <c r="M383" s="11" t="str">
        <f t="shared" si="7"/>
        <v/>
      </c>
    </row>
    <row r="384" spans="3:13" ht="14.4" hidden="1" customHeight="1" outlineLevel="1">
      <c r="C384" s="299">
        <v>80</v>
      </c>
      <c r="D384" s="1277"/>
      <c r="E384" s="1278"/>
      <c r="F384" s="1279"/>
      <c r="G384" s="806"/>
      <c r="H384" s="1280"/>
      <c r="I384" s="1281"/>
      <c r="J384" s="335"/>
      <c r="K384" s="613"/>
      <c r="L384" s="626"/>
      <c r="M384" s="11" t="str">
        <f t="shared" si="7"/>
        <v/>
      </c>
    </row>
    <row r="385" spans="3:13" ht="14.4" hidden="1" customHeight="1" outlineLevel="1">
      <c r="C385" s="299">
        <v>81</v>
      </c>
      <c r="D385" s="1277"/>
      <c r="E385" s="1278"/>
      <c r="F385" s="1279"/>
      <c r="G385" s="806"/>
      <c r="H385" s="1280"/>
      <c r="I385" s="1281"/>
      <c r="J385" s="335"/>
      <c r="K385" s="613"/>
      <c r="L385" s="626"/>
      <c r="M385" s="11" t="str">
        <f t="shared" si="7"/>
        <v/>
      </c>
    </row>
    <row r="386" spans="3:13" ht="14.4" hidden="1" customHeight="1" outlineLevel="1">
      <c r="C386" s="299">
        <v>82</v>
      </c>
      <c r="D386" s="1277"/>
      <c r="E386" s="1278"/>
      <c r="F386" s="1279"/>
      <c r="G386" s="806"/>
      <c r="H386" s="1280"/>
      <c r="I386" s="1281"/>
      <c r="J386" s="335"/>
      <c r="K386" s="613"/>
      <c r="L386" s="626"/>
      <c r="M386" s="11" t="str">
        <f t="shared" si="7"/>
        <v/>
      </c>
    </row>
    <row r="387" spans="3:13" ht="14.4" hidden="1" customHeight="1" outlineLevel="1">
      <c r="C387" s="299">
        <v>83</v>
      </c>
      <c r="D387" s="1277"/>
      <c r="E387" s="1278"/>
      <c r="F387" s="1279"/>
      <c r="G387" s="806"/>
      <c r="H387" s="1280"/>
      <c r="I387" s="1281"/>
      <c r="J387" s="225"/>
      <c r="K387" s="613"/>
      <c r="L387" s="626"/>
      <c r="M387" s="11" t="str">
        <f t="shared" si="7"/>
        <v/>
      </c>
    </row>
    <row r="388" spans="3:13" ht="14.4" hidden="1" customHeight="1" outlineLevel="1">
      <c r="C388" s="299">
        <v>84</v>
      </c>
      <c r="D388" s="1277"/>
      <c r="E388" s="1278"/>
      <c r="F388" s="1279"/>
      <c r="G388" s="806"/>
      <c r="H388" s="1280"/>
      <c r="I388" s="1281"/>
      <c r="J388" s="225"/>
      <c r="K388" s="613"/>
      <c r="L388" s="626"/>
      <c r="M388" s="11" t="str">
        <f t="shared" si="7"/>
        <v/>
      </c>
    </row>
    <row r="389" spans="3:13" ht="14.4" hidden="1" customHeight="1" outlineLevel="1">
      <c r="C389" s="299">
        <v>85</v>
      </c>
      <c r="D389" s="1277"/>
      <c r="E389" s="1278"/>
      <c r="F389" s="1279"/>
      <c r="G389" s="806"/>
      <c r="H389" s="1280"/>
      <c r="I389" s="1281"/>
      <c r="J389" s="225"/>
      <c r="K389" s="613"/>
      <c r="L389" s="626"/>
      <c r="M389" s="11" t="str">
        <f t="shared" si="7"/>
        <v/>
      </c>
    </row>
    <row r="390" spans="3:13" ht="14.4" hidden="1" customHeight="1" outlineLevel="1">
      <c r="C390" s="299">
        <v>86</v>
      </c>
      <c r="D390" s="1277"/>
      <c r="E390" s="1278"/>
      <c r="F390" s="1279"/>
      <c r="G390" s="806"/>
      <c r="H390" s="1280"/>
      <c r="I390" s="1281"/>
      <c r="J390" s="225"/>
      <c r="K390" s="613"/>
      <c r="L390" s="626"/>
      <c r="M390" s="11" t="str">
        <f t="shared" si="7"/>
        <v/>
      </c>
    </row>
    <row r="391" spans="3:13" ht="14.4" hidden="1" customHeight="1" outlineLevel="1">
      <c r="C391" s="299">
        <v>87</v>
      </c>
      <c r="D391" s="1277"/>
      <c r="E391" s="1278"/>
      <c r="F391" s="1279"/>
      <c r="G391" s="806"/>
      <c r="H391" s="1280"/>
      <c r="I391" s="1281"/>
      <c r="J391" s="225"/>
      <c r="K391" s="613"/>
      <c r="L391" s="626"/>
      <c r="M391" s="11" t="str">
        <f t="shared" si="7"/>
        <v/>
      </c>
    </row>
    <row r="392" spans="3:13" ht="14.4" hidden="1" customHeight="1" outlineLevel="1">
      <c r="C392" s="299">
        <v>88</v>
      </c>
      <c r="D392" s="1277"/>
      <c r="E392" s="1278"/>
      <c r="F392" s="1279"/>
      <c r="G392" s="806"/>
      <c r="H392" s="1280"/>
      <c r="I392" s="1281"/>
      <c r="J392" s="225"/>
      <c r="K392" s="613"/>
      <c r="L392" s="626"/>
      <c r="M392" s="11" t="str">
        <f t="shared" si="7"/>
        <v/>
      </c>
    </row>
    <row r="393" spans="3:13" ht="14.4" hidden="1" customHeight="1" outlineLevel="1">
      <c r="C393" s="299">
        <v>89</v>
      </c>
      <c r="D393" s="1277"/>
      <c r="E393" s="1278"/>
      <c r="F393" s="1279"/>
      <c r="G393" s="806"/>
      <c r="H393" s="1280"/>
      <c r="I393" s="1281"/>
      <c r="J393" s="225"/>
      <c r="K393" s="613"/>
      <c r="L393" s="626"/>
      <c r="M393" s="11" t="str">
        <f t="shared" si="7"/>
        <v/>
      </c>
    </row>
    <row r="394" spans="3:13" ht="14.4" hidden="1" customHeight="1" outlineLevel="1">
      <c r="C394" s="299">
        <v>90</v>
      </c>
      <c r="D394" s="1277"/>
      <c r="E394" s="1278"/>
      <c r="F394" s="1279"/>
      <c r="G394" s="806"/>
      <c r="H394" s="1280"/>
      <c r="I394" s="1281"/>
      <c r="J394" s="225"/>
      <c r="K394" s="613"/>
      <c r="L394" s="626"/>
      <c r="M394" s="11" t="str">
        <f t="shared" si="7"/>
        <v/>
      </c>
    </row>
    <row r="395" spans="3:13" ht="14.4" hidden="1" customHeight="1" outlineLevel="1">
      <c r="C395" s="299">
        <v>91</v>
      </c>
      <c r="D395" s="1277"/>
      <c r="E395" s="1278"/>
      <c r="F395" s="1279"/>
      <c r="G395" s="806"/>
      <c r="H395" s="1280"/>
      <c r="I395" s="1281"/>
      <c r="J395" s="225"/>
      <c r="K395" s="613"/>
      <c r="L395" s="626"/>
      <c r="M395" s="11" t="str">
        <f t="shared" si="7"/>
        <v/>
      </c>
    </row>
    <row r="396" spans="3:13" ht="14.4" hidden="1" customHeight="1" outlineLevel="1">
      <c r="C396" s="299">
        <v>92</v>
      </c>
      <c r="D396" s="1277"/>
      <c r="E396" s="1278"/>
      <c r="F396" s="1279"/>
      <c r="G396" s="806"/>
      <c r="H396" s="1280"/>
      <c r="I396" s="1281"/>
      <c r="J396" s="225"/>
      <c r="K396" s="613"/>
      <c r="L396" s="626"/>
      <c r="M396" s="11" t="str">
        <f t="shared" si="7"/>
        <v/>
      </c>
    </row>
    <row r="397" spans="3:13" ht="14.4" hidden="1" customHeight="1" outlineLevel="1">
      <c r="C397" s="299">
        <v>93</v>
      </c>
      <c r="D397" s="1277"/>
      <c r="E397" s="1278"/>
      <c r="F397" s="1279"/>
      <c r="G397" s="806"/>
      <c r="H397" s="1280"/>
      <c r="I397" s="1281"/>
      <c r="J397" s="225"/>
      <c r="K397" s="613"/>
      <c r="L397" s="626"/>
      <c r="M397" s="11" t="str">
        <f t="shared" si="7"/>
        <v/>
      </c>
    </row>
    <row r="398" spans="3:13" ht="14.4" hidden="1" customHeight="1" outlineLevel="1">
      <c r="C398" s="299">
        <v>94</v>
      </c>
      <c r="D398" s="1277"/>
      <c r="E398" s="1278"/>
      <c r="F398" s="1279"/>
      <c r="G398" s="806"/>
      <c r="H398" s="1280"/>
      <c r="I398" s="1281"/>
      <c r="J398" s="225"/>
      <c r="K398" s="613"/>
      <c r="L398" s="626"/>
      <c r="M398" s="11" t="str">
        <f t="shared" si="7"/>
        <v/>
      </c>
    </row>
    <row r="399" spans="3:13" ht="14.4" hidden="1" customHeight="1" outlineLevel="1">
      <c r="C399" s="299">
        <v>95</v>
      </c>
      <c r="D399" s="1277"/>
      <c r="E399" s="1278"/>
      <c r="F399" s="1279"/>
      <c r="G399" s="806"/>
      <c r="H399" s="1280"/>
      <c r="I399" s="1281"/>
      <c r="J399" s="225"/>
      <c r="K399" s="613"/>
      <c r="L399" s="626"/>
      <c r="M399" s="11" t="str">
        <f t="shared" si="7"/>
        <v/>
      </c>
    </row>
    <row r="400" spans="3:13" ht="14.4" hidden="1" customHeight="1" outlineLevel="1">
      <c r="C400" s="299">
        <v>96</v>
      </c>
      <c r="D400" s="1277"/>
      <c r="E400" s="1278"/>
      <c r="F400" s="1279"/>
      <c r="G400" s="806"/>
      <c r="H400" s="1280"/>
      <c r="I400" s="1281"/>
      <c r="J400" s="225"/>
      <c r="K400" s="613"/>
      <c r="L400" s="626"/>
      <c r="M400" s="11" t="str">
        <f t="shared" si="7"/>
        <v/>
      </c>
    </row>
    <row r="401" spans="3:16" ht="14.4" hidden="1" customHeight="1" outlineLevel="1">
      <c r="C401" s="299">
        <v>97</v>
      </c>
      <c r="D401" s="1277"/>
      <c r="E401" s="1278"/>
      <c r="F401" s="1279"/>
      <c r="G401" s="806"/>
      <c r="H401" s="1280"/>
      <c r="I401" s="1281"/>
      <c r="J401" s="225"/>
      <c r="K401" s="613"/>
      <c r="L401" s="626"/>
      <c r="M401" s="11" t="str">
        <f t="shared" si="7"/>
        <v/>
      </c>
    </row>
    <row r="402" spans="3:16" ht="14.4" hidden="1" customHeight="1" outlineLevel="1">
      <c r="C402" s="299">
        <v>98</v>
      </c>
      <c r="D402" s="1277"/>
      <c r="E402" s="1278"/>
      <c r="F402" s="1279"/>
      <c r="G402" s="806"/>
      <c r="H402" s="1280"/>
      <c r="I402" s="1281"/>
      <c r="J402" s="225"/>
      <c r="K402" s="613"/>
      <c r="L402" s="626"/>
      <c r="M402" s="11" t="str">
        <f t="shared" ref="M402:M404" si="8">IF(
    AND(D402="",G402="",J402="",K402="",L402=""),
    "",
    IF(
        IFERROR(LEN(LEFT(D402,FIND("-",D402)-1)),0)=13,
        IF(
            COUNTIF(enum_ListWasteCategories,D402)&gt;0,
            template_label_error,
            IF(
                AND(D402&lt;&gt;"",G402&lt;&gt;"",J402&lt;&gt;"",K402&lt;&gt;"",L402&lt;&gt;""),
                IF(
                    COUNTIF($D$305:$D$404,D402)&gt;1,
                    template_label_value_inconsistency,
                    template_label_ok
                ),
                template_label_missing_value
            )
        ),
        template_label_error
    )
)</f>
        <v/>
      </c>
    </row>
    <row r="403" spans="3:16" ht="14.4" hidden="1" customHeight="1" outlineLevel="1">
      <c r="C403" s="299">
        <v>99</v>
      </c>
      <c r="D403" s="1277"/>
      <c r="E403" s="1278"/>
      <c r="F403" s="1279"/>
      <c r="G403" s="806"/>
      <c r="H403" s="1280"/>
      <c r="I403" s="1281"/>
      <c r="J403" s="225"/>
      <c r="K403" s="613"/>
      <c r="L403" s="626"/>
      <c r="M403" s="11" t="str">
        <f t="shared" si="8"/>
        <v/>
      </c>
    </row>
    <row r="404" spans="3:16" ht="15" hidden="1" customHeight="1" outlineLevel="1" thickBot="1">
      <c r="C404" s="299">
        <v>100</v>
      </c>
      <c r="D404" s="1282"/>
      <c r="E404" s="1283"/>
      <c r="F404" s="1284"/>
      <c r="G404" s="1110"/>
      <c r="H404" s="1111"/>
      <c r="I404" s="1288"/>
      <c r="J404" s="335"/>
      <c r="K404" s="613"/>
      <c r="L404" s="626"/>
      <c r="M404" s="11" t="str">
        <f t="shared" si="8"/>
        <v/>
      </c>
    </row>
    <row r="405" spans="3:16" collapsed="1">
      <c r="C405" s="1020" t="str">
        <f>template_label_total_amount_of_waste_generated</f>
        <v>Total amount of waste generated</v>
      </c>
      <c r="D405" s="960" t="str">
        <f>template_label_total_hazardous_waste_generated_mass</f>
        <v>Total Hazardous waste generated (mass)</v>
      </c>
      <c r="E405" s="961"/>
      <c r="F405" s="962"/>
      <c r="G405" s="955" t="s">
        <v>38</v>
      </c>
      <c r="H405" s="956"/>
      <c r="I405" s="956"/>
      <c r="J405" s="1005" t="str">
        <f>IF(
OR(
COUNTIF(M305:M404,template_label_missing_value)&gt;0,
G405="",
AND(
COUNTA(D305:D404)=0,
COUNTA(J305:J404)=0,
COUNTA(K305:K404)=0
)
),
"-",
IF(
G427="metric tonnes (t)",
SUMIFS(J305:J404,D305:D404,"* Hazardous *",G305:G404,"kilograms (kg)")/1000+
SUMIFS(J305:J404,D305:D404,"* Hazardous *",G305:G404,"metric tonnes (t)"),
SUMIFS(J305:J404,D305:D404,"* Hazardous *",G305:G404,"kilograms (kg)")+
SUMIFS(J305:J404,D305:D404,"* Hazardous *",G305:G404,"metric tonnes (t)")*1000
)
)</f>
        <v>-</v>
      </c>
      <c r="K405" s="1006"/>
      <c r="L405" s="1007"/>
      <c r="M405" s="16" t="str" cm="1">
        <f t="array" ref="M405">IF(G405="",
    IF(SUMPRODUCT(--((G305:G404="metric tonnes (t)")+(G305:G404="kilograms (kg)")))&gt;0,
        template_label_missing_value,
        ""
    ),
    IF(SUMPRODUCT(--((G305:G404="metric tonnes (t)")+(G305:G404="kilograms (kg)")))&gt;0,
        template_label_ok,
        ""
    )
)</f>
        <v/>
      </c>
    </row>
    <row r="406" spans="3:16">
      <c r="C406" s="1021"/>
      <c r="D406" s="812" t="str">
        <f>template_label_total_non_hazardous_waste_generated_mass</f>
        <v>Total Non-Hazardous waste generated (mass)</v>
      </c>
      <c r="E406" s="813"/>
      <c r="F406" s="814"/>
      <c r="G406" s="1028" t="str">
        <f>IF($G$405="", "-", $G$405)</f>
        <v>metric tonnes (t)</v>
      </c>
      <c r="H406" s="1026"/>
      <c r="I406" s="1026"/>
      <c r="J406" s="1008" t="str">
        <f>IF(
OR(
COUNTIF(M305:M404,template_label_missing_value)&gt;0,
G405="",
AND(
COUNTA(D305:D404)=0,
COUNTA(J305:J404)=0,
COUNTA(K305:K404)=0
)
),
"-",
IF(
G427="metric tonnes (t)",
SUMIFS(J305:J404,D305:D404,"* Non-Hazardous *",G305:G404,"kilograms (kg)")/1000+
SUMIFS(J305:J404,D305:D404,"* Non-Hazardous *",G305:G404,"metric tonnes (t)"),
SUMIFS(J305:J404,D305:D404,"* Non-Hazardous *",G305:G404,"kilograms (kg)")+
SUMIFS(J305:J404,D305:D404,"* Non-Hazardous *",G305:G404,"metric tonnes (t)")*1000
)
)</f>
        <v>-</v>
      </c>
      <c r="K406" s="1009"/>
      <c r="L406" s="1010"/>
    </row>
    <row r="407" spans="3:16" ht="15" thickBot="1">
      <c r="C407" s="1021"/>
      <c r="D407" s="957" t="str">
        <f>template_label_total_waste_generated_mass</f>
        <v>Total waste generated (mass)</v>
      </c>
      <c r="E407" s="958"/>
      <c r="F407" s="959"/>
      <c r="G407" s="953" t="str">
        <f>IF($G$405="", "-", $G$405)</f>
        <v>metric tonnes (t)</v>
      </c>
      <c r="H407" s="954"/>
      <c r="I407" s="954"/>
      <c r="J407" s="1011" t="str">
        <f>IF(AND(J405="-",J406="-"),"-",SUM(J405:J406))</f>
        <v>-</v>
      </c>
      <c r="K407" s="1012"/>
      <c r="L407" s="1013"/>
    </row>
    <row r="408" spans="3:16">
      <c r="C408" s="1021"/>
      <c r="D408" s="809" t="str">
        <f>template_label_total_hazardous_waste_generated_volume</f>
        <v>Total Hazardous waste generated (volume)</v>
      </c>
      <c r="E408" s="810"/>
      <c r="F408" s="811"/>
      <c r="G408" s="807" t="str">
        <f>template_label_cubic_meters</f>
        <v>cubic meters (m³)</v>
      </c>
      <c r="H408" s="807"/>
      <c r="I408" s="807"/>
      <c r="J408" s="1005" t="str">
        <f>IF(
OR(
COUNTIF(M305:M404,template_label_missing_value)&gt;0,
AND(
COUNTA(D305:D404)=0,
COUNTA(J305:J404)=0,
COUNTA(K305:K404)=0
)
),
"-",
SUMIFS(J305:J404,D305:D404,"* Hazardous *",G305:G404,"*cubic meters (m3)*")
)</f>
        <v>-</v>
      </c>
      <c r="K408" s="1006"/>
      <c r="L408" s="1007"/>
    </row>
    <row r="409" spans="3:16">
      <c r="C409" s="1021"/>
      <c r="D409" s="812" t="str">
        <f>template_label_total_non_hazardous_waste_generated_volume</f>
        <v>Total Non-Hazardous waste generated (volume)</v>
      </c>
      <c r="E409" s="813"/>
      <c r="F409" s="814"/>
      <c r="G409" s="1026" t="str">
        <f>template_label_cubic_meters</f>
        <v>cubic meters (m³)</v>
      </c>
      <c r="H409" s="1026"/>
      <c r="I409" s="1026"/>
      <c r="J409" s="1008" t="str">
        <f>IF(
OR(
COUNTIF(M305:M404,template_label_missing_value)&gt;0,
AND(
COUNTA(D305:D404)=0,
COUNTA(J305:J404)=0,
COUNTA(K305:K404)=0
)
),
"-",
SUMIFS(J305:J404,D305:D404,"* Non-Hazardous *",G305:G404,"*cubic meters (m3)*")
)</f>
        <v>-</v>
      </c>
      <c r="K409" s="1009"/>
      <c r="L409" s="1010"/>
    </row>
    <row r="410" spans="3:16" ht="15" thickBot="1">
      <c r="C410" s="1021"/>
      <c r="D410" s="1029" t="str">
        <f>template_label_total_waste_generated_volume</f>
        <v>Total waste generated (volume)</v>
      </c>
      <c r="E410" s="1030"/>
      <c r="F410" s="1031"/>
      <c r="G410" s="1027" t="str">
        <f>template_label_cubic_meters</f>
        <v>cubic meters (m³)</v>
      </c>
      <c r="H410" s="1027"/>
      <c r="I410" s="1027"/>
      <c r="J410" s="1011" t="str">
        <f>IF(AND(J408="-",J409="-"),"-",SUM(J408:J409))</f>
        <v>-</v>
      </c>
      <c r="K410" s="1012"/>
      <c r="L410" s="1013"/>
      <c r="P410" s="614"/>
    </row>
    <row r="411" spans="3:16">
      <c r="C411" s="833"/>
      <c r="D411" s="960" t="str">
        <f>template_label_total_waste_percentage_recycling_mass</f>
        <v>Overall percentage of waste diverted to recycling (mass)</v>
      </c>
      <c r="E411" s="961"/>
      <c r="F411" s="962"/>
      <c r="G411" s="1005" t="str">
        <f>template_label_total_waste_generated_percent</f>
        <v>Percent (%)</v>
      </c>
      <c r="H411" s="1006"/>
      <c r="I411" s="1007"/>
      <c r="J411" s="1014" t="str" cm="1">
        <f t="array" ref="J411">IF(
COUNTIF(M305:M404,template_label_missing_value)&gt;0,
"-",
IFERROR(
SUMPRODUCT(K305:K404,IF(G305:G404="metric tonnes (t)",J305:J404*1000,IF(G305:G404="kilograms (kg)",J305:J404,0)))/
SUMPRODUCT(IF(G305:G404="metric tonnes (t)",J305:J404*1000,IF(G305:G404="kilograms (kg)",J305:J404,0))),
"-"
)
)</f>
        <v>-</v>
      </c>
      <c r="K411" s="1015"/>
      <c r="L411" s="1016"/>
    </row>
    <row r="412" spans="3:16" ht="15" thickBot="1">
      <c r="C412" s="833"/>
      <c r="D412" s="957" t="str">
        <f>template_label_total_waste_percentage_preparation_mass</f>
        <v>Overall percentage of waste diverted to preparation for reuse (mass)</v>
      </c>
      <c r="E412" s="958"/>
      <c r="F412" s="959"/>
      <c r="G412" s="1011" t="str">
        <f>template_label_total_waste_generated_percent</f>
        <v>Percent (%)</v>
      </c>
      <c r="H412" s="1012"/>
      <c r="I412" s="1013"/>
      <c r="J412" s="1017" t="str">
        <f>IFERROR(IF(J411&lt;&gt;"",1-J411,""),"-")</f>
        <v>-</v>
      </c>
      <c r="K412" s="1018"/>
      <c r="L412" s="1019"/>
    </row>
    <row r="413" spans="3:16">
      <c r="C413" s="833"/>
      <c r="D413" s="960" t="str">
        <f>template_label_total_waste_percentage_recycling_volume</f>
        <v>Overall percentage of waste diverted to recycling (volume)</v>
      </c>
      <c r="E413" s="961"/>
      <c r="F413" s="962"/>
      <c r="G413" s="1005" t="str">
        <f>template_label_total_waste_generated_percent</f>
        <v>Percent (%)</v>
      </c>
      <c r="H413" s="1006"/>
      <c r="I413" s="1007"/>
      <c r="J413" s="1014" t="str" cm="1">
        <f t="array" ref="J413">IF(
COUNTIF(M305:M404,template_label_missing_value)&gt;0,
"-",
IFERROR(
SUMPRODUCT((G305:G404="cubic meters (m3)")*J305:J404*K305:K404)/
SUMPRODUCT((G305:G404="cubic meters (m3)")*J305:J404),
"-"
)
)</f>
        <v>-</v>
      </c>
      <c r="K413" s="1015"/>
      <c r="L413" s="1016"/>
    </row>
    <row r="414" spans="3:16" ht="15" thickBot="1">
      <c r="C414" s="1022"/>
      <c r="D414" s="957" t="str">
        <f>template_label_total_waste_percentage_preparation_volume</f>
        <v>Overall percentage of waste diverted to preparation for reuse (volume)</v>
      </c>
      <c r="E414" s="958"/>
      <c r="F414" s="959"/>
      <c r="G414" s="1011" t="str">
        <f>template_label_total_waste_generated_percent</f>
        <v>Percent (%)</v>
      </c>
      <c r="H414" s="1012"/>
      <c r="I414" s="1013"/>
      <c r="J414" s="1023" t="str">
        <f>IFERROR(IF(J413&lt;&gt;"",1-J413,""),"-")</f>
        <v>-</v>
      </c>
      <c r="K414" s="1024"/>
      <c r="L414" s="1025"/>
    </row>
    <row r="415" spans="3:16" ht="15" thickBot="1"/>
    <row r="416" spans="3:16" ht="15" thickBot="1">
      <c r="C416" s="727" t="str">
        <f>template_label_b7_annual_mass_flow_of_relevant_materials_used&amp;" "&amp;template_label_from&amp;" "&amp;template_starting_date_display&amp;" "&amp;template_label_to&amp;" "&amp;template_ending_date_display&amp;" "</f>
        <v xml:space="preserve">B7 - Annual mass-flow of relevant materials used from - to - </v>
      </c>
      <c r="D416" s="815"/>
      <c r="E416" s="815"/>
      <c r="F416" s="815"/>
      <c r="G416" s="815"/>
      <c r="H416" s="815"/>
      <c r="I416" s="815"/>
      <c r="J416" s="816"/>
    </row>
    <row r="417" spans="1:12">
      <c r="A417" s="1275"/>
      <c r="C417" s="702" t="s">
        <v>40</v>
      </c>
      <c r="D417" s="817"/>
      <c r="E417" s="817"/>
      <c r="F417" s="817"/>
      <c r="G417" s="817"/>
      <c r="H417" s="817"/>
      <c r="I417" s="817"/>
      <c r="J417" s="818"/>
    </row>
    <row r="418" spans="1:12">
      <c r="A418" s="1275"/>
      <c r="C418" s="711"/>
      <c r="D418" s="686"/>
      <c r="E418" s="686"/>
      <c r="F418" s="686"/>
      <c r="G418" s="686"/>
      <c r="H418" s="686"/>
      <c r="I418" s="686"/>
      <c r="J418" s="808"/>
      <c r="K418" s="11"/>
      <c r="L418" s="11"/>
    </row>
    <row r="419" spans="1:12" ht="30" customHeight="1">
      <c r="A419" s="1275"/>
      <c r="C419" s="715" t="str">
        <f>template_label_does_the_undertaking_operate_in_a_sector_using_significant_material_flows</f>
        <v>Voluntary for undertakings with 10 employees or less - Does the undertaking the undertaking operate in a sector using significant material flows (for example manufacturing construction packaging or others)?</v>
      </c>
      <c r="D419" s="819"/>
      <c r="E419" s="819"/>
      <c r="F419" s="820"/>
      <c r="G419" s="716" t="b">
        <v>0</v>
      </c>
      <c r="H419" s="800"/>
      <c r="I419" s="800"/>
      <c r="J419" s="801"/>
    </row>
    <row r="420" spans="1:12" ht="43.5" customHeight="1">
      <c r="A420" s="1275"/>
      <c r="C420" s="119" t="str">
        <f>template_label_row_id</f>
        <v>Row ID</v>
      </c>
      <c r="D420" s="802" t="str">
        <f>template_label_name_of_the_key_material</f>
        <v>Name of the key material</v>
      </c>
      <c r="E420" s="802"/>
      <c r="F420" s="802"/>
      <c r="G420" s="802" t="str">
        <f>template_label_mass_volume</f>
        <v>Mass / Volume</v>
      </c>
      <c r="H420" s="802"/>
      <c r="I420" s="802"/>
      <c r="J420" s="94" t="str">
        <f>template_label_unit_of_measurement</f>
        <v>Unit of measurement</v>
      </c>
    </row>
    <row r="421" spans="1:12">
      <c r="A421" s="1275"/>
      <c r="C421" s="190">
        <v>1</v>
      </c>
      <c r="D421" s="803"/>
      <c r="E421" s="803"/>
      <c r="F421" s="803"/>
      <c r="G421" s="793"/>
      <c r="H421" s="793"/>
      <c r="I421" s="793"/>
      <c r="J421" s="122"/>
      <c r="K421" s="17" t="str">
        <f>IF(AND(G419=TRUE,D421&lt;&gt;"",G421&lt;&gt;"",J421&lt;&gt;""),
    template_label_ok,
    IF(AND(G419=TRUE,OR(D421="",G421="",J421="")),
        template_label_missing_value,
        ""
    )
)</f>
        <v/>
      </c>
    </row>
    <row r="422" spans="1:12">
      <c r="A422" s="1275"/>
      <c r="C422" s="190">
        <v>2</v>
      </c>
      <c r="D422" s="804"/>
      <c r="E422" s="804"/>
      <c r="F422" s="804"/>
      <c r="G422" s="793"/>
      <c r="H422" s="793"/>
      <c r="I422" s="793"/>
      <c r="J422" s="122"/>
      <c r="K422" s="17" t="str">
        <f t="shared" ref="K422:K520" si="9">IF(AND(D422&lt;&gt;"",G422&lt;&gt;"",J422&lt;&gt;""),
    template_label_ok,
    IF(AND(D422&lt;&gt;"",G422&lt;&gt;"",J422=""),
        template_label_missing_value,
        IF(AND(D422&lt;&gt;"",G422="",J422&lt;&gt;""),
            template_label_missing_value,
            IF(AND(D422&lt;&gt;"",G422="",J422=""),
                template_label_missing_value,
                IF(AND(D422="",G422="",J422=""),
                    "",
                    template_label_missing_value
                )
            )
        )
    )
)</f>
        <v/>
      </c>
    </row>
    <row r="423" spans="1:12">
      <c r="A423" s="1275"/>
      <c r="C423" s="190">
        <v>3</v>
      </c>
      <c r="D423" s="804"/>
      <c r="E423" s="804"/>
      <c r="F423" s="804"/>
      <c r="G423" s="793"/>
      <c r="H423" s="793"/>
      <c r="I423" s="793"/>
      <c r="J423" s="122"/>
      <c r="K423" s="17" t="str">
        <f t="shared" si="9"/>
        <v/>
      </c>
      <c r="L423" t="str">
        <f>template_label_additional_rows_warning</f>
        <v>ℹ️  Lists can be expanded using the little [+] button on the left.  If the number of rows is not sufficient, those can be added by right clicking the second row and selecting "Insert row".</v>
      </c>
    </row>
    <row r="424" spans="1:12" hidden="1" outlineLevel="2">
      <c r="A424" s="1275"/>
      <c r="C424" s="190">
        <v>4</v>
      </c>
      <c r="D424" s="804"/>
      <c r="E424" s="804"/>
      <c r="F424" s="804"/>
      <c r="G424" s="793"/>
      <c r="H424" s="793"/>
      <c r="I424" s="793"/>
      <c r="J424" s="122"/>
      <c r="K424" s="17" t="str">
        <f t="shared" si="9"/>
        <v/>
      </c>
    </row>
    <row r="425" spans="1:12" hidden="1" outlineLevel="2">
      <c r="A425" s="1275"/>
      <c r="C425" s="190">
        <v>5</v>
      </c>
      <c r="D425" s="804"/>
      <c r="E425" s="804"/>
      <c r="F425" s="804"/>
      <c r="G425" s="793"/>
      <c r="H425" s="793"/>
      <c r="I425" s="793"/>
      <c r="J425" s="122"/>
      <c r="K425" s="17" t="str">
        <f t="shared" si="9"/>
        <v/>
      </c>
    </row>
    <row r="426" spans="1:12" hidden="1" outlineLevel="2">
      <c r="A426" s="1275"/>
      <c r="C426" s="190">
        <v>6</v>
      </c>
      <c r="D426" s="803"/>
      <c r="E426" s="803"/>
      <c r="F426" s="803"/>
      <c r="G426" s="793"/>
      <c r="H426" s="793"/>
      <c r="I426" s="793"/>
      <c r="J426" s="122"/>
      <c r="K426" s="17" t="str">
        <f t="shared" si="9"/>
        <v/>
      </c>
    </row>
    <row r="427" spans="1:12" hidden="1" outlineLevel="2">
      <c r="A427" s="1275"/>
      <c r="C427" s="190">
        <v>7</v>
      </c>
      <c r="D427" s="803"/>
      <c r="E427" s="803"/>
      <c r="F427" s="803"/>
      <c r="G427" s="793"/>
      <c r="H427" s="793"/>
      <c r="I427" s="793"/>
      <c r="J427" s="122"/>
      <c r="K427" s="17" t="str">
        <f t="shared" si="9"/>
        <v/>
      </c>
    </row>
    <row r="428" spans="1:12" hidden="1" outlineLevel="2">
      <c r="A428" s="1275"/>
      <c r="C428" s="190">
        <v>8</v>
      </c>
      <c r="D428" s="803"/>
      <c r="E428" s="803"/>
      <c r="F428" s="803"/>
      <c r="G428" s="793"/>
      <c r="H428" s="793"/>
      <c r="I428" s="793"/>
      <c r="J428" s="122"/>
      <c r="K428" s="17" t="str">
        <f t="shared" si="9"/>
        <v/>
      </c>
    </row>
    <row r="429" spans="1:12" hidden="1" outlineLevel="2">
      <c r="A429" s="1275"/>
      <c r="C429" s="190">
        <v>9</v>
      </c>
      <c r="D429" s="803"/>
      <c r="E429" s="803"/>
      <c r="F429" s="803"/>
      <c r="G429" s="793"/>
      <c r="H429" s="793"/>
      <c r="I429" s="793"/>
      <c r="J429" s="122"/>
      <c r="K429" s="17" t="str">
        <f t="shared" si="9"/>
        <v/>
      </c>
    </row>
    <row r="430" spans="1:12" hidden="1" outlineLevel="2">
      <c r="A430" s="1275"/>
      <c r="C430" s="190">
        <v>10</v>
      </c>
      <c r="D430" s="803"/>
      <c r="E430" s="803"/>
      <c r="F430" s="803"/>
      <c r="G430" s="793"/>
      <c r="H430" s="793"/>
      <c r="I430" s="793"/>
      <c r="J430" s="122"/>
      <c r="K430" s="17" t="str">
        <f t="shared" si="9"/>
        <v/>
      </c>
    </row>
    <row r="431" spans="1:12" hidden="1" outlineLevel="2">
      <c r="A431" s="1275"/>
      <c r="C431" s="190">
        <v>11</v>
      </c>
      <c r="D431" s="797"/>
      <c r="E431" s="798"/>
      <c r="F431" s="799"/>
      <c r="G431" s="793"/>
      <c r="H431" s="793"/>
      <c r="I431" s="793"/>
      <c r="J431" s="122"/>
      <c r="K431" s="17" t="str">
        <f t="shared" si="9"/>
        <v/>
      </c>
    </row>
    <row r="432" spans="1:12" hidden="1" outlineLevel="2">
      <c r="A432" s="1275"/>
      <c r="C432" s="190">
        <v>12</v>
      </c>
      <c r="D432" s="797"/>
      <c r="E432" s="798"/>
      <c r="F432" s="799"/>
      <c r="G432" s="793"/>
      <c r="H432" s="793"/>
      <c r="I432" s="793"/>
      <c r="J432" s="122"/>
      <c r="K432" s="17" t="str">
        <f t="shared" si="9"/>
        <v/>
      </c>
    </row>
    <row r="433" spans="1:11" hidden="1" outlineLevel="2">
      <c r="A433" s="1275"/>
      <c r="C433" s="190">
        <v>13</v>
      </c>
      <c r="D433" s="797"/>
      <c r="E433" s="798"/>
      <c r="F433" s="799"/>
      <c r="G433" s="793"/>
      <c r="H433" s="793"/>
      <c r="I433" s="793"/>
      <c r="J433" s="122"/>
      <c r="K433" s="17" t="str">
        <f t="shared" si="9"/>
        <v/>
      </c>
    </row>
    <row r="434" spans="1:11" hidden="1" outlineLevel="2">
      <c r="A434" s="1275"/>
      <c r="C434" s="190">
        <v>14</v>
      </c>
      <c r="D434" s="797"/>
      <c r="E434" s="798"/>
      <c r="F434" s="799"/>
      <c r="G434" s="793"/>
      <c r="H434" s="793"/>
      <c r="I434" s="793"/>
      <c r="J434" s="122"/>
      <c r="K434" s="17" t="str">
        <f t="shared" si="9"/>
        <v/>
      </c>
    </row>
    <row r="435" spans="1:11" hidden="1" outlineLevel="2">
      <c r="A435" s="1275"/>
      <c r="C435" s="190">
        <v>15</v>
      </c>
      <c r="D435" s="797"/>
      <c r="E435" s="798"/>
      <c r="F435" s="799"/>
      <c r="G435" s="793"/>
      <c r="H435" s="793"/>
      <c r="I435" s="793"/>
      <c r="J435" s="122"/>
      <c r="K435" s="17" t="str">
        <f t="shared" si="9"/>
        <v/>
      </c>
    </row>
    <row r="436" spans="1:11" hidden="1" outlineLevel="2">
      <c r="A436" s="1275"/>
      <c r="C436" s="190">
        <v>16</v>
      </c>
      <c r="D436" s="797"/>
      <c r="E436" s="798"/>
      <c r="F436" s="799"/>
      <c r="G436" s="793"/>
      <c r="H436" s="793"/>
      <c r="I436" s="793"/>
      <c r="J436" s="122"/>
      <c r="K436" s="17" t="str">
        <f t="shared" si="9"/>
        <v/>
      </c>
    </row>
    <row r="437" spans="1:11" hidden="1" outlineLevel="2">
      <c r="A437" s="1275"/>
      <c r="C437" s="190">
        <v>17</v>
      </c>
      <c r="D437" s="797"/>
      <c r="E437" s="798"/>
      <c r="F437" s="799"/>
      <c r="G437" s="793"/>
      <c r="H437" s="793"/>
      <c r="I437" s="793"/>
      <c r="J437" s="122"/>
      <c r="K437" s="17" t="str">
        <f t="shared" si="9"/>
        <v/>
      </c>
    </row>
    <row r="438" spans="1:11" hidden="1" outlineLevel="2">
      <c r="A438" s="1275"/>
      <c r="C438" s="190">
        <v>18</v>
      </c>
      <c r="D438" s="797"/>
      <c r="E438" s="798"/>
      <c r="F438" s="799"/>
      <c r="G438" s="793"/>
      <c r="H438" s="793"/>
      <c r="I438" s="793"/>
      <c r="J438" s="122"/>
      <c r="K438" s="17" t="str">
        <f t="shared" si="9"/>
        <v/>
      </c>
    </row>
    <row r="439" spans="1:11" hidden="1" outlineLevel="2">
      <c r="A439" s="1275"/>
      <c r="C439" s="190">
        <v>19</v>
      </c>
      <c r="D439" s="797"/>
      <c r="E439" s="798"/>
      <c r="F439" s="799"/>
      <c r="G439" s="793"/>
      <c r="H439" s="793"/>
      <c r="I439" s="793"/>
      <c r="J439" s="122"/>
      <c r="K439" s="17" t="str">
        <f t="shared" si="9"/>
        <v/>
      </c>
    </row>
    <row r="440" spans="1:11" hidden="1" outlineLevel="2">
      <c r="A440" s="1275"/>
      <c r="C440" s="190">
        <v>20</v>
      </c>
      <c r="D440" s="797"/>
      <c r="E440" s="798"/>
      <c r="F440" s="799"/>
      <c r="G440" s="793"/>
      <c r="H440" s="793"/>
      <c r="I440" s="793"/>
      <c r="J440" s="122"/>
      <c r="K440" s="17" t="str">
        <f t="shared" si="9"/>
        <v/>
      </c>
    </row>
    <row r="441" spans="1:11" hidden="1" outlineLevel="2">
      <c r="A441" s="1275"/>
      <c r="C441" s="190">
        <v>21</v>
      </c>
      <c r="D441" s="797"/>
      <c r="E441" s="798"/>
      <c r="F441" s="799"/>
      <c r="G441" s="793"/>
      <c r="H441" s="793"/>
      <c r="I441" s="793"/>
      <c r="J441" s="122"/>
      <c r="K441" s="17" t="str">
        <f t="shared" si="9"/>
        <v/>
      </c>
    </row>
    <row r="442" spans="1:11" hidden="1" outlineLevel="2">
      <c r="A442" s="1275"/>
      <c r="C442" s="190">
        <v>22</v>
      </c>
      <c r="D442" s="797"/>
      <c r="E442" s="798"/>
      <c r="F442" s="799"/>
      <c r="G442" s="793"/>
      <c r="H442" s="793"/>
      <c r="I442" s="793"/>
      <c r="J442" s="122"/>
      <c r="K442" s="17" t="str">
        <f t="shared" si="9"/>
        <v/>
      </c>
    </row>
    <row r="443" spans="1:11" hidden="1" outlineLevel="2">
      <c r="A443" s="1275"/>
      <c r="C443" s="190">
        <v>23</v>
      </c>
      <c r="D443" s="797"/>
      <c r="E443" s="798"/>
      <c r="F443" s="799"/>
      <c r="G443" s="793"/>
      <c r="H443" s="793"/>
      <c r="I443" s="793"/>
      <c r="J443" s="122"/>
      <c r="K443" s="17" t="str">
        <f t="shared" si="9"/>
        <v/>
      </c>
    </row>
    <row r="444" spans="1:11" hidden="1" outlineLevel="2">
      <c r="A444" s="1275"/>
      <c r="C444" s="190">
        <v>24</v>
      </c>
      <c r="D444" s="797"/>
      <c r="E444" s="798"/>
      <c r="F444" s="799"/>
      <c r="G444" s="793"/>
      <c r="H444" s="793"/>
      <c r="I444" s="793"/>
      <c r="J444" s="122"/>
      <c r="K444" s="17" t="str">
        <f t="shared" si="9"/>
        <v/>
      </c>
    </row>
    <row r="445" spans="1:11" hidden="1" outlineLevel="2">
      <c r="A445" s="1275"/>
      <c r="C445" s="190">
        <v>25</v>
      </c>
      <c r="D445" s="797"/>
      <c r="E445" s="798"/>
      <c r="F445" s="799"/>
      <c r="G445" s="793"/>
      <c r="H445" s="793"/>
      <c r="I445" s="793"/>
      <c r="J445" s="122"/>
      <c r="K445" s="17" t="str">
        <f t="shared" si="9"/>
        <v/>
      </c>
    </row>
    <row r="446" spans="1:11" hidden="1" outlineLevel="2">
      <c r="A446" s="1275"/>
      <c r="C446" s="190">
        <v>26</v>
      </c>
      <c r="D446" s="797"/>
      <c r="E446" s="798"/>
      <c r="F446" s="799"/>
      <c r="G446" s="793"/>
      <c r="H446" s="793"/>
      <c r="I446" s="793"/>
      <c r="J446" s="122"/>
      <c r="K446" s="17" t="str">
        <f t="shared" si="9"/>
        <v/>
      </c>
    </row>
    <row r="447" spans="1:11" hidden="1" outlineLevel="2">
      <c r="A447" s="1275"/>
      <c r="C447" s="190">
        <v>27</v>
      </c>
      <c r="D447" s="797"/>
      <c r="E447" s="798"/>
      <c r="F447" s="799"/>
      <c r="G447" s="793"/>
      <c r="H447" s="793"/>
      <c r="I447" s="793"/>
      <c r="J447" s="122"/>
      <c r="K447" s="17" t="str">
        <f t="shared" si="9"/>
        <v/>
      </c>
    </row>
    <row r="448" spans="1:11" hidden="1" outlineLevel="2">
      <c r="A448" s="1275"/>
      <c r="C448" s="190">
        <v>28</v>
      </c>
      <c r="D448" s="797"/>
      <c r="E448" s="798"/>
      <c r="F448" s="799"/>
      <c r="G448" s="793"/>
      <c r="H448" s="793"/>
      <c r="I448" s="793"/>
      <c r="J448" s="122"/>
      <c r="K448" s="17" t="str">
        <f t="shared" si="9"/>
        <v/>
      </c>
    </row>
    <row r="449" spans="1:11" hidden="1" outlineLevel="2">
      <c r="A449" s="1275"/>
      <c r="C449" s="190">
        <v>29</v>
      </c>
      <c r="D449" s="797"/>
      <c r="E449" s="798"/>
      <c r="F449" s="799"/>
      <c r="G449" s="793"/>
      <c r="H449" s="793"/>
      <c r="I449" s="793"/>
      <c r="J449" s="122"/>
      <c r="K449" s="17" t="str">
        <f t="shared" si="9"/>
        <v/>
      </c>
    </row>
    <row r="450" spans="1:11" hidden="1" outlineLevel="2">
      <c r="A450" s="1275"/>
      <c r="C450" s="190">
        <v>30</v>
      </c>
      <c r="D450" s="797"/>
      <c r="E450" s="798"/>
      <c r="F450" s="799"/>
      <c r="G450" s="793"/>
      <c r="H450" s="793"/>
      <c r="I450" s="793"/>
      <c r="J450" s="122"/>
      <c r="K450" s="17" t="str">
        <f t="shared" si="9"/>
        <v/>
      </c>
    </row>
    <row r="451" spans="1:11" hidden="1" outlineLevel="2">
      <c r="A451" s="1275"/>
      <c r="C451" s="190">
        <v>31</v>
      </c>
      <c r="D451" s="797"/>
      <c r="E451" s="798"/>
      <c r="F451" s="799"/>
      <c r="G451" s="793"/>
      <c r="H451" s="793"/>
      <c r="I451" s="793"/>
      <c r="J451" s="122"/>
      <c r="K451" s="17" t="str">
        <f t="shared" si="9"/>
        <v/>
      </c>
    </row>
    <row r="452" spans="1:11" hidden="1" outlineLevel="2">
      <c r="A452" s="1275"/>
      <c r="C452" s="190">
        <v>32</v>
      </c>
      <c r="D452" s="797"/>
      <c r="E452" s="798"/>
      <c r="F452" s="799"/>
      <c r="G452" s="793"/>
      <c r="H452" s="793"/>
      <c r="I452" s="793"/>
      <c r="J452" s="122"/>
      <c r="K452" s="17" t="str">
        <f t="shared" si="9"/>
        <v/>
      </c>
    </row>
    <row r="453" spans="1:11" hidden="1" outlineLevel="2">
      <c r="A453" s="1275"/>
      <c r="C453" s="190">
        <v>33</v>
      </c>
      <c r="D453" s="797"/>
      <c r="E453" s="798"/>
      <c r="F453" s="799"/>
      <c r="G453" s="793"/>
      <c r="H453" s="793"/>
      <c r="I453" s="793"/>
      <c r="J453" s="122"/>
      <c r="K453" s="17" t="str">
        <f t="shared" si="9"/>
        <v/>
      </c>
    </row>
    <row r="454" spans="1:11" hidden="1" outlineLevel="2">
      <c r="A454" s="1275"/>
      <c r="C454" s="190">
        <v>34</v>
      </c>
      <c r="D454" s="797"/>
      <c r="E454" s="798"/>
      <c r="F454" s="799"/>
      <c r="G454" s="793"/>
      <c r="H454" s="793"/>
      <c r="I454" s="793"/>
      <c r="J454" s="122"/>
      <c r="K454" s="17" t="str">
        <f t="shared" si="9"/>
        <v/>
      </c>
    </row>
    <row r="455" spans="1:11" hidden="1" outlineLevel="2">
      <c r="A455" s="1275"/>
      <c r="C455" s="190">
        <v>35</v>
      </c>
      <c r="D455" s="797"/>
      <c r="E455" s="798"/>
      <c r="F455" s="799"/>
      <c r="G455" s="793"/>
      <c r="H455" s="793"/>
      <c r="I455" s="793"/>
      <c r="J455" s="122"/>
      <c r="K455" s="17" t="str">
        <f t="shared" si="9"/>
        <v/>
      </c>
    </row>
    <row r="456" spans="1:11" hidden="1" outlineLevel="2">
      <c r="A456" s="1275"/>
      <c r="C456" s="190">
        <v>36</v>
      </c>
      <c r="D456" s="797"/>
      <c r="E456" s="798"/>
      <c r="F456" s="799"/>
      <c r="G456" s="793"/>
      <c r="H456" s="793"/>
      <c r="I456" s="793"/>
      <c r="J456" s="122"/>
      <c r="K456" s="17" t="str">
        <f t="shared" si="9"/>
        <v/>
      </c>
    </row>
    <row r="457" spans="1:11" hidden="1" outlineLevel="2">
      <c r="A457" s="1275"/>
      <c r="C457" s="190">
        <v>37</v>
      </c>
      <c r="D457" s="797"/>
      <c r="E457" s="798"/>
      <c r="F457" s="799"/>
      <c r="G457" s="793"/>
      <c r="H457" s="793"/>
      <c r="I457" s="793"/>
      <c r="J457" s="122"/>
      <c r="K457" s="17" t="str">
        <f t="shared" si="9"/>
        <v/>
      </c>
    </row>
    <row r="458" spans="1:11" hidden="1" outlineLevel="2">
      <c r="A458" s="1275"/>
      <c r="C458" s="190">
        <v>38</v>
      </c>
      <c r="D458" s="797"/>
      <c r="E458" s="798"/>
      <c r="F458" s="799"/>
      <c r="G458" s="793"/>
      <c r="H458" s="793"/>
      <c r="I458" s="793"/>
      <c r="J458" s="122"/>
      <c r="K458" s="17" t="str">
        <f t="shared" si="9"/>
        <v/>
      </c>
    </row>
    <row r="459" spans="1:11" hidden="1" outlineLevel="2">
      <c r="A459" s="1275"/>
      <c r="C459" s="190">
        <v>39</v>
      </c>
      <c r="D459" s="797"/>
      <c r="E459" s="798"/>
      <c r="F459" s="799"/>
      <c r="G459" s="793"/>
      <c r="H459" s="793"/>
      <c r="I459" s="793"/>
      <c r="J459" s="122"/>
      <c r="K459" s="17" t="str">
        <f t="shared" si="9"/>
        <v/>
      </c>
    </row>
    <row r="460" spans="1:11" hidden="1" outlineLevel="2">
      <c r="A460" s="1275"/>
      <c r="C460" s="190">
        <v>40</v>
      </c>
      <c r="D460" s="797"/>
      <c r="E460" s="798"/>
      <c r="F460" s="799"/>
      <c r="G460" s="793"/>
      <c r="H460" s="793"/>
      <c r="I460" s="793"/>
      <c r="J460" s="122"/>
      <c r="K460" s="17" t="str">
        <f t="shared" si="9"/>
        <v/>
      </c>
    </row>
    <row r="461" spans="1:11" hidden="1" outlineLevel="2">
      <c r="A461" s="1275"/>
      <c r="C461" s="190">
        <v>41</v>
      </c>
      <c r="D461" s="797"/>
      <c r="E461" s="798"/>
      <c r="F461" s="799"/>
      <c r="G461" s="793"/>
      <c r="H461" s="793"/>
      <c r="I461" s="793"/>
      <c r="J461" s="122"/>
      <c r="K461" s="17" t="str">
        <f t="shared" si="9"/>
        <v/>
      </c>
    </row>
    <row r="462" spans="1:11" hidden="1" outlineLevel="2">
      <c r="A462" s="1275"/>
      <c r="C462" s="190">
        <v>42</v>
      </c>
      <c r="D462" s="797"/>
      <c r="E462" s="798"/>
      <c r="F462" s="799"/>
      <c r="G462" s="793"/>
      <c r="H462" s="793"/>
      <c r="I462" s="793"/>
      <c r="J462" s="122"/>
      <c r="K462" s="17" t="str">
        <f t="shared" si="9"/>
        <v/>
      </c>
    </row>
    <row r="463" spans="1:11" hidden="1" outlineLevel="2">
      <c r="A463" s="1275"/>
      <c r="C463" s="190">
        <v>43</v>
      </c>
      <c r="D463" s="797"/>
      <c r="E463" s="798"/>
      <c r="F463" s="799"/>
      <c r="G463" s="793"/>
      <c r="H463" s="793"/>
      <c r="I463" s="793"/>
      <c r="J463" s="122"/>
      <c r="K463" s="17" t="str">
        <f t="shared" si="9"/>
        <v/>
      </c>
    </row>
    <row r="464" spans="1:11" hidden="1" outlineLevel="2">
      <c r="A464" s="1275"/>
      <c r="C464" s="190">
        <v>44</v>
      </c>
      <c r="D464" s="797"/>
      <c r="E464" s="798"/>
      <c r="F464" s="799"/>
      <c r="G464" s="793"/>
      <c r="H464" s="793"/>
      <c r="I464" s="793"/>
      <c r="J464" s="122"/>
      <c r="K464" s="17" t="str">
        <f t="shared" si="9"/>
        <v/>
      </c>
    </row>
    <row r="465" spans="1:11" hidden="1" outlineLevel="2">
      <c r="A465" s="1275"/>
      <c r="C465" s="190">
        <v>45</v>
      </c>
      <c r="D465" s="797"/>
      <c r="E465" s="798"/>
      <c r="F465" s="799"/>
      <c r="G465" s="793"/>
      <c r="H465" s="793"/>
      <c r="I465" s="793"/>
      <c r="J465" s="122"/>
      <c r="K465" s="17" t="str">
        <f t="shared" si="9"/>
        <v/>
      </c>
    </row>
    <row r="466" spans="1:11" hidden="1" outlineLevel="2">
      <c r="A466" s="1275"/>
      <c r="C466" s="190">
        <v>46</v>
      </c>
      <c r="D466" s="797"/>
      <c r="E466" s="798"/>
      <c r="F466" s="799"/>
      <c r="G466" s="793"/>
      <c r="H466" s="793"/>
      <c r="I466" s="793"/>
      <c r="J466" s="122"/>
      <c r="K466" s="17" t="str">
        <f t="shared" si="9"/>
        <v/>
      </c>
    </row>
    <row r="467" spans="1:11" hidden="1" outlineLevel="2">
      <c r="A467" s="1275"/>
      <c r="C467" s="190">
        <v>47</v>
      </c>
      <c r="D467" s="797"/>
      <c r="E467" s="798"/>
      <c r="F467" s="799"/>
      <c r="G467" s="793"/>
      <c r="H467" s="793"/>
      <c r="I467" s="793"/>
      <c r="J467" s="122"/>
      <c r="K467" s="17" t="str">
        <f t="shared" si="9"/>
        <v/>
      </c>
    </row>
    <row r="468" spans="1:11" hidden="1" outlineLevel="2">
      <c r="A468" s="1275"/>
      <c r="C468" s="190">
        <v>48</v>
      </c>
      <c r="D468" s="797"/>
      <c r="E468" s="798"/>
      <c r="F468" s="799"/>
      <c r="G468" s="793"/>
      <c r="H468" s="793"/>
      <c r="I468" s="793"/>
      <c r="J468" s="122"/>
      <c r="K468" s="17" t="str">
        <f t="shared" si="9"/>
        <v/>
      </c>
    </row>
    <row r="469" spans="1:11" hidden="1" outlineLevel="2">
      <c r="A469" s="1275"/>
      <c r="C469" s="190">
        <v>49</v>
      </c>
      <c r="D469" s="797"/>
      <c r="E469" s="798"/>
      <c r="F469" s="799"/>
      <c r="G469" s="793"/>
      <c r="H469" s="793"/>
      <c r="I469" s="793"/>
      <c r="J469" s="122"/>
      <c r="K469" s="17" t="str">
        <f t="shared" si="9"/>
        <v/>
      </c>
    </row>
    <row r="470" spans="1:11" hidden="1" outlineLevel="2">
      <c r="A470" s="1275"/>
      <c r="C470" s="190">
        <v>50</v>
      </c>
      <c r="D470" s="797"/>
      <c r="E470" s="798"/>
      <c r="F470" s="799"/>
      <c r="G470" s="793"/>
      <c r="H470" s="793"/>
      <c r="I470" s="793"/>
      <c r="J470" s="122"/>
      <c r="K470" s="17" t="str">
        <f t="shared" si="9"/>
        <v/>
      </c>
    </row>
    <row r="471" spans="1:11" hidden="1" outlineLevel="2">
      <c r="A471" s="1275"/>
      <c r="C471" s="190">
        <v>51</v>
      </c>
      <c r="D471" s="797"/>
      <c r="E471" s="798"/>
      <c r="F471" s="799"/>
      <c r="G471" s="793"/>
      <c r="H471" s="793"/>
      <c r="I471" s="793"/>
      <c r="J471" s="122"/>
      <c r="K471" s="17" t="str">
        <f t="shared" si="9"/>
        <v/>
      </c>
    </row>
    <row r="472" spans="1:11" hidden="1" outlineLevel="2">
      <c r="A472" s="1275"/>
      <c r="C472" s="190">
        <v>52</v>
      </c>
      <c r="D472" s="797"/>
      <c r="E472" s="798"/>
      <c r="F472" s="799"/>
      <c r="G472" s="793"/>
      <c r="H472" s="793"/>
      <c r="I472" s="793"/>
      <c r="J472" s="122"/>
      <c r="K472" s="17" t="str">
        <f t="shared" si="9"/>
        <v/>
      </c>
    </row>
    <row r="473" spans="1:11" hidden="1" outlineLevel="2">
      <c r="A473" s="1275"/>
      <c r="C473" s="190">
        <v>53</v>
      </c>
      <c r="D473" s="797"/>
      <c r="E473" s="798"/>
      <c r="F473" s="799"/>
      <c r="G473" s="793"/>
      <c r="H473" s="793"/>
      <c r="I473" s="793"/>
      <c r="J473" s="122"/>
      <c r="K473" s="17" t="str">
        <f t="shared" si="9"/>
        <v/>
      </c>
    </row>
    <row r="474" spans="1:11" hidden="1" outlineLevel="2">
      <c r="A474" s="1275"/>
      <c r="C474" s="190">
        <v>54</v>
      </c>
      <c r="D474" s="797"/>
      <c r="E474" s="798"/>
      <c r="F474" s="799"/>
      <c r="G474" s="793"/>
      <c r="H474" s="793"/>
      <c r="I474" s="793"/>
      <c r="J474" s="122"/>
      <c r="K474" s="17" t="str">
        <f t="shared" si="9"/>
        <v/>
      </c>
    </row>
    <row r="475" spans="1:11" hidden="1" outlineLevel="2">
      <c r="A475" s="1275"/>
      <c r="C475" s="190">
        <v>55</v>
      </c>
      <c r="D475" s="797"/>
      <c r="E475" s="798"/>
      <c r="F475" s="799"/>
      <c r="G475" s="793"/>
      <c r="H475" s="793"/>
      <c r="I475" s="793"/>
      <c r="J475" s="122"/>
      <c r="K475" s="17" t="str">
        <f t="shared" si="9"/>
        <v/>
      </c>
    </row>
    <row r="476" spans="1:11" hidden="1" outlineLevel="2">
      <c r="A476" s="1275"/>
      <c r="C476" s="190">
        <v>56</v>
      </c>
      <c r="D476" s="797"/>
      <c r="E476" s="798"/>
      <c r="F476" s="799"/>
      <c r="G476" s="793"/>
      <c r="H476" s="793"/>
      <c r="I476" s="793"/>
      <c r="J476" s="122"/>
      <c r="K476" s="17" t="str">
        <f t="shared" si="9"/>
        <v/>
      </c>
    </row>
    <row r="477" spans="1:11" hidden="1" outlineLevel="2">
      <c r="A477" s="1275"/>
      <c r="C477" s="190">
        <v>57</v>
      </c>
      <c r="D477" s="797"/>
      <c r="E477" s="798"/>
      <c r="F477" s="799"/>
      <c r="G477" s="793"/>
      <c r="H477" s="793"/>
      <c r="I477" s="793"/>
      <c r="J477" s="122"/>
      <c r="K477" s="17" t="str">
        <f t="shared" si="9"/>
        <v/>
      </c>
    </row>
    <row r="478" spans="1:11" hidden="1" outlineLevel="2">
      <c r="A478" s="1275"/>
      <c r="C478" s="190">
        <v>58</v>
      </c>
      <c r="D478" s="797"/>
      <c r="E478" s="798"/>
      <c r="F478" s="799"/>
      <c r="G478" s="793"/>
      <c r="H478" s="793"/>
      <c r="I478" s="793"/>
      <c r="J478" s="122"/>
      <c r="K478" s="17" t="str">
        <f t="shared" si="9"/>
        <v/>
      </c>
    </row>
    <row r="479" spans="1:11" hidden="1" outlineLevel="2">
      <c r="A479" s="1275"/>
      <c r="C479" s="190">
        <v>59</v>
      </c>
      <c r="D479" s="797"/>
      <c r="E479" s="798"/>
      <c r="F479" s="799"/>
      <c r="G479" s="793"/>
      <c r="H479" s="793"/>
      <c r="I479" s="793"/>
      <c r="J479" s="122"/>
      <c r="K479" s="17" t="str">
        <f t="shared" si="9"/>
        <v/>
      </c>
    </row>
    <row r="480" spans="1:11" hidden="1" outlineLevel="2">
      <c r="A480" s="1275"/>
      <c r="C480" s="190">
        <v>60</v>
      </c>
      <c r="D480" s="797"/>
      <c r="E480" s="798"/>
      <c r="F480" s="799"/>
      <c r="G480" s="793"/>
      <c r="H480" s="793"/>
      <c r="I480" s="793"/>
      <c r="J480" s="122"/>
      <c r="K480" s="17" t="str">
        <f t="shared" si="9"/>
        <v/>
      </c>
    </row>
    <row r="481" spans="1:11" hidden="1" outlineLevel="2">
      <c r="A481" s="1275"/>
      <c r="C481" s="190">
        <v>61</v>
      </c>
      <c r="D481" s="797"/>
      <c r="E481" s="798"/>
      <c r="F481" s="799"/>
      <c r="G481" s="793"/>
      <c r="H481" s="793"/>
      <c r="I481" s="793"/>
      <c r="J481" s="122"/>
      <c r="K481" s="17" t="str">
        <f t="shared" si="9"/>
        <v/>
      </c>
    </row>
    <row r="482" spans="1:11" hidden="1" outlineLevel="2">
      <c r="A482" s="1275"/>
      <c r="C482" s="190">
        <v>62</v>
      </c>
      <c r="D482" s="797"/>
      <c r="E482" s="798"/>
      <c r="F482" s="799"/>
      <c r="G482" s="793"/>
      <c r="H482" s="793"/>
      <c r="I482" s="793"/>
      <c r="J482" s="122"/>
      <c r="K482" s="17" t="str">
        <f t="shared" si="9"/>
        <v/>
      </c>
    </row>
    <row r="483" spans="1:11" hidden="1" outlineLevel="2">
      <c r="A483" s="1275"/>
      <c r="C483" s="190">
        <v>63</v>
      </c>
      <c r="D483" s="797"/>
      <c r="E483" s="798"/>
      <c r="F483" s="799"/>
      <c r="G483" s="793"/>
      <c r="H483" s="793"/>
      <c r="I483" s="793"/>
      <c r="J483" s="122"/>
      <c r="K483" s="17" t="str">
        <f t="shared" si="9"/>
        <v/>
      </c>
    </row>
    <row r="484" spans="1:11" hidden="1" outlineLevel="2">
      <c r="A484" s="1275"/>
      <c r="C484" s="190">
        <v>64</v>
      </c>
      <c r="D484" s="797"/>
      <c r="E484" s="798"/>
      <c r="F484" s="799"/>
      <c r="G484" s="793"/>
      <c r="H484" s="793"/>
      <c r="I484" s="793"/>
      <c r="J484" s="122"/>
      <c r="K484" s="17" t="str">
        <f t="shared" si="9"/>
        <v/>
      </c>
    </row>
    <row r="485" spans="1:11" hidden="1" outlineLevel="2">
      <c r="A485" s="1275"/>
      <c r="C485" s="190">
        <v>65</v>
      </c>
      <c r="D485" s="797"/>
      <c r="E485" s="798"/>
      <c r="F485" s="799"/>
      <c r="G485" s="793"/>
      <c r="H485" s="793"/>
      <c r="I485" s="793"/>
      <c r="J485" s="122"/>
      <c r="K485" s="17" t="str">
        <f t="shared" si="9"/>
        <v/>
      </c>
    </row>
    <row r="486" spans="1:11" hidden="1" outlineLevel="2">
      <c r="A486" s="1275"/>
      <c r="C486" s="190">
        <v>66</v>
      </c>
      <c r="D486" s="797"/>
      <c r="E486" s="798"/>
      <c r="F486" s="799"/>
      <c r="G486" s="793"/>
      <c r="H486" s="793"/>
      <c r="I486" s="793"/>
      <c r="J486" s="122"/>
      <c r="K486" s="17" t="str">
        <f t="shared" si="9"/>
        <v/>
      </c>
    </row>
    <row r="487" spans="1:11" hidden="1" outlineLevel="2">
      <c r="A487" s="1275"/>
      <c r="C487" s="190">
        <v>67</v>
      </c>
      <c r="D487" s="797"/>
      <c r="E487" s="798"/>
      <c r="F487" s="799"/>
      <c r="G487" s="793"/>
      <c r="H487" s="793"/>
      <c r="I487" s="793"/>
      <c r="J487" s="122"/>
      <c r="K487" s="17" t="str">
        <f t="shared" si="9"/>
        <v/>
      </c>
    </row>
    <row r="488" spans="1:11" hidden="1" outlineLevel="2">
      <c r="A488" s="1275"/>
      <c r="C488" s="190">
        <v>68</v>
      </c>
      <c r="D488" s="797"/>
      <c r="E488" s="798"/>
      <c r="F488" s="799"/>
      <c r="G488" s="793"/>
      <c r="H488" s="793"/>
      <c r="I488" s="793"/>
      <c r="J488" s="122"/>
      <c r="K488" s="17" t="str">
        <f t="shared" si="9"/>
        <v/>
      </c>
    </row>
    <row r="489" spans="1:11" hidden="1" outlineLevel="2">
      <c r="A489" s="1275"/>
      <c r="C489" s="190">
        <v>69</v>
      </c>
      <c r="D489" s="797"/>
      <c r="E489" s="798"/>
      <c r="F489" s="799"/>
      <c r="G489" s="793"/>
      <c r="H489" s="793"/>
      <c r="I489" s="793"/>
      <c r="J489" s="122"/>
      <c r="K489" s="17" t="str">
        <f t="shared" si="9"/>
        <v/>
      </c>
    </row>
    <row r="490" spans="1:11" hidden="1" outlineLevel="2">
      <c r="A490" s="1275"/>
      <c r="C490" s="190">
        <v>70</v>
      </c>
      <c r="D490" s="797"/>
      <c r="E490" s="798"/>
      <c r="F490" s="799"/>
      <c r="G490" s="793"/>
      <c r="H490" s="793"/>
      <c r="I490" s="793"/>
      <c r="J490" s="122"/>
      <c r="K490" s="17" t="str">
        <f t="shared" si="9"/>
        <v/>
      </c>
    </row>
    <row r="491" spans="1:11" hidden="1" outlineLevel="2">
      <c r="A491" s="1275"/>
      <c r="C491" s="190">
        <v>71</v>
      </c>
      <c r="D491" s="797"/>
      <c r="E491" s="798"/>
      <c r="F491" s="799"/>
      <c r="G491" s="793"/>
      <c r="H491" s="793"/>
      <c r="I491" s="793"/>
      <c r="J491" s="122"/>
      <c r="K491" s="17" t="str">
        <f t="shared" si="9"/>
        <v/>
      </c>
    </row>
    <row r="492" spans="1:11" hidden="1" outlineLevel="2">
      <c r="A492" s="1275"/>
      <c r="C492" s="190">
        <v>72</v>
      </c>
      <c r="D492" s="797"/>
      <c r="E492" s="798"/>
      <c r="F492" s="799"/>
      <c r="G492" s="793"/>
      <c r="H492" s="793"/>
      <c r="I492" s="793"/>
      <c r="J492" s="122"/>
      <c r="K492" s="17" t="str">
        <f t="shared" si="9"/>
        <v/>
      </c>
    </row>
    <row r="493" spans="1:11" hidden="1" outlineLevel="2">
      <c r="A493" s="1275"/>
      <c r="C493" s="190">
        <v>73</v>
      </c>
      <c r="D493" s="797"/>
      <c r="E493" s="798"/>
      <c r="F493" s="799"/>
      <c r="G493" s="793"/>
      <c r="H493" s="793"/>
      <c r="I493" s="793"/>
      <c r="J493" s="122"/>
      <c r="K493" s="17" t="str">
        <f t="shared" si="9"/>
        <v/>
      </c>
    </row>
    <row r="494" spans="1:11" hidden="1" outlineLevel="2">
      <c r="A494" s="1275"/>
      <c r="C494" s="190">
        <v>74</v>
      </c>
      <c r="D494" s="797"/>
      <c r="E494" s="798"/>
      <c r="F494" s="799"/>
      <c r="G494" s="793"/>
      <c r="H494" s="793"/>
      <c r="I494" s="793"/>
      <c r="J494" s="122"/>
      <c r="K494" s="17" t="str">
        <f t="shared" si="9"/>
        <v/>
      </c>
    </row>
    <row r="495" spans="1:11" hidden="1" outlineLevel="2">
      <c r="A495" s="1275"/>
      <c r="C495" s="190">
        <v>75</v>
      </c>
      <c r="D495" s="797"/>
      <c r="E495" s="798"/>
      <c r="F495" s="799"/>
      <c r="G495" s="793"/>
      <c r="H495" s="793"/>
      <c r="I495" s="793"/>
      <c r="J495" s="122"/>
      <c r="K495" s="17" t="str">
        <f t="shared" si="9"/>
        <v/>
      </c>
    </row>
    <row r="496" spans="1:11" hidden="1" outlineLevel="2">
      <c r="A496" s="1275"/>
      <c r="C496" s="190">
        <v>76</v>
      </c>
      <c r="D496" s="797"/>
      <c r="E496" s="798"/>
      <c r="F496" s="799"/>
      <c r="G496" s="793"/>
      <c r="H496" s="793"/>
      <c r="I496" s="793"/>
      <c r="J496" s="122"/>
      <c r="K496" s="17" t="str">
        <f t="shared" si="9"/>
        <v/>
      </c>
    </row>
    <row r="497" spans="1:11" hidden="1" outlineLevel="2">
      <c r="A497" s="1275"/>
      <c r="C497" s="190">
        <v>77</v>
      </c>
      <c r="D497" s="797"/>
      <c r="E497" s="798"/>
      <c r="F497" s="799"/>
      <c r="G497" s="793"/>
      <c r="H497" s="793"/>
      <c r="I497" s="793"/>
      <c r="J497" s="122"/>
      <c r="K497" s="17" t="str">
        <f t="shared" si="9"/>
        <v/>
      </c>
    </row>
    <row r="498" spans="1:11" hidden="1" outlineLevel="2">
      <c r="A498" s="1275"/>
      <c r="C498" s="190">
        <v>78</v>
      </c>
      <c r="D498" s="797"/>
      <c r="E498" s="798"/>
      <c r="F498" s="799"/>
      <c r="G498" s="793"/>
      <c r="H498" s="793"/>
      <c r="I498" s="793"/>
      <c r="J498" s="122"/>
      <c r="K498" s="17" t="str">
        <f t="shared" si="9"/>
        <v/>
      </c>
    </row>
    <row r="499" spans="1:11" hidden="1" outlineLevel="2">
      <c r="A499" s="1275"/>
      <c r="C499" s="190">
        <v>79</v>
      </c>
      <c r="D499" s="797"/>
      <c r="E499" s="798"/>
      <c r="F499" s="799"/>
      <c r="G499" s="793"/>
      <c r="H499" s="793"/>
      <c r="I499" s="793"/>
      <c r="J499" s="122"/>
      <c r="K499" s="17" t="str">
        <f t="shared" si="9"/>
        <v/>
      </c>
    </row>
    <row r="500" spans="1:11" hidden="1" outlineLevel="2">
      <c r="A500" s="1275"/>
      <c r="C500" s="190">
        <v>80</v>
      </c>
      <c r="D500" s="797"/>
      <c r="E500" s="798"/>
      <c r="F500" s="799"/>
      <c r="G500" s="793"/>
      <c r="H500" s="793"/>
      <c r="I500" s="793"/>
      <c r="J500" s="122"/>
      <c r="K500" s="17" t="str">
        <f t="shared" si="9"/>
        <v/>
      </c>
    </row>
    <row r="501" spans="1:11" hidden="1" outlineLevel="2">
      <c r="A501" s="1275"/>
      <c r="C501" s="190">
        <v>81</v>
      </c>
      <c r="D501" s="797"/>
      <c r="E501" s="798"/>
      <c r="F501" s="799"/>
      <c r="G501" s="793"/>
      <c r="H501" s="793"/>
      <c r="I501" s="793"/>
      <c r="J501" s="122"/>
      <c r="K501" s="17" t="str">
        <f t="shared" si="9"/>
        <v/>
      </c>
    </row>
    <row r="502" spans="1:11" hidden="1" outlineLevel="2">
      <c r="A502" s="1275"/>
      <c r="C502" s="190">
        <v>82</v>
      </c>
      <c r="D502" s="797"/>
      <c r="E502" s="798"/>
      <c r="F502" s="799"/>
      <c r="G502" s="793"/>
      <c r="H502" s="793"/>
      <c r="I502" s="793"/>
      <c r="J502" s="122"/>
      <c r="K502" s="17" t="str">
        <f t="shared" si="9"/>
        <v/>
      </c>
    </row>
    <row r="503" spans="1:11" hidden="1" outlineLevel="2">
      <c r="A503" s="1275"/>
      <c r="C503" s="190">
        <v>83</v>
      </c>
      <c r="D503" s="797"/>
      <c r="E503" s="798"/>
      <c r="F503" s="799"/>
      <c r="G503" s="793"/>
      <c r="H503" s="793"/>
      <c r="I503" s="793"/>
      <c r="J503" s="122"/>
      <c r="K503" s="17" t="str">
        <f t="shared" si="9"/>
        <v/>
      </c>
    </row>
    <row r="504" spans="1:11" hidden="1" outlineLevel="2">
      <c r="A504" s="1275"/>
      <c r="C504" s="190">
        <v>84</v>
      </c>
      <c r="D504" s="797"/>
      <c r="E504" s="798"/>
      <c r="F504" s="799"/>
      <c r="G504" s="793"/>
      <c r="H504" s="793"/>
      <c r="I504" s="793"/>
      <c r="J504" s="122"/>
      <c r="K504" s="17" t="str">
        <f t="shared" si="9"/>
        <v/>
      </c>
    </row>
    <row r="505" spans="1:11" hidden="1" outlineLevel="2">
      <c r="A505" s="1275"/>
      <c r="C505" s="190">
        <v>85</v>
      </c>
      <c r="D505" s="797"/>
      <c r="E505" s="798"/>
      <c r="F505" s="799"/>
      <c r="G505" s="793"/>
      <c r="H505" s="793"/>
      <c r="I505" s="793"/>
      <c r="J505" s="122"/>
      <c r="K505" s="17" t="str">
        <f t="shared" si="9"/>
        <v/>
      </c>
    </row>
    <row r="506" spans="1:11" hidden="1" outlineLevel="2">
      <c r="A506" s="1275"/>
      <c r="C506" s="190">
        <v>86</v>
      </c>
      <c r="D506" s="797"/>
      <c r="E506" s="798"/>
      <c r="F506" s="799"/>
      <c r="G506" s="793"/>
      <c r="H506" s="793"/>
      <c r="I506" s="793"/>
      <c r="J506" s="122"/>
      <c r="K506" s="17" t="str">
        <f t="shared" si="9"/>
        <v/>
      </c>
    </row>
    <row r="507" spans="1:11" hidden="1" outlineLevel="2">
      <c r="A507" s="1275"/>
      <c r="C507" s="190">
        <v>87</v>
      </c>
      <c r="D507" s="797"/>
      <c r="E507" s="798"/>
      <c r="F507" s="799"/>
      <c r="G507" s="793"/>
      <c r="H507" s="793"/>
      <c r="I507" s="793"/>
      <c r="J507" s="122"/>
      <c r="K507" s="17" t="str">
        <f t="shared" si="9"/>
        <v/>
      </c>
    </row>
    <row r="508" spans="1:11" hidden="1" outlineLevel="2">
      <c r="A508" s="1275"/>
      <c r="C508" s="190">
        <v>88</v>
      </c>
      <c r="D508" s="797"/>
      <c r="E508" s="798"/>
      <c r="F508" s="799"/>
      <c r="G508" s="793"/>
      <c r="H508" s="793"/>
      <c r="I508" s="793"/>
      <c r="J508" s="122"/>
      <c r="K508" s="17" t="str">
        <f t="shared" si="9"/>
        <v/>
      </c>
    </row>
    <row r="509" spans="1:11" hidden="1" outlineLevel="2">
      <c r="A509" s="1275"/>
      <c r="C509" s="190">
        <v>89</v>
      </c>
      <c r="D509" s="797"/>
      <c r="E509" s="798"/>
      <c r="F509" s="799"/>
      <c r="G509" s="793"/>
      <c r="H509" s="793"/>
      <c r="I509" s="793"/>
      <c r="J509" s="122"/>
      <c r="K509" s="17" t="str">
        <f t="shared" si="9"/>
        <v/>
      </c>
    </row>
    <row r="510" spans="1:11" hidden="1" outlineLevel="2">
      <c r="A510" s="1275"/>
      <c r="C510" s="190">
        <v>90</v>
      </c>
      <c r="D510" s="797"/>
      <c r="E510" s="798"/>
      <c r="F510" s="799"/>
      <c r="G510" s="793"/>
      <c r="H510" s="793"/>
      <c r="I510" s="793"/>
      <c r="J510" s="122"/>
      <c r="K510" s="17" t="str">
        <f t="shared" si="9"/>
        <v/>
      </c>
    </row>
    <row r="511" spans="1:11" hidden="1" outlineLevel="2">
      <c r="A511" s="1275"/>
      <c r="C511" s="190">
        <v>91</v>
      </c>
      <c r="D511" s="797"/>
      <c r="E511" s="798"/>
      <c r="F511" s="799"/>
      <c r="G511" s="793"/>
      <c r="H511" s="793"/>
      <c r="I511" s="793"/>
      <c r="J511" s="122"/>
      <c r="K511" s="17" t="str">
        <f t="shared" si="9"/>
        <v/>
      </c>
    </row>
    <row r="512" spans="1:11" hidden="1" outlineLevel="2">
      <c r="A512" s="1275"/>
      <c r="C512" s="190">
        <v>92</v>
      </c>
      <c r="D512" s="797"/>
      <c r="E512" s="798"/>
      <c r="F512" s="799"/>
      <c r="G512" s="793"/>
      <c r="H512" s="793"/>
      <c r="I512" s="793"/>
      <c r="J512" s="122"/>
      <c r="K512" s="17" t="str">
        <f t="shared" si="9"/>
        <v/>
      </c>
    </row>
    <row r="513" spans="1:12" hidden="1" outlineLevel="2">
      <c r="A513" s="1275"/>
      <c r="C513" s="190">
        <v>93</v>
      </c>
      <c r="D513" s="797"/>
      <c r="E513" s="798"/>
      <c r="F513" s="799"/>
      <c r="G513" s="793"/>
      <c r="H513" s="793"/>
      <c r="I513" s="793"/>
      <c r="J513" s="122"/>
      <c r="K513" s="17" t="str">
        <f t="shared" si="9"/>
        <v/>
      </c>
    </row>
    <row r="514" spans="1:12" hidden="1" outlineLevel="2">
      <c r="A514" s="1275"/>
      <c r="C514" s="190">
        <v>94</v>
      </c>
      <c r="D514" s="797"/>
      <c r="E514" s="798"/>
      <c r="F514" s="799"/>
      <c r="G514" s="793"/>
      <c r="H514" s="793"/>
      <c r="I514" s="793"/>
      <c r="J514" s="122"/>
      <c r="K514" s="17" t="str">
        <f t="shared" si="9"/>
        <v/>
      </c>
    </row>
    <row r="515" spans="1:12" hidden="1" outlineLevel="2">
      <c r="A515" s="1275"/>
      <c r="C515" s="190">
        <v>95</v>
      </c>
      <c r="D515" s="797"/>
      <c r="E515" s="798"/>
      <c r="F515" s="799"/>
      <c r="G515" s="793"/>
      <c r="H515" s="793"/>
      <c r="I515" s="793"/>
      <c r="J515" s="122"/>
      <c r="K515" s="17" t="str">
        <f t="shared" si="9"/>
        <v/>
      </c>
    </row>
    <row r="516" spans="1:12" hidden="1" outlineLevel="2">
      <c r="A516" s="1275"/>
      <c r="C516" s="190">
        <v>96</v>
      </c>
      <c r="D516" s="797"/>
      <c r="E516" s="798"/>
      <c r="F516" s="799"/>
      <c r="G516" s="793"/>
      <c r="H516" s="793"/>
      <c r="I516" s="793"/>
      <c r="J516" s="122"/>
      <c r="K516" s="17" t="str">
        <f t="shared" si="9"/>
        <v/>
      </c>
    </row>
    <row r="517" spans="1:12" hidden="1" outlineLevel="2">
      <c r="A517" s="1275"/>
      <c r="C517" s="190">
        <v>97</v>
      </c>
      <c r="D517" s="797"/>
      <c r="E517" s="798"/>
      <c r="F517" s="799"/>
      <c r="G517" s="793"/>
      <c r="H517" s="793"/>
      <c r="I517" s="793"/>
      <c r="J517" s="122"/>
      <c r="K517" s="17" t="str">
        <f t="shared" si="9"/>
        <v/>
      </c>
    </row>
    <row r="518" spans="1:12" hidden="1" outlineLevel="2">
      <c r="A518" s="1275"/>
      <c r="C518" s="190">
        <v>98</v>
      </c>
      <c r="D518" s="797"/>
      <c r="E518" s="798"/>
      <c r="F518" s="799"/>
      <c r="G518" s="793"/>
      <c r="H518" s="793"/>
      <c r="I518" s="793"/>
      <c r="J518" s="122"/>
      <c r="K518" s="17" t="str">
        <f t="shared" si="9"/>
        <v/>
      </c>
    </row>
    <row r="519" spans="1:12" hidden="1" outlineLevel="2">
      <c r="A519" s="1275"/>
      <c r="C519" s="190">
        <v>99</v>
      </c>
      <c r="D519" s="797"/>
      <c r="E519" s="798"/>
      <c r="F519" s="799"/>
      <c r="G519" s="948"/>
      <c r="H519" s="949"/>
      <c r="I519" s="843"/>
      <c r="J519" s="122"/>
      <c r="K519" s="17" t="str">
        <f t="shared" si="9"/>
        <v/>
      </c>
    </row>
    <row r="520" spans="1:12" hidden="1" outlineLevel="2">
      <c r="A520" s="1275"/>
      <c r="C520" s="190">
        <v>100</v>
      </c>
      <c r="D520" s="797"/>
      <c r="E520" s="798"/>
      <c r="F520" s="799"/>
      <c r="G520" s="948"/>
      <c r="H520" s="949"/>
      <c r="I520" s="843"/>
      <c r="J520" s="122"/>
      <c r="K520" s="17" t="str">
        <f t="shared" si="9"/>
        <v/>
      </c>
    </row>
    <row r="521" spans="1:12" collapsed="1">
      <c r="A521" s="1275"/>
      <c r="C521" s="928" t="str">
        <f>template_label_total_annual_mass_flow_of_relevant_materials_used_mass</f>
        <v>Total annual mass-flow of relevant materials used (mass in kg)</v>
      </c>
      <c r="D521" s="929"/>
      <c r="E521" s="929"/>
      <c r="F521" s="929"/>
      <c r="G521" s="947" t="str">
        <f>IF(AND(G421="",G422="",J421="",J422="",G423="",J423=""),"-",(SUMIF($J$421:$J$520,"kilograms (kg)",$G$421:$G$520))+((SUMIF($J$421:$J$520,"metric tonnes (t)",$G$421:$G$520))*1000))</f>
        <v>-</v>
      </c>
      <c r="H521" s="947"/>
      <c r="I521" s="947"/>
      <c r="J521" s="120" t="str">
        <f>template_label_kilograms</f>
        <v>kilograms (kg)</v>
      </c>
    </row>
    <row r="522" spans="1:12" ht="15" thickBot="1">
      <c r="A522" s="1275"/>
      <c r="C522" s="869" t="str">
        <f>template_label_total_annual_mass_flow_of_relevant_materials_used_volume</f>
        <v>Total annual mass-flow of relevant materials used (volume in m³)</v>
      </c>
      <c r="D522" s="870"/>
      <c r="E522" s="870"/>
      <c r="F522" s="870"/>
      <c r="G522" s="846" t="str">
        <f>IF(AND(G421="",G422="",J421="",J422="",G423="",J423=""),"-",SUMIF(J421:J520, "cubic meters (m3)", G421:G520))</f>
        <v>-</v>
      </c>
      <c r="H522" s="846"/>
      <c r="I522" s="846"/>
      <c r="J522" s="118" t="str">
        <f>template_label_cubic_meters</f>
        <v>cubic meters (m³)</v>
      </c>
      <c r="K522" s="17"/>
    </row>
    <row r="523" spans="1:12" ht="15" thickBot="1">
      <c r="A523" s="1275"/>
    </row>
    <row r="524" spans="1:12" ht="15" thickBot="1">
      <c r="A524" s="1275"/>
      <c r="C524" s="931" t="str">
        <f>template_label_c4_climate_risks&amp;" "&amp;template_label_from&amp;" "&amp;template_starting_date_display&amp;" "&amp;template_label_to&amp;" "&amp;template_ending_date_display&amp;" "</f>
        <v xml:space="preserve">C4 - Climate risks from - to - </v>
      </c>
      <c r="D524" s="932"/>
      <c r="E524" s="932"/>
      <c r="F524" s="932"/>
      <c r="G524" s="932"/>
      <c r="H524" s="932"/>
      <c r="I524" s="932"/>
      <c r="J524" s="932"/>
      <c r="K524" s="933"/>
    </row>
    <row r="525" spans="1:12" ht="39.6" customHeight="1">
      <c r="A525" s="1275"/>
      <c r="C525" s="940" t="str">
        <f>template_label_has_the_undertaking_identified_climate_related_hazards_and_climate_related_transition_events</f>
        <v>Voluntary for undertakings with 10 employees or less - Has the undertaking identified climate-related hazards and climate-related transition events creating gross climate-related risks for the undertaking?</v>
      </c>
      <c r="D525" s="941"/>
      <c r="E525" s="942" t="b">
        <v>0</v>
      </c>
      <c r="F525" s="942"/>
      <c r="G525" s="942"/>
      <c r="H525" s="942"/>
      <c r="I525" s="942"/>
      <c r="J525" s="942"/>
      <c r="K525" s="943"/>
    </row>
    <row r="526" spans="1:12">
      <c r="A526" s="365" t="s">
        <v>41</v>
      </c>
      <c r="B526" s="366"/>
      <c r="C526" s="769" t="str">
        <f>template_label_description_of_climate_related_hazards_and_climate_related_transition_events</f>
        <v>Description of climate-related hazards and climate-related transition events</v>
      </c>
      <c r="D526" s="853"/>
      <c r="E526" s="937"/>
      <c r="F526" s="937"/>
      <c r="G526" s="937"/>
      <c r="H526" s="937"/>
      <c r="I526" s="937"/>
      <c r="J526" s="937"/>
      <c r="K526" s="791"/>
      <c r="L526" s="16" t="str">
        <f>IF(template_checkbox_c4_climate_risks_docx=TRUE,
IF(AND($E$525=TRUE,E526&lt;&gt;""),
    template_label_ok,
    IF(AND($E$525=TRUE,G526=""),
        "",
        ""
    )
),
IF(AND($E$525=TRUE,E526&lt;&gt;""),
    template_label_ok,
    IF(AND($E$525=TRUE,G526=""),
        template_label_missing_value,
        ""
    )
))</f>
        <v/>
      </c>
    </row>
    <row r="527" spans="1:12">
      <c r="A527" s="365" t="s">
        <v>42</v>
      </c>
      <c r="B527" s="366"/>
      <c r="C527" s="769" t="str">
        <f>template_label_disclosure_of_how_it_has_assessed_the_exposure_and_sensitivity_of_its_assets</f>
        <v>Disclosure of how it has assessed the exposure and sensitivity of its assets activities and value chain to these hazards and transition events</v>
      </c>
      <c r="D527" s="853"/>
      <c r="E527" s="937"/>
      <c r="F527" s="937"/>
      <c r="G527" s="937"/>
      <c r="H527" s="937"/>
      <c r="I527" s="937"/>
      <c r="J527" s="937"/>
      <c r="K527" s="791"/>
      <c r="L527" s="16" t="str">
        <f>IF(template_checkbox_c4_climate_risks_docx=TRUE,
IF(AND($E$525=TRUE,E527&lt;&gt;""),
    template_label_ok,
    IF(AND($E$525=TRUE,G527=""),
        "",
        ""
    )
),
IF(AND($E$525=TRUE,E527&lt;&gt;""),
    template_label_ok,
    IF(AND($E$525=TRUE,G527=""),
        template_label_missing_value,
        ""
    )
))</f>
        <v/>
      </c>
    </row>
    <row r="528" spans="1:12">
      <c r="A528" s="365" t="s">
        <v>43</v>
      </c>
      <c r="B528" s="366"/>
      <c r="C528" s="769" t="str">
        <f>template_label_time_horizons_of_any_climate_related_hazards_and_transition_events_identified</f>
        <v>Time horizons of any climate-related hazards and transition events identified</v>
      </c>
      <c r="D528" s="853"/>
      <c r="E528" s="937"/>
      <c r="F528" s="937"/>
      <c r="G528" s="937"/>
      <c r="H528" s="937"/>
      <c r="I528" s="937"/>
      <c r="J528" s="937"/>
      <c r="K528" s="791"/>
      <c r="L528" s="16" t="str">
        <f>IF(template_checkbox_c4_climate_risks_docx=TRUE,
IF(AND($E$525=TRUE,E528&lt;&gt;""),
    template_label_ok,
    IF(AND($E$525=TRUE,G528=""),
        "",
        ""
    )
),
IF(AND($E$525=TRUE,E528&lt;&gt;""),
    template_label_ok,
    IF(AND($E$525=TRUE,G528=""),
        template_label_missing_value,
        ""
    )
))</f>
        <v/>
      </c>
    </row>
    <row r="529" spans="1:12" ht="27" customHeight="1">
      <c r="A529" s="365" t="s">
        <v>44</v>
      </c>
      <c r="B529" s="366"/>
      <c r="C529" s="769" t="str">
        <f>template_label_disclosure_of_whether_it_has_undertaken_climate_change_adaptation_actions</f>
        <v>Disclosure of whether it has undertaken climate change adaptation actions for any climate-related hazards and transition events</v>
      </c>
      <c r="D529" s="853"/>
      <c r="E529" s="804"/>
      <c r="F529" s="804"/>
      <c r="G529" s="804"/>
      <c r="H529" s="804"/>
      <c r="I529" s="804"/>
      <c r="J529" s="804"/>
      <c r="K529" s="938"/>
      <c r="L529" s="16" t="str">
        <f>IF(template_checkbox_c4_climate_risks_docx=TRUE,
IF(AND($E$525=TRUE,E529&lt;&gt;""),
    template_label_ok,
    IF(AND($E$525=TRUE,G529=""),
        "",
        ""
    )
),
IF(AND($E$525=TRUE,E529&lt;&gt;""),
    template_label_ok,
    IF(AND($E$525=TRUE,G529=""),
        template_label_missing_value,
        ""
    )
))</f>
        <v/>
      </c>
    </row>
    <row r="530" spans="1:12" ht="29.4" customHeight="1" thickBot="1">
      <c r="A530" s="365">
        <v>57</v>
      </c>
      <c r="B530" s="366"/>
      <c r="C530" s="731" t="str">
        <f>template_label_potential_adverse_effects_of_climate_risks</f>
        <v>Potential adverse effects of climate risks that may affect its financial performance or business operations in the short- medium- or long-term indicating whether it assesses the risks to be high medium or low</v>
      </c>
      <c r="D530" s="735"/>
      <c r="E530" s="939"/>
      <c r="F530" s="939"/>
      <c r="G530" s="939"/>
      <c r="H530" s="939"/>
      <c r="I530" s="939"/>
      <c r="J530" s="939"/>
      <c r="K530" s="789"/>
      <c r="L530" s="16" t="str">
        <f>IF(AND($E$525=TRUE,E530&lt;&gt;""),
    template_label_ok,
    ""
)</f>
        <v/>
      </c>
    </row>
    <row r="531" spans="1:12" ht="15" thickBot="1"/>
    <row r="532" spans="1:12" ht="15" thickBot="1">
      <c r="C532" s="934" t="str">
        <f>template_label_disclosure_of_any_other_environmental_and_or_entity_specific_environmental_disclosures&amp;" "&amp;template_label_from&amp;" "&amp;template_starting_date_display&amp;" "&amp;template_label_to&amp;" "&amp;template_ending_date_display&amp;" "</f>
        <v xml:space="preserve">Disclosure of any other environmental and/or entity specific environmental disclosures from - to - </v>
      </c>
      <c r="D532" s="935"/>
      <c r="E532" s="935"/>
      <c r="F532" s="935"/>
      <c r="G532" s="935"/>
      <c r="H532" s="935"/>
      <c r="I532" s="935"/>
      <c r="J532" s="935"/>
      <c r="K532" s="935"/>
      <c r="L532" s="936"/>
    </row>
    <row r="533" spans="1:12">
      <c r="C533" s="702">
        <v>12</v>
      </c>
      <c r="D533" s="817"/>
      <c r="E533" s="817"/>
      <c r="F533" s="817"/>
      <c r="G533" s="817"/>
      <c r="H533" s="817"/>
      <c r="I533" s="817"/>
      <c r="J533" s="817"/>
      <c r="K533" s="817"/>
      <c r="L533" s="818"/>
    </row>
    <row r="534" spans="1:12" ht="15" thickBot="1">
      <c r="C534" s="930"/>
      <c r="D534" s="732"/>
      <c r="E534" s="732"/>
      <c r="F534" s="732"/>
      <c r="G534" s="732"/>
      <c r="H534" s="732"/>
      <c r="I534" s="732"/>
      <c r="J534" s="732"/>
      <c r="K534" s="732"/>
      <c r="L534" s="733"/>
    </row>
  </sheetData>
  <sheetProtection formatColumns="0" formatRows="0" insertRows="0"/>
  <mergeCells count="1005">
    <mergeCell ref="J405:L405"/>
    <mergeCell ref="J406:L406"/>
    <mergeCell ref="J407:L407"/>
    <mergeCell ref="J408:L408"/>
    <mergeCell ref="J409:L409"/>
    <mergeCell ref="J410:L410"/>
    <mergeCell ref="J411:L411"/>
    <mergeCell ref="J412:L412"/>
    <mergeCell ref="G411:I411"/>
    <mergeCell ref="G412:I412"/>
    <mergeCell ref="D411:F411"/>
    <mergeCell ref="D412:F412"/>
    <mergeCell ref="C405:C414"/>
    <mergeCell ref="D413:F413"/>
    <mergeCell ref="G413:I413"/>
    <mergeCell ref="D414:F414"/>
    <mergeCell ref="G414:I414"/>
    <mergeCell ref="J413:L413"/>
    <mergeCell ref="J414:L414"/>
    <mergeCell ref="G409:I409"/>
    <mergeCell ref="G410:I410"/>
    <mergeCell ref="G406:I406"/>
    <mergeCell ref="D410:F410"/>
    <mergeCell ref="G97:I97"/>
    <mergeCell ref="D78:F78"/>
    <mergeCell ref="D79:F79"/>
    <mergeCell ref="D80:F80"/>
    <mergeCell ref="D240:F240"/>
    <mergeCell ref="D241:F241"/>
    <mergeCell ref="D249:F249"/>
    <mergeCell ref="D250:F250"/>
    <mergeCell ref="D251:F251"/>
    <mergeCell ref="D252:F252"/>
    <mergeCell ref="D253:F253"/>
    <mergeCell ref="D254:F254"/>
    <mergeCell ref="D255:F255"/>
    <mergeCell ref="D246:F246"/>
    <mergeCell ref="D247:F247"/>
    <mergeCell ref="D248:F248"/>
    <mergeCell ref="D275:F275"/>
    <mergeCell ref="D256:F256"/>
    <mergeCell ref="D257:F257"/>
    <mergeCell ref="D258:F258"/>
    <mergeCell ref="D259:F259"/>
    <mergeCell ref="D260:F260"/>
    <mergeCell ref="D261:F261"/>
    <mergeCell ref="D262:F262"/>
    <mergeCell ref="D263:F263"/>
    <mergeCell ref="D264:F264"/>
    <mergeCell ref="D265:F265"/>
    <mergeCell ref="D266:F266"/>
    <mergeCell ref="D216:F216"/>
    <mergeCell ref="D218:F218"/>
    <mergeCell ref="D219:F219"/>
    <mergeCell ref="D220:F220"/>
    <mergeCell ref="D82:F82"/>
    <mergeCell ref="D83:F83"/>
    <mergeCell ref="D274:F274"/>
    <mergeCell ref="D242:F242"/>
    <mergeCell ref="D243:F243"/>
    <mergeCell ref="D244:F244"/>
    <mergeCell ref="D245:F245"/>
    <mergeCell ref="D152:F152"/>
    <mergeCell ref="D124:F124"/>
    <mergeCell ref="D87:F87"/>
    <mergeCell ref="D86:F86"/>
    <mergeCell ref="D88:F88"/>
    <mergeCell ref="D89:F89"/>
    <mergeCell ref="D156:F156"/>
    <mergeCell ref="D157:F157"/>
    <mergeCell ref="D158:F158"/>
    <mergeCell ref="D159:F159"/>
    <mergeCell ref="D160:F160"/>
    <mergeCell ref="D161:F161"/>
    <mergeCell ref="D162:F162"/>
    <mergeCell ref="D195:F195"/>
    <mergeCell ref="D198:F198"/>
    <mergeCell ref="D98:F98"/>
    <mergeCell ref="D105:F105"/>
    <mergeCell ref="D133:F133"/>
    <mergeCell ref="D207:F207"/>
    <mergeCell ref="D208:F208"/>
    <mergeCell ref="D209:F209"/>
    <mergeCell ref="D210:F210"/>
    <mergeCell ref="D104:F104"/>
    <mergeCell ref="D181:F181"/>
    <mergeCell ref="D183:F183"/>
    <mergeCell ref="E293:F293"/>
    <mergeCell ref="D222:F222"/>
    <mergeCell ref="D223:F223"/>
    <mergeCell ref="D224:F224"/>
    <mergeCell ref="D225:F225"/>
    <mergeCell ref="D226:F226"/>
    <mergeCell ref="D227:F227"/>
    <mergeCell ref="D228:F228"/>
    <mergeCell ref="D229:F229"/>
    <mergeCell ref="D276:F276"/>
    <mergeCell ref="D327:F327"/>
    <mergeCell ref="D328:F328"/>
    <mergeCell ref="D329:F329"/>
    <mergeCell ref="D319:F319"/>
    <mergeCell ref="D320:F320"/>
    <mergeCell ref="D313:F313"/>
    <mergeCell ref="D299:G299"/>
    <mergeCell ref="G311:I311"/>
    <mergeCell ref="G312:I312"/>
    <mergeCell ref="G278:I278"/>
    <mergeCell ref="G308:I308"/>
    <mergeCell ref="G309:I309"/>
    <mergeCell ref="C295:G295"/>
    <mergeCell ref="C296:G296"/>
    <mergeCell ref="C297:G297"/>
    <mergeCell ref="C283:D283"/>
    <mergeCell ref="C284:D284"/>
    <mergeCell ref="C288:D288"/>
    <mergeCell ref="G255:I255"/>
    <mergeCell ref="G256:I256"/>
    <mergeCell ref="D278:F278"/>
    <mergeCell ref="G263:I263"/>
    <mergeCell ref="G264:I264"/>
    <mergeCell ref="G274:I274"/>
    <mergeCell ref="G275:I275"/>
    <mergeCell ref="G276:I276"/>
    <mergeCell ref="D330:F330"/>
    <mergeCell ref="D331:F331"/>
    <mergeCell ref="D332:F332"/>
    <mergeCell ref="D333:F333"/>
    <mergeCell ref="D334:F334"/>
    <mergeCell ref="D335:F335"/>
    <mergeCell ref="D336:F336"/>
    <mergeCell ref="D325:F325"/>
    <mergeCell ref="D353:F353"/>
    <mergeCell ref="D337:F337"/>
    <mergeCell ref="D338:F338"/>
    <mergeCell ref="C303:L303"/>
    <mergeCell ref="D298:G298"/>
    <mergeCell ref="G310:I310"/>
    <mergeCell ref="H299:I299"/>
    <mergeCell ref="D326:F326"/>
    <mergeCell ref="G307:I307"/>
    <mergeCell ref="C301:L301"/>
    <mergeCell ref="E285:F285"/>
    <mergeCell ref="D323:F323"/>
    <mergeCell ref="C289:D289"/>
    <mergeCell ref="G306:I306"/>
    <mergeCell ref="D324:F324"/>
    <mergeCell ref="D322:F322"/>
    <mergeCell ref="G223:I223"/>
    <mergeCell ref="G224:I224"/>
    <mergeCell ref="G225:I225"/>
    <mergeCell ref="G226:I226"/>
    <mergeCell ref="G227:I227"/>
    <mergeCell ref="G228:I228"/>
    <mergeCell ref="G229:I229"/>
    <mergeCell ref="G230:I230"/>
    <mergeCell ref="G248:I248"/>
    <mergeCell ref="G249:I249"/>
    <mergeCell ref="G250:I250"/>
    <mergeCell ref="G251:I251"/>
    <mergeCell ref="G252:I252"/>
    <mergeCell ref="G253:I253"/>
    <mergeCell ref="D231:F231"/>
    <mergeCell ref="D232:F232"/>
    <mergeCell ref="D233:F233"/>
    <mergeCell ref="G232:I232"/>
    <mergeCell ref="G233:I233"/>
    <mergeCell ref="G234:I234"/>
    <mergeCell ref="G235:I235"/>
    <mergeCell ref="G236:I236"/>
    <mergeCell ref="G237:I237"/>
    <mergeCell ref="D230:F230"/>
    <mergeCell ref="G238:I238"/>
    <mergeCell ref="G239:I239"/>
    <mergeCell ref="D200:F200"/>
    <mergeCell ref="D201:F201"/>
    <mergeCell ref="D196:F196"/>
    <mergeCell ref="D197:F197"/>
    <mergeCell ref="D199:F199"/>
    <mergeCell ref="G189:I189"/>
    <mergeCell ref="G190:I190"/>
    <mergeCell ref="G191:I191"/>
    <mergeCell ref="D189:F189"/>
    <mergeCell ref="D204:F204"/>
    <mergeCell ref="D205:F205"/>
    <mergeCell ref="D206:F206"/>
    <mergeCell ref="G196:I196"/>
    <mergeCell ref="G193:I193"/>
    <mergeCell ref="G194:I194"/>
    <mergeCell ref="G195:I195"/>
    <mergeCell ref="D202:F202"/>
    <mergeCell ref="D203:F203"/>
    <mergeCell ref="G203:I203"/>
    <mergeCell ref="D193:F193"/>
    <mergeCell ref="D194:F194"/>
    <mergeCell ref="D96:F96"/>
    <mergeCell ref="D97:F97"/>
    <mergeCell ref="C282:D282"/>
    <mergeCell ref="H298:I298"/>
    <mergeCell ref="C287:D287"/>
    <mergeCell ref="D234:F234"/>
    <mergeCell ref="D235:F235"/>
    <mergeCell ref="D236:F236"/>
    <mergeCell ref="D237:F237"/>
    <mergeCell ref="D238:F238"/>
    <mergeCell ref="D239:F239"/>
    <mergeCell ref="D277:F277"/>
    <mergeCell ref="D267:F267"/>
    <mergeCell ref="D279:F279"/>
    <mergeCell ref="D212:F212"/>
    <mergeCell ref="D221:F221"/>
    <mergeCell ref="D213:F213"/>
    <mergeCell ref="D214:F214"/>
    <mergeCell ref="D215:F215"/>
    <mergeCell ref="G240:I240"/>
    <mergeCell ref="G241:I241"/>
    <mergeCell ref="G242:I242"/>
    <mergeCell ref="G243:I243"/>
    <mergeCell ref="G244:I244"/>
    <mergeCell ref="G245:I245"/>
    <mergeCell ref="G221:I221"/>
    <mergeCell ref="G222:I222"/>
    <mergeCell ref="G231:I231"/>
    <mergeCell ref="G192:I192"/>
    <mergeCell ref="G199:I199"/>
    <mergeCell ref="D191:F191"/>
    <mergeCell ref="D192:F192"/>
    <mergeCell ref="D112:F112"/>
    <mergeCell ref="G122:I122"/>
    <mergeCell ref="G123:I123"/>
    <mergeCell ref="G81:I81"/>
    <mergeCell ref="D309:F309"/>
    <mergeCell ref="G254:I254"/>
    <mergeCell ref="G246:I246"/>
    <mergeCell ref="G247:I247"/>
    <mergeCell ref="D268:F268"/>
    <mergeCell ref="D269:F269"/>
    <mergeCell ref="D270:F270"/>
    <mergeCell ref="D271:F271"/>
    <mergeCell ref="D272:F272"/>
    <mergeCell ref="D273:F273"/>
    <mergeCell ref="G80:I80"/>
    <mergeCell ref="D81:F81"/>
    <mergeCell ref="G86:I86"/>
    <mergeCell ref="G87:I87"/>
    <mergeCell ref="G88:I88"/>
    <mergeCell ref="D114:F114"/>
    <mergeCell ref="D115:F115"/>
    <mergeCell ref="D116:F116"/>
    <mergeCell ref="D122:F122"/>
    <mergeCell ref="D94:F94"/>
    <mergeCell ref="D95:F95"/>
    <mergeCell ref="D92:F92"/>
    <mergeCell ref="G92:I92"/>
    <mergeCell ref="D148:F148"/>
    <mergeCell ref="D149:F149"/>
    <mergeCell ref="D151:F151"/>
    <mergeCell ref="D136:F136"/>
    <mergeCell ref="D137:F137"/>
    <mergeCell ref="D127:F127"/>
    <mergeCell ref="D128:F128"/>
    <mergeCell ref="D129:F129"/>
    <mergeCell ref="D130:F130"/>
    <mergeCell ref="D131:F131"/>
    <mergeCell ref="D132:F132"/>
    <mergeCell ref="D185:F185"/>
    <mergeCell ref="D117:F117"/>
    <mergeCell ref="G114:I114"/>
    <mergeCell ref="G115:I115"/>
    <mergeCell ref="G116:I116"/>
    <mergeCell ref="G117:I117"/>
    <mergeCell ref="G118:I118"/>
    <mergeCell ref="G119:I119"/>
    <mergeCell ref="G120:I120"/>
    <mergeCell ref="G121:I121"/>
    <mergeCell ref="G124:I124"/>
    <mergeCell ref="G125:I125"/>
    <mergeCell ref="G126:I126"/>
    <mergeCell ref="G127:I127"/>
    <mergeCell ref="D138:F138"/>
    <mergeCell ref="G178:K178"/>
    <mergeCell ref="D123:F123"/>
    <mergeCell ref="D141:F141"/>
    <mergeCell ref="G144:I144"/>
    <mergeCell ref="D173:F173"/>
    <mergeCell ref="G172:I172"/>
    <mergeCell ref="G142:I142"/>
    <mergeCell ref="G143:I143"/>
    <mergeCell ref="D135:F135"/>
    <mergeCell ref="G158:I158"/>
    <mergeCell ref="G159:I159"/>
    <mergeCell ref="G111:I111"/>
    <mergeCell ref="G202:I202"/>
    <mergeCell ref="G197:I197"/>
    <mergeCell ref="G198:I198"/>
    <mergeCell ref="G184:I184"/>
    <mergeCell ref="G110:I110"/>
    <mergeCell ref="G100:I100"/>
    <mergeCell ref="D126:F126"/>
    <mergeCell ref="C175:K175"/>
    <mergeCell ref="G181:I181"/>
    <mergeCell ref="G182:I182"/>
    <mergeCell ref="C72:K72"/>
    <mergeCell ref="C69:F69"/>
    <mergeCell ref="G79:I79"/>
    <mergeCell ref="G69:K69"/>
    <mergeCell ref="D73:F73"/>
    <mergeCell ref="G73:I73"/>
    <mergeCell ref="G84:I84"/>
    <mergeCell ref="G85:I85"/>
    <mergeCell ref="D77:F77"/>
    <mergeCell ref="G101:I101"/>
    <mergeCell ref="D139:F139"/>
    <mergeCell ref="D187:F187"/>
    <mergeCell ref="G185:I185"/>
    <mergeCell ref="G186:I186"/>
    <mergeCell ref="G187:I187"/>
    <mergeCell ref="G183:I183"/>
    <mergeCell ref="C177:K177"/>
    <mergeCell ref="G179:I179"/>
    <mergeCell ref="G180:I180"/>
    <mergeCell ref="G109:I109"/>
    <mergeCell ref="C176:K176"/>
    <mergeCell ref="G314:I314"/>
    <mergeCell ref="G315:I315"/>
    <mergeCell ref="G316:I316"/>
    <mergeCell ref="D370:F370"/>
    <mergeCell ref="D371:F371"/>
    <mergeCell ref="D372:F372"/>
    <mergeCell ref="D373:F373"/>
    <mergeCell ref="D374:F374"/>
    <mergeCell ref="D375:F375"/>
    <mergeCell ref="D376:F376"/>
    <mergeCell ref="G319:I319"/>
    <mergeCell ref="G320:I320"/>
    <mergeCell ref="G262:I262"/>
    <mergeCell ref="D306:F306"/>
    <mergeCell ref="D307:F307"/>
    <mergeCell ref="G404:I404"/>
    <mergeCell ref="D304:F304"/>
    <mergeCell ref="D305:F305"/>
    <mergeCell ref="D308:F308"/>
    <mergeCell ref="G304:I304"/>
    <mergeCell ref="G305:I305"/>
    <mergeCell ref="D316:F316"/>
    <mergeCell ref="D312:F312"/>
    <mergeCell ref="D310:F310"/>
    <mergeCell ref="E291:F291"/>
    <mergeCell ref="D354:F354"/>
    <mergeCell ref="D355:F355"/>
    <mergeCell ref="D356:F356"/>
    <mergeCell ref="D357:F357"/>
    <mergeCell ref="D358:F358"/>
    <mergeCell ref="D315:F315"/>
    <mergeCell ref="D311:F311"/>
    <mergeCell ref="G420:I420"/>
    <mergeCell ref="D453:F453"/>
    <mergeCell ref="D454:F454"/>
    <mergeCell ref="D455:F455"/>
    <mergeCell ref="G519:I519"/>
    <mergeCell ref="G520:I520"/>
    <mergeCell ref="G433:I433"/>
    <mergeCell ref="C522:F522"/>
    <mergeCell ref="G421:I421"/>
    <mergeCell ref="G422:I422"/>
    <mergeCell ref="G423:I423"/>
    <mergeCell ref="D182:F182"/>
    <mergeCell ref="D502:F502"/>
    <mergeCell ref="G318:I318"/>
    <mergeCell ref="G407:I407"/>
    <mergeCell ref="G405:I405"/>
    <mergeCell ref="D406:F406"/>
    <mergeCell ref="D407:F407"/>
    <mergeCell ref="D318:F318"/>
    <mergeCell ref="D405:F405"/>
    <mergeCell ref="D317:F317"/>
    <mergeCell ref="G317:I317"/>
    <mergeCell ref="D217:F217"/>
    <mergeCell ref="G200:I200"/>
    <mergeCell ref="G201:I201"/>
    <mergeCell ref="G279:I279"/>
    <mergeCell ref="D321:F321"/>
    <mergeCell ref="D211:F211"/>
    <mergeCell ref="D314:F314"/>
    <mergeCell ref="C302:L302"/>
    <mergeCell ref="D404:F404"/>
    <mergeCell ref="G313:I313"/>
    <mergeCell ref="D520:F520"/>
    <mergeCell ref="G432:I432"/>
    <mergeCell ref="D477:F477"/>
    <mergeCell ref="D478:F478"/>
    <mergeCell ref="C534:L534"/>
    <mergeCell ref="C524:K524"/>
    <mergeCell ref="C532:L532"/>
    <mergeCell ref="E526:K526"/>
    <mergeCell ref="E527:K527"/>
    <mergeCell ref="E529:K529"/>
    <mergeCell ref="E528:K528"/>
    <mergeCell ref="E530:K530"/>
    <mergeCell ref="C529:D529"/>
    <mergeCell ref="C530:D530"/>
    <mergeCell ref="C526:D526"/>
    <mergeCell ref="C527:D527"/>
    <mergeCell ref="C528:D528"/>
    <mergeCell ref="C525:D525"/>
    <mergeCell ref="E525:K525"/>
    <mergeCell ref="C533:L533"/>
    <mergeCell ref="G522:I522"/>
    <mergeCell ref="G521:I521"/>
    <mergeCell ref="D456:F456"/>
    <mergeCell ref="D457:F457"/>
    <mergeCell ref="D458:F458"/>
    <mergeCell ref="D424:F424"/>
    <mergeCell ref="G426:I426"/>
    <mergeCell ref="G427:I427"/>
    <mergeCell ref="G428:I428"/>
    <mergeCell ref="G429:I429"/>
    <mergeCell ref="C521:F521"/>
    <mergeCell ref="D440:F440"/>
    <mergeCell ref="D441:F441"/>
    <mergeCell ref="D442:F442"/>
    <mergeCell ref="D443:F443"/>
    <mergeCell ref="D444:F444"/>
    <mergeCell ref="D445:F445"/>
    <mergeCell ref="D446:F446"/>
    <mergeCell ref="D447:F447"/>
    <mergeCell ref="D448:F448"/>
    <mergeCell ref="D449:F449"/>
    <mergeCell ref="D450:F450"/>
    <mergeCell ref="D451:F451"/>
    <mergeCell ref="D452:F452"/>
    <mergeCell ref="D500:F500"/>
    <mergeCell ref="D501:F501"/>
    <mergeCell ref="D503:F503"/>
    <mergeCell ref="D472:F472"/>
    <mergeCell ref="D491:F491"/>
    <mergeCell ref="D473:F473"/>
    <mergeCell ref="D474:F474"/>
    <mergeCell ref="D475:F475"/>
    <mergeCell ref="D476:F476"/>
    <mergeCell ref="D519:F519"/>
    <mergeCell ref="D146:F146"/>
    <mergeCell ref="D147:F147"/>
    <mergeCell ref="C71:K71"/>
    <mergeCell ref="D46:F46"/>
    <mergeCell ref="D150:F150"/>
    <mergeCell ref="D154:F154"/>
    <mergeCell ref="D155:F155"/>
    <mergeCell ref="D140:F140"/>
    <mergeCell ref="D74:F74"/>
    <mergeCell ref="D76:F76"/>
    <mergeCell ref="D91:F91"/>
    <mergeCell ref="D479:F479"/>
    <mergeCell ref="D480:F480"/>
    <mergeCell ref="D481:F481"/>
    <mergeCell ref="D482:F482"/>
    <mergeCell ref="D483:F483"/>
    <mergeCell ref="D484:F484"/>
    <mergeCell ref="D379:F379"/>
    <mergeCell ref="D384:F384"/>
    <mergeCell ref="D385:F385"/>
    <mergeCell ref="D386:F386"/>
    <mergeCell ref="D463:F463"/>
    <mergeCell ref="D464:F464"/>
    <mergeCell ref="D465:F465"/>
    <mergeCell ref="D466:F466"/>
    <mergeCell ref="D467:F467"/>
    <mergeCell ref="D434:F434"/>
    <mergeCell ref="D435:F435"/>
    <mergeCell ref="D436:F436"/>
    <mergeCell ref="D437:F437"/>
    <mergeCell ref="D438:F438"/>
    <mergeCell ref="D439:F439"/>
    <mergeCell ref="D111:F111"/>
    <mergeCell ref="D110:F110"/>
    <mergeCell ref="D109:F109"/>
    <mergeCell ref="D108:F108"/>
    <mergeCell ref="C14:F14"/>
    <mergeCell ref="C19:F19"/>
    <mergeCell ref="C29:F29"/>
    <mergeCell ref="D20:F20"/>
    <mergeCell ref="D21:F21"/>
    <mergeCell ref="D36:F36"/>
    <mergeCell ref="D37:F37"/>
    <mergeCell ref="D38:F38"/>
    <mergeCell ref="D39:F39"/>
    <mergeCell ref="D142:F142"/>
    <mergeCell ref="D143:F143"/>
    <mergeCell ref="D144:F144"/>
    <mergeCell ref="D145:F145"/>
    <mergeCell ref="D134:F134"/>
    <mergeCell ref="D47:F47"/>
    <mergeCell ref="D62:K62"/>
    <mergeCell ref="D85:F85"/>
    <mergeCell ref="D99:F99"/>
    <mergeCell ref="G112:I112"/>
    <mergeCell ref="D118:F118"/>
    <mergeCell ref="D119:F119"/>
    <mergeCell ref="D120:F120"/>
    <mergeCell ref="D121:F121"/>
    <mergeCell ref="D57:K57"/>
    <mergeCell ref="D58:K58"/>
    <mergeCell ref="C52:K52"/>
    <mergeCell ref="C50:K50"/>
    <mergeCell ref="C49:K49"/>
    <mergeCell ref="G5:K5"/>
    <mergeCell ref="G39:I39"/>
    <mergeCell ref="G20:I20"/>
    <mergeCell ref="G21:I21"/>
    <mergeCell ref="G22:I22"/>
    <mergeCell ref="G23:I23"/>
    <mergeCell ref="G27:J27"/>
    <mergeCell ref="G24:I24"/>
    <mergeCell ref="G29:K29"/>
    <mergeCell ref="G28:I28"/>
    <mergeCell ref="G25:I25"/>
    <mergeCell ref="G26:I26"/>
    <mergeCell ref="G102:I102"/>
    <mergeCell ref="G76:I76"/>
    <mergeCell ref="G77:I77"/>
    <mergeCell ref="G78:I78"/>
    <mergeCell ref="G89:I89"/>
    <mergeCell ref="G90:I90"/>
    <mergeCell ref="C67:K67"/>
    <mergeCell ref="D45:F45"/>
    <mergeCell ref="D25:F25"/>
    <mergeCell ref="D26:F26"/>
    <mergeCell ref="C11:F11"/>
    <mergeCell ref="D84:F84"/>
    <mergeCell ref="D93:F93"/>
    <mergeCell ref="G46:I46"/>
    <mergeCell ref="G47:I47"/>
    <mergeCell ref="C65:K65"/>
    <mergeCell ref="G82:I82"/>
    <mergeCell ref="G83:I83"/>
    <mergeCell ref="G95:I95"/>
    <mergeCell ref="G99:I99"/>
    <mergeCell ref="G104:I104"/>
    <mergeCell ref="G105:I105"/>
    <mergeCell ref="G106:I106"/>
    <mergeCell ref="G107:I107"/>
    <mergeCell ref="G108:I108"/>
    <mergeCell ref="C7:K7"/>
    <mergeCell ref="C8:K8"/>
    <mergeCell ref="D103:F103"/>
    <mergeCell ref="C2:K2"/>
    <mergeCell ref="C4:K4"/>
    <mergeCell ref="C3:K3"/>
    <mergeCell ref="C51:K51"/>
    <mergeCell ref="C55:K55"/>
    <mergeCell ref="C16:F16"/>
    <mergeCell ref="C17:F17"/>
    <mergeCell ref="D18:F18"/>
    <mergeCell ref="D22:F22"/>
    <mergeCell ref="G16:K16"/>
    <mergeCell ref="C5:F5"/>
    <mergeCell ref="C12:F12"/>
    <mergeCell ref="C13:F13"/>
    <mergeCell ref="G12:I12"/>
    <mergeCell ref="G13:I13"/>
    <mergeCell ref="G14:I14"/>
    <mergeCell ref="G91:I91"/>
    <mergeCell ref="G98:I98"/>
    <mergeCell ref="G11:I11"/>
    <mergeCell ref="G17:I17"/>
    <mergeCell ref="C10:F10"/>
    <mergeCell ref="G10:K10"/>
    <mergeCell ref="D31:F31"/>
    <mergeCell ref="D32:F32"/>
    <mergeCell ref="D33:F33"/>
    <mergeCell ref="C9:K9"/>
    <mergeCell ref="G94:I94"/>
    <mergeCell ref="D90:F90"/>
    <mergeCell ref="G103:I103"/>
    <mergeCell ref="G93:I93"/>
    <mergeCell ref="G96:I96"/>
    <mergeCell ref="D113:F113"/>
    <mergeCell ref="L12:L14"/>
    <mergeCell ref="G19:I19"/>
    <mergeCell ref="G18:I18"/>
    <mergeCell ref="C27:F27"/>
    <mergeCell ref="D43:F43"/>
    <mergeCell ref="D34:F34"/>
    <mergeCell ref="D35:F35"/>
    <mergeCell ref="D40:F40"/>
    <mergeCell ref="D41:F41"/>
    <mergeCell ref="D42:F42"/>
    <mergeCell ref="G42:I42"/>
    <mergeCell ref="G43:I43"/>
    <mergeCell ref="G40:I40"/>
    <mergeCell ref="G41:I41"/>
    <mergeCell ref="D44:F44"/>
    <mergeCell ref="G74:I74"/>
    <mergeCell ref="G75:I75"/>
    <mergeCell ref="C70:F70"/>
    <mergeCell ref="D56:K56"/>
    <mergeCell ref="G68:K68"/>
    <mergeCell ref="G70:K70"/>
    <mergeCell ref="C68:F68"/>
    <mergeCell ref="D75:F75"/>
    <mergeCell ref="C66:K66"/>
    <mergeCell ref="G113:I113"/>
    <mergeCell ref="D107:F107"/>
    <mergeCell ref="D106:F106"/>
    <mergeCell ref="D100:F100"/>
    <mergeCell ref="D101:F101"/>
    <mergeCell ref="D102:F102"/>
    <mergeCell ref="A21:B26"/>
    <mergeCell ref="M30:T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24:F24"/>
    <mergeCell ref="D28:F28"/>
    <mergeCell ref="A55:B55"/>
    <mergeCell ref="D23:F23"/>
    <mergeCell ref="D30:F30"/>
    <mergeCell ref="G154:I154"/>
    <mergeCell ref="G155:I155"/>
    <mergeCell ref="G156:I156"/>
    <mergeCell ref="G157:I157"/>
    <mergeCell ref="G149:I149"/>
    <mergeCell ref="G150:I150"/>
    <mergeCell ref="G151:I151"/>
    <mergeCell ref="G152:I152"/>
    <mergeCell ref="G153:I153"/>
    <mergeCell ref="D153:F153"/>
    <mergeCell ref="D125:F125"/>
    <mergeCell ref="G145:I145"/>
    <mergeCell ref="G146:I146"/>
    <mergeCell ref="G147:I147"/>
    <mergeCell ref="G148:I148"/>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60:I160"/>
    <mergeCell ref="G161:I161"/>
    <mergeCell ref="D166:F166"/>
    <mergeCell ref="D167:F167"/>
    <mergeCell ref="D168:F168"/>
    <mergeCell ref="D169:F169"/>
    <mergeCell ref="D170:F170"/>
    <mergeCell ref="D171:F171"/>
    <mergeCell ref="D163:F163"/>
    <mergeCell ref="D184:F184"/>
    <mergeCell ref="D190:F190"/>
    <mergeCell ref="D164:F164"/>
    <mergeCell ref="D165:F165"/>
    <mergeCell ref="G164:I164"/>
    <mergeCell ref="G165:I165"/>
    <mergeCell ref="G166:I166"/>
    <mergeCell ref="G167:I167"/>
    <mergeCell ref="G168:I168"/>
    <mergeCell ref="G169:I169"/>
    <mergeCell ref="G170:I170"/>
    <mergeCell ref="G171:I171"/>
    <mergeCell ref="G162:I162"/>
    <mergeCell ref="G163:I163"/>
    <mergeCell ref="G188:I188"/>
    <mergeCell ref="D186:F186"/>
    <mergeCell ref="D179:F179"/>
    <mergeCell ref="G173:I173"/>
    <mergeCell ref="D188:F188"/>
    <mergeCell ref="D172:F172"/>
    <mergeCell ref="D180:F180"/>
    <mergeCell ref="C178:F178"/>
    <mergeCell ref="G277:I277"/>
    <mergeCell ref="G265:I265"/>
    <mergeCell ref="G266:I266"/>
    <mergeCell ref="G267:I267"/>
    <mergeCell ref="G268:I268"/>
    <mergeCell ref="G269:I269"/>
    <mergeCell ref="G270:I270"/>
    <mergeCell ref="G271:I271"/>
    <mergeCell ref="G257:I257"/>
    <mergeCell ref="G258:I258"/>
    <mergeCell ref="G259:I259"/>
    <mergeCell ref="G260:I260"/>
    <mergeCell ref="G261:I261"/>
    <mergeCell ref="G220:I220"/>
    <mergeCell ref="D377:F377"/>
    <mergeCell ref="D378:F378"/>
    <mergeCell ref="D361:F361"/>
    <mergeCell ref="D362:F362"/>
    <mergeCell ref="D363:F363"/>
    <mergeCell ref="D364:F364"/>
    <mergeCell ref="D365:F365"/>
    <mergeCell ref="D366:F366"/>
    <mergeCell ref="D367:F367"/>
    <mergeCell ref="D368:F368"/>
    <mergeCell ref="D369:F369"/>
    <mergeCell ref="D339:F339"/>
    <mergeCell ref="D340:F340"/>
    <mergeCell ref="D341:F341"/>
    <mergeCell ref="D342:F342"/>
    <mergeCell ref="D343:F343"/>
    <mergeCell ref="D344:F344"/>
    <mergeCell ref="D345:F345"/>
    <mergeCell ref="D346:F346"/>
    <mergeCell ref="D347:F347"/>
    <mergeCell ref="D348:F348"/>
    <mergeCell ref="D349:F349"/>
    <mergeCell ref="D350:F350"/>
    <mergeCell ref="D351:F351"/>
    <mergeCell ref="D352:F352"/>
    <mergeCell ref="D359:F359"/>
    <mergeCell ref="D360:F360"/>
    <mergeCell ref="G360:I360"/>
    <mergeCell ref="G321:I321"/>
    <mergeCell ref="G322:I322"/>
    <mergeCell ref="G323:I323"/>
    <mergeCell ref="G324:I324"/>
    <mergeCell ref="G325:I325"/>
    <mergeCell ref="G326:I326"/>
    <mergeCell ref="G327:I327"/>
    <mergeCell ref="G328:I328"/>
    <mergeCell ref="G329:I329"/>
    <mergeCell ref="G330:I330"/>
    <mergeCell ref="G331:I331"/>
    <mergeCell ref="G332:I332"/>
    <mergeCell ref="G333:I333"/>
    <mergeCell ref="G334:I334"/>
    <mergeCell ref="G335:I335"/>
    <mergeCell ref="G342:I342"/>
    <mergeCell ref="G343:I343"/>
    <mergeCell ref="G336:I336"/>
    <mergeCell ref="G337:I337"/>
    <mergeCell ref="G338:I338"/>
    <mergeCell ref="G339:I339"/>
    <mergeCell ref="G340:I340"/>
    <mergeCell ref="G341:I341"/>
    <mergeCell ref="G370:I370"/>
    <mergeCell ref="G371:I371"/>
    <mergeCell ref="G372:I372"/>
    <mergeCell ref="G373:I373"/>
    <mergeCell ref="G365:I365"/>
    <mergeCell ref="G366:I366"/>
    <mergeCell ref="G367:I367"/>
    <mergeCell ref="G368:I368"/>
    <mergeCell ref="G369:I369"/>
    <mergeCell ref="G374:I374"/>
    <mergeCell ref="G375:I375"/>
    <mergeCell ref="G376:I376"/>
    <mergeCell ref="G377:I377"/>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1:I361"/>
    <mergeCell ref="G362:I362"/>
    <mergeCell ref="G363:I363"/>
    <mergeCell ref="G364:I364"/>
    <mergeCell ref="D388:F388"/>
    <mergeCell ref="D389:F389"/>
    <mergeCell ref="D390:F390"/>
    <mergeCell ref="D391:F391"/>
    <mergeCell ref="D392:F392"/>
    <mergeCell ref="G431:I431"/>
    <mergeCell ref="D432:F432"/>
    <mergeCell ref="C418:J418"/>
    <mergeCell ref="G387:I387"/>
    <mergeCell ref="G388:I388"/>
    <mergeCell ref="G389:I389"/>
    <mergeCell ref="G390:I390"/>
    <mergeCell ref="G391:I391"/>
    <mergeCell ref="G392:I392"/>
    <mergeCell ref="G393:I393"/>
    <mergeCell ref="G394:I394"/>
    <mergeCell ref="D393:F393"/>
    <mergeCell ref="D394:F394"/>
    <mergeCell ref="D408:F408"/>
    <mergeCell ref="D409:F409"/>
    <mergeCell ref="D431:F431"/>
    <mergeCell ref="C416:J416"/>
    <mergeCell ref="C417:J417"/>
    <mergeCell ref="C419:F419"/>
    <mergeCell ref="G378:I378"/>
    <mergeCell ref="G379:I379"/>
    <mergeCell ref="G380:I380"/>
    <mergeCell ref="G381:I381"/>
    <mergeCell ref="G382:I382"/>
    <mergeCell ref="G383:I383"/>
    <mergeCell ref="G384:I384"/>
    <mergeCell ref="G385:I385"/>
    <mergeCell ref="G386:I386"/>
    <mergeCell ref="D380:F380"/>
    <mergeCell ref="D381:F381"/>
    <mergeCell ref="D382:F382"/>
    <mergeCell ref="D383:F383"/>
    <mergeCell ref="G408:I408"/>
    <mergeCell ref="D395:F395"/>
    <mergeCell ref="D396:F396"/>
    <mergeCell ref="D397:F397"/>
    <mergeCell ref="D398:F398"/>
    <mergeCell ref="D399:F399"/>
    <mergeCell ref="D400:F400"/>
    <mergeCell ref="D401:F401"/>
    <mergeCell ref="D402:F402"/>
    <mergeCell ref="D403:F403"/>
    <mergeCell ref="G395:I395"/>
    <mergeCell ref="G396:I396"/>
    <mergeCell ref="G397:I397"/>
    <mergeCell ref="G398:I398"/>
    <mergeCell ref="G399:I399"/>
    <mergeCell ref="G400:I400"/>
    <mergeCell ref="G401:I401"/>
    <mergeCell ref="G402:I402"/>
    <mergeCell ref="G403:I403"/>
    <mergeCell ref="D387:F387"/>
    <mergeCell ref="G468:I468"/>
    <mergeCell ref="G469:I469"/>
    <mergeCell ref="G470:I470"/>
    <mergeCell ref="G474:I474"/>
    <mergeCell ref="D468:F468"/>
    <mergeCell ref="D469:F469"/>
    <mergeCell ref="D470:F470"/>
    <mergeCell ref="D471:F471"/>
    <mergeCell ref="G419:J419"/>
    <mergeCell ref="D420:F420"/>
    <mergeCell ref="D421:F421"/>
    <mergeCell ref="D422:F422"/>
    <mergeCell ref="D423:F423"/>
    <mergeCell ref="D425:F425"/>
    <mergeCell ref="G430:I430"/>
    <mergeCell ref="G454:I454"/>
    <mergeCell ref="G455:I455"/>
    <mergeCell ref="G456:I456"/>
    <mergeCell ref="G457:I457"/>
    <mergeCell ref="G458:I458"/>
    <mergeCell ref="D430:F430"/>
    <mergeCell ref="D429:F429"/>
    <mergeCell ref="D428:F428"/>
    <mergeCell ref="D427:F427"/>
    <mergeCell ref="D426:F426"/>
    <mergeCell ref="D433:F433"/>
    <mergeCell ref="G424:I424"/>
    <mergeCell ref="G425:I425"/>
    <mergeCell ref="D459:F459"/>
    <mergeCell ref="D460:F460"/>
    <mergeCell ref="D461:F461"/>
    <mergeCell ref="D462:F462"/>
    <mergeCell ref="G464:I464"/>
    <mergeCell ref="G465:I465"/>
    <mergeCell ref="G466:I466"/>
    <mergeCell ref="G467:I467"/>
    <mergeCell ref="D485:F485"/>
    <mergeCell ref="D486:F486"/>
    <mergeCell ref="D487:F487"/>
    <mergeCell ref="D488:F488"/>
    <mergeCell ref="D489:F489"/>
    <mergeCell ref="D516:F516"/>
    <mergeCell ref="D508:F508"/>
    <mergeCell ref="D509:F509"/>
    <mergeCell ref="D510:F510"/>
    <mergeCell ref="D511:F511"/>
    <mergeCell ref="D512:F512"/>
    <mergeCell ref="D513:F513"/>
    <mergeCell ref="D514:F514"/>
    <mergeCell ref="D515:F515"/>
    <mergeCell ref="D507:F507"/>
    <mergeCell ref="D492:F492"/>
    <mergeCell ref="D493:F493"/>
    <mergeCell ref="D494:F494"/>
    <mergeCell ref="D495:F495"/>
    <mergeCell ref="D496:F496"/>
    <mergeCell ref="D497:F497"/>
    <mergeCell ref="D498:F498"/>
    <mergeCell ref="D499:F499"/>
    <mergeCell ref="D506:F506"/>
    <mergeCell ref="D504:F504"/>
    <mergeCell ref="D505:F505"/>
    <mergeCell ref="G502:I502"/>
    <mergeCell ref="G471:I471"/>
    <mergeCell ref="D517:F517"/>
    <mergeCell ref="D518:F518"/>
    <mergeCell ref="G434:I434"/>
    <mergeCell ref="G435:I435"/>
    <mergeCell ref="G436:I436"/>
    <mergeCell ref="G437:I437"/>
    <mergeCell ref="G438:I438"/>
    <mergeCell ref="G439:I439"/>
    <mergeCell ref="G440:I440"/>
    <mergeCell ref="G441:I441"/>
    <mergeCell ref="G442:I442"/>
    <mergeCell ref="G443:I443"/>
    <mergeCell ref="G444:I444"/>
    <mergeCell ref="G445:I445"/>
    <mergeCell ref="G446:I446"/>
    <mergeCell ref="G447:I447"/>
    <mergeCell ref="G448:I448"/>
    <mergeCell ref="G449:I449"/>
    <mergeCell ref="G450:I450"/>
    <mergeCell ref="G451:I451"/>
    <mergeCell ref="G452:I452"/>
    <mergeCell ref="G453:I453"/>
    <mergeCell ref="D490:F490"/>
    <mergeCell ref="G463:I463"/>
    <mergeCell ref="G459:I459"/>
    <mergeCell ref="G460:I460"/>
    <mergeCell ref="G461:I461"/>
    <mergeCell ref="G462:I462"/>
    <mergeCell ref="G476:I476"/>
    <mergeCell ref="G477:I477"/>
    <mergeCell ref="G478:I478"/>
    <mergeCell ref="G479:I479"/>
    <mergeCell ref="G473:I473"/>
    <mergeCell ref="G481:I481"/>
    <mergeCell ref="G482:I482"/>
    <mergeCell ref="G515:I515"/>
    <mergeCell ref="G516:I516"/>
    <mergeCell ref="G508:I508"/>
    <mergeCell ref="G509:I509"/>
    <mergeCell ref="G510:I510"/>
    <mergeCell ref="G511:I511"/>
    <mergeCell ref="G512:I512"/>
    <mergeCell ref="G513:I513"/>
    <mergeCell ref="G514:I514"/>
    <mergeCell ref="G483:I483"/>
    <mergeCell ref="G484:I484"/>
    <mergeCell ref="G485:I485"/>
    <mergeCell ref="G486:I486"/>
    <mergeCell ref="G487:I487"/>
    <mergeCell ref="G505:I505"/>
    <mergeCell ref="G489:I489"/>
    <mergeCell ref="G490:I490"/>
    <mergeCell ref="G491:I491"/>
    <mergeCell ref="G492:I492"/>
    <mergeCell ref="G493:I493"/>
    <mergeCell ref="G494:I494"/>
    <mergeCell ref="G495:I495"/>
    <mergeCell ref="G504:I504"/>
    <mergeCell ref="G475:I475"/>
    <mergeCell ref="G517:I517"/>
    <mergeCell ref="G518:I518"/>
    <mergeCell ref="G204:I204"/>
    <mergeCell ref="G205:I205"/>
    <mergeCell ref="G206:I206"/>
    <mergeCell ref="G207:I207"/>
    <mergeCell ref="G208:I208"/>
    <mergeCell ref="G209:I209"/>
    <mergeCell ref="G210:I210"/>
    <mergeCell ref="G211:I211"/>
    <mergeCell ref="G212:I212"/>
    <mergeCell ref="G213:I213"/>
    <mergeCell ref="G214:I214"/>
    <mergeCell ref="G215:I215"/>
    <mergeCell ref="G216:I216"/>
    <mergeCell ref="G217:I217"/>
    <mergeCell ref="G218:I218"/>
    <mergeCell ref="G219:I219"/>
    <mergeCell ref="G272:I272"/>
    <mergeCell ref="G273:I273"/>
    <mergeCell ref="G488:I488"/>
    <mergeCell ref="G472:I472"/>
    <mergeCell ref="G506:I506"/>
    <mergeCell ref="G507:I507"/>
    <mergeCell ref="G496:I496"/>
    <mergeCell ref="G497:I497"/>
    <mergeCell ref="G498:I498"/>
    <mergeCell ref="G499:I499"/>
    <mergeCell ref="G500:I500"/>
    <mergeCell ref="G501:I501"/>
    <mergeCell ref="G503:I503"/>
    <mergeCell ref="G480:I480"/>
  </mergeCells>
  <phoneticPr fontId="3" type="noConversion"/>
  <conditionalFormatting sqref="C52:K52">
    <cfRule type="expression" dxfId="299" priority="170">
      <formula>$J$19=TRUE</formula>
    </cfRule>
  </conditionalFormatting>
  <conditionalFormatting sqref="C72:K72">
    <cfRule type="expression" dxfId="298" priority="177">
      <formula>$G$69=TRUE</formula>
    </cfRule>
    <cfRule type="expression" dxfId="297" priority="155">
      <formula>$G$69=TRUE</formula>
    </cfRule>
    <cfRule type="expression" dxfId="296" priority="167">
      <formula>$G$68=TRUE</formula>
    </cfRule>
  </conditionalFormatting>
  <conditionalFormatting sqref="D58">
    <cfRule type="expression" dxfId="295" priority="191">
      <formula>AND($D$56=TRUE,$D$57="A transition plan has already been adopted")</formula>
    </cfRule>
  </conditionalFormatting>
  <conditionalFormatting sqref="D291">
    <cfRule type="expression" dxfId="293" priority="162">
      <formula>$D$290=TRUE</formula>
    </cfRule>
  </conditionalFormatting>
  <conditionalFormatting sqref="D293">
    <cfRule type="expression" dxfId="292" priority="5">
      <formula>$D$290=TRUE</formula>
    </cfRule>
  </conditionalFormatting>
  <conditionalFormatting sqref="D30:F44">
    <cfRule type="expression" dxfId="290" priority="40">
      <formula>$G$29=TRUE</formula>
    </cfRule>
  </conditionalFormatting>
  <conditionalFormatting sqref="D45:F47">
    <cfRule type="expression" dxfId="289" priority="38">
      <formula>$G$29=FALSE</formula>
    </cfRule>
  </conditionalFormatting>
  <conditionalFormatting sqref="D74:F173">
    <cfRule type="expression" dxfId="288" priority="28">
      <formula>$G$68=TRUE</formula>
    </cfRule>
    <cfRule type="expression" dxfId="287" priority="29">
      <formula>$G$69=TRUE</formula>
    </cfRule>
  </conditionalFormatting>
  <conditionalFormatting sqref="D180:F180">
    <cfRule type="expression" dxfId="286" priority="34">
      <formula>$D$180="VALUE INCONSISTENCY"</formula>
    </cfRule>
  </conditionalFormatting>
  <conditionalFormatting sqref="D181:F279">
    <cfRule type="expression" dxfId="285" priority="89">
      <formula>$D181="VALUE INCONSISTENCY"</formula>
    </cfRule>
  </conditionalFormatting>
  <conditionalFormatting sqref="D299:G299">
    <cfRule type="expression" dxfId="283" priority="199">
      <formula>$D$298="YES"</formula>
    </cfRule>
  </conditionalFormatting>
  <conditionalFormatting sqref="D74:I74 G75:I76 D75:F173">
    <cfRule type="expression" dxfId="282" priority="26">
      <formula>$G$69=TRUE</formula>
    </cfRule>
  </conditionalFormatting>
  <conditionalFormatting sqref="D421:J421 D422:I427 J422:J520 D428:F430 G428:I518 D431:D520 G519:J519 G520">
    <cfRule type="expression" dxfId="281" priority="17">
      <formula>$G$419=TRUE</formula>
    </cfRule>
  </conditionalFormatting>
  <conditionalFormatting sqref="D57:K57">
    <cfRule type="expression" dxfId="280" priority="12">
      <formula>$D$56=FALSE</formula>
    </cfRule>
  </conditionalFormatting>
  <conditionalFormatting sqref="D59:K62">
    <cfRule type="expression" dxfId="279" priority="14">
      <formula>$D$57="A transition plan has already been adopted"</formula>
    </cfRule>
    <cfRule type="expression" dxfId="278" priority="13">
      <formula>$D$57=""</formula>
    </cfRule>
  </conditionalFormatting>
  <conditionalFormatting sqref="E285 E293">
    <cfRule type="expression" dxfId="276" priority="229">
      <formula>$E285=template_label_ok</formula>
    </cfRule>
    <cfRule type="expression" dxfId="275" priority="230">
      <formula>$E285=template_label_missing_value</formula>
    </cfRule>
  </conditionalFormatting>
  <conditionalFormatting sqref="E291">
    <cfRule type="expression" dxfId="274" priority="206">
      <formula>$E$291=template_label_ok</formula>
    </cfRule>
    <cfRule type="expression" dxfId="273" priority="205">
      <formula>$E$291=template_label_missing_value</formula>
    </cfRule>
  </conditionalFormatting>
  <conditionalFormatting sqref="E526:K530">
    <cfRule type="expression" dxfId="272" priority="158">
      <formula>$E$525=TRUE</formula>
    </cfRule>
  </conditionalFormatting>
  <conditionalFormatting sqref="G70">
    <cfRule type="expression" dxfId="271" priority="182">
      <formula>$G$69=TRUE</formula>
    </cfRule>
  </conditionalFormatting>
  <conditionalFormatting sqref="G74:I76">
    <cfRule type="expression" dxfId="270" priority="25">
      <formula>$G$68=TRUE</formula>
    </cfRule>
  </conditionalFormatting>
  <conditionalFormatting sqref="G181:I278 J181:K279 G279">
    <cfRule type="expression" dxfId="269" priority="165">
      <formula>$G$178=TRUE</formula>
    </cfRule>
  </conditionalFormatting>
  <conditionalFormatting sqref="G12:J13">
    <cfRule type="expression" dxfId="268" priority="174">
      <formula>$G$10=TRUE</formula>
    </cfRule>
  </conditionalFormatting>
  <conditionalFormatting sqref="G14:J14">
    <cfRule type="expression" dxfId="267" priority="43">
      <formula>$G$10=FALSE</formula>
    </cfRule>
  </conditionalFormatting>
  <conditionalFormatting sqref="G21:J24">
    <cfRule type="expression" dxfId="266" priority="173">
      <formula>$J$19=TRUE</formula>
    </cfRule>
  </conditionalFormatting>
  <conditionalFormatting sqref="G30:J44">
    <cfRule type="expression" dxfId="265" priority="39">
      <formula>AND($G$29=TRUE,$J$19=TRUE)</formula>
    </cfRule>
  </conditionalFormatting>
  <conditionalFormatting sqref="G45:J47">
    <cfRule type="expression" dxfId="264" priority="37">
      <formula>OR($J$19=FALSE,$G$29=FALSE)</formula>
    </cfRule>
  </conditionalFormatting>
  <conditionalFormatting sqref="G74:J76">
    <cfRule type="expression" dxfId="263" priority="23">
      <formula>$G$69=TRUE</formula>
    </cfRule>
  </conditionalFormatting>
  <conditionalFormatting sqref="G10:K10">
    <cfRule type="expression" dxfId="261" priority="175">
      <formula>$D$99="YES"</formula>
    </cfRule>
  </conditionalFormatting>
  <conditionalFormatting sqref="G69:K69">
    <cfRule type="expression" dxfId="260" priority="168">
      <formula>$G$68=TRUE</formula>
    </cfRule>
  </conditionalFormatting>
  <conditionalFormatting sqref="G77:K173">
    <cfRule type="expression" dxfId="259" priority="181">
      <formula>$G$69=TRUE</formula>
    </cfRule>
    <cfRule type="expression" dxfId="258" priority="166">
      <formula>$G$69=TRUE</formula>
    </cfRule>
    <cfRule type="expression" dxfId="257" priority="169">
      <formula>$G$68=TRUE</formula>
    </cfRule>
  </conditionalFormatting>
  <conditionalFormatting sqref="G180:K180">
    <cfRule type="expression" dxfId="256" priority="164">
      <formula>$G$178=TRUE</formula>
    </cfRule>
  </conditionalFormatting>
  <conditionalFormatting sqref="H298">
    <cfRule type="expression" dxfId="255" priority="200">
      <formula>$H$298=template_label_ok</formula>
    </cfRule>
    <cfRule type="expression" dxfId="254" priority="201">
      <formula>$H$298=template_label_missing_value</formula>
    </cfRule>
  </conditionalFormatting>
  <conditionalFormatting sqref="H299">
    <cfRule type="expression" dxfId="253" priority="197">
      <formula>$H$299=template_label_missing_value</formula>
    </cfRule>
    <cfRule type="expression" dxfId="252" priority="198">
      <formula>$H$299=template_label_ok</formula>
    </cfRule>
    <cfRule type="expression" dxfId="251" priority="10">
      <formula>$H$299=template_label_value_inconsistency</formula>
    </cfRule>
  </conditionalFormatting>
  <conditionalFormatting sqref="J74:J76">
    <cfRule type="expression" dxfId="250" priority="22">
      <formula>$G$68=TRUE</formula>
    </cfRule>
  </conditionalFormatting>
  <conditionalFormatting sqref="J74:K76">
    <cfRule type="expression" dxfId="249" priority="20">
      <formula>$G$69=TRUE</formula>
    </cfRule>
  </conditionalFormatting>
  <conditionalFormatting sqref="K30:K44">
    <cfRule type="expression" dxfId="248" priority="11">
      <formula>AND($G30&lt;&gt;"", $J30&lt;&gt;"")</formula>
    </cfRule>
  </conditionalFormatting>
  <conditionalFormatting sqref="K30:K47">
    <cfRule type="expression" dxfId="247" priority="36">
      <formula>OR($J$19=FALSE,$G$29=FALSE)</formula>
    </cfRule>
  </conditionalFormatting>
  <conditionalFormatting sqref="K74:K76">
    <cfRule type="expression" dxfId="246" priority="18">
      <formula>$G$69=TRUE</formula>
    </cfRule>
    <cfRule type="expression" dxfId="245" priority="19">
      <formula>$G$68=TRUE</formula>
    </cfRule>
  </conditionalFormatting>
  <conditionalFormatting sqref="K282 K522">
    <cfRule type="expression" dxfId="244" priority="231">
      <formula>$K282="MISSING VALUE"</formula>
    </cfRule>
    <cfRule type="expression" dxfId="243" priority="232">
      <formula>$K282="OK"</formula>
    </cfRule>
  </conditionalFormatting>
  <conditionalFormatting sqref="K421:K520">
    <cfRule type="expression" dxfId="242" priority="244">
      <formula>$K421=template_label_missing_value</formula>
    </cfRule>
    <cfRule type="expression" dxfId="241" priority="245">
      <formula>$K421=template_label_ok</formula>
    </cfRule>
  </conditionalFormatting>
  <conditionalFormatting sqref="L5">
    <cfRule type="expression" dxfId="240" priority="204">
      <formula>$L$5=template_label_missing_value</formula>
    </cfRule>
    <cfRule type="expression" dxfId="239" priority="202">
      <formula>$L$5= template_label_ok</formula>
    </cfRule>
  </conditionalFormatting>
  <conditionalFormatting sqref="L12">
    <cfRule type="expression" dxfId="238" priority="33">
      <formula>$L$12=template_label_value_inconsistency</formula>
    </cfRule>
    <cfRule type="expression" dxfId="237" priority="157">
      <formula>$L$12=template_label_missing_value</formula>
    </cfRule>
    <cfRule type="expression" dxfId="236" priority="227">
      <formula>$L12=template_label_ok</formula>
    </cfRule>
  </conditionalFormatting>
  <conditionalFormatting sqref="L21">
    <cfRule type="expression" dxfId="235" priority="209">
      <formula>$L$21=template_label_missing_value</formula>
    </cfRule>
    <cfRule type="expression" dxfId="234" priority="210">
      <formula>$L$21=template_label_ok</formula>
    </cfRule>
  </conditionalFormatting>
  <conditionalFormatting sqref="L22">
    <cfRule type="expression" dxfId="233" priority="220">
      <formula>$L$22="OK"</formula>
    </cfRule>
  </conditionalFormatting>
  <conditionalFormatting sqref="L22:L24">
    <cfRule type="expression" dxfId="232" priority="214">
      <formula>$L22=template_label_missing_value</formula>
    </cfRule>
  </conditionalFormatting>
  <conditionalFormatting sqref="L23:L24">
    <cfRule type="expression" dxfId="231" priority="215">
      <formula>$L23=template_label_ok</formula>
    </cfRule>
  </conditionalFormatting>
  <conditionalFormatting sqref="L30:L44">
    <cfRule type="expression" dxfId="230" priority="41">
      <formula>$L$30=template_label_ok</formula>
    </cfRule>
    <cfRule type="expression" dxfId="229" priority="42">
      <formula>$L$30=template_label_missing_value</formula>
    </cfRule>
  </conditionalFormatting>
  <conditionalFormatting sqref="L45">
    <cfRule type="expression" dxfId="228" priority="393">
      <formula>$L$45="OK"</formula>
    </cfRule>
    <cfRule type="expression" dxfId="227" priority="392">
      <formula>$L$45="MISSING VALUE"</formula>
    </cfRule>
  </conditionalFormatting>
  <conditionalFormatting sqref="L52">
    <cfRule type="expression" dxfId="226" priority="156">
      <formula>$L$52=template_label_missing_value</formula>
    </cfRule>
    <cfRule type="expression" dxfId="225" priority="243">
      <formula>$L$52=template_label_ok</formula>
    </cfRule>
  </conditionalFormatting>
  <conditionalFormatting sqref="L56:L59 L62">
    <cfRule type="expression" dxfId="224" priority="189">
      <formula>$L56=template_label_ok</formula>
    </cfRule>
    <cfRule type="expression" dxfId="223" priority="188">
      <formula>$L56=template_label_missing_value</formula>
    </cfRule>
    <cfRule type="expression" dxfId="222" priority="185">
      <formula>$L56=template_label_error</formula>
    </cfRule>
  </conditionalFormatting>
  <conditionalFormatting sqref="L62">
    <cfRule type="expression" dxfId="221" priority="241">
      <formula>$L$62="OK"</formula>
    </cfRule>
  </conditionalFormatting>
  <conditionalFormatting sqref="L68:L69">
    <cfRule type="expression" dxfId="220" priority="9">
      <formula>$L68=template_label_value_missing_value</formula>
    </cfRule>
    <cfRule type="expression" dxfId="219" priority="179">
      <formula>$L68=template_label_value_inconsistency</formula>
    </cfRule>
  </conditionalFormatting>
  <conditionalFormatting sqref="L68:L70">
    <cfRule type="expression" dxfId="218" priority="180">
      <formula>$L68=template_label_ok</formula>
    </cfRule>
  </conditionalFormatting>
  <conditionalFormatting sqref="L69">
    <cfRule type="expression" dxfId="217" priority="8">
      <formula>$L$69=template_label_missing_value</formula>
    </cfRule>
  </conditionalFormatting>
  <conditionalFormatting sqref="L70">
    <cfRule type="expression" dxfId="216" priority="178">
      <formula>$L$70=template_label_missing_value</formula>
    </cfRule>
    <cfRule type="expression" dxfId="215" priority="16">
      <formula>$L$70=template_label_invalid_url</formula>
    </cfRule>
  </conditionalFormatting>
  <conditionalFormatting sqref="L72">
    <cfRule type="expression" dxfId="214" priority="15">
      <formula>$L$72=template_label_value_inconsistency</formula>
    </cfRule>
    <cfRule type="expression" dxfId="213" priority="186">
      <formula>$L$72=template_label_ok</formula>
    </cfRule>
    <cfRule type="expression" dxfId="212" priority="187">
      <formula>$L$72=template_label_missing_value</formula>
    </cfRule>
  </conditionalFormatting>
  <conditionalFormatting sqref="L74:L173">
    <cfRule type="expression" dxfId="211" priority="183">
      <formula>$L74=template_label_missing_value</formula>
    </cfRule>
    <cfRule type="expression" dxfId="210" priority="184">
      <formula>$L74=template_label_ok</formula>
    </cfRule>
    <cfRule type="expression" dxfId="209" priority="31">
      <formula>$L74=template_label_value_inconsistency</formula>
    </cfRule>
  </conditionalFormatting>
  <conditionalFormatting sqref="L180">
    <cfRule type="expression" dxfId="208" priority="93">
      <formula>$D$180=template_label_value_inconsistency</formula>
    </cfRule>
  </conditionalFormatting>
  <conditionalFormatting sqref="L180:L279">
    <cfRule type="expression" dxfId="207" priority="196">
      <formula>$L180=template_label_value_inconcistency</formula>
    </cfRule>
    <cfRule type="expression" dxfId="206" priority="247">
      <formula>$L180=template_label_missing_value</formula>
    </cfRule>
    <cfRule type="expression" dxfId="205" priority="248">
      <formula>$L180=template_label_ok</formula>
    </cfRule>
  </conditionalFormatting>
  <conditionalFormatting sqref="L181:L279">
    <cfRule type="expression" dxfId="204" priority="92">
      <formula>$D$181=template_label_value_inconsistency</formula>
    </cfRule>
  </conditionalFormatting>
  <conditionalFormatting sqref="L182">
    <cfRule type="expression" dxfId="203" priority="91">
      <formula>$D$182=template_label_value_inconsistency</formula>
    </cfRule>
  </conditionalFormatting>
  <conditionalFormatting sqref="L183">
    <cfRule type="expression" dxfId="202" priority="94">
      <formula>$D$183=template_label_value_inconsistency</formula>
    </cfRule>
  </conditionalFormatting>
  <conditionalFormatting sqref="L184">
    <cfRule type="expression" dxfId="201" priority="90">
      <formula>$D$184=template_label_value_inconsistency</formula>
    </cfRule>
  </conditionalFormatting>
  <conditionalFormatting sqref="L185">
    <cfRule type="expression" dxfId="200" priority="65">
      <formula>$D$185=template_label_value_inconsistency</formula>
    </cfRule>
  </conditionalFormatting>
  <conditionalFormatting sqref="L186:L279">
    <cfRule type="expression" dxfId="199" priority="64">
      <formula>$D$186=template_label_value_inconsistency</formula>
    </cfRule>
  </conditionalFormatting>
  <conditionalFormatting sqref="L187">
    <cfRule type="expression" dxfId="198" priority="63">
      <formula>$D$187=template_label_value_inconsistency</formula>
    </cfRule>
  </conditionalFormatting>
  <conditionalFormatting sqref="L188">
    <cfRule type="expression" dxfId="197" priority="62">
      <formula>$D$188=template_label_value_inconsistency</formula>
    </cfRule>
  </conditionalFormatting>
  <conditionalFormatting sqref="L189">
    <cfRule type="expression" dxfId="196" priority="61">
      <formula>$D$189=template_label_value_inconsistency</formula>
    </cfRule>
  </conditionalFormatting>
  <conditionalFormatting sqref="L190">
    <cfRule type="expression" dxfId="195" priority="60">
      <formula>$D$190=template_label_value_inconsistency</formula>
    </cfRule>
  </conditionalFormatting>
  <conditionalFormatting sqref="L191">
    <cfRule type="expression" dxfId="194" priority="59">
      <formula>$D$191=template_label_value_inconsistency</formula>
    </cfRule>
  </conditionalFormatting>
  <conditionalFormatting sqref="L192">
    <cfRule type="expression" dxfId="193" priority="58">
      <formula>$D$192=template_label_value_inconsistency</formula>
    </cfRule>
  </conditionalFormatting>
  <conditionalFormatting sqref="L193">
    <cfRule type="expression" dxfId="192" priority="57">
      <formula>$D$193=template_label_value_inconsistency</formula>
    </cfRule>
  </conditionalFormatting>
  <conditionalFormatting sqref="L194">
    <cfRule type="expression" dxfId="191" priority="56">
      <formula>$D$194=template_label_value_inconsistency</formula>
    </cfRule>
  </conditionalFormatting>
  <conditionalFormatting sqref="L195">
    <cfRule type="expression" dxfId="190" priority="55">
      <formula>$D$195=template_label_value_inconsistency</formula>
    </cfRule>
  </conditionalFormatting>
  <conditionalFormatting sqref="L196">
    <cfRule type="expression" dxfId="189" priority="54">
      <formula>$D$196=template_label_value_inconsistency</formula>
    </cfRule>
  </conditionalFormatting>
  <conditionalFormatting sqref="L197">
    <cfRule type="expression" dxfId="188" priority="53">
      <formula>$D$197=template_label_value_inconsistency</formula>
    </cfRule>
  </conditionalFormatting>
  <conditionalFormatting sqref="L198">
    <cfRule type="expression" dxfId="187" priority="52">
      <formula>$D$198=template_label_value_inconsistency</formula>
    </cfRule>
  </conditionalFormatting>
  <conditionalFormatting sqref="L199:L200">
    <cfRule type="expression" dxfId="186" priority="50">
      <formula>$D$199=template_label_value_inconsistency</formula>
    </cfRule>
  </conditionalFormatting>
  <conditionalFormatting sqref="L201">
    <cfRule type="expression" dxfId="185" priority="49">
      <formula>$D$201=template_label_value_inconsistency</formula>
    </cfRule>
  </conditionalFormatting>
  <conditionalFormatting sqref="L202">
    <cfRule type="expression" dxfId="184" priority="48">
      <formula>$D$202=template_label_value_inconsistency</formula>
    </cfRule>
  </conditionalFormatting>
  <conditionalFormatting sqref="L203:L277">
    <cfRule type="expression" dxfId="183" priority="47">
      <formula>$D$203=template_label_value_inconsistency</formula>
    </cfRule>
  </conditionalFormatting>
  <conditionalFormatting sqref="L278">
    <cfRule type="expression" dxfId="182" priority="46">
      <formula>$D$278=template_label_value_inconsistency</formula>
    </cfRule>
  </conditionalFormatting>
  <conditionalFormatting sqref="L279">
    <cfRule type="expression" dxfId="181" priority="45">
      <formula>$D$279=template_label_value_inconsistency</formula>
    </cfRule>
  </conditionalFormatting>
  <conditionalFormatting sqref="L526:L530">
    <cfRule type="expression" dxfId="180" priority="238">
      <formula>$L526=template_label_ok</formula>
    </cfRule>
    <cfRule type="expression" dxfId="179" priority="154">
      <formula>$L526=template_label_missing_value</formula>
    </cfRule>
  </conditionalFormatting>
  <conditionalFormatting sqref="M305:M405">
    <cfRule type="expression" dxfId="178" priority="591">
      <formula>$M305=template_label_value_inconsistency</formula>
    </cfRule>
    <cfRule type="expression" dxfId="177" priority="592">
      <formula>$M305=template_label_error</formula>
    </cfRule>
    <cfRule type="expression" dxfId="176" priority="593">
      <formula>$M305=template_label_missing_value</formula>
    </cfRule>
    <cfRule type="expression" dxfId="175" priority="594">
      <formula>$M305=template_label_ok</formula>
    </cfRule>
  </conditionalFormatting>
  <dataValidations count="42">
    <dataValidation type="decimal" operator="equal" allowBlank="1" showInputMessage="1" showErrorMessage="1" sqref="G12:J13 C286:F286 G421:I518 G519:G520 H519:I519 J74:K173 D22:F22 D30:F44 G74:I74 D23:I24 G75:G173 J22:J23 J305:J404" xr:uid="{463E07FE-FE63-40A9-8532-3CA56FEFA5F9}">
      <formula1>C12</formula1>
    </dataValidation>
    <dataValidation type="custom" showInputMessage="1" showErrorMessage="1" sqref="L11" xr:uid="{0A9E2384-2ADF-493B-8CB1-D223BCFEDE81}">
      <formula1>IF(AND(G11="",J11="",K11=""),"-",SUM(G11:K11))</formula1>
    </dataValidation>
    <dataValidation type="custom" showInputMessage="1" showErrorMessage="1" sqref="K22:K26" xr:uid="{FEC32450-A949-4F7B-93CA-DBB81E802742}">
      <formula1>IF(AND(G22="",J22=""),"-",-(1-(J22/G22)))</formula1>
    </dataValidation>
    <dataValidation type="custom" showInputMessage="1" showErrorMessage="1" sqref="K12:K13" xr:uid="{6F90EB18-A3CC-4B2F-9C9E-29BD0D64A903}">
      <formula1>IF(AND(G12="",J12=""),"-",SUM(G12:J12))</formula1>
    </dataValidation>
    <dataValidation type="decimal" operator="equal" showInputMessage="1" showErrorMessage="1" sqref="G30:J44" xr:uid="{A7E3545F-0394-491C-9AB1-80294464A4C5}">
      <formula1>G30</formula1>
    </dataValidation>
    <dataValidation type="list" allowBlank="1" showInputMessage="1" showErrorMessage="1" sqref="D298:G298 E529:K529" xr:uid="{7E7EE714-500C-48BC-ABBE-420AFF2D7A12}">
      <formula1>enum_ListYesNo</formula1>
    </dataValidation>
    <dataValidation type="list" operator="equal" allowBlank="1" showInputMessage="1" showErrorMessage="1" sqref="J21" xr:uid="{8925CD99-FE1A-4417-A302-88211EAE7386}">
      <formula1>enum_ListOfFutureYears</formula1>
    </dataValidation>
    <dataValidation type="list" operator="equal" allowBlank="1" showInputMessage="1" showErrorMessage="1" sqref="G21:I21" xr:uid="{90EFDC8C-65F2-40F6-9000-7BA3248801C8}">
      <formula1>enum_ListOfPastYears</formula1>
    </dataValidation>
    <dataValidation type="decimal" operator="lessThanOrEqual" allowBlank="1" showInputMessage="1" showErrorMessage="1" sqref="D293" xr:uid="{EB16C979-C1E1-4E22-9116-A42CCD69F6DF}">
      <formula1>D292</formula1>
    </dataValidation>
    <dataValidation operator="equal" showInputMessage="1" showErrorMessage="1" sqref="G14:J14" xr:uid="{3F0ABE15-AF79-49D4-A013-2B4EE045EEAA}"/>
    <dataValidation type="decimal" operator="lessThanOrEqual" showInputMessage="1" showErrorMessage="1" sqref="G5:K5" xr:uid="{D78FBD8D-6A65-48A9-8A74-0A51B44480E5}">
      <formula1>G5</formula1>
    </dataValidation>
    <dataValidation type="list" allowBlank="1" showInputMessage="1" showErrorMessage="1" sqref="C72:K72 G405:I405" xr:uid="{42171956-F93E-4580-915B-C369204337E6}">
      <formula1>enum_ListUnitMeasurement_mass_only</formula1>
    </dataValidation>
    <dataValidation type="list" allowBlank="1" showInputMessage="1" showErrorMessage="1" sqref="G305:I404 J421:J520" xr:uid="{215D9514-9E5F-4946-8E49-301B8951F7E5}">
      <formula1>enum_ListUnitMeasurement</formula1>
    </dataValidation>
    <dataValidation type="custom" showInputMessage="1" showErrorMessage="1" sqref="G10:K10 G29 J19 D290 D56:K56 G178:K178 G419:J419 E525:K525" xr:uid="{6C1E46CA-737C-4BDE-BCA1-876FF4606F13}">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C7C19589-C730-4997-956E-4331CBDE61D9}"/>
    <dataValidation type="list" allowBlank="1" showInputMessage="1" showErrorMessage="1" sqref="D57:K57" xr:uid="{2BEC8D47-33C5-40A4-A6E4-4C17BF369AF5}">
      <formula1>enum_ImplementationStatus</formula1>
    </dataValidation>
    <dataValidation allowBlank="1" showInputMessage="1" showErrorMessage="1" promptTitle="Formula" prompt="Water consumption = Water withdrawal - Water discharge from undertaking production processes" sqref="C292" xr:uid="{BCCC8CF8-41DA-4BAE-BCE3-466626AA87AC}"/>
    <dataValidation type="custom" showInputMessage="1" showErrorMessage="1" sqref="D25:J25" xr:uid="{F1F694FD-1244-431B-B837-48DD5F99D333}">
      <formula1>IF(AND(D22="",D23=""),"-",SUM(D22,D23))</formula1>
    </dataValidation>
    <dataValidation type="custom" showInputMessage="1" showErrorMessage="1" sqref="D26:J26" xr:uid="{F09FDCD8-D3AD-4E63-B580-E4C7E2BDF8F0}">
      <formula1>IF(OR(D22="",D24=""),"-",SUM(D22,D24))</formula1>
    </dataValidation>
    <dataValidation type="list" allowBlank="1" showInputMessage="1" showErrorMessage="1" sqref="C180:C279" xr:uid="{245E8380-0D3F-4DD6-949C-C6587655AC80}">
      <formula1>IdentifierOfSiteTypedAxis</formula1>
    </dataValidation>
    <dataValidation type="custom" allowBlank="1" showInputMessage="1" showErrorMessage="1" sqref="K30:K47" xr:uid="{81A08033-2D72-4D9C-8C45-74E34CC8B836}">
      <formula1>IF(AND(G30="-",J30="-"),"-",-(1-(J30/G30)))</formula1>
    </dataValidation>
    <dataValidation type="custom" showInputMessage="1" showErrorMessage="1" sqref="D46:F46" xr:uid="{96E8A35B-8752-401F-A1D2-4821D1E78411}">
      <formula1>IF(G29=FALSE, "-", IF(AND(D22="", D23="", D45=""), "-", IF(SUM(D22, D23, D45)=0, "-", SUM(D22, D23, D45))))</formula1>
    </dataValidation>
    <dataValidation type="custom" showInputMessage="1" showErrorMessage="1" sqref="D47:F47" xr:uid="{7D3815E8-21E3-4C73-AFB1-264C4A64A7F7}">
      <formula1>IF(G29=FALSE,"-",IF(OR(D22="",D24="",D45=""),"-",SUM(D22,D24,D45)))</formula1>
    </dataValidation>
    <dataValidation type="custom" showInputMessage="1" showErrorMessage="1" sqref="G46:I46" xr:uid="{9CFBA775-77E3-4E74-A976-55BA611B1B84}">
      <formula1>IF(G29=FALSE, "-", IF(AND(G22="", G23="", G45=""), "-", IF(SUM(G22, G23, G45)=0, "-", SUM(G22, G23, G45))))</formula1>
    </dataValidation>
    <dataValidation type="custom" showInputMessage="1" showErrorMessage="1" sqref="J46" xr:uid="{D376DB63-BC6C-46DB-86DD-5D631B8CBF32}">
      <formula1>IF(G29=FALSE, "-", IF(AND(J22="", J23="", J45=""), "-", IF(SUM(J22, J23, J45)=0, "-", SUM(J22, J23, J45))))</formula1>
    </dataValidation>
    <dataValidation type="custom" showInputMessage="1" showErrorMessage="1" sqref="J180:J279" xr:uid="{8E8F39AE-1C62-42F0-993C-F181738E774B}">
      <formula1>IF(K180=TRUE,FALSE,TRUE)</formula1>
    </dataValidation>
    <dataValidation type="custom" showInputMessage="1" showErrorMessage="1" sqref="K180:K279" xr:uid="{B46FBB48-8342-477D-A223-B8A45C6316E2}">
      <formula1>IF(J180=TRUE,FALSE,TRUE)</formula1>
    </dataValidation>
    <dataValidation type="custom" allowBlank="1" showInputMessage="1" showErrorMessage="1" sqref="G68:K68" xr:uid="{3556C679-4E34-4F07-AB8B-912735BAED59}">
      <formula1>OR(G68=TRUE,G68=FALSE)</formula1>
    </dataValidation>
    <dataValidation type="list" allowBlank="1" showInputMessage="1" showErrorMessage="1" sqref="D74:F173" xr:uid="{E5E51117-39D0-4EDC-AA31-ABF21638CD5B}">
      <formula1>enum_ListPollutants</formula1>
    </dataValidation>
    <dataValidation type="decimal" operator="lessThanOrEqual" allowBlank="1" showInputMessage="1" showErrorMessage="1" sqref="D291" xr:uid="{1D4A7AF8-C75E-4FE4-A5EE-2439D1BDEF66}">
      <formula1>D285</formula1>
    </dataValidation>
    <dataValidation type="list" allowBlank="1" showInputMessage="1" showErrorMessage="1" sqref="I59:K59" xr:uid="{C5092882-C408-472D-A73D-87E5ED23AC69}">
      <formula1>enum_ListOfFutureYears</formula1>
    </dataValidation>
    <dataValidation type="list" allowBlank="1" showInputMessage="1" showErrorMessage="1" sqref="I60:K60" xr:uid="{A896B2BD-07FC-4D41-BD98-C1F4B697C555}">
      <formula1>enum_ListMonth</formula1>
    </dataValidation>
    <dataValidation type="list" allowBlank="1" showInputMessage="1" showErrorMessage="1" sqref="I61:K61" xr:uid="{84B08A87-DC56-4E42-A7E8-64265C253798}">
      <formula1>enum_ListDays</formula1>
    </dataValidation>
    <dataValidation type="decimal" operator="greaterThanOrEqual" allowBlank="1" showInputMessage="1" showErrorMessage="1" sqref="G22:I22" xr:uid="{05F6C8F0-893A-4833-802A-833DCF6D1127}">
      <formula1>J22</formula1>
    </dataValidation>
    <dataValidation type="decimal" operator="equal" showInputMessage="1" showErrorMessage="1" promptTitle="Warning (if applicable)" sqref="J24" xr:uid="{507B51E4-4539-44AD-BF06-07A7E53FC4A0}">
      <formula1>J24</formula1>
    </dataValidation>
    <dataValidation allowBlank="1" showInputMessage="1" showErrorMessage="1" promptTitle="Additional rows" sqref="D423:F423" xr:uid="{E9539440-6911-40ED-8F0C-41E8F4D3759C}"/>
    <dataValidation type="list" allowBlank="1" showInputMessage="1" showErrorMessage="1" sqref="D305:F404" xr:uid="{757BA514-53FC-4816-B747-8C950377BFBB}">
      <formula1>enum_ListTypeOfWastes</formula1>
    </dataValidation>
    <dataValidation type="list" showInputMessage="1" showErrorMessage="1" sqref="G69:K69" xr:uid="{AB06CF70-F947-4E5D-83DA-09C9FD4CAC83}">
      <formula1>enum_list_true_false</formula1>
    </dataValidation>
    <dataValidation type="decimal" operator="greaterThanOrEqual" allowBlank="1" showInputMessage="1" showErrorMessage="1" sqref="D285" xr:uid="{4D9BE51B-3200-485C-8045-1E5BD7672650}">
      <formula1>D293</formula1>
    </dataValidation>
    <dataValidation type="custom" showInputMessage="1" showErrorMessage="1" sqref="D292:F292" xr:uid="{5D940E9F-069F-4F47-A0D9-1570EB022F1C}">
      <formula1>IF(D291&lt;&gt;"",$D$285-$D$291,"-")</formula1>
    </dataValidation>
    <dataValidation type="custom" operator="lessThanOrEqual" allowBlank="1" showInputMessage="1" showErrorMessage="1" sqref="L305:L404" xr:uid="{E476764B-5DE6-4CD6-9298-88A165BF05DF}">
      <formula1>K305+L305&lt;=100%</formula1>
    </dataValidation>
    <dataValidation type="custom" operator="lessThanOrEqual" allowBlank="1" showInputMessage="1" showErrorMessage="1" sqref="K305:K404" xr:uid="{B2574AB1-0C12-4DC1-A845-8375112A55D7}">
      <formula1>K305+L305&lt;=100%</formula1>
    </dataValidation>
  </dataValidations>
  <hyperlinks>
    <hyperlink ref="C14:F14" location="template_FUEL_CONVERTER" display="Fuels (see Fuel Converter on Fuels worksheet)" xr:uid="{A029E2CF-74B8-43AA-80AE-64A2E02A3995}"/>
    <hyperlink ref="C3:K3" r:id="rId1" display="https://knowledgehub.efrag.org/eng/interactive/voluntary-standard/standard-for-voluntary-use/da/32" xr:uid="{0C164CFA-71E1-4DB2-9DBA-A0D13798AA0B}"/>
    <hyperlink ref="C17:F17" r:id="rId2" display="https://knowledgehub.efrag.org/eng/interactive/voluntary-standard/standard-for-voluntary-use/da/33" xr:uid="{BA4D96A1-7DB2-4A4C-A936-600D48BCB68D}"/>
    <hyperlink ref="G17:I17" r:id="rId3" display="53(b)" xr:uid="{E0D46830-D4B8-4B45-AE8A-B9FD8AB49CB0}"/>
    <hyperlink ref="J17" r:id="rId4" xr:uid="{FDB626AB-21B0-457E-A48E-92C5D02C2359}"/>
    <hyperlink ref="K17" r:id="rId5" xr:uid="{32335B75-108C-425D-B01F-DBA8A5C991D2}"/>
    <hyperlink ref="C27:F27" r:id="rId6" display="49-52" xr:uid="{23B45874-5C55-4974-AEA4-5728DF471027}"/>
    <hyperlink ref="G27:J27" r:id="rId7" display="53(d) " xr:uid="{FEEB300F-B2B5-4E1E-AD70-86CC9BE9215E}"/>
    <hyperlink ref="C50:K50" r:id="rId8" display="53(e) " xr:uid="{CCBF0462-1DD0-4C62-B58C-FBF5599770A9}"/>
    <hyperlink ref="A56" r:id="rId9" display="https://knowledgehub.efrag.org/eng/interactive/voluntary-standard/standard-for-voluntary-use/da/54" xr:uid="{E4F95DAF-B78F-4521-B1A6-2E2DDFE5C1D6}"/>
    <hyperlink ref="A59:A62" r:id="rId10" display="https://knowledgehub.efrag.org/eng/interactive/voluntary-standard/standard-for-voluntary-use/da/55" xr:uid="{35B279A4-C468-4B59-A4B2-33430A35D184}"/>
    <hyperlink ref="C66:K66" r:id="rId11" display="https://knowledgehub.efrag.org/eng/interactive/voluntary-standard/standard-for-voluntary-use/da/34" xr:uid="{EAC5F272-9A84-4C1A-8DB4-4F014FFBB506}"/>
    <hyperlink ref="C176:K176" r:id="rId12" display="https://knowledgehub.efrag.org/eng/interactive/voluntary-standard/standard-for-voluntary-use/da/35" xr:uid="{D931A0A0-C6AB-4FDA-A67D-A75BBE1024CD}"/>
    <hyperlink ref="C283:D283" r:id="rId13" display="https://knowledgehub.efrag.org/eng/interactive/voluntary-standard/standard-for-voluntary-use/da/36" xr:uid="{33F0AB59-940C-427C-B0AE-67C219E389AB}"/>
    <hyperlink ref="C288:D288" r:id="rId14" display="https://knowledgehub.efrag.org/eng/interactive/voluntary-standard/standard-for-voluntary-use/da/37" xr:uid="{FBB60CFB-5AB2-4F8A-9B8D-3A84E1523635}"/>
    <hyperlink ref="C296:G296" r:id="rId15" display="https://knowledgehub.efrag.org/eng/interactive/voluntary-standard/standard-for-voluntary-use/da/38" xr:uid="{8BC5D105-CDEF-4750-9613-AD2A5A6F7175}"/>
    <hyperlink ref="C302:L302" r:id="rId16" display="39(a) and 39(b)" xr:uid="{D79E5006-95C8-4909-8E37-6A2D4396B593}"/>
    <hyperlink ref="C417:J417" r:id="rId17" display="39(c)" xr:uid="{D8316060-B1B4-494D-BFBD-2861E9B461E7}"/>
    <hyperlink ref="A526" r:id="rId18" xr:uid="{C18B7DDE-01EF-4304-AE6E-D03FC641002E}"/>
    <hyperlink ref="A527" r:id="rId19" xr:uid="{36491B5E-38EA-4E22-90DC-7A33AEF7C990}"/>
    <hyperlink ref="A528" r:id="rId20" xr:uid="{F6595B04-21F6-4375-9859-016C59F42EC1}"/>
    <hyperlink ref="A529" r:id="rId21" xr:uid="{B8EE32F5-085E-49E8-B572-05C2A5A46F75}"/>
    <hyperlink ref="A530" r:id="rId22" display="https://knowledgehub.efrag.org/eng/interactive/voluntary-standard/standard-for-voluntary-use/da/57" xr:uid="{BCC41383-A442-4D3D-AF7E-3D42FCF59127}"/>
    <hyperlink ref="C533:L533" r:id="rId23" display="https://knowledgehub.efrag.org/eng/interactive/voluntary-standard/standard-for-voluntary-use/da/12" xr:uid="{0DE82273-B070-499E-823E-F20E57398F44}"/>
    <hyperlink ref="A55:B55" r:id="rId24" display="https://www.efrag.org/en/vsme-supporting-guide-on-disclosure-c3-comprehensive-module-ghg-reduction-targets-and-climate" xr:uid="{13A6EA08-094C-47D0-8292-17FE4E81C54D}"/>
    <hyperlink ref="C8:K8" r:id="rId25" display="https://knowledgehub.efrag.org/eng/interactive/voluntary-standard/standard-for-voluntary-use/da/32" xr:uid="{B31BD233-D59D-48CA-926A-5700BD4481D7}"/>
    <hyperlink ref="A57" r:id="rId26" display="https://knowledgehub.efrag.org/eng/interactive/voluntary-standard/standard-for-voluntary-use/da/54" xr:uid="{AE2E2A3F-5A55-4A1E-9A09-9030EC9AB589}"/>
    <hyperlink ref="A58" r:id="rId27" display="https://knowledgehub.efrag.org/eng/interactive/voluntary-standard/standard-for-voluntary-use/da/54" xr:uid="{88A419B6-5E56-40D1-A1D8-2EEBFD9E8A7A}"/>
  </hyperlinks>
  <pageMargins left="0.7" right="0.7" top="0.75" bottom="0.75" header="0.3" footer="0.3"/>
  <pageSetup orientation="portrait" r:id="rId28"/>
  <drawing r:id="rId29"/>
  <extLst>
    <ext xmlns:x14="http://schemas.microsoft.com/office/spreadsheetml/2009/9/main" uri="{78C0D931-6437-407d-A8EE-F0AAD7539E65}">
      <x14:conditionalFormattings>
        <x14:conditionalFormatting xmlns:xm="http://schemas.microsoft.com/office/excel/2006/main">
          <x14:cfRule type="expression" priority="6" id="{70304D73-2FA1-4A93-9FBD-BB14C0C80CB7}">
            <xm:f>AND('General Information'!$E$280&lt;=10, 'General Information'!$E$280&lt;&gt;"")</xm:f>
            <x14:dxf>
              <fill>
                <patternFill>
                  <bgColor theme="0" tint="-0.14996795556505021"/>
                </patternFill>
              </fill>
            </x14:dxf>
          </x14:cfRule>
          <xm:sqref>D285</xm:sqref>
        </x14:conditionalFormatting>
        <x14:conditionalFormatting xmlns:xm="http://schemas.microsoft.com/office/excel/2006/main">
          <x14:cfRule type="expression" priority="2" id="{0A9B7D30-C2CE-473B-B3F1-4B393C8BB920}">
            <xm:f>AND('General Information'!$E$280&lt;=10, 'General Information'!$E$280&lt;&gt;"")</xm:f>
            <x14:dxf>
              <fill>
                <patternFill>
                  <bgColor theme="0" tint="-0.14996795556505021"/>
                </patternFill>
              </fill>
            </x14:dxf>
          </x14:cfRule>
          <xm:sqref>D22:F24</xm:sqref>
        </x14:conditionalFormatting>
        <x14:conditionalFormatting xmlns:xm="http://schemas.microsoft.com/office/excel/2006/main">
          <x14:cfRule type="expression" priority="4" id="{01AF4C6C-F824-4525-9F51-D189B9C9CF8E}">
            <xm:f>AND('General Information'!$E$280&lt;=10, 'General Information'!$E$280&lt;&gt;"")</xm:f>
            <x14:dxf>
              <fill>
                <patternFill>
                  <bgColor theme="0" tint="-0.14996795556505021"/>
                </patternFill>
              </fill>
            </x14:dxf>
          </x14:cfRule>
          <xm:sqref>D298:G298</xm:sqref>
        </x14:conditionalFormatting>
        <x14:conditionalFormatting xmlns:xm="http://schemas.microsoft.com/office/excel/2006/main">
          <x14:cfRule type="expression" priority="1" id="{747F8489-7E4D-426E-824D-891B284960B7}">
            <xm:f>AND('General Information'!$E$280&lt;=10, 'General Information'!$E$280&lt;&gt;"")</xm:f>
            <x14:dxf>
              <fill>
                <patternFill>
                  <bgColor theme="0" tint="-0.14996795556505021"/>
                </patternFill>
              </fill>
            </x14:dxf>
          </x14:cfRule>
          <xm:sqref>D305:L404</xm:sqref>
        </x14:conditionalFormatting>
        <x14:conditionalFormatting xmlns:xm="http://schemas.microsoft.com/office/excel/2006/main">
          <x14:cfRule type="expression" priority="7" id="{CE44CD98-4B55-432C-B979-DB66E8BFF3D0}">
            <xm:f>AND('General Information'!$E$280&lt;=10, 'General Information'!$E$280&lt;&gt;"")</xm:f>
            <x14:dxf>
              <fill>
                <patternFill>
                  <bgColor theme="0" tint="-0.14996795556505021"/>
                </patternFill>
              </fill>
            </x14:dxf>
          </x14:cfRule>
          <xm:sqref>G5:K5 G405:I405 J405:L411 J413:L413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196"/>
  <sheetViews>
    <sheetView zoomScaleNormal="100" workbookViewId="0"/>
  </sheetViews>
  <sheetFormatPr defaultColWidth="8.88671875" defaultRowHeight="14.4" outlineLevelRow="1"/>
  <cols>
    <col min="1" max="2" width="10" style="10" bestFit="1" customWidth="1"/>
    <col min="3" max="3" width="73.88671875" style="10" customWidth="1"/>
    <col min="4" max="4" width="38.109375" style="10" customWidth="1"/>
    <col min="5" max="5" width="27.88671875" style="10" customWidth="1"/>
    <col min="6" max="7" width="8.88671875" style="10"/>
    <col min="8" max="8" width="25.5546875" style="10" customWidth="1"/>
    <col min="9" max="9" width="21.44140625" style="10" bestFit="1" customWidth="1"/>
    <col min="10" max="16384" width="8.88671875" style="10"/>
  </cols>
  <sheetData>
    <row r="1" spans="1:8" ht="43.8" thickBot="1">
      <c r="A1" s="208" t="str">
        <f>template_label_paragraph_reference</f>
        <v>Paragraph Reference</v>
      </c>
      <c r="B1" s="208" t="str">
        <f>template_label_paragraph_guidance_reference</f>
        <v>Paragraph Guidance Reference</v>
      </c>
    </row>
    <row r="2" spans="1:8" ht="15" thickBot="1">
      <c r="C2" s="1034" t="str">
        <f>template_label_employee_counting_methodology_for_the_disclosures_below_headcount_full_time_equivalent</f>
        <v xml:space="preserve">Employee counting methodology (Headcount or Full time Equivalent  linked from B1) for the disclosures below except specified otherwise </v>
      </c>
      <c r="D2" s="1035"/>
      <c r="E2" s="1036"/>
      <c r="F2" s="1046" t="str">
        <f>IF('General Information'!$E$282="","-",'General Information'!$E$282)</f>
        <v>-</v>
      </c>
      <c r="G2" s="1046"/>
      <c r="H2" s="1047"/>
    </row>
    <row r="3" spans="1:8" ht="15" thickBot="1">
      <c r="C3" s="1048" t="str">
        <f>template_label_employee_counting_methodology_for_the_disclosures_below_period</f>
        <v>Employee counting methodology (At the end of the reporting period or as an average across the reporting period linked from B1) for the disclosures below except specified otherwise</v>
      </c>
      <c r="D3" s="1048"/>
      <c r="E3" s="1048"/>
      <c r="F3" s="1037" t="str">
        <f>IF('General Information'!$E$281="","-",'General Information'!$E$281)</f>
        <v>-</v>
      </c>
      <c r="G3" s="1038"/>
      <c r="H3" s="1039"/>
    </row>
    <row r="4" spans="1:8" ht="15" hidden="1" thickBot="1">
      <c r="C4" s="1034" t="str">
        <f>template_label_basis_for_preparation</f>
        <v>Basis for preparation (Basic Module Only or Basic &amp; Comprehensive Module)</v>
      </c>
      <c r="D4" s="1035"/>
      <c r="E4" s="1036"/>
      <c r="F4" s="1037">
        <f>BasisForPreparation</f>
        <v>0</v>
      </c>
      <c r="G4" s="1038"/>
      <c r="H4" s="1039"/>
    </row>
    <row r="5" spans="1:8" ht="15" thickBot="1"/>
    <row r="6" spans="1:8" ht="15" thickBot="1">
      <c r="C6" s="699" t="str">
        <f>template_label_b8_workforce_general_characteristics_type_of_contract&amp;" "</f>
        <v xml:space="preserve">B8 - Workforce - General characteristics - Type of contract </v>
      </c>
      <c r="D6" s="862"/>
      <c r="E6" s="862"/>
      <c r="F6" s="862"/>
      <c r="G6" s="863"/>
      <c r="H6"/>
    </row>
    <row r="7" spans="1:8">
      <c r="C7" s="702" t="s">
        <v>45</v>
      </c>
      <c r="D7" s="817"/>
      <c r="E7" s="817"/>
      <c r="F7" s="817"/>
      <c r="G7" s="818"/>
    </row>
    <row r="8" spans="1:8">
      <c r="C8" s="711"/>
      <c r="D8" s="686"/>
      <c r="E8" s="686"/>
      <c r="F8" s="686"/>
      <c r="G8" s="808"/>
    </row>
    <row r="9" spans="1:8">
      <c r="C9" s="387" t="str">
        <f>template_label_type_of_contract</f>
        <v>Type of contract</v>
      </c>
      <c r="D9" s="1049" t="str">
        <f>template_label_number_of_employees</f>
        <v>Number of employees</v>
      </c>
      <c r="E9" s="1049"/>
      <c r="F9" s="1049"/>
      <c r="G9" s="1050"/>
      <c r="H9" s="125"/>
    </row>
    <row r="10" spans="1:8">
      <c r="C10" s="126" t="str">
        <f>template_label_permanent_contract</f>
        <v>Permanent contract</v>
      </c>
      <c r="D10" s="1051"/>
      <c r="E10" s="1051"/>
      <c r="F10" s="1051"/>
      <c r="G10" s="1052"/>
      <c r="H10" s="15" t="str">
        <f>IF(OR(
'Table of Contents &amp; Validation'!D36=TRUE,'Table of Contents &amp; Validation'!D35=TRUE),
IF(
    AND(
        OR(
            'General Information'!E125="Option A (Basic Module only)",
            'General Information'!E125="Option B (Basic Module and Comprehensive Module)"
        ),
        D10=""
    ),
    "",
    IF('General Information'!E125="",
        "",
        template_label_ok
    )
),
IF(
    AND(
        OR(
            'General Information'!E125="Option A (Basic Module only)",
            'General Information'!E125="Option B (Basic Module and Comprehensive Module)"
        ),
        D10=""
    ),
    template_label_missing_value,
    IF('General Information'!E125="",
        "",
        template_label_ok
    )
)
)</f>
        <v/>
      </c>
    </row>
    <row r="11" spans="1:8">
      <c r="C11" s="126" t="str">
        <f>template_label_temporary_contract</f>
        <v>Temporary contract</v>
      </c>
      <c r="D11" s="1054" t="str">
        <f>IFERROR(IF(D10="", "-", $D$12 - $D$10), "-")</f>
        <v>-</v>
      </c>
      <c r="E11" s="1054"/>
      <c r="F11" s="1054"/>
      <c r="G11" s="1055"/>
      <c r="H11" s="15"/>
    </row>
    <row r="12" spans="1:8" ht="15" thickBot="1">
      <c r="C12" s="388" t="str">
        <f>template_label_total_employees</f>
        <v>Total employees (linked to B1)</v>
      </c>
      <c r="D12" s="1056" t="str">
        <f>IF('General Information'!$E$280="", "-", VALUE(SUBSTITUTE('General Information'!$E$280, "-", "0")))</f>
        <v>-</v>
      </c>
      <c r="E12" s="1056"/>
      <c r="F12" s="1056"/>
      <c r="G12" s="1057"/>
      <c r="H12" s="17"/>
    </row>
    <row r="13" spans="1:8" ht="15" thickBot="1"/>
    <row r="14" spans="1:8" ht="15" thickBot="1">
      <c r="C14" s="699" t="str">
        <f>template_label_b8_workforce_general_characteristics_gender&amp;" "</f>
        <v xml:space="preserve">B8 - Workforce - General characteristics - Gender </v>
      </c>
      <c r="D14" s="862"/>
      <c r="E14" s="862"/>
      <c r="F14" s="862"/>
      <c r="G14" s="863"/>
      <c r="H14"/>
    </row>
    <row r="15" spans="1:8">
      <c r="C15" s="702" t="s">
        <v>46</v>
      </c>
      <c r="D15" s="817"/>
      <c r="E15" s="817"/>
      <c r="F15" s="817"/>
      <c r="G15" s="818"/>
    </row>
    <row r="16" spans="1:8">
      <c r="C16" s="711"/>
      <c r="D16" s="686"/>
      <c r="E16" s="686"/>
      <c r="F16" s="686"/>
      <c r="G16" s="808"/>
    </row>
    <row r="17" spans="3:22">
      <c r="C17" s="387" t="str">
        <f>template_label_gender</f>
        <v>Gender</v>
      </c>
      <c r="D17" s="1049" t="str">
        <f>template_label_number_of_employees</f>
        <v>Number of employees</v>
      </c>
      <c r="E17" s="1049"/>
      <c r="F17" s="1049"/>
      <c r="G17" s="1050"/>
    </row>
    <row r="18" spans="3:22">
      <c r="C18" s="126" t="str">
        <f>template_label_male</f>
        <v>Male</v>
      </c>
      <c r="D18" s="1051"/>
      <c r="E18" s="1051"/>
      <c r="F18" s="1051"/>
      <c r="G18" s="1052"/>
      <c r="H18" s="1053" t="str">
        <f>IF(OR(
'Table of Contents &amp; Validation'!D37=TRUE,'Table of Contents &amp; Validation'!D35=TRUE),
IF(
'General Information'!E280="",
IF(
OR(
'General Information'!E125="Option A (Basic Module only)",
'General Information'!E125="Option B (Basic Module and Comprehensive Module)"
),
IF(
NumberOfMaleEmployees
+NumberOfFemaleEmployees
+NumberOfOtherGenderEmployees
+NumberOfNonReportedGenderEmployees
=D22,
template_label_ok,
""
),
""
),
IF(
OR(
'General Information'!E125="Option A (Basic Module only)",
'General Information'!E125="Option B (Basic Module and Comprehensive Module)"
),
IF(
NumberOfMaleEmployees
+NumberOfFemaleEmployees
+NumberOfOtherGenderEmployees
+NumberOfNonReportedGenderEmployees
=D22,
template_label_ok,
""
),
""
)
),
IF(
'General Information'!E280="",
IF(
OR(
'General Information'!E125="Option A (Basic Module only)",
'General Information'!E125="Option B (Basic Module and Comprehensive Module)"
),
IF(
NumberOfMaleEmployees
+NumberOfFemaleEmployees
+NumberOfOtherGenderEmployees
+NumberOfNonReportedGenderEmployees
=D22,
template_label_ok,
template_label_missing_value
),
""
),
IF(
OR(
'General Information'!E125="Option A (Basic Module only)",
'General Information'!E125="Option B (Basic Module and Comprehensive Module)"
),
IF(
NumberOfMaleEmployees
+NumberOfFemaleEmployees
+NumberOfOtherGenderEmployees
+NumberOfNonReportedGenderEmployees
=D22,
template_label_ok,
template_label_value_inconsistency
),
""
)
)
)</f>
        <v/>
      </c>
      <c r="I18" s="1044" t="str">
        <f>template_label_number_of_employees_warning</f>
        <v xml:space="preserve">ℹ️  Please make sure that the total number of employees is the same as the one provided in the "General Information" sheet cell E55
</v>
      </c>
      <c r="J18" s="1044"/>
      <c r="K18" s="1044"/>
      <c r="L18" s="1044"/>
      <c r="M18" s="1044"/>
    </row>
    <row r="19" spans="3:22">
      <c r="C19" s="126" t="str">
        <f>template_label_female</f>
        <v>Female</v>
      </c>
      <c r="D19" s="1051"/>
      <c r="E19" s="1051"/>
      <c r="F19" s="1051"/>
      <c r="G19" s="1052"/>
      <c r="H19" s="1053"/>
      <c r="I19" s="1044"/>
      <c r="J19" s="1044"/>
      <c r="K19" s="1044"/>
      <c r="L19" s="1044"/>
      <c r="M19" s="1044"/>
    </row>
    <row r="20" spans="3:22">
      <c r="C20" s="126" t="str">
        <f>template_label_other</f>
        <v>Other</v>
      </c>
      <c r="D20" s="1051"/>
      <c r="E20" s="1051"/>
      <c r="F20" s="1051"/>
      <c r="G20" s="1052"/>
      <c r="H20" s="1053"/>
      <c r="I20" s="1044"/>
      <c r="J20" s="1044"/>
      <c r="K20" s="1044"/>
      <c r="L20" s="1044"/>
      <c r="M20" s="1044"/>
    </row>
    <row r="21" spans="3:22">
      <c r="C21" s="126" t="str">
        <f>template_label_not_reported</f>
        <v>Not reported</v>
      </c>
      <c r="D21" s="1051"/>
      <c r="E21" s="1051"/>
      <c r="F21" s="1051"/>
      <c r="G21" s="1052"/>
      <c r="H21" s="1053"/>
      <c r="I21" s="1044"/>
      <c r="J21" s="1044"/>
      <c r="K21" s="1044"/>
      <c r="L21" s="1044"/>
      <c r="M21" s="1044"/>
    </row>
    <row r="22" spans="3:22" ht="15" thickBot="1">
      <c r="C22" s="388" t="str">
        <f>template_label_total_employees</f>
        <v>Total employees (linked to B1)</v>
      </c>
      <c r="D22" s="1056" t="str">
        <f>IF('General Information'!$E$280="","-",'General Information'!$E$280)</f>
        <v>-</v>
      </c>
      <c r="E22" s="1056"/>
      <c r="F22" s="1056"/>
      <c r="G22" s="1057"/>
      <c r="H22" s="18"/>
    </row>
    <row r="23" spans="3:22" ht="15" thickBot="1"/>
    <row r="24" spans="3:22" ht="15" thickBot="1">
      <c r="C24" s="699" t="str">
        <f>template_label_b8_workforce_general_characteristics_country_of_employment&amp;" "</f>
        <v xml:space="preserve">B8 - Workforce - General characteristics - Country of employment </v>
      </c>
      <c r="D24" s="862"/>
      <c r="E24" s="862"/>
      <c r="F24" s="862"/>
      <c r="G24" s="862"/>
      <c r="H24" s="863"/>
    </row>
    <row r="25" spans="3:22">
      <c r="C25" s="850" t="s">
        <v>47</v>
      </c>
      <c r="D25" s="851"/>
      <c r="E25" s="851"/>
      <c r="F25" s="851"/>
      <c r="G25" s="851"/>
      <c r="H25" s="852"/>
    </row>
    <row r="26" spans="3:22">
      <c r="C26" s="711"/>
      <c r="D26" s="686"/>
      <c r="E26" s="686"/>
      <c r="F26" s="686"/>
      <c r="G26" s="686"/>
      <c r="H26" s="808"/>
    </row>
    <row r="27" spans="3:22">
      <c r="C27" s="1062" t="str">
        <f>template_label_undertaking_operating_in_more_than_one_country</f>
        <v>Does the undertaking operate in more than one country?</v>
      </c>
      <c r="D27" s="1063"/>
      <c r="E27" s="1064" t="b">
        <v>0</v>
      </c>
      <c r="F27" s="1064"/>
      <c r="G27" s="1064"/>
      <c r="H27" s="1065"/>
    </row>
    <row r="28" spans="3:22">
      <c r="C28" s="1058" t="str">
        <f>template_label_country_of_employment_contract</f>
        <v>Country of employment contract</v>
      </c>
      <c r="D28" s="802"/>
      <c r="E28" s="1059" t="str">
        <f>template_label_number_of_employees</f>
        <v>Number of employees</v>
      </c>
      <c r="F28" s="1060"/>
      <c r="G28" s="1060"/>
      <c r="H28" s="1061"/>
    </row>
    <row r="29" spans="3:22" ht="14.85" customHeight="1">
      <c r="C29" s="1042"/>
      <c r="D29" s="1043"/>
      <c r="E29" s="1040"/>
      <c r="F29" s="1040"/>
      <c r="G29" s="1040"/>
      <c r="H29" s="1041"/>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45" t="str">
        <f>template_label_number_of_employees_warning</f>
        <v xml:space="preserve">ℹ️  Please make sure that the total number of employees is the same as the one provided in the "General Information" sheet cell E55
</v>
      </c>
      <c r="K29" s="1045"/>
      <c r="L29" s="1045"/>
      <c r="M29" s="1045"/>
      <c r="N29" s="1045"/>
      <c r="O29" s="1045"/>
      <c r="P29" s="1045"/>
      <c r="Q29" s="1045"/>
      <c r="R29" s="1045"/>
      <c r="S29" s="1045"/>
      <c r="T29" s="1045"/>
      <c r="U29" s="1045"/>
      <c r="V29" s="1045"/>
    </row>
    <row r="30" spans="3:22">
      <c r="C30" s="1042"/>
      <c r="D30" s="1043"/>
      <c r="E30" s="1040"/>
      <c r="F30" s="1040"/>
      <c r="G30" s="1040"/>
      <c r="H30" s="1041"/>
      <c r="I30" s="15" t="str">
        <f t="shared" si="0"/>
        <v/>
      </c>
      <c r="J30" s="1045"/>
      <c r="K30" s="1045"/>
      <c r="L30" s="1045"/>
      <c r="M30" s="1045"/>
      <c r="N30" s="1045"/>
      <c r="O30" s="1045"/>
      <c r="P30" s="1045"/>
      <c r="Q30" s="1045"/>
      <c r="R30" s="1045"/>
      <c r="S30" s="1045"/>
      <c r="T30" s="1045"/>
      <c r="U30" s="1045"/>
      <c r="V30" s="1045"/>
    </row>
    <row r="31" spans="3:22">
      <c r="C31" s="1042"/>
      <c r="D31" s="1043"/>
      <c r="E31" s="1040"/>
      <c r="F31" s="1040"/>
      <c r="G31" s="1040"/>
      <c r="H31" s="1041"/>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c r="C32" s="1042"/>
      <c r="D32" s="1043"/>
      <c r="E32" s="1040"/>
      <c r="F32" s="1040"/>
      <c r="G32" s="1040"/>
      <c r="H32" s="1041"/>
      <c r="I32" s="15" t="str">
        <f t="shared" si="0"/>
        <v/>
      </c>
    </row>
    <row r="33" spans="3:9" hidden="1" outlineLevel="1">
      <c r="C33" s="1042"/>
      <c r="D33" s="1043"/>
      <c r="E33" s="1040"/>
      <c r="F33" s="1040"/>
      <c r="G33" s="1040"/>
      <c r="H33" s="1041"/>
      <c r="I33" s="15" t="str">
        <f t="shared" si="0"/>
        <v/>
      </c>
    </row>
    <row r="34" spans="3:9" hidden="1" outlineLevel="1">
      <c r="C34" s="1042"/>
      <c r="D34" s="1043"/>
      <c r="E34" s="1040"/>
      <c r="F34" s="1040"/>
      <c r="G34" s="1040"/>
      <c r="H34" s="1041"/>
      <c r="I34" s="15" t="str">
        <f t="shared" si="0"/>
        <v/>
      </c>
    </row>
    <row r="35" spans="3:9" hidden="1" outlineLevel="1">
      <c r="C35" s="1042"/>
      <c r="D35" s="1043"/>
      <c r="E35" s="1040"/>
      <c r="F35" s="1040"/>
      <c r="G35" s="1040"/>
      <c r="H35" s="1041"/>
      <c r="I35" s="15" t="str">
        <f t="shared" si="0"/>
        <v/>
      </c>
    </row>
    <row r="36" spans="3:9" hidden="1" outlineLevel="1">
      <c r="C36" s="1042"/>
      <c r="D36" s="1043"/>
      <c r="E36" s="1040"/>
      <c r="F36" s="1040"/>
      <c r="G36" s="1040"/>
      <c r="H36" s="1041"/>
      <c r="I36" s="15" t="str">
        <f t="shared" si="0"/>
        <v/>
      </c>
    </row>
    <row r="37" spans="3:9" hidden="1" outlineLevel="1">
      <c r="C37" s="1042"/>
      <c r="D37" s="1043"/>
      <c r="E37" s="1040"/>
      <c r="F37" s="1040"/>
      <c r="G37" s="1040"/>
      <c r="H37" s="1041"/>
      <c r="I37" s="15" t="str">
        <f t="shared" si="0"/>
        <v/>
      </c>
    </row>
    <row r="38" spans="3:9" hidden="1" outlineLevel="1">
      <c r="C38" s="1042"/>
      <c r="D38" s="1043"/>
      <c r="E38" s="1040"/>
      <c r="F38" s="1040"/>
      <c r="G38" s="1040"/>
      <c r="H38" s="1041"/>
      <c r="I38" s="15" t="str">
        <f t="shared" si="0"/>
        <v/>
      </c>
    </row>
    <row r="39" spans="3:9" hidden="1" outlineLevel="1">
      <c r="C39" s="1042"/>
      <c r="D39" s="1043"/>
      <c r="E39" s="1040"/>
      <c r="F39" s="1040"/>
      <c r="G39" s="1040"/>
      <c r="H39" s="1041"/>
      <c r="I39" s="15" t="str">
        <f t="shared" si="0"/>
        <v/>
      </c>
    </row>
    <row r="40" spans="3:9" hidden="1" outlineLevel="1">
      <c r="C40" s="1042"/>
      <c r="D40" s="1043"/>
      <c r="E40" s="1040"/>
      <c r="F40" s="1040"/>
      <c r="G40" s="1040"/>
      <c r="H40" s="1041"/>
      <c r="I40" s="15" t="str">
        <f t="shared" si="0"/>
        <v/>
      </c>
    </row>
    <row r="41" spans="3:9" hidden="1" outlineLevel="1">
      <c r="C41" s="1042"/>
      <c r="D41" s="1043"/>
      <c r="E41" s="1040"/>
      <c r="F41" s="1040"/>
      <c r="G41" s="1040"/>
      <c r="H41" s="1041"/>
      <c r="I41" s="15" t="str">
        <f t="shared" si="0"/>
        <v/>
      </c>
    </row>
    <row r="42" spans="3:9" hidden="1" outlineLevel="1">
      <c r="C42" s="1042"/>
      <c r="D42" s="1043"/>
      <c r="E42" s="1040"/>
      <c r="F42" s="1040"/>
      <c r="G42" s="1040"/>
      <c r="H42" s="1041"/>
      <c r="I42" s="15" t="str">
        <f t="shared" si="0"/>
        <v/>
      </c>
    </row>
    <row r="43" spans="3:9" hidden="1" outlineLevel="1">
      <c r="C43" s="1042"/>
      <c r="D43" s="1043"/>
      <c r="E43" s="1040"/>
      <c r="F43" s="1040"/>
      <c r="G43" s="1040"/>
      <c r="H43" s="1041"/>
      <c r="I43" s="15" t="str">
        <f t="shared" si="0"/>
        <v/>
      </c>
    </row>
    <row r="44" spans="3:9" hidden="1" outlineLevel="1">
      <c r="C44" s="1042"/>
      <c r="D44" s="1043"/>
      <c r="E44" s="1040"/>
      <c r="F44" s="1040"/>
      <c r="G44" s="1040"/>
      <c r="H44" s="1041"/>
      <c r="I44" s="15" t="str">
        <f t="shared" si="0"/>
        <v/>
      </c>
    </row>
    <row r="45" spans="3:9" hidden="1" outlineLevel="1">
      <c r="C45" s="1042"/>
      <c r="D45" s="1043"/>
      <c r="E45" s="1040"/>
      <c r="F45" s="1040"/>
      <c r="G45" s="1040"/>
      <c r="H45" s="1041"/>
      <c r="I45" s="15" t="str">
        <f t="shared" si="0"/>
        <v/>
      </c>
    </row>
    <row r="46" spans="3:9" hidden="1" outlineLevel="1">
      <c r="C46" s="1042"/>
      <c r="D46" s="1043"/>
      <c r="E46" s="1040"/>
      <c r="F46" s="1040"/>
      <c r="G46" s="1040"/>
      <c r="H46" s="1041"/>
      <c r="I46" s="15" t="str">
        <f t="shared" si="0"/>
        <v/>
      </c>
    </row>
    <row r="47" spans="3:9" hidden="1" outlineLevel="1">
      <c r="C47" s="1042"/>
      <c r="D47" s="1043"/>
      <c r="E47" s="1040"/>
      <c r="F47" s="1040"/>
      <c r="G47" s="1040"/>
      <c r="H47" s="1041"/>
      <c r="I47" s="15" t="str">
        <f t="shared" si="0"/>
        <v/>
      </c>
    </row>
    <row r="48" spans="3:9" hidden="1" outlineLevel="1">
      <c r="C48" s="1042"/>
      <c r="D48" s="1043"/>
      <c r="E48" s="1040"/>
      <c r="F48" s="1040"/>
      <c r="G48" s="1040"/>
      <c r="H48" s="1041"/>
      <c r="I48" s="15" t="str">
        <f t="shared" si="0"/>
        <v/>
      </c>
    </row>
    <row r="49" spans="3:9" hidden="1" outlineLevel="1">
      <c r="C49" s="1042"/>
      <c r="D49" s="1043"/>
      <c r="E49" s="1040"/>
      <c r="F49" s="1040"/>
      <c r="G49" s="1040"/>
      <c r="H49" s="1041"/>
      <c r="I49" s="15" t="str">
        <f t="shared" si="0"/>
        <v/>
      </c>
    </row>
    <row r="50" spans="3:9" hidden="1" outlineLevel="1">
      <c r="C50" s="1042"/>
      <c r="D50" s="1043"/>
      <c r="E50" s="1040"/>
      <c r="F50" s="1040"/>
      <c r="G50" s="1040"/>
      <c r="H50" s="1041"/>
      <c r="I50" s="15" t="str">
        <f t="shared" si="0"/>
        <v/>
      </c>
    </row>
    <row r="51" spans="3:9" hidden="1" outlineLevel="1">
      <c r="C51" s="1042"/>
      <c r="D51" s="1043"/>
      <c r="E51" s="1040"/>
      <c r="F51" s="1040"/>
      <c r="G51" s="1040"/>
      <c r="H51" s="1041"/>
      <c r="I51" s="15" t="str">
        <f t="shared" si="0"/>
        <v/>
      </c>
    </row>
    <row r="52" spans="3:9" hidden="1" outlineLevel="1">
      <c r="C52" s="1042"/>
      <c r="D52" s="1043"/>
      <c r="E52" s="1040"/>
      <c r="F52" s="1040"/>
      <c r="G52" s="1040"/>
      <c r="H52" s="1041"/>
      <c r="I52" s="15" t="str">
        <f t="shared" si="0"/>
        <v/>
      </c>
    </row>
    <row r="53" spans="3:9" hidden="1" outlineLevel="1">
      <c r="C53" s="1042"/>
      <c r="D53" s="1043"/>
      <c r="E53" s="1040"/>
      <c r="F53" s="1040"/>
      <c r="G53" s="1040"/>
      <c r="H53" s="1041"/>
      <c r="I53" s="15" t="str">
        <f t="shared" si="0"/>
        <v/>
      </c>
    </row>
    <row r="54" spans="3:9" hidden="1" outlineLevel="1">
      <c r="C54" s="1042"/>
      <c r="D54" s="1043"/>
      <c r="E54" s="1040"/>
      <c r="F54" s="1040"/>
      <c r="G54" s="1040"/>
      <c r="H54" s="1041"/>
      <c r="I54" s="15" t="str">
        <f t="shared" si="0"/>
        <v/>
      </c>
    </row>
    <row r="55" spans="3:9" hidden="1" outlineLevel="1">
      <c r="C55" s="1042"/>
      <c r="D55" s="1043"/>
      <c r="E55" s="1040"/>
      <c r="F55" s="1040"/>
      <c r="G55" s="1040"/>
      <c r="H55" s="1041"/>
      <c r="I55" s="15" t="str">
        <f t="shared" si="0"/>
        <v/>
      </c>
    </row>
    <row r="56" spans="3:9" hidden="1" outlineLevel="1">
      <c r="C56" s="1042"/>
      <c r="D56" s="1043"/>
      <c r="E56" s="1040"/>
      <c r="F56" s="1040"/>
      <c r="G56" s="1040"/>
      <c r="H56" s="1041"/>
      <c r="I56" s="15" t="str">
        <f t="shared" si="0"/>
        <v/>
      </c>
    </row>
    <row r="57" spans="3:9" hidden="1" outlineLevel="1">
      <c r="C57" s="1042"/>
      <c r="D57" s="1043"/>
      <c r="E57" s="1040"/>
      <c r="F57" s="1040"/>
      <c r="G57" s="1040"/>
      <c r="H57" s="1041"/>
      <c r="I57" s="15" t="str">
        <f t="shared" si="0"/>
        <v/>
      </c>
    </row>
    <row r="58" spans="3:9" hidden="1" outlineLevel="1">
      <c r="C58" s="1042"/>
      <c r="D58" s="1043"/>
      <c r="E58" s="1040"/>
      <c r="F58" s="1040"/>
      <c r="G58" s="1040"/>
      <c r="H58" s="1041"/>
      <c r="I58" s="15" t="str">
        <f t="shared" si="0"/>
        <v/>
      </c>
    </row>
    <row r="59" spans="3:9" hidden="1" outlineLevel="1">
      <c r="C59" s="1042"/>
      <c r="D59" s="1043"/>
      <c r="E59" s="1040"/>
      <c r="F59" s="1040"/>
      <c r="G59" s="1040"/>
      <c r="H59" s="1041"/>
      <c r="I59" s="15" t="str">
        <f t="shared" si="0"/>
        <v/>
      </c>
    </row>
    <row r="60" spans="3:9" hidden="1" outlineLevel="1">
      <c r="C60" s="1042"/>
      <c r="D60" s="1043"/>
      <c r="E60" s="1040"/>
      <c r="F60" s="1040"/>
      <c r="G60" s="1040"/>
      <c r="H60" s="1041"/>
      <c r="I60" s="15" t="str">
        <f t="shared" si="0"/>
        <v/>
      </c>
    </row>
    <row r="61" spans="3:9" hidden="1" outlineLevel="1">
      <c r="C61" s="1042"/>
      <c r="D61" s="1043"/>
      <c r="E61" s="1040"/>
      <c r="F61" s="1040"/>
      <c r="G61" s="1040"/>
      <c r="H61" s="1041"/>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c r="C62" s="1042"/>
      <c r="D62" s="1043"/>
      <c r="E62" s="1040"/>
      <c r="F62" s="1040"/>
      <c r="G62" s="1040"/>
      <c r="H62" s="1041"/>
      <c r="I62" s="15" t="str">
        <f t="shared" si="1"/>
        <v/>
      </c>
    </row>
    <row r="63" spans="3:9" hidden="1" outlineLevel="1">
      <c r="C63" s="1042"/>
      <c r="D63" s="1043"/>
      <c r="E63" s="1040"/>
      <c r="F63" s="1040"/>
      <c r="G63" s="1040"/>
      <c r="H63" s="1041"/>
      <c r="I63" s="15" t="str">
        <f t="shared" si="1"/>
        <v/>
      </c>
    </row>
    <row r="64" spans="3:9" hidden="1" outlineLevel="1">
      <c r="C64" s="1042"/>
      <c r="D64" s="1043"/>
      <c r="E64" s="1040"/>
      <c r="F64" s="1040"/>
      <c r="G64" s="1040"/>
      <c r="H64" s="1041"/>
      <c r="I64" s="15" t="str">
        <f t="shared" si="1"/>
        <v/>
      </c>
    </row>
    <row r="65" spans="3:9" hidden="1" outlineLevel="1">
      <c r="C65" s="1042"/>
      <c r="D65" s="1043"/>
      <c r="E65" s="1040"/>
      <c r="F65" s="1040"/>
      <c r="G65" s="1040"/>
      <c r="H65" s="1041"/>
      <c r="I65" s="15" t="str">
        <f t="shared" si="1"/>
        <v/>
      </c>
    </row>
    <row r="66" spans="3:9" hidden="1" outlineLevel="1">
      <c r="C66" s="1042"/>
      <c r="D66" s="1043"/>
      <c r="E66" s="1040"/>
      <c r="F66" s="1040"/>
      <c r="G66" s="1040"/>
      <c r="H66" s="1041"/>
      <c r="I66" s="15" t="str">
        <f t="shared" si="1"/>
        <v/>
      </c>
    </row>
    <row r="67" spans="3:9" hidden="1" outlineLevel="1">
      <c r="C67" s="1042"/>
      <c r="D67" s="1043"/>
      <c r="E67" s="1040"/>
      <c r="F67" s="1040"/>
      <c r="G67" s="1040"/>
      <c r="H67" s="1041"/>
      <c r="I67" s="15" t="str">
        <f t="shared" si="1"/>
        <v/>
      </c>
    </row>
    <row r="68" spans="3:9" hidden="1" outlineLevel="1">
      <c r="C68" s="1042"/>
      <c r="D68" s="1043"/>
      <c r="E68" s="1040"/>
      <c r="F68" s="1040"/>
      <c r="G68" s="1040"/>
      <c r="H68" s="1041"/>
      <c r="I68" s="15" t="str">
        <f t="shared" si="1"/>
        <v/>
      </c>
    </row>
    <row r="69" spans="3:9" hidden="1" outlineLevel="1">
      <c r="C69" s="1042"/>
      <c r="D69" s="1043"/>
      <c r="E69" s="1040"/>
      <c r="F69" s="1040"/>
      <c r="G69" s="1040"/>
      <c r="H69" s="1041"/>
      <c r="I69" s="15" t="str">
        <f t="shared" si="1"/>
        <v/>
      </c>
    </row>
    <row r="70" spans="3:9" hidden="1" outlineLevel="1">
      <c r="C70" s="1042"/>
      <c r="D70" s="1043"/>
      <c r="E70" s="1040"/>
      <c r="F70" s="1040"/>
      <c r="G70" s="1040"/>
      <c r="H70" s="1041"/>
      <c r="I70" s="15" t="str">
        <f t="shared" si="1"/>
        <v/>
      </c>
    </row>
    <row r="71" spans="3:9" hidden="1" outlineLevel="1">
      <c r="C71" s="1042"/>
      <c r="D71" s="1043"/>
      <c r="E71" s="1040"/>
      <c r="F71" s="1040"/>
      <c r="G71" s="1040"/>
      <c r="H71" s="1041"/>
      <c r="I71" s="15" t="str">
        <f t="shared" si="1"/>
        <v/>
      </c>
    </row>
    <row r="72" spans="3:9" hidden="1" outlineLevel="1">
      <c r="C72" s="1042"/>
      <c r="D72" s="1043"/>
      <c r="E72" s="1040"/>
      <c r="F72" s="1040"/>
      <c r="G72" s="1040"/>
      <c r="H72" s="1041"/>
      <c r="I72" s="15" t="str">
        <f t="shared" si="1"/>
        <v/>
      </c>
    </row>
    <row r="73" spans="3:9" hidden="1" outlineLevel="1">
      <c r="C73" s="1042"/>
      <c r="D73" s="1043"/>
      <c r="E73" s="1040"/>
      <c r="F73" s="1040"/>
      <c r="G73" s="1040"/>
      <c r="H73" s="1041"/>
      <c r="I73" s="15" t="str">
        <f t="shared" si="1"/>
        <v/>
      </c>
    </row>
    <row r="74" spans="3:9" hidden="1" outlineLevel="1">
      <c r="C74" s="1042"/>
      <c r="D74" s="1043"/>
      <c r="E74" s="1040"/>
      <c r="F74" s="1040"/>
      <c r="G74" s="1040"/>
      <c r="H74" s="1041"/>
      <c r="I74" s="15" t="str">
        <f t="shared" si="1"/>
        <v/>
      </c>
    </row>
    <row r="75" spans="3:9" hidden="1" outlineLevel="1">
      <c r="C75" s="1042"/>
      <c r="D75" s="1043"/>
      <c r="E75" s="1040"/>
      <c r="F75" s="1040"/>
      <c r="G75" s="1040"/>
      <c r="H75" s="1041"/>
      <c r="I75" s="15" t="str">
        <f t="shared" si="1"/>
        <v/>
      </c>
    </row>
    <row r="76" spans="3:9" hidden="1" outlineLevel="1">
      <c r="C76" s="1042"/>
      <c r="D76" s="1043"/>
      <c r="E76" s="1040"/>
      <c r="F76" s="1040"/>
      <c r="G76" s="1040"/>
      <c r="H76" s="1041"/>
      <c r="I76" s="15" t="str">
        <f t="shared" si="1"/>
        <v/>
      </c>
    </row>
    <row r="77" spans="3:9" hidden="1" outlineLevel="1">
      <c r="C77" s="1042"/>
      <c r="D77" s="1043"/>
      <c r="E77" s="1040"/>
      <c r="F77" s="1040"/>
      <c r="G77" s="1040"/>
      <c r="H77" s="1041"/>
      <c r="I77" s="15" t="str">
        <f t="shared" si="1"/>
        <v/>
      </c>
    </row>
    <row r="78" spans="3:9" hidden="1" outlineLevel="1">
      <c r="C78" s="1042"/>
      <c r="D78" s="1043"/>
      <c r="E78" s="1040"/>
      <c r="F78" s="1040"/>
      <c r="G78" s="1040"/>
      <c r="H78" s="1041"/>
      <c r="I78" s="15" t="str">
        <f t="shared" si="1"/>
        <v/>
      </c>
    </row>
    <row r="79" spans="3:9" hidden="1" outlineLevel="1">
      <c r="C79" s="1042"/>
      <c r="D79" s="1043"/>
      <c r="E79" s="1040"/>
      <c r="F79" s="1040"/>
      <c r="G79" s="1040"/>
      <c r="H79" s="1041"/>
      <c r="I79" s="15" t="str">
        <f t="shared" si="1"/>
        <v/>
      </c>
    </row>
    <row r="80" spans="3:9" hidden="1" outlineLevel="1">
      <c r="C80" s="1042"/>
      <c r="D80" s="1043"/>
      <c r="E80" s="1040"/>
      <c r="F80" s="1040"/>
      <c r="G80" s="1040"/>
      <c r="H80" s="1041"/>
      <c r="I80" s="15" t="str">
        <f t="shared" si="1"/>
        <v/>
      </c>
    </row>
    <row r="81" spans="3:9" hidden="1" outlineLevel="1">
      <c r="C81" s="1042"/>
      <c r="D81" s="1043"/>
      <c r="E81" s="1040"/>
      <c r="F81" s="1040"/>
      <c r="G81" s="1040"/>
      <c r="H81" s="1041"/>
      <c r="I81" s="15" t="str">
        <f t="shared" si="1"/>
        <v/>
      </c>
    </row>
    <row r="82" spans="3:9" hidden="1" outlineLevel="1">
      <c r="C82" s="1042"/>
      <c r="D82" s="1043"/>
      <c r="E82" s="1040"/>
      <c r="F82" s="1040"/>
      <c r="G82" s="1040"/>
      <c r="H82" s="1041"/>
      <c r="I82" s="15" t="str">
        <f t="shared" si="1"/>
        <v/>
      </c>
    </row>
    <row r="83" spans="3:9" hidden="1" outlineLevel="1">
      <c r="C83" s="1042"/>
      <c r="D83" s="1043"/>
      <c r="E83" s="1040"/>
      <c r="F83" s="1040"/>
      <c r="G83" s="1040"/>
      <c r="H83" s="1041"/>
      <c r="I83" s="15" t="str">
        <f t="shared" si="1"/>
        <v/>
      </c>
    </row>
    <row r="84" spans="3:9" hidden="1" outlineLevel="1">
      <c r="C84" s="1042"/>
      <c r="D84" s="1043"/>
      <c r="E84" s="1040"/>
      <c r="F84" s="1040"/>
      <c r="G84" s="1040"/>
      <c r="H84" s="1041"/>
      <c r="I84" s="15" t="str">
        <f t="shared" si="1"/>
        <v/>
      </c>
    </row>
    <row r="85" spans="3:9" hidden="1" outlineLevel="1">
      <c r="C85" s="1042"/>
      <c r="D85" s="1043"/>
      <c r="E85" s="1040"/>
      <c r="F85" s="1040"/>
      <c r="G85" s="1040"/>
      <c r="H85" s="1041"/>
      <c r="I85" s="15" t="str">
        <f t="shared" si="1"/>
        <v/>
      </c>
    </row>
    <row r="86" spans="3:9" hidden="1" outlineLevel="1">
      <c r="C86" s="1042"/>
      <c r="D86" s="1043"/>
      <c r="E86" s="1040"/>
      <c r="F86" s="1040"/>
      <c r="G86" s="1040"/>
      <c r="H86" s="1041"/>
      <c r="I86" s="15" t="str">
        <f t="shared" si="1"/>
        <v/>
      </c>
    </row>
    <row r="87" spans="3:9" hidden="1" outlineLevel="1">
      <c r="C87" s="1042"/>
      <c r="D87" s="1043"/>
      <c r="E87" s="1040"/>
      <c r="F87" s="1040"/>
      <c r="G87" s="1040"/>
      <c r="H87" s="1041"/>
      <c r="I87" s="15" t="str">
        <f t="shared" si="1"/>
        <v/>
      </c>
    </row>
    <row r="88" spans="3:9" hidden="1" outlineLevel="1">
      <c r="C88" s="1042"/>
      <c r="D88" s="1043"/>
      <c r="E88" s="1040"/>
      <c r="F88" s="1040"/>
      <c r="G88" s="1040"/>
      <c r="H88" s="1041"/>
      <c r="I88" s="15" t="str">
        <f t="shared" si="1"/>
        <v/>
      </c>
    </row>
    <row r="89" spans="3:9" hidden="1" outlineLevel="1">
      <c r="C89" s="1042"/>
      <c r="D89" s="1043"/>
      <c r="E89" s="1040"/>
      <c r="F89" s="1040"/>
      <c r="G89" s="1040"/>
      <c r="H89" s="1041"/>
      <c r="I89" s="15" t="str">
        <f t="shared" si="1"/>
        <v/>
      </c>
    </row>
    <row r="90" spans="3:9" hidden="1" outlineLevel="1">
      <c r="C90" s="1042"/>
      <c r="D90" s="1043"/>
      <c r="E90" s="1040"/>
      <c r="F90" s="1040"/>
      <c r="G90" s="1040"/>
      <c r="H90" s="1041"/>
      <c r="I90" s="15" t="str">
        <f t="shared" si="1"/>
        <v/>
      </c>
    </row>
    <row r="91" spans="3:9" hidden="1" outlineLevel="1">
      <c r="C91" s="1042"/>
      <c r="D91" s="1043"/>
      <c r="E91" s="1040"/>
      <c r="F91" s="1040"/>
      <c r="G91" s="1040"/>
      <c r="H91" s="1041"/>
      <c r="I91" s="15" t="str">
        <f t="shared" si="1"/>
        <v/>
      </c>
    </row>
    <row r="92" spans="3:9" hidden="1" outlineLevel="1">
      <c r="C92" s="1042"/>
      <c r="D92" s="1043"/>
      <c r="E92" s="1040"/>
      <c r="F92" s="1040"/>
      <c r="G92" s="1040"/>
      <c r="H92" s="1041"/>
      <c r="I92" s="15" t="str">
        <f t="shared" si="1"/>
        <v/>
      </c>
    </row>
    <row r="93" spans="3:9" hidden="1" outlineLevel="1">
      <c r="C93" s="1042"/>
      <c r="D93" s="1043"/>
      <c r="E93" s="1040"/>
      <c r="F93" s="1040"/>
      <c r="G93" s="1040"/>
      <c r="H93" s="1041"/>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c r="C94" s="1042"/>
      <c r="D94" s="1043"/>
      <c r="E94" s="1040"/>
      <c r="F94" s="1040"/>
      <c r="G94" s="1040"/>
      <c r="H94" s="1041"/>
      <c r="I94" s="15" t="str">
        <f t="shared" si="2"/>
        <v/>
      </c>
    </row>
    <row r="95" spans="3:9" hidden="1" outlineLevel="1">
      <c r="C95" s="1042"/>
      <c r="D95" s="1043"/>
      <c r="E95" s="1040"/>
      <c r="F95" s="1040"/>
      <c r="G95" s="1040"/>
      <c r="H95" s="1041"/>
      <c r="I95" s="15" t="str">
        <f t="shared" si="2"/>
        <v/>
      </c>
    </row>
    <row r="96" spans="3:9" hidden="1" outlineLevel="1">
      <c r="C96" s="1042"/>
      <c r="D96" s="1043"/>
      <c r="E96" s="1040"/>
      <c r="F96" s="1040"/>
      <c r="G96" s="1040"/>
      <c r="H96" s="1041"/>
      <c r="I96" s="15" t="str">
        <f t="shared" si="2"/>
        <v/>
      </c>
    </row>
    <row r="97" spans="3:9" hidden="1" outlineLevel="1">
      <c r="C97" s="1042"/>
      <c r="D97" s="1043"/>
      <c r="E97" s="1040"/>
      <c r="F97" s="1040"/>
      <c r="G97" s="1040"/>
      <c r="H97" s="1041"/>
      <c r="I97" s="15" t="str">
        <f t="shared" si="2"/>
        <v/>
      </c>
    </row>
    <row r="98" spans="3:9" hidden="1" outlineLevel="1">
      <c r="C98" s="1042"/>
      <c r="D98" s="1043"/>
      <c r="E98" s="1040"/>
      <c r="F98" s="1040"/>
      <c r="G98" s="1040"/>
      <c r="H98" s="1041"/>
      <c r="I98" s="15" t="str">
        <f t="shared" si="2"/>
        <v/>
      </c>
    </row>
    <row r="99" spans="3:9" hidden="1" outlineLevel="1">
      <c r="C99" s="1042"/>
      <c r="D99" s="1043"/>
      <c r="E99" s="1040"/>
      <c r="F99" s="1040"/>
      <c r="G99" s="1040"/>
      <c r="H99" s="1041"/>
      <c r="I99" s="15" t="str">
        <f t="shared" si="2"/>
        <v/>
      </c>
    </row>
    <row r="100" spans="3:9" hidden="1" outlineLevel="1">
      <c r="C100" s="1042"/>
      <c r="D100" s="1043"/>
      <c r="E100" s="1040"/>
      <c r="F100" s="1040"/>
      <c r="G100" s="1040"/>
      <c r="H100" s="1041"/>
      <c r="I100" s="15" t="str">
        <f t="shared" si="2"/>
        <v/>
      </c>
    </row>
    <row r="101" spans="3:9" hidden="1" outlineLevel="1">
      <c r="C101" s="1042"/>
      <c r="D101" s="1043"/>
      <c r="E101" s="1040"/>
      <c r="F101" s="1040"/>
      <c r="G101" s="1040"/>
      <c r="H101" s="1041"/>
      <c r="I101" s="15" t="str">
        <f t="shared" si="2"/>
        <v/>
      </c>
    </row>
    <row r="102" spans="3:9" hidden="1" outlineLevel="1">
      <c r="C102" s="1042"/>
      <c r="D102" s="1043"/>
      <c r="E102" s="1040"/>
      <c r="F102" s="1040"/>
      <c r="G102" s="1040"/>
      <c r="H102" s="1041"/>
      <c r="I102" s="15" t="str">
        <f t="shared" si="2"/>
        <v/>
      </c>
    </row>
    <row r="103" spans="3:9" hidden="1" outlineLevel="1">
      <c r="C103" s="1042"/>
      <c r="D103" s="1043"/>
      <c r="E103" s="1040"/>
      <c r="F103" s="1040"/>
      <c r="G103" s="1040"/>
      <c r="H103" s="1041"/>
      <c r="I103" s="15" t="str">
        <f t="shared" si="2"/>
        <v/>
      </c>
    </row>
    <row r="104" spans="3:9" hidden="1" outlineLevel="1">
      <c r="C104" s="1042"/>
      <c r="D104" s="1043"/>
      <c r="E104" s="1040"/>
      <c r="F104" s="1040"/>
      <c r="G104" s="1040"/>
      <c r="H104" s="1041"/>
      <c r="I104" s="15" t="str">
        <f t="shared" si="2"/>
        <v/>
      </c>
    </row>
    <row r="105" spans="3:9" hidden="1" outlineLevel="1">
      <c r="C105" s="1042"/>
      <c r="D105" s="1043"/>
      <c r="E105" s="1040"/>
      <c r="F105" s="1040"/>
      <c r="G105" s="1040"/>
      <c r="H105" s="1041"/>
      <c r="I105" s="15" t="str">
        <f t="shared" si="2"/>
        <v/>
      </c>
    </row>
    <row r="106" spans="3:9" hidden="1" outlineLevel="1">
      <c r="C106" s="1042"/>
      <c r="D106" s="1043"/>
      <c r="E106" s="1040"/>
      <c r="F106" s="1040"/>
      <c r="G106" s="1040"/>
      <c r="H106" s="1041"/>
      <c r="I106" s="15" t="str">
        <f t="shared" si="2"/>
        <v/>
      </c>
    </row>
    <row r="107" spans="3:9" hidden="1" outlineLevel="1">
      <c r="C107" s="1042"/>
      <c r="D107" s="1043"/>
      <c r="E107" s="1040"/>
      <c r="F107" s="1040"/>
      <c r="G107" s="1040"/>
      <c r="H107" s="1041"/>
      <c r="I107" s="15" t="str">
        <f t="shared" si="2"/>
        <v/>
      </c>
    </row>
    <row r="108" spans="3:9" hidden="1" outlineLevel="1">
      <c r="C108" s="1042"/>
      <c r="D108" s="1043"/>
      <c r="E108" s="1040"/>
      <c r="F108" s="1040"/>
      <c r="G108" s="1040"/>
      <c r="H108" s="1041"/>
      <c r="I108" s="15" t="str">
        <f t="shared" si="2"/>
        <v/>
      </c>
    </row>
    <row r="109" spans="3:9" hidden="1" outlineLevel="1">
      <c r="C109" s="1042"/>
      <c r="D109" s="1043"/>
      <c r="E109" s="1040"/>
      <c r="F109" s="1040"/>
      <c r="G109" s="1040"/>
      <c r="H109" s="1041"/>
      <c r="I109" s="15" t="str">
        <f t="shared" si="2"/>
        <v/>
      </c>
    </row>
    <row r="110" spans="3:9" hidden="1" outlineLevel="1">
      <c r="C110" s="1042"/>
      <c r="D110" s="1043"/>
      <c r="E110" s="1040"/>
      <c r="F110" s="1040"/>
      <c r="G110" s="1040"/>
      <c r="H110" s="1041"/>
      <c r="I110" s="15" t="str">
        <f t="shared" si="2"/>
        <v/>
      </c>
    </row>
    <row r="111" spans="3:9" hidden="1" outlineLevel="1">
      <c r="C111" s="1042"/>
      <c r="D111" s="1043"/>
      <c r="E111" s="1040"/>
      <c r="F111" s="1040"/>
      <c r="G111" s="1040"/>
      <c r="H111" s="1041"/>
      <c r="I111" s="15" t="str">
        <f t="shared" si="2"/>
        <v/>
      </c>
    </row>
    <row r="112" spans="3:9" hidden="1" outlineLevel="1">
      <c r="C112" s="1042"/>
      <c r="D112" s="1043"/>
      <c r="E112" s="1040"/>
      <c r="F112" s="1040"/>
      <c r="G112" s="1040"/>
      <c r="H112" s="1041"/>
      <c r="I112" s="15" t="str">
        <f t="shared" si="2"/>
        <v/>
      </c>
    </row>
    <row r="113" spans="3:9" hidden="1" outlineLevel="1">
      <c r="C113" s="1042"/>
      <c r="D113" s="1043"/>
      <c r="E113" s="1040"/>
      <c r="F113" s="1040"/>
      <c r="G113" s="1040"/>
      <c r="H113" s="1041"/>
      <c r="I113" s="15" t="str">
        <f t="shared" si="2"/>
        <v/>
      </c>
    </row>
    <row r="114" spans="3:9" hidden="1" outlineLevel="1">
      <c r="C114" s="1042"/>
      <c r="D114" s="1043"/>
      <c r="E114" s="1040"/>
      <c r="F114" s="1040"/>
      <c r="G114" s="1040"/>
      <c r="H114" s="1041"/>
      <c r="I114" s="15" t="str">
        <f t="shared" si="2"/>
        <v/>
      </c>
    </row>
    <row r="115" spans="3:9" hidden="1" outlineLevel="1">
      <c r="C115" s="1042"/>
      <c r="D115" s="1043"/>
      <c r="E115" s="1040"/>
      <c r="F115" s="1040"/>
      <c r="G115" s="1040"/>
      <c r="H115" s="1041"/>
      <c r="I115" s="15" t="str">
        <f t="shared" si="2"/>
        <v/>
      </c>
    </row>
    <row r="116" spans="3:9" hidden="1" outlineLevel="1">
      <c r="C116" s="1042"/>
      <c r="D116" s="1043"/>
      <c r="E116" s="1040"/>
      <c r="F116" s="1040"/>
      <c r="G116" s="1040"/>
      <c r="H116" s="1041"/>
      <c r="I116" s="15" t="str">
        <f t="shared" si="2"/>
        <v/>
      </c>
    </row>
    <row r="117" spans="3:9" hidden="1" outlineLevel="1">
      <c r="C117" s="1042"/>
      <c r="D117" s="1043"/>
      <c r="E117" s="1040"/>
      <c r="F117" s="1040"/>
      <c r="G117" s="1040"/>
      <c r="H117" s="1041"/>
      <c r="I117" s="15" t="str">
        <f t="shared" si="2"/>
        <v/>
      </c>
    </row>
    <row r="118" spans="3:9" hidden="1" outlineLevel="1">
      <c r="C118" s="1042"/>
      <c r="D118" s="1043"/>
      <c r="E118" s="1040"/>
      <c r="F118" s="1040"/>
      <c r="G118" s="1040"/>
      <c r="H118" s="1041"/>
      <c r="I118" s="15" t="str">
        <f t="shared" si="2"/>
        <v/>
      </c>
    </row>
    <row r="119" spans="3:9" hidden="1" outlineLevel="1">
      <c r="C119" s="1042"/>
      <c r="D119" s="1043"/>
      <c r="E119" s="1040"/>
      <c r="F119" s="1040"/>
      <c r="G119" s="1040"/>
      <c r="H119" s="1041"/>
      <c r="I119" s="15" t="str">
        <f t="shared" si="2"/>
        <v/>
      </c>
    </row>
    <row r="120" spans="3:9" hidden="1" outlineLevel="1">
      <c r="C120" s="1042"/>
      <c r="D120" s="1043"/>
      <c r="E120" s="1040"/>
      <c r="F120" s="1040"/>
      <c r="G120" s="1040"/>
      <c r="H120" s="1041"/>
      <c r="I120" s="15" t="str">
        <f t="shared" si="2"/>
        <v/>
      </c>
    </row>
    <row r="121" spans="3:9" hidden="1" outlineLevel="1">
      <c r="C121" s="1042"/>
      <c r="D121" s="1043"/>
      <c r="E121" s="1040"/>
      <c r="F121" s="1040"/>
      <c r="G121" s="1040"/>
      <c r="H121" s="1041"/>
      <c r="I121" s="15" t="str">
        <f t="shared" si="2"/>
        <v/>
      </c>
    </row>
    <row r="122" spans="3:9" hidden="1" outlineLevel="1">
      <c r="C122" s="1042"/>
      <c r="D122" s="1043"/>
      <c r="E122" s="1040"/>
      <c r="F122" s="1040"/>
      <c r="G122" s="1040"/>
      <c r="H122" s="1041"/>
      <c r="I122" s="15" t="str">
        <f t="shared" si="2"/>
        <v/>
      </c>
    </row>
    <row r="123" spans="3:9" hidden="1" outlineLevel="1">
      <c r="C123" s="1042"/>
      <c r="D123" s="1043"/>
      <c r="E123" s="1040"/>
      <c r="F123" s="1040"/>
      <c r="G123" s="1040"/>
      <c r="H123" s="1041"/>
      <c r="I123" s="15" t="str">
        <f t="shared" si="2"/>
        <v/>
      </c>
    </row>
    <row r="124" spans="3:9" hidden="1" outlineLevel="1">
      <c r="C124" s="1042"/>
      <c r="D124" s="1043"/>
      <c r="E124" s="1040"/>
      <c r="F124" s="1040"/>
      <c r="G124" s="1040"/>
      <c r="H124" s="1041"/>
      <c r="I124" s="15" t="str">
        <f t="shared" si="2"/>
        <v/>
      </c>
    </row>
    <row r="125" spans="3:9" hidden="1" outlineLevel="1">
      <c r="C125" s="1042"/>
      <c r="D125" s="1043"/>
      <c r="E125" s="1040"/>
      <c r="F125" s="1040"/>
      <c r="G125" s="1040"/>
      <c r="H125" s="1041"/>
      <c r="I125" s="15" t="str">
        <f t="shared" si="2"/>
        <v/>
      </c>
    </row>
    <row r="126" spans="3:9" hidden="1" outlineLevel="1">
      <c r="C126" s="1042"/>
      <c r="D126" s="1043"/>
      <c r="E126" s="1040"/>
      <c r="F126" s="1040"/>
      <c r="G126" s="1040"/>
      <c r="H126" s="1041"/>
      <c r="I126" s="15" t="str">
        <f t="shared" si="2"/>
        <v/>
      </c>
    </row>
    <row r="127" spans="3:9" hidden="1" outlineLevel="1">
      <c r="C127" s="1042"/>
      <c r="D127" s="1043"/>
      <c r="E127" s="1040"/>
      <c r="F127" s="1040"/>
      <c r="G127" s="1040"/>
      <c r="H127" s="1041"/>
      <c r="I127" s="15" t="str">
        <f t="shared" si="2"/>
        <v/>
      </c>
    </row>
    <row r="128" spans="3:9" hidden="1" outlineLevel="1">
      <c r="C128" s="1042"/>
      <c r="D128" s="1043"/>
      <c r="E128" s="1040"/>
      <c r="F128" s="1040"/>
      <c r="G128" s="1040"/>
      <c r="H128" s="1041"/>
      <c r="I128" s="15" t="str">
        <f t="shared" si="2"/>
        <v/>
      </c>
    </row>
    <row r="129" spans="1:13" ht="15" collapsed="1" thickBot="1">
      <c r="C129" s="1090" t="str">
        <f>template_label_total_employees</f>
        <v>Total employees (linked to B1)</v>
      </c>
      <c r="D129" s="1091"/>
      <c r="E129" s="1056" t="str">
        <f>IF(OR('General Information'!$E$280="",E27=FALSE),"-",'General Information'!$E$280)</f>
        <v>-</v>
      </c>
      <c r="F129" s="1056"/>
      <c r="G129" s="1056"/>
      <c r="H129" s="1057"/>
      <c r="I129" s="15"/>
    </row>
    <row r="131" spans="1:13" ht="15" thickBot="1"/>
    <row r="132" spans="1:13" ht="15" thickBot="1">
      <c r="C132" s="1068" t="str">
        <f>template_label_b9_workforce_health_and_safety&amp;" "&amp;template_label_from&amp;" "&amp;template_starting_date_display&amp;" "&amp;template_label_to&amp;" "&amp;template_ending_date_display&amp;" "</f>
        <v xml:space="preserve">B9 - Workforce - Health and safety from - to - </v>
      </c>
      <c r="D132" s="1069"/>
      <c r="E132" s="1069"/>
      <c r="F132" s="1069"/>
      <c r="G132" s="1069"/>
      <c r="H132" s="1070"/>
    </row>
    <row r="133" spans="1:13">
      <c r="A133" s="365" t="s">
        <v>50</v>
      </c>
      <c r="B133" s="366"/>
      <c r="C133" s="210" t="str">
        <f>template_label_number_of_recordable_work_related_accidents_in_the_reporting_period</f>
        <v>Number of recordable work-related accidents in the reporting period</v>
      </c>
      <c r="D133" s="1071"/>
      <c r="E133" s="1071"/>
      <c r="F133" s="1071"/>
      <c r="G133" s="1071"/>
      <c r="H133" s="1072"/>
      <c r="I133" s="15" t="str">
        <f>IF(
'Table of Contents &amp; Validation'!D39=TRUE,
IF(
    AND(
        OR('General Information'!E125="Option A (Basic Module only)", 'General Information'!E125="Option B (Basic Module and Comprehensive Module)"),
        NumberOfRecordableWorkRelatedAccidentsInTheReportingPeriod=""
    ),
    "",
    IF('General Information'!E125="", "", template_label_ok)
),
IF(
    AND(
        OR('General Information'!E125="Option A (Basic Module only)", 'General Information'!E125="Option B (Basic Module and Comprehensive Module)"),
        NumberOfRecordableWorkRelatedAccidentsInTheReportingPeriod=""
    ),
    template_label_missing_value,
    IF('General Information'!E125="", "", template_label_ok)
)
)</f>
        <v/>
      </c>
    </row>
    <row r="134" spans="1:13">
      <c r="A134" s="365"/>
      <c r="B134" s="366"/>
      <c r="C134" s="128" t="str">
        <f>template_label_number_of_hours_worked_by_one_fulltime_employee_in_the_reporting_period</f>
        <v>Number of hours worked by  one full-time employee in the reporting period</v>
      </c>
      <c r="D134" s="1073">
        <v>2000</v>
      </c>
      <c r="E134" s="1074"/>
      <c r="F134" s="1074"/>
      <c r="G134" s="1074"/>
      <c r="H134" s="1075"/>
      <c r="I134" s="15" t="str">
        <f>IF(D134="", "MISSING VALUE", IF(D134&lt;&gt;2000, "OK", ""))</f>
        <v/>
      </c>
      <c r="J134" s="10" t="str">
        <f>template_label_health_and_safety_formula_warning</f>
        <v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v>
      </c>
    </row>
    <row r="135" spans="1:13">
      <c r="A135" s="365"/>
      <c r="B135" s="366"/>
      <c r="C135" s="128" t="str">
        <f>template_label_total_number_of_hours_worked_in_a_year_by_all_employees_in_the_reporting_period</f>
        <v>Total number of hours worked in a year by all employees in the reporting period</v>
      </c>
      <c r="D135" s="1076" t="str">
        <f>IF('General Information'!E280="","-",D134*'General Information'!E280)</f>
        <v>-</v>
      </c>
      <c r="E135" s="1077"/>
      <c r="F135" s="1077"/>
      <c r="G135" s="1077"/>
      <c r="H135" s="1078"/>
      <c r="I135" s="15"/>
    </row>
    <row r="136" spans="1:13">
      <c r="A136" s="365"/>
      <c r="B136" s="366"/>
      <c r="C136" s="604" t="str">
        <f>template_label_choice_between_100_or_500_full_time_workers</f>
        <v xml:space="preserve">Select whether the rate is per 100 or 500  full-time workers over a yearly time frame </v>
      </c>
      <c r="D136" s="1082"/>
      <c r="E136" s="1083"/>
      <c r="F136" s="1083"/>
      <c r="G136" s="1083"/>
      <c r="H136" s="1084"/>
      <c r="I136" s="15" t="str">
        <f>IF(AND(D136="",NumberOfRecordableWorkRelatedAccidentsInTheReportingPeriod&lt;&gt;""), "MISSING VALUE", IF(D136&lt;&gt;"", "OK", ""))</f>
        <v/>
      </c>
    </row>
    <row r="137" spans="1:13">
      <c r="A137" s="365"/>
      <c r="B137" s="366"/>
      <c r="C137" s="604" t="str">
        <f>template_label_rate_per_100_or_500_full_time_workers_over_a_yearly_timeframe</f>
        <v>Rate per 100 or 500 full-time workers over a yearly timeframe</v>
      </c>
      <c r="D137" s="1076" t="str">
        <f>IFERROR(IF(AND(D133&lt;&gt;"", D135&lt;&gt;""),$D$134*$D$136, "-"), "-")</f>
        <v>-</v>
      </c>
      <c r="E137" s="1077"/>
      <c r="F137" s="1077"/>
      <c r="G137" s="1077"/>
      <c r="H137" s="1078"/>
      <c r="I137" s="15"/>
    </row>
    <row r="138" spans="1:13" ht="15" thickBot="1">
      <c r="A138" s="365" t="s">
        <v>50</v>
      </c>
      <c r="B138" s="366"/>
      <c r="C138" s="174" t="str">
        <f>template_label_rate_of_recordable_work_related_accidents_in_the_reporting_period</f>
        <v>Rate of recordable work-related accidents in the reporting period</v>
      </c>
      <c r="D138" s="1079" t="str">
        <f>IFERROR(IF(AND(D133&lt;&gt;"", D135&lt;&gt;""), ($D$133/$D$135)*$D$137, "-"), "-")</f>
        <v>-</v>
      </c>
      <c r="E138" s="1080"/>
      <c r="F138" s="1080"/>
      <c r="G138" s="1080"/>
      <c r="H138" s="1081"/>
    </row>
    <row r="139" spans="1:13" ht="47.1" customHeight="1" thickBot="1">
      <c r="A139" s="365" t="s">
        <v>51</v>
      </c>
      <c r="B139" s="366"/>
      <c r="C139" s="173" t="str">
        <f>template_label_subject_to_legal_restrictions_sum_of_fatalities_as_a_result_of_recordable_work_related_accidents_and_recordable_work_related_ill_health</f>
        <v>Subject to legal restrictions, the sum of the fatalities as a result of recordable work-related accidents  and recordable work-related ill health</v>
      </c>
      <c r="D139" s="1092"/>
      <c r="E139" s="1092"/>
      <c r="F139" s="1092"/>
      <c r="G139" s="1092"/>
      <c r="H139" s="1093"/>
      <c r="I139" s="15" t="str">
        <f>IF(
'Table of Contents &amp; Validation'!D39=TRUE,
IF(
    AND(
        OR('General Information'!E125="Option A (Basic Module only)", 'General Information'!E125="Option B (Basic Module and Comprehensive Module)"),
        SumOfFatalitiesAsAResultOfRecordableWorkRelatedAccidentsAndRecordableWorkRelatedIllHealth=""
    ),
    "",
    IF('General Information'!E125="", "", template_label_ok)
),
IF(
    AND(
        OR('General Information'!E125="Option A (Basic Module only)", 'General Information'!E125="Option B (Basic Module and Comprehensive Module)"),
        SumOfFatalitiesAsAResultOfRecordableWorkRelatedAccidentsAndRecordableWorkRelatedIllHealth=""
    ),
    template_label_missing_value,
    IF('General Information'!E125="", "", template_label_ok)
)
)</f>
        <v/>
      </c>
    </row>
    <row r="140" spans="1:13" ht="15" thickBot="1"/>
    <row r="141" spans="1:13">
      <c r="C141" s="1094" t="str">
        <f>template_label_b10_workforce_remuneration_collective_bargaining&amp;" "&amp;template_label_from&amp;" "&amp;template_starting_date_display&amp;" "&amp;template_label_to&amp;" "&amp;template_ending_date_display&amp;" "</f>
        <v xml:space="preserve">B10 - Workforce - Remuneration and collective bargaining from - to - </v>
      </c>
      <c r="D141" s="1095"/>
      <c r="E141" s="1095"/>
      <c r="F141" s="1095"/>
      <c r="G141" s="1095"/>
      <c r="H141" s="1096"/>
    </row>
    <row r="142" spans="1:13" ht="49.35" customHeight="1">
      <c r="A142" s="365" t="s">
        <v>52</v>
      </c>
      <c r="B142" s="366"/>
      <c r="C142" s="608" t="str">
        <f>template_label_employees_receive_pay_that_is_equal_or_above_applicable_minimum_wage</f>
        <v>Employees receive pay that is equal or above applicable minimum wage determined directly by the national minimum wage law or through a collective bargaining agreement</v>
      </c>
      <c r="D142" s="996"/>
      <c r="E142" s="996"/>
      <c r="F142" s="996"/>
      <c r="G142" s="996"/>
      <c r="H142" s="997"/>
      <c r="I142" s="15" t="str">
        <f>IF(OR(
'Table of Contents &amp; Validation'!D41=TRUE,'Table of Contents &amp; Validation'!D40=TRUE),
IF(
    AND(
        OR('General Information'!E125="Option A (Basic Module only)", 'General Information'!E125="Option B (Basic Module and Comprehensive Module)"),
        EmployeesReceivePayEqualOrAboveMinimumWageDeterminedByNationalLawOrCollectiveAgreement=""
    ),
    "",
    IF('General Information'!E125="", "", template_label_ok)
),
IF(
    AND(
        OR('General Information'!E125="Option A (Basic Module only)", 'General Information'!E125="Option B (Basic Module and Comprehensive Module)"),
        EmployeesReceivePayEqualOrAboveMinimumWageDeterminedByNationalLawOrCollectiveAgreement=""
    ),
    template_label_missing_value,
    IF('General Information'!E125="", "", template_label_ok)
)
)</f>
        <v/>
      </c>
    </row>
    <row r="143" spans="1:13" ht="28.8">
      <c r="A143" s="1032" t="s">
        <v>53</v>
      </c>
      <c r="B143" s="366"/>
      <c r="C143" s="609" t="str">
        <f>template_label_percentage_gap_in_pay_condition_of_applicability</f>
        <v>Is the undertaking is already required by EU law or other national regulations to report the percentage gap in pay between its female and male employees ?</v>
      </c>
      <c r="D143" s="888" t="b">
        <v>0</v>
      </c>
      <c r="E143" s="888"/>
      <c r="F143" s="888"/>
      <c r="G143" s="888"/>
      <c r="H143" s="717"/>
      <c r="I143" s="15"/>
      <c r="M143"/>
    </row>
    <row r="144" spans="1:13">
      <c r="A144" s="1033"/>
      <c r="B144" s="366"/>
      <c r="C144" s="609" t="str">
        <f>template_label_average_gross_hourly_pay_level_of_male_employees &amp; " " &amp; "(" &amp; template_label_amount_in &amp; " " &amp; template_currency &amp; ")"</f>
        <v>Average gross hourly pay level of male employees (amount in )</v>
      </c>
      <c r="D144" s="1097"/>
      <c r="E144" s="1097"/>
      <c r="F144" s="1097"/>
      <c r="G144" s="1097"/>
      <c r="H144" s="1098"/>
      <c r="I144" s="15" t="str">
        <f>IF(
'Table of Contents &amp; Validation'!D41=TRUE,
IF(
    AND(D143=FALSE, D144=""),
    "",
    IF(
        AND(D143=FALSE, D144&lt;&gt;""),
        template_label_ok,
        IF(
            AND(D143=TRUE, D144&lt;&gt;""),
            template_label_ok,
            ""
        )
    )
),
IF(
    AND(D143=FALSE, D144=""),
    "",
    IF(
        AND(D143=FALSE, D144&lt;&gt;""),
        template_label_ok,
        IF(
            AND(D143=TRUE, D144&lt;&gt;""),
            template_label_ok,
            template_label_missing_value
        )
    )
)
)</f>
        <v/>
      </c>
    </row>
    <row r="145" spans="1:10">
      <c r="A145" s="1033"/>
      <c r="B145" s="366"/>
      <c r="C145" s="609" t="str">
        <f>template_label_average_gross_hourly_pay_level_of_female_employees &amp; " " &amp; "(" &amp; template_label_amount_in &amp; " " &amp; template_currency &amp; ")"</f>
        <v>Average gross hourly pay level of female employees (amount in )</v>
      </c>
      <c r="D145" s="1097"/>
      <c r="E145" s="1097"/>
      <c r="F145" s="1097"/>
      <c r="G145" s="1097"/>
      <c r="H145" s="1098"/>
      <c r="I145" s="15" t="str">
        <f>IF(
'Table of Contents &amp; Validation'!D41=TRUE,
IF(
    AND(D143=FALSE, D145=""),
    "",
    IF(
        AND(D143=FALSE, D145&lt;&gt;""),
        template_label_ok,
        IF(
            AND(D143=TRUE, D145&lt;&gt;""),
            template_label_ok,
            ""
        )
    )
),
IF(
    AND(D143=FALSE, D145=""),
    "",
    IF(
        AND(D143=FALSE, D145&lt;&gt;""),
        template_label_ok,
        IF(
            AND(D143=TRUE, D145&lt;&gt;""),
            template_label_ok,
            template_label_missing_value
        )
    )
)
)</f>
        <v/>
      </c>
    </row>
    <row r="146" spans="1:10">
      <c r="A146" s="817"/>
      <c r="B146" s="366"/>
      <c r="C146" s="610" t="str">
        <f>template_label_percentage_gap_in_pay_between_the__undertakings_female_and_male_employees</f>
        <v>Percentage gap in pay between the  undertaking's female and male employees [%]</v>
      </c>
      <c r="D146" s="1066" t="str">
        <f>IF(AND(D144&lt;&gt;"",D145&lt;&gt;""),((D144-D145)/D144),"-")</f>
        <v>-</v>
      </c>
      <c r="E146" s="1066"/>
      <c r="F146" s="1066"/>
      <c r="G146" s="1066"/>
      <c r="H146" s="1067"/>
    </row>
    <row r="147" spans="1:10">
      <c r="A147" s="686" t="s">
        <v>54</v>
      </c>
      <c r="B147" s="687"/>
      <c r="C147" s="609" t="str">
        <f>template_label_number_of_employees_covered_by_collective_bargaining_agreements</f>
        <v>Number of employees covered by collective bargaining agreements (in headcount)</v>
      </c>
      <c r="D147" s="1088"/>
      <c r="E147" s="1088"/>
      <c r="F147" s="1088"/>
      <c r="G147" s="1088"/>
      <c r="H147" s="1089"/>
      <c r="I147" s="15" t="str">
        <f>IF(OR(
'Table of Contents &amp; Validation'!D41=TRUE,'Table of Contents &amp; Validation'!D40=TRUE),
IF(
AND(
OR('General Information'!E125="Option A (Basic Module only)",'General Information'!E125="Option B (Basic Module and Comprehensive Module)"),
D147=""
),
"",
IF('General Information'!E125="","",template_label_ok)
),
IF(
AND(
OR('General Information'!E125="Option A (Basic Module only)",'General Information'!E125="Option B (Basic Module and Comprehensive Module)"),
D147=""
),
template_label_missing_value,
IF('General Information'!E125="","",template_label_ok)
)
)</f>
        <v/>
      </c>
    </row>
    <row r="148" spans="1:10" ht="15" thickBot="1">
      <c r="A148" s="686"/>
      <c r="B148" s="687"/>
      <c r="C148" s="129" t="str">
        <f>template_label_percentage_of_employees_covered_by_collective_bargaining_agreements</f>
        <v>Percentage of employees covered by collective bargaining agreements [%]</v>
      </c>
      <c r="D148" s="1113" t="str">
        <f>IF(D147&lt;&gt;"", IF('General Information'!E280=0, "-", D147/'General Information'!E280), "-")</f>
        <v>-</v>
      </c>
      <c r="E148" s="1113"/>
      <c r="F148" s="1113"/>
      <c r="G148" s="1113"/>
      <c r="H148" s="1114"/>
    </row>
    <row r="149" spans="1:10" ht="15" thickBot="1"/>
    <row r="150" spans="1:10" ht="15" thickBot="1">
      <c r="C150" s="1115" t="str">
        <f>template_label_number_of_annual_training_hours_per_employee_during_the_reporting_period&amp;" "&amp;template_label_from&amp;" "&amp;template_starting_date_display&amp;" "&amp;template_label_to&amp;" "&amp;template_ending_date_display&amp;" "</f>
        <v xml:space="preserve">B10 - Workforce - Number of annual training hours per employee during the reporting period from - to - </v>
      </c>
      <c r="D150" s="1116"/>
      <c r="E150" s="1116"/>
      <c r="F150" s="1116"/>
      <c r="G150" s="1116"/>
      <c r="H150" s="1117"/>
    </row>
    <row r="151" spans="1:10">
      <c r="C151" s="702" t="s">
        <v>55</v>
      </c>
      <c r="D151" s="817"/>
      <c r="E151" s="817"/>
      <c r="F151" s="817"/>
      <c r="G151" s="817"/>
      <c r="H151" s="818"/>
    </row>
    <row r="152" spans="1:10">
      <c r="C152" s="90" t="str">
        <f>template_label_total_number_of_training_hours_offered_to_and_completed__by_employees</f>
        <v>Total number of training hours offered to and completed by employees</v>
      </c>
      <c r="D152" s="1088"/>
      <c r="E152" s="1088"/>
      <c r="F152" s="1088"/>
      <c r="G152" s="1088"/>
      <c r="H152" s="1089"/>
      <c r="I152" s="15" t="str">
        <f>IF(OR(
'Table of Contents &amp; Validation'!D42=TRUE),
IF(
AND(
OR('General Information'!E125="Option A (Basic Module only)",'General Information'!E125="Option B (Basic Module and Comprehensive Module)"),
D152=""
),
"",
IF('General Information'!E125="","",template_label_ok)
),
IF(
AND(
OR('General Information'!E125="Option A (Basic Module only)",'General Information'!E125="Option B (Basic Module and Comprehensive Module)"),
D152=""
),
template_label_missing_value,
IF('General Information'!E125="","",template_label_ok)
)
)</f>
        <v/>
      </c>
    </row>
    <row r="153" spans="1:10">
      <c r="C153" s="90" t="str">
        <f>template_label_total_number_of_employees_in_headcount</f>
        <v>Total number of employees in headcount</v>
      </c>
      <c r="D153" s="1082"/>
      <c r="E153" s="1083"/>
      <c r="F153" s="1083"/>
      <c r="G153" s="1083"/>
      <c r="H153" s="1084"/>
      <c r="I153" s="15" t="str">
        <f>IF(OR(
'Table of Contents &amp; Validation'!D42=TRUE),
IF(
AND(
OR('General Information'!E125="Option A (Basic Module only)",'General Information'!E125="Option B (Basic Module and Comprehensive Module)"),
D153=""
),
"",
IF('General Information'!E125="","",template_label_ok)
),
IF(
AND(
OR('General Information'!E125="Option A (Basic Module only)",'General Information'!E125="Option B (Basic Module and Comprehensive Module)"),
D153=""
),
template_label_missing_value,
IF('General Information'!E125="","",template_label_ok)
)
)</f>
        <v/>
      </c>
    </row>
    <row r="154" spans="1:10" ht="15" thickBot="1">
      <c r="C154" s="611" t="str">
        <f>template_label_average_number_of_annual_training_hours_per_employee</f>
        <v>Average number of annual training hours per employee</v>
      </c>
      <c r="D154" s="1085" t="str">
        <f>IFERROR(IF(AND(D152&lt;&gt;"", D153&lt;&gt;""), $D$152/$D$153, "-"), "-")</f>
        <v>-</v>
      </c>
      <c r="E154" s="1086"/>
      <c r="F154" s="1086"/>
      <c r="G154" s="1086"/>
      <c r="H154" s="1087"/>
      <c r="I154" s="15"/>
    </row>
    <row r="155" spans="1:10" ht="15" thickBot="1"/>
    <row r="156" spans="1:10">
      <c r="C156" s="1099" t="str">
        <f>template_label_c5_additional_workforce_characteristics&amp;" "&amp;template_label_from&amp;" "&amp;template_starting_date_display&amp;" "&amp;template_label_to&amp;" "&amp;template_ending_date_display&amp;" "</f>
        <v xml:space="preserve">C5 - Additional (general) workforce characteristics from - to - </v>
      </c>
      <c r="D156" s="1100"/>
      <c r="E156" s="1100"/>
      <c r="F156" s="1100"/>
      <c r="G156" s="1100"/>
      <c r="H156" s="1101"/>
      <c r="J156"/>
    </row>
    <row r="157" spans="1:10">
      <c r="A157" s="365">
        <v>58</v>
      </c>
      <c r="B157" s="621"/>
      <c r="C157" s="127" t="str">
        <f>template_label_number_of_employees_who_left_during_the_reporting_period</f>
        <v>Number of employees who left during the reporting period (in headcount)</v>
      </c>
      <c r="D157" s="1127"/>
      <c r="E157" s="1127"/>
      <c r="F157" s="1127"/>
      <c r="G157" s="1127"/>
      <c r="H157" s="1128"/>
      <c r="I157" s="15" t="str">
        <f>IF(
'Table of Contents &amp; Validation'!D56=TRUE,
IF(
    AND('General Information'!$E$280&lt;=10, D157=""),
    "",
    IF(
        AND('General Information'!$E$280&lt;=10, D157&lt;&gt;""),
        template_label_ok,
        IF(
            AND('General Information'!$E$280&gt;10, D157&lt;&gt;""),
            template_label_ok,
            ""
        )
    )
),
IF(
    AND('General Information'!$E$280&lt;=10, D157=""),
    "",
    IF(
        AND('General Information'!$E$280&lt;=10, D157&lt;&gt;""),
        template_label_ok,
        IF(
            AND('General Information'!$E$280&gt;10, D157&lt;&gt;""),
            template_label_ok,
            template_label_missing_value
        )
    )
)
)</f>
        <v/>
      </c>
      <c r="J157"/>
    </row>
    <row r="158" spans="1:10">
      <c r="A158" s="365">
        <v>58</v>
      </c>
      <c r="B158" s="621"/>
      <c r="C158" s="127" t="str">
        <f>template_label_number_of_employees_at_the_beginning_of_the_reporting_period</f>
        <v>Number of employees at the beginning of the reporting period (in headcount)</v>
      </c>
      <c r="D158" s="1127"/>
      <c r="E158" s="1127"/>
      <c r="F158" s="1127"/>
      <c r="G158" s="1127"/>
      <c r="H158" s="1128"/>
      <c r="I158" s="15" t="str">
        <f>IF(
'Table of Contents &amp; Validation'!D56=TRUE,
IF(
    AND('General Information'!$E$280&lt;=10, D158=""),
    "",
    IF(
        AND('General Information'!$E$280&lt;=10, D158&lt;&gt;""),
        template_label_ok,
        IF(
            AND('General Information'!$E$280&gt;10, D158&lt;&gt;""),
            template_label_ok,
            ""
        )
    )
),
IF(
    AND('General Information'!$E$280&lt;=10, D158=""),
    "",
    IF(
        AND('General Information'!$E$280&lt;=10, D158&lt;&gt;""),
        template_label_ok,
        IF(
            AND('General Information'!$E$280&gt;10, D158&lt;&gt;""),
            template_label_ok,
            template_label_missing_value
        )
    )
)
)</f>
        <v/>
      </c>
      <c r="J158"/>
    </row>
    <row r="159" spans="1:10">
      <c r="A159" s="365">
        <v>58</v>
      </c>
      <c r="B159" s="621"/>
      <c r="C159" s="127" t="str">
        <f>template_label_number_of_employees_at_the_end_of_the_reporting_period</f>
        <v>Number of employees at the end of the reporting period (in headcount)</v>
      </c>
      <c r="D159" s="1127"/>
      <c r="E159" s="1127"/>
      <c r="F159" s="1127"/>
      <c r="G159" s="1127"/>
      <c r="H159" s="1128"/>
      <c r="I159" s="15" t="str">
        <f>IF(
'Table of Contents &amp; Validation'!D56=TRUE,
IF(
    AND('General Information'!$E$280&lt;=10, D159=""),
    "",
    IF(
        AND('General Information'!$E$280&lt;=10, D159&lt;&gt;""),
        template_label_ok,
        IF(
            AND('General Information'!$E$280&gt;10, D159&lt;&gt;""),
            template_label_ok,
            ""
        )
    )
),
IF(
    AND('General Information'!$E$280&lt;=10, D159=""),
    "",
    IF(
        AND('General Information'!$E$280&lt;=10, D159&lt;&gt;""),
        template_label_ok,
        IF(
            AND('General Information'!$E$280&gt;10, D159&lt;&gt;""),
            template_label_ok,
            template_label_missing_value
        )
    )
)
)</f>
        <v/>
      </c>
      <c r="J159"/>
    </row>
    <row r="160" spans="1:10" ht="15" thickBot="1">
      <c r="A160" s="365">
        <v>58</v>
      </c>
      <c r="B160" s="366"/>
      <c r="C160" s="89" t="str">
        <f>template_label_employee_turnover_rate_in_the_reporting_period</f>
        <v>Employee turnover rate [%]  in the reporting period</v>
      </c>
      <c r="D160" s="1129" t="str">
        <f>IF(AND(D157&lt;&gt;"",D158&lt;&gt;"",D159&lt;&gt;""),(D157/((D158+D159)/2)),"-")</f>
        <v>-</v>
      </c>
      <c r="E160" s="1129"/>
      <c r="F160" s="1129"/>
      <c r="G160" s="1129"/>
      <c r="H160" s="1130"/>
      <c r="J160"/>
    </row>
    <row r="161" spans="1:10">
      <c r="A161" s="365">
        <v>59</v>
      </c>
      <c r="B161" s="366"/>
      <c r="C161" s="130" t="str">
        <f>template_label_number_of_male_employees_at_management_level</f>
        <v>Number of male employees at management level</v>
      </c>
      <c r="D161" s="1102"/>
      <c r="E161" s="1103"/>
      <c r="F161" s="1103"/>
      <c r="G161" s="1103"/>
      <c r="H161" s="1104"/>
      <c r="I161" s="15" t="str">
        <f>IF(D161&lt;&gt;"", template_label_ok, "")</f>
        <v/>
      </c>
      <c r="J161"/>
    </row>
    <row r="162" spans="1:10">
      <c r="A162" s="365">
        <v>59</v>
      </c>
      <c r="B162" s="366"/>
      <c r="C162" s="131" t="str">
        <f>template_label_number_of_female_employees_at_management_level</f>
        <v>Number of female employees at management level</v>
      </c>
      <c r="D162" s="1082"/>
      <c r="E162" s="1083"/>
      <c r="F162" s="1083"/>
      <c r="G162" s="1083"/>
      <c r="H162" s="1084"/>
      <c r="I162" s="15" t="str">
        <f>IF(D162&lt;&gt;"", template_label_ok, "")</f>
        <v/>
      </c>
      <c r="J162"/>
    </row>
    <row r="163" spans="1:10" ht="15" thickBot="1">
      <c r="A163" s="365">
        <v>59</v>
      </c>
      <c r="B163" s="366"/>
      <c r="C163" s="129" t="str">
        <f>template_label_female_to_male_ratio_at_management_level_for_the_reporting_period</f>
        <v>Female-to-male ratio at management level for the reporting period</v>
      </c>
      <c r="D163" s="1105" t="str">
        <f>IF(AND(D161&lt;&gt;"",D162&lt;&gt;""),$D$162/$D$161,"-")</f>
        <v>-</v>
      </c>
      <c r="E163" s="1106"/>
      <c r="F163" s="1106"/>
      <c r="G163" s="1106"/>
      <c r="H163" s="1107"/>
      <c r="J163"/>
    </row>
    <row r="164" spans="1:10" ht="28.8">
      <c r="A164" s="365">
        <v>60</v>
      </c>
      <c r="B164" s="366"/>
      <c r="C164" s="132" t="str">
        <f>template_label_total_self_employed_workers_without_personnel_that_are_working_exclusively_for_the_undertaking</f>
        <v>Total self-employed workers without personnel that are working exclusively for the undertaking</v>
      </c>
      <c r="D164" s="1118"/>
      <c r="E164" s="1119"/>
      <c r="F164" s="1119"/>
      <c r="G164" s="1119"/>
      <c r="H164" s="1120"/>
      <c r="I164" s="15" t="str">
        <f>IF(D164&lt;&gt;"", template_label_ok, "")</f>
        <v/>
      </c>
      <c r="J164"/>
    </row>
    <row r="165" spans="1:10" ht="29.4" thickBot="1">
      <c r="A165" s="365">
        <v>60</v>
      </c>
      <c r="B165" s="366"/>
      <c r="C165" s="133" t="str">
        <f>template_label_total_temporary_workers_provided_by_undertakings_primarily_engaged_in_employment_activities</f>
        <v>Total temporary workers provided by undertakings primarily engaged in employment activities</v>
      </c>
      <c r="D165" s="1121"/>
      <c r="E165" s="1122"/>
      <c r="F165" s="1122"/>
      <c r="G165" s="1122"/>
      <c r="H165" s="1123"/>
      <c r="I165" s="15" t="str">
        <f>IF(D165&lt;&gt;"", template_label_ok, "")</f>
        <v/>
      </c>
    </row>
    <row r="166" spans="1:10" ht="15" thickBot="1"/>
    <row r="167" spans="1:10" ht="15" thickBot="1">
      <c r="C167" s="1124" t="str">
        <f>template_label_c6_additional_own_workforce_information_human_rights_policies_and_processes&amp;" "&amp;template_label_from&amp;" "&amp;template_starting_date_display&amp;" "&amp;template_label_to&amp;" "&amp;template_ending_date_display&amp;" "</f>
        <v xml:space="preserve">C6 - Additional own workforce information - Human rights policies and processes from - to - </v>
      </c>
      <c r="D167" s="1125"/>
      <c r="E167" s="1125"/>
      <c r="F167" s="1125"/>
      <c r="G167" s="1125"/>
      <c r="H167" s="1126"/>
    </row>
    <row r="168" spans="1:10">
      <c r="A168" s="365" t="s">
        <v>56</v>
      </c>
      <c r="B168" s="366"/>
      <c r="C168" s="134" t="str">
        <f>template_label_does_the_undertaking_have_a_code_of_conduct_or_human_rights_policy_for_its_own_workforce</f>
        <v>Does the undertaking have a code of conduct or human rights policy for its own workforce?</v>
      </c>
      <c r="D168" s="1001"/>
      <c r="E168" s="1135"/>
      <c r="F168" s="1135"/>
      <c r="G168" s="1135"/>
      <c r="H168" s="1136"/>
      <c r="I168" s="15" t="str">
        <f>IF(OR(
'Table of Contents &amp; Validation'!D57=TRUE,'General Information'!E280&lt;=10),
IF(
    AND('General Information'!$E$125="Option B (Basic Module and Comprehensive Module)", D168&lt;&gt;""),
    template_label_ok,
    IF(
        AND('General Information'!$E$125="Option B (Basic Module and Comprehensive Module)", D168=""),
        "",
        IF(
            AND('General Information'!$E$125="Option A (Basic Module only)", D168&lt;&gt;""),
            template_label_ok,
            ""
        )
    )
),
IF(
    AND('General Information'!$E$125="Option B (Basic Module and Comprehensive Module)", D168&lt;&gt;""),
    template_label_ok,
    IF(
        AND('General Information'!$E$125="Option B (Basic Module and Comprehensive Module)", D168=""),
        template_label_missing_value,
        IF(
            AND('General Information'!$E$125="Option A (Basic Module only)", D168&lt;&gt;""),
            template_label_ok,
            ""
        )
    )
)
)</f>
        <v/>
      </c>
      <c r="J168" s="1275"/>
    </row>
    <row r="169" spans="1:10">
      <c r="A169" s="1032" t="s">
        <v>57</v>
      </c>
      <c r="B169" s="366"/>
      <c r="C169" s="109" t="str">
        <f>template_label_if_yes_does_this_cover</f>
        <v>If yes does this cover:</v>
      </c>
      <c r="D169" s="1137"/>
      <c r="E169" s="1138"/>
      <c r="F169" s="1138"/>
      <c r="G169" s="1138"/>
      <c r="H169" s="1139"/>
    </row>
    <row r="170" spans="1:10">
      <c r="A170" s="1033"/>
      <c r="B170" s="366"/>
      <c r="C170" s="135" t="str">
        <f>template_label_child_labour</f>
        <v>child labour</v>
      </c>
      <c r="D170" s="1132" t="b">
        <v>0</v>
      </c>
      <c r="E170" s="1132"/>
      <c r="F170" s="1132"/>
      <c r="G170" s="1132"/>
      <c r="H170" s="1133"/>
      <c r="I170" s="1131" t="str">
        <f>IF(
    AND(OR(D170=TRUE,D171=TRUE,D172=TRUE,D173=TRUE,D174=TRUE,D175=TRUE), D168="YES"),
    template_label_ok,
    IF(
        AND(D170=FALSE,D171=FALSE,D172=FALSE,D173=FALSE,D174=FALSE,D175=FALSE, D168="YES"),
        template_label_missing_value,
        IF(
            AND(D170=FALSE,D171=FALSE,D172=FALSE,D173=FALSE,D174=FALSE,D175=FALSE, D168="NO"),
            "",
            IF(
                AND(D170=FALSE,D171=FALSE,D172=FALSE,D173=FALSE,D174=FALSE,D175=FALSE, D168=""),
                "",
                IF(
                    AND(OR(D170=TRUE,D171=TRUE,D172=TRUE,D173=TRUE,D174=TRUE,D175=TRUE), D168=""),
                    "",
                    template_label_value_inconsistency
                )
            )
        )
    )
)</f>
        <v/>
      </c>
    </row>
    <row r="171" spans="1:10">
      <c r="A171" s="1033"/>
      <c r="B171" s="366"/>
      <c r="C171" s="135" t="str">
        <f>template_label_forced_labour</f>
        <v>forced labour</v>
      </c>
      <c r="D171" s="1132" t="b">
        <v>0</v>
      </c>
      <c r="E171" s="1132"/>
      <c r="F171" s="1132"/>
      <c r="G171" s="1132"/>
      <c r="H171" s="1133"/>
      <c r="I171" s="1131"/>
    </row>
    <row r="172" spans="1:10">
      <c r="A172" s="1033"/>
      <c r="B172" s="366"/>
      <c r="C172" s="135" t="str">
        <f>template_label_human_trafficking</f>
        <v>human trafficking</v>
      </c>
      <c r="D172" s="1132" t="b">
        <v>0</v>
      </c>
      <c r="E172" s="1132"/>
      <c r="F172" s="1132"/>
      <c r="G172" s="1132"/>
      <c r="H172" s="1133"/>
      <c r="I172" s="1131"/>
    </row>
    <row r="173" spans="1:10">
      <c r="A173" s="1033"/>
      <c r="B173" s="366"/>
      <c r="C173" s="135" t="str">
        <f>template_label_discrimination</f>
        <v>discrimination</v>
      </c>
      <c r="D173" s="1132" t="b">
        <v>0</v>
      </c>
      <c r="E173" s="1132"/>
      <c r="F173" s="1132"/>
      <c r="G173" s="1132"/>
      <c r="H173" s="1133"/>
      <c r="I173" s="1131"/>
    </row>
    <row r="174" spans="1:10">
      <c r="A174" s="1033"/>
      <c r="B174" s="366"/>
      <c r="C174" s="136" t="str">
        <f>template_label_accident_prevention</f>
        <v>accident prevention</v>
      </c>
      <c r="D174" s="1134" t="b">
        <v>0</v>
      </c>
      <c r="E174" s="1132"/>
      <c r="F174" s="1132"/>
      <c r="G174" s="1132"/>
      <c r="H174" s="1133"/>
      <c r="I174" s="1131"/>
    </row>
    <row r="175" spans="1:10">
      <c r="A175" s="1033"/>
      <c r="B175" s="366"/>
      <c r="C175" s="137" t="str">
        <f>template_label_other_if_yes_specify</f>
        <v>other? ( if yes specify)</v>
      </c>
      <c r="D175" s="1132" t="b">
        <v>0</v>
      </c>
      <c r="E175" s="1132"/>
      <c r="F175" s="1132"/>
      <c r="G175" s="1132"/>
      <c r="H175" s="1133"/>
      <c r="I175" s="1131"/>
      <c r="J175" s="10" t="str">
        <f>template_label_other_warning</f>
        <v>ℹ️ When "other" is chosen as undertaking legal form please fill the row below</v>
      </c>
    </row>
    <row r="176" spans="1:10" ht="33.6" customHeight="1">
      <c r="A176" s="817"/>
      <c r="B176" s="366"/>
      <c r="C176" s="88" t="str">
        <f>template_label_specify_other_types_of_content_covered_by_the_code_of_conduct_or_human_rights_policy</f>
        <v>Specify other types of content covered by the code of conduct or human rights policy</v>
      </c>
      <c r="D176" s="1108"/>
      <c r="E176" s="1108"/>
      <c r="F176" s="1108"/>
      <c r="G176" s="1108"/>
      <c r="H176" s="1109"/>
      <c r="I176" s="15" t="str">
        <f>IF(template_checkbox_c6_additional_own_workforce_information_docx=TRUE,
IF(AND(D175=TRUE,D176&lt;&gt;""), template_label_ok,
IF(AND(D175=TRUE,D176=""), "",
IF(AND(D175=FALSE,D176&lt;&gt;""), "",
""))),
IF(AND(D175=TRUE,D176&lt;&gt;""), template_label_ok,
IF(AND(D175=TRUE,D176=""), template_label_missing_value,
IF(AND(D175=FALSE,D176&lt;&gt;""), template_label_missing_value,
""))))</f>
        <v/>
      </c>
    </row>
    <row r="177" spans="1:10" ht="15" thickBot="1">
      <c r="A177" s="365" t="s">
        <v>58</v>
      </c>
      <c r="B177" s="366"/>
      <c r="C177" s="138" t="str">
        <f>template_label_does_the_undertaking_have_a_complaint_handling_mechanism_for_its_own_workforce</f>
        <v>Does the undertaking have a complaint-handling mechanism for its own workforce?</v>
      </c>
      <c r="D177" s="1110"/>
      <c r="E177" s="1111"/>
      <c r="F177" s="1111"/>
      <c r="G177" s="1111"/>
      <c r="H177" s="1112"/>
      <c r="I177" s="15" t="str">
        <f>IF(template_checkbox_c6_additional_own_workforce_information_docx=TRUE,
IF(OR(
'Table of Contents &amp; Validation'!D57=TRUE,'General Information'!E280&lt;=10),
IF(AND('General Information'!$E$125="Option B (Basic Module and Comprehensive Module)",D177&lt;&gt;""), template_label_ok,
IF(AND('General Information'!$E$125="Option B (Basic Module and Comprehensive Module)",D177=""), "",
IF(AND('General Information'!$E$125="Option A (Basic Module only)",D177&lt;&gt;""), template_label_ok,
""))),
IF(AND('General Information'!$E$125="Option B (Basic Module and Comprehensive Module)",D177&lt;&gt;""), template_label_ok,
IF(AND('General Information'!$E$125="Option B (Basic Module and Comprehensive Module)",D177=""), "",
IF(AND('General Information'!$E$125="Option A (Basic Module only)",D177&lt;&gt;""), template_label_ok,
"")))),
IF(OR(
'Table of Contents &amp; Validation'!D57=TRUE,'General Information'!E280&lt;=10),
IF(AND('General Information'!$E$125="Option B (Basic Module and Comprehensive Module)",D177&lt;&gt;""), template_label_ok,
IF(AND('General Information'!$E$125="Option B (Basic Module and Comprehensive Module)",D177=""), "",
IF(AND('General Information'!$E$125="Option A (Basic Module only)",D177&lt;&gt;""), template_label_ok,
""))),
IF(AND('General Information'!$E$125="Option B (Basic Module and Comprehensive Module)",D177&lt;&gt;""), template_label_ok,
IF(AND('General Information'!$E$125="Option B (Basic Module and Comprehensive Module)",D177=""), template_label_missing_value,
IF(AND('General Information'!$E$125="Option A (Basic Module only)",D177&lt;&gt;""), template_label_ok,
"")))))</f>
        <v/>
      </c>
      <c r="J177" s="1275"/>
    </row>
    <row r="178" spans="1:10" ht="15" thickBot="1">
      <c r="J178" s="1275"/>
    </row>
    <row r="179" spans="1:10" ht="89.4" customHeight="1" thickBot="1">
      <c r="A179" s="1140" t="str">
        <f>template_label_supporting_guidance_c7</f>
        <v>ℹ️ VSME Supporting Guide to Disclosure C7 - Comprehensive Module (Severe negative human rights incidents (paragraph 62(c))</v>
      </c>
      <c r="B179" s="1141"/>
      <c r="C179" s="931" t="str">
        <f>template_label_c7_human_rights_incidents&amp;" "&amp;template_label_from&amp;" "&amp;template_starting_date_display&amp;" "&amp;template_label_to&amp;" "&amp;template_ending_date_display&amp;" "</f>
        <v xml:space="preserve">C7 - Human rights incidents from - to - </v>
      </c>
      <c r="D179" s="932"/>
      <c r="E179" s="932"/>
      <c r="F179" s="932"/>
      <c r="G179" s="932"/>
      <c r="H179" s="933"/>
    </row>
    <row r="180" spans="1:10">
      <c r="A180" s="365">
        <v>62</v>
      </c>
      <c r="B180" s="366"/>
      <c r="C180" s="390" t="str">
        <f>template_label_does_the_undertaking_have_confirmed_incidents_in_its_own_workforce</f>
        <v>Does the undertaking have confirmed incidents in its own workforce?</v>
      </c>
      <c r="D180" s="1000"/>
      <c r="E180" s="1000"/>
      <c r="F180" s="1000"/>
      <c r="G180" s="1000"/>
      <c r="H180" s="1152"/>
      <c r="I180" s="15" t="str">
        <f>IF(OR(
'Table of Contents &amp; Validation'!D58=TRUE,'General Information'!E280&lt;=10),
IF(AND('General Information'!$E$125="Option B (Basic Module and Comprehensive Module)",D180&lt;&gt;""), template_label_ok,
IF(AND('General Information'!$E$125="Option B (Basic Module and Comprehensive Module)",D180=""), "",
IF(AND('General Information'!$E$125="Option A (Basic Module only)",D180&lt;&gt;""), template_label_ok,
""))),
IF(AND('General Information'!$E$125="Option B (Basic Module and Comprehensive Module)",D180&lt;&gt;""), template_label_ok,
IF(AND('General Information'!$E$125="Option B (Basic Module and Comprehensive Module)",D180=""), template_label_missing_value,
IF(AND('General Information'!$E$125="Option A (Basic Module only)",D180&lt;&gt;""), template_label_ok,
"")))
)</f>
        <v/>
      </c>
    </row>
    <row r="181" spans="1:10">
      <c r="A181" s="1032" t="s">
        <v>59</v>
      </c>
      <c r="B181" s="366"/>
      <c r="C181" s="139" t="str">
        <f>template_label_if_yes_are_incidents_related_to</f>
        <v>If yes are incidents related to:</v>
      </c>
      <c r="D181" s="1137"/>
      <c r="E181" s="1138"/>
      <c r="F181" s="1138"/>
      <c r="G181" s="1138"/>
      <c r="H181" s="1139"/>
      <c r="J181" s="1275"/>
    </row>
    <row r="182" spans="1:10">
      <c r="A182" s="1033"/>
      <c r="B182" s="366"/>
      <c r="C182" s="137" t="str">
        <f>template_label_child_labour</f>
        <v>child labour</v>
      </c>
      <c r="D182" s="1148" t="b">
        <v>0</v>
      </c>
      <c r="E182" s="1148"/>
      <c r="F182" s="1148"/>
      <c r="G182" s="1148"/>
      <c r="H182" s="1149"/>
      <c r="I182" s="1131" t="str" cm="1">
        <f t="array" ref="I182">IF(AND(OR(D182=TRUE,D183=TRUE,D184=TRUE,D185=TRUE,D186=TRUE),D180="YES"), template_label_ok,
IF(AND(D182=FALSE,D183=FALSE,D184=FALSE,D185=FALSE,D186=FALSE,D180="YES"), template_label_missing_value,
IF(AND(D182=FALSE,D183=FALSE,D184=FALSE,D185=FALSE,D186=FALSE,D180=""), "",
IF(AND(D182=FALSE,D183=FALSE,D184=FALSE,D185=FALSE,D186=FALSE,D180="NO"), "",
IF(AND(OR(D182:D186=TRUE),D180=""), "",
template_label_value_inconsistency)))))</f>
        <v/>
      </c>
      <c r="J182" s="1275"/>
    </row>
    <row r="183" spans="1:10">
      <c r="A183" s="1033"/>
      <c r="B183" s="366"/>
      <c r="C183" s="137" t="str">
        <f>template_label_forced_labour</f>
        <v>forced labour</v>
      </c>
      <c r="D183" s="1148" t="b">
        <v>0</v>
      </c>
      <c r="E183" s="1148"/>
      <c r="F183" s="1148"/>
      <c r="G183" s="1148"/>
      <c r="H183" s="1149"/>
      <c r="I183" s="1131"/>
    </row>
    <row r="184" spans="1:10">
      <c r="A184" s="1033"/>
      <c r="B184" s="366"/>
      <c r="C184" s="137" t="str">
        <f>template_label_human_trafficking</f>
        <v>human trafficking</v>
      </c>
      <c r="D184" s="1148" t="b">
        <v>0</v>
      </c>
      <c r="E184" s="1148"/>
      <c r="F184" s="1148"/>
      <c r="G184" s="1148"/>
      <c r="H184" s="1149"/>
      <c r="I184" s="1131"/>
    </row>
    <row r="185" spans="1:10">
      <c r="A185" s="1033"/>
      <c r="B185" s="366"/>
      <c r="C185" s="137" t="str">
        <f>template_label_discrimination</f>
        <v>discrimination</v>
      </c>
      <c r="D185" s="1148" t="b">
        <v>0</v>
      </c>
      <c r="E185" s="1148"/>
      <c r="F185" s="1148"/>
      <c r="G185" s="1148"/>
      <c r="H185" s="1149"/>
      <c r="I185" s="1131"/>
    </row>
    <row r="186" spans="1:10">
      <c r="A186" s="1033"/>
      <c r="B186" s="366"/>
      <c r="C186" s="137" t="str">
        <f>template_label_other_if_yes_specify</f>
        <v>other? ( if yes specify)</v>
      </c>
      <c r="D186" s="1148" t="b">
        <v>0</v>
      </c>
      <c r="E186" s="1148"/>
      <c r="F186" s="1148"/>
      <c r="G186" s="1148"/>
      <c r="H186" s="1149"/>
      <c r="I186" s="1131"/>
      <c r="J186" s="10" t="str">
        <f>template_label_other_warning</f>
        <v>ℹ️ When "other" is chosen as undertaking legal form please fill the row below</v>
      </c>
    </row>
    <row r="187" spans="1:10">
      <c r="A187" s="817"/>
      <c r="B187" s="366"/>
      <c r="C187" s="88" t="str">
        <f>template_label_specify_other_human_rights_related_to_the_confirmed_incidents</f>
        <v>Specify other human rights related to the confirmed incidents</v>
      </c>
      <c r="D187" s="1150"/>
      <c r="E187" s="1150"/>
      <c r="F187" s="1150"/>
      <c r="G187" s="1150"/>
      <c r="H187" s="1151"/>
      <c r="I187" s="15" t="str">
        <f>IF(template_checkbox_c7_severe_negative_human_rights_incidents_docx=TRUE,
IF(AND(D186=TRUE,D187&lt;&gt;""), template_label_ok,
IF(AND(D186=TRUE,D187=""), "",
IF(AND(D186=FALSE,D187&lt;&gt;""), "", ""))),
IF(AND(D186=TRUE,D187&lt;&gt;""), template_label_ok,
IF(AND(D186=TRUE,D187=""), template_label_missing_value,
IF(AND(D186=FALSE,D187&lt;&gt;""), template_label_missing_value, ""))))</f>
        <v/>
      </c>
    </row>
    <row r="188" spans="1:10">
      <c r="A188" s="365" t="s">
        <v>60</v>
      </c>
      <c r="B188" s="366"/>
      <c r="C188" s="88" t="str">
        <f>template_label_description_of_actions_taken_to_address_the_confirmed_incidents</f>
        <v>Description of actions taken to address the confirmed incidents</v>
      </c>
      <c r="D188" s="1142"/>
      <c r="E188" s="1143"/>
      <c r="F188" s="1143"/>
      <c r="G188" s="1143"/>
      <c r="H188" s="1144"/>
      <c r="I188" s="15" t="str">
        <f>IF(D188&lt;&gt;"",template_label_ok,"")</f>
        <v/>
      </c>
    </row>
    <row r="189" spans="1:10" ht="28.8">
      <c r="A189" s="365" t="s">
        <v>61</v>
      </c>
      <c r="B189" s="366"/>
      <c r="C189" s="109" t="str">
        <f>template_label_is_the_undertaking_aware_of_any_confirmed_incidents_involving_workers</f>
        <v>Is the undertaking aware of any confirmed incidents involving workers in the value chain affected communities consumers and end-users identified in the reporting period?</v>
      </c>
      <c r="D189" s="805"/>
      <c r="E189" s="805"/>
      <c r="F189" s="805"/>
      <c r="G189" s="805"/>
      <c r="H189" s="1145"/>
      <c r="I189" s="15" t="str">
        <f>IF(OR(
'Table of Contents &amp; Validation'!D58=TRUE,'General Information'!E280&lt;=10),
IF(AND('General Information'!$E$125="Option B (Basic Module and Comprehensive Module)",D189&lt;&gt;""), template_label_ok,
IF(AND('General Information'!$E$125="Option B (Basic Module and Comprehensive Module)",D189=""), "",
IF(AND('General Information'!$E$125="Option A (Basic Module only)",D189&lt;&gt;""), template_label_ok, ""))),
IF(AND('General Information'!$E$125="Option B (Basic Module and Comprehensive Module)",D189&lt;&gt;""), template_label_ok,
IF(AND('General Information'!$E$125="Option B (Basic Module and Comprehensive Module)",D189=""), template_label_missing_value,
IF(AND('General Information'!$E$125="Option A (Basic Module only)",D189&lt;&gt;""), template_label_ok, "")))
)</f>
        <v/>
      </c>
      <c r="J189" s="1275"/>
    </row>
    <row r="190" spans="1:10" ht="29.4" thickBot="1">
      <c r="A190" s="365" t="s">
        <v>61</v>
      </c>
      <c r="B190" s="366"/>
      <c r="C190" s="359" t="str">
        <f>template_label_specification_of_any_confirmed_incident_involving_workers</f>
        <v>Specification of any confirmed incident identified in the reporitng period involving workers in the value chain affected communities consumers and end-users</v>
      </c>
      <c r="D190" s="1146"/>
      <c r="E190" s="1146"/>
      <c r="F190" s="1146"/>
      <c r="G190" s="1146"/>
      <c r="H190" s="1147"/>
      <c r="I190" s="15" t="str">
        <f>IF(template_checkbox_c7_severe_negative_human_rights_incidents_docx=TRUE,
IF(AND(D189="YES",D190&lt;&gt;""), template_label_ok,
IF(AND(D189="YES",D190=""), "",
IF(AND(D189="NO",D190&lt;&gt;""), "", ""))),
IF(AND(D189="YES",D190&lt;&gt;""), template_label_ok,
IF(AND(D189="YES",D190=""), template_label_missing_value,
IF(AND(D189="NO",D190&lt;&gt;""), template_label_missing_value, ""))))</f>
        <v/>
      </c>
    </row>
    <row r="193" spans="3:9" ht="15" thickBot="1"/>
    <row r="194" spans="3:9" ht="15" thickBot="1">
      <c r="C194" s="934" t="str">
        <f>template_label_disclosure_of_any_other_social_and_or_entity_specific_social_disclosures&amp;" "&amp;template_label_from&amp;" "&amp;template_starting_date_display&amp;" "&amp;template_label_to&amp;" "&amp;template_ending_date_display&amp;" "</f>
        <v xml:space="preserve">Disclosure of any other social and/or entity specific social disclosures from - to - </v>
      </c>
      <c r="D194" s="935"/>
      <c r="E194" s="935"/>
      <c r="F194" s="935"/>
      <c r="G194" s="935"/>
      <c r="H194" s="936"/>
    </row>
    <row r="195" spans="3:9">
      <c r="C195" s="702">
        <v>12</v>
      </c>
      <c r="D195" s="817"/>
      <c r="E195" s="817"/>
      <c r="F195" s="817"/>
      <c r="G195" s="817"/>
      <c r="H195" s="818"/>
    </row>
    <row r="196" spans="3:9" ht="15" thickBot="1">
      <c r="C196" s="930"/>
      <c r="D196" s="732"/>
      <c r="E196" s="732"/>
      <c r="F196" s="732"/>
      <c r="G196" s="732"/>
      <c r="H196" s="733"/>
      <c r="I196" s="15" t="str">
        <f>IF(C196&lt;&gt;"", template_label_ok, "")</f>
        <v/>
      </c>
    </row>
  </sheetData>
  <sheetProtection formatColumns="0" formatRows="0" insertRows="0"/>
  <mergeCells count="299">
    <mergeCell ref="A179:B179"/>
    <mergeCell ref="D188:H188"/>
    <mergeCell ref="D189:H189"/>
    <mergeCell ref="D190:H190"/>
    <mergeCell ref="C194:H194"/>
    <mergeCell ref="C195:H195"/>
    <mergeCell ref="C196:H196"/>
    <mergeCell ref="I182:I186"/>
    <mergeCell ref="D183:H183"/>
    <mergeCell ref="D184:H184"/>
    <mergeCell ref="D185:H185"/>
    <mergeCell ref="D186:H186"/>
    <mergeCell ref="D187:H187"/>
    <mergeCell ref="C179:H179"/>
    <mergeCell ref="D180:H180"/>
    <mergeCell ref="D181:H181"/>
    <mergeCell ref="D182:H182"/>
    <mergeCell ref="I170:I175"/>
    <mergeCell ref="D171:H171"/>
    <mergeCell ref="D172:H172"/>
    <mergeCell ref="D173:H173"/>
    <mergeCell ref="D174:H174"/>
    <mergeCell ref="D175:H175"/>
    <mergeCell ref="D168:H168"/>
    <mergeCell ref="D169:H169"/>
    <mergeCell ref="D170:H170"/>
    <mergeCell ref="C156:H156"/>
    <mergeCell ref="D161:H161"/>
    <mergeCell ref="D162:H162"/>
    <mergeCell ref="D163:H163"/>
    <mergeCell ref="D176:H176"/>
    <mergeCell ref="D177:H177"/>
    <mergeCell ref="A147:A148"/>
    <mergeCell ref="B147:B148"/>
    <mergeCell ref="D147:H147"/>
    <mergeCell ref="D148:H148"/>
    <mergeCell ref="C150:H150"/>
    <mergeCell ref="C151:H151"/>
    <mergeCell ref="D164:H164"/>
    <mergeCell ref="D165:H165"/>
    <mergeCell ref="C167:H167"/>
    <mergeCell ref="D157:H157"/>
    <mergeCell ref="D158:H158"/>
    <mergeCell ref="D159:H159"/>
    <mergeCell ref="D160:H160"/>
    <mergeCell ref="C128:D128"/>
    <mergeCell ref="E128:H128"/>
    <mergeCell ref="C129:D129"/>
    <mergeCell ref="E129:H129"/>
    <mergeCell ref="D139:H139"/>
    <mergeCell ref="C141:H141"/>
    <mergeCell ref="D142:H142"/>
    <mergeCell ref="D144:H144"/>
    <mergeCell ref="D145:H145"/>
    <mergeCell ref="D146:H146"/>
    <mergeCell ref="C132:H132"/>
    <mergeCell ref="D133:H133"/>
    <mergeCell ref="D134:H134"/>
    <mergeCell ref="D135:H135"/>
    <mergeCell ref="D138:H138"/>
    <mergeCell ref="D153:H153"/>
    <mergeCell ref="D154:H154"/>
    <mergeCell ref="D152:H152"/>
    <mergeCell ref="D137:H137"/>
    <mergeCell ref="D136:H136"/>
    <mergeCell ref="D143:H143"/>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5:H95"/>
    <mergeCell ref="E96:H96"/>
    <mergeCell ref="E97:H97"/>
    <mergeCell ref="E126:H126"/>
    <mergeCell ref="E98:H98"/>
    <mergeCell ref="E99:H99"/>
    <mergeCell ref="E100:H100"/>
    <mergeCell ref="E127:H127"/>
    <mergeCell ref="E110:H110"/>
    <mergeCell ref="E111:H111"/>
    <mergeCell ref="E112:H112"/>
    <mergeCell ref="E113:H113"/>
    <mergeCell ref="E114:H114"/>
    <mergeCell ref="E115:H115"/>
    <mergeCell ref="E116:H116"/>
    <mergeCell ref="E117:H117"/>
    <mergeCell ref="E118:H118"/>
    <mergeCell ref="A143:A146"/>
    <mergeCell ref="A169:A176"/>
    <mergeCell ref="A181:A187"/>
    <mergeCell ref="C4:E4"/>
    <mergeCell ref="F4:H4"/>
    <mergeCell ref="E119:H119"/>
    <mergeCell ref="E120:H120"/>
    <mergeCell ref="E121:H121"/>
    <mergeCell ref="E122:H122"/>
    <mergeCell ref="E123:H123"/>
    <mergeCell ref="E124:H124"/>
    <mergeCell ref="E125:H125"/>
    <mergeCell ref="E101:H101"/>
    <mergeCell ref="E102:H102"/>
    <mergeCell ref="E103:H103"/>
    <mergeCell ref="E104:H104"/>
    <mergeCell ref="E105:H105"/>
    <mergeCell ref="E106:H106"/>
    <mergeCell ref="E107:H107"/>
    <mergeCell ref="E108:H108"/>
    <mergeCell ref="E109:H109"/>
    <mergeCell ref="E92:H92"/>
    <mergeCell ref="E93:H93"/>
    <mergeCell ref="E94:H94"/>
  </mergeCells>
  <phoneticPr fontId="3" type="noConversion"/>
  <conditionalFormatting sqref="C143:D143 C144:H145">
    <cfRule type="expression" dxfId="174" priority="51">
      <formula>$D$143=TRUE</formula>
    </cfRule>
  </conditionalFormatting>
  <conditionalFormatting sqref="D176">
    <cfRule type="expression" dxfId="173" priority="36">
      <formula>$D$175=TRUE</formula>
    </cfRule>
  </conditionalFormatting>
  <conditionalFormatting sqref="D187:D188">
    <cfRule type="expression" dxfId="172" priority="25">
      <formula>$D$186=TRUE</formula>
    </cfRule>
  </conditionalFormatting>
  <conditionalFormatting sqref="D190">
    <cfRule type="expression" dxfId="171" priority="24">
      <formula>$D$189="YES"</formula>
    </cfRule>
  </conditionalFormatting>
  <conditionalFormatting sqref="D170:H175">
    <cfRule type="expression" dxfId="168" priority="41">
      <formula>$D$168="YES"</formula>
    </cfRule>
    <cfRule type="expression" dxfId="167" priority="42">
      <formula>$F$4="Option A (Basic Module only)"</formula>
    </cfRule>
  </conditionalFormatting>
  <conditionalFormatting sqref="D182:H186">
    <cfRule type="expression" dxfId="164" priority="31">
      <formula>$F$4="Option A (Basic Module only)"</formula>
    </cfRule>
    <cfRule type="expression" dxfId="163" priority="30">
      <formula>$D$180="YES"</formula>
    </cfRule>
  </conditionalFormatting>
  <conditionalFormatting sqref="D188:H188">
    <cfRule type="expression" dxfId="162" priority="17">
      <formula>$D$180="YES"</formula>
    </cfRule>
  </conditionalFormatting>
  <conditionalFormatting sqref="E29:H29">
    <cfRule type="expression" dxfId="160" priority="600">
      <formula>$E$27=TRUE</formula>
    </cfRule>
  </conditionalFormatting>
  <conditionalFormatting sqref="E29:H128">
    <cfRule type="expression" dxfId="159" priority="67">
      <formula>$C29&lt;&gt;""</formula>
    </cfRule>
  </conditionalFormatting>
  <conditionalFormatting sqref="E30:H128">
    <cfRule type="expression" dxfId="158" priority="68">
      <formula>$D30=""</formula>
    </cfRule>
  </conditionalFormatting>
  <conditionalFormatting sqref="H10:H11">
    <cfRule type="expression" dxfId="157" priority="78">
      <formula>$H10=template_label_missing_value</formula>
    </cfRule>
    <cfRule type="expression" dxfId="156" priority="79">
      <formula>$H10=template_label_ok</formula>
    </cfRule>
  </conditionalFormatting>
  <conditionalFormatting sqref="H12">
    <cfRule type="expression" dxfId="155" priority="81">
      <formula>$H$12="VALUE INCONSISTENCY"</formula>
    </cfRule>
    <cfRule type="expression" dxfId="154" priority="80">
      <formula>$H$12="OK"</formula>
    </cfRule>
  </conditionalFormatting>
  <conditionalFormatting sqref="H18:H21">
    <cfRule type="expression" dxfId="153" priority="8">
      <formula>$H$18=template_label_value_inconsistency</formula>
    </cfRule>
    <cfRule type="expression" dxfId="152" priority="73">
      <formula>$H$18=template_label_missing_value</formula>
    </cfRule>
    <cfRule type="expression" dxfId="151" priority="74">
      <formula>$H$18=template_label_ok</formula>
    </cfRule>
  </conditionalFormatting>
  <conditionalFormatting sqref="H22">
    <cfRule type="expression" dxfId="150" priority="75">
      <formula>$H$22="VALUE INCONSISTENCY"</formula>
    </cfRule>
    <cfRule type="expression" dxfId="149" priority="76">
      <formula>$H$22="MISSING VALUE"</formula>
    </cfRule>
    <cfRule type="expression" dxfId="148" priority="77">
      <formula>$H$22="OK"</formula>
    </cfRule>
  </conditionalFormatting>
  <conditionalFormatting sqref="I29:I128">
    <cfRule type="expression" dxfId="147" priority="12">
      <formula>$I29=template_label_value_inconsistency</formula>
    </cfRule>
    <cfRule type="expression" dxfId="146" priority="72">
      <formula>$I29=template_label_missing_value</formula>
    </cfRule>
    <cfRule type="expression" dxfId="145" priority="71">
      <formula>$I29=template_label_ok</formula>
    </cfRule>
  </conditionalFormatting>
  <conditionalFormatting sqref="I129">
    <cfRule type="expression" dxfId="144" priority="70">
      <formula>$I$129="VALUE INCONSISTENCY"</formula>
    </cfRule>
    <cfRule type="expression" dxfId="143" priority="69">
      <formula>$I$129="OK"</formula>
    </cfRule>
  </conditionalFormatting>
  <conditionalFormatting sqref="I133:I134">
    <cfRule type="expression" dxfId="142" priority="63">
      <formula>$I133=template_label_ok</formula>
    </cfRule>
    <cfRule type="expression" dxfId="141" priority="62">
      <formula>$I133=template_label_missing_value</formula>
    </cfRule>
  </conditionalFormatting>
  <conditionalFormatting sqref="I136">
    <cfRule type="expression" dxfId="140" priority="59">
      <formula>$I$136=template_label_missing_value</formula>
    </cfRule>
    <cfRule type="expression" dxfId="139" priority="58">
      <formula>$I$136=template_label_ok</formula>
    </cfRule>
  </conditionalFormatting>
  <conditionalFormatting sqref="I139">
    <cfRule type="expression" dxfId="138" priority="61">
      <formula>$I$139=template_label_ok</formula>
    </cfRule>
    <cfRule type="expression" dxfId="137" priority="60">
      <formula>$I$139=template_label_missing_value</formula>
    </cfRule>
  </conditionalFormatting>
  <conditionalFormatting sqref="I142">
    <cfRule type="expression" dxfId="136" priority="53">
      <formula>$I$142=template_label_ok</formula>
    </cfRule>
    <cfRule type="expression" dxfId="135" priority="52">
      <formula>$I$142=template_label_missing_value</formula>
    </cfRule>
  </conditionalFormatting>
  <conditionalFormatting sqref="I143:I145">
    <cfRule type="expression" dxfId="134" priority="56">
      <formula>$I143=template_label_ok</formula>
    </cfRule>
    <cfRule type="expression" dxfId="133" priority="57">
      <formula>$I143=template_label_missing_value</formula>
    </cfRule>
  </conditionalFormatting>
  <conditionalFormatting sqref="I147">
    <cfRule type="expression" dxfId="132" priority="54">
      <formula>$I$147=template_label_ok</formula>
    </cfRule>
    <cfRule type="expression" dxfId="131" priority="55">
      <formula>$I$147=template_label_missing_value</formula>
    </cfRule>
  </conditionalFormatting>
  <conditionalFormatting sqref="I152:I153">
    <cfRule type="expression" dxfId="130" priority="6">
      <formula>I152=template_label_ok</formula>
    </cfRule>
    <cfRule type="expression" dxfId="129" priority="7">
      <formula>I152=template_label_missing_value</formula>
    </cfRule>
  </conditionalFormatting>
  <conditionalFormatting sqref="I154">
    <cfRule type="expression" dxfId="128" priority="49">
      <formula>$I154=template_label_ok</formula>
    </cfRule>
    <cfRule type="expression" dxfId="127" priority="50">
      <formula>$I154=template_label_missing_value</formula>
    </cfRule>
  </conditionalFormatting>
  <conditionalFormatting sqref="I157:I159">
    <cfRule type="expression" dxfId="126" priority="65">
      <formula>$I157=template_label_missing_value</formula>
    </cfRule>
    <cfRule type="expression" dxfId="125" priority="66">
      <formula>$I157=template_label_ok</formula>
    </cfRule>
  </conditionalFormatting>
  <conditionalFormatting sqref="I161">
    <cfRule type="expression" dxfId="124" priority="48">
      <formula>$I$161=template_label_ok</formula>
    </cfRule>
  </conditionalFormatting>
  <conditionalFormatting sqref="I162">
    <cfRule type="expression" dxfId="123" priority="47">
      <formula>$I$162=template_label_ok</formula>
    </cfRule>
  </conditionalFormatting>
  <conditionalFormatting sqref="I164">
    <cfRule type="expression" dxfId="122" priority="46">
      <formula>$I$164=template_label_ok</formula>
    </cfRule>
  </conditionalFormatting>
  <conditionalFormatting sqref="I165">
    <cfRule type="expression" dxfId="121" priority="45">
      <formula>$I$165=template_label_ok</formula>
    </cfRule>
  </conditionalFormatting>
  <conditionalFormatting sqref="I168">
    <cfRule type="expression" dxfId="120" priority="38">
      <formula>$I$168=template_label_ok</formula>
    </cfRule>
    <cfRule type="expression" dxfId="119" priority="37">
      <formula>$I$168=template_label_missing_value</formula>
    </cfRule>
  </conditionalFormatting>
  <conditionalFormatting sqref="I170:I175">
    <cfRule type="expression" dxfId="118" priority="33">
      <formula>$I$170=template_label_ok</formula>
    </cfRule>
    <cfRule type="expression" dxfId="117" priority="14">
      <formula>$I$170=template_label_value_inconsistency</formula>
    </cfRule>
    <cfRule type="expression" dxfId="116" priority="32">
      <formula>$I$170=template_label_missing_value</formula>
    </cfRule>
  </conditionalFormatting>
  <conditionalFormatting sqref="I176">
    <cfRule type="expression" dxfId="115" priority="40">
      <formula>$I$176=template_label_missing_value</formula>
    </cfRule>
    <cfRule type="expression" dxfId="114" priority="39">
      <formula>$I$176=template_label_ok</formula>
    </cfRule>
  </conditionalFormatting>
  <conditionalFormatting sqref="I177">
    <cfRule type="expression" dxfId="113" priority="35">
      <formula>$I$177=template_label_ok</formula>
    </cfRule>
    <cfRule type="expression" dxfId="112" priority="34">
      <formula>$I$177=template_label_missing_value</formula>
    </cfRule>
  </conditionalFormatting>
  <conditionalFormatting sqref="I180">
    <cfRule type="expression" dxfId="111" priority="23">
      <formula>$I$180=template_label_missing_value</formula>
    </cfRule>
    <cfRule type="expression" dxfId="110" priority="22">
      <formula>$I$180=template_label_ok</formula>
    </cfRule>
  </conditionalFormatting>
  <conditionalFormatting sqref="I182:I186">
    <cfRule type="expression" dxfId="109" priority="13">
      <formula>$I$182=template_label_value_inconsistency</formula>
    </cfRule>
    <cfRule type="expression" dxfId="108" priority="21">
      <formula>$I$182=template_label_missing_value</formula>
    </cfRule>
    <cfRule type="expression" dxfId="107" priority="20">
      <formula>$I$182=template_label_ok</formula>
    </cfRule>
  </conditionalFormatting>
  <conditionalFormatting sqref="I187">
    <cfRule type="expression" dxfId="106" priority="29">
      <formula>$I$187=template_label_missing_value</formula>
    </cfRule>
    <cfRule type="expression" dxfId="105" priority="28">
      <formula>$I$187=template_label_ok</formula>
    </cfRule>
  </conditionalFormatting>
  <conditionalFormatting sqref="I188">
    <cfRule type="expression" dxfId="104" priority="16">
      <formula>$I$188=template_label_ok</formula>
    </cfRule>
  </conditionalFormatting>
  <conditionalFormatting sqref="I189">
    <cfRule type="expression" dxfId="103" priority="19">
      <formula>$I$189=template_label_ok</formula>
    </cfRule>
    <cfRule type="expression" dxfId="102" priority="18">
      <formula>$I$189=template_label_missing_value</formula>
    </cfRule>
  </conditionalFormatting>
  <conditionalFormatting sqref="I190">
    <cfRule type="expression" dxfId="101" priority="27">
      <formula>$I$190=template_label_ok</formula>
    </cfRule>
    <cfRule type="expression" dxfId="100" priority="26">
      <formula>$I$190=template_label_missing_value</formula>
    </cfRule>
  </conditionalFormatting>
  <conditionalFormatting sqref="I196">
    <cfRule type="expression" dxfId="99" priority="15">
      <formula>$I$196=template_label_ok</formula>
    </cfRule>
  </conditionalFormatting>
  <dataValidations xWindow="1283" yWindow="371" count="20">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60:H160" xr:uid="{31822F3B-CBAF-498B-96BC-9F4B7C9FA836}">
      <formula1>IF(AND(D157&lt;&gt;"",D158&lt;&gt;"",D159&lt;&gt;""),(D157/((D158+D159)/2)),"-")</formula1>
    </dataValidation>
    <dataValidation allowBlank="1" showInputMessage="1" showErrorMessage="1" promptTitle="Employee turnover rate [%]" prompt="(number of employees who left during the reporting year / average number of employees during the reporting year (in headcount)) * 100" sqref="C160" xr:uid="{182F3A13-D482-455E-A41D-A7B885BF1147}"/>
    <dataValidation type="decimal" operator="equal" allowBlank="1" showInputMessage="1" showErrorMessage="1" sqref="D161:H162 D164:H165 D157:H158 D139:H139 D133:H135 D143:D145 E144:H145 D152:D153 E152:H152" xr:uid="{8675EF2D-EB6A-47BC-BA53-E3A025512A6A}">
      <formula1>D133</formula1>
    </dataValidation>
    <dataValidation allowBlank="1" showInputMessage="1" showErrorMessage="1" promptTitle="Rate of work-related accidents" prompt="(number of recordable work-related accidents in the reporting year / total number of hours worked in a year by all employees) * 200000" sqref="C138" xr:uid="{28EF91E1-2FA3-4B12-B20D-BA4B7E1DF87A}"/>
    <dataValidation allowBlank="1" showInputMessage="1" showErrorMessage="1" promptTitle="Percentage gap in pay  [%]" prompt="((average gross hourly pay level of male employees - average gross hourly pay level of female employees) / average gross hourly pay level of male employeees) * 100" sqref="C146" xr:uid="{B827D9EB-8466-49A8-9946-89C305A6C82A}"/>
    <dataValidation type="list" allowBlank="1" showInputMessage="1" showErrorMessage="1" sqref="D142:H142 D168:H168 D177:H177 D189:H189 D180:H180"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3" xr:uid="{0382C43B-6B15-4C96-B230-1F6DEFF355C6}"/>
    <dataValidation type="custom" showInputMessage="1" showErrorMessage="1" sqref="D163:H163" xr:uid="{202E8B87-D65E-4D4D-8C19-362F4AC993F3}">
      <formula1>IF(AND(D161&lt;&gt;"",D162&lt;&gt;""),$D$162/$D$161,"-")</formula1>
    </dataValidation>
    <dataValidation type="custom" showInputMessage="1" showErrorMessage="1" sqref="D170:H170 D174:H175 D182:H185 D143 I27" xr:uid="{6B787025-4F5D-4CA7-A900-ED7D6B50CC1F}">
      <formula1>OR(D27=TRUE,D27=FALSE)</formula1>
    </dataValidation>
    <dataValidation type="custom" showInputMessage="1" showErrorMessage="1" sqref="D171:H173 D186:H186" xr:uid="{57A047BE-D7FD-4862-9330-3E0747FA4DCC}">
      <formula1>OR(D171=FALSE,D171=TRUE)</formula1>
    </dataValidation>
    <dataValidation type="list" allowBlank="1" showInputMessage="1" showErrorMessage="1" sqref="C29:D128" xr:uid="{1A63D793-CD26-4CCE-A8F9-F963E57269F8}">
      <formula1>enum_ListCountriesName</formula1>
    </dataValidation>
    <dataValidation type="custom" showInputMessage="1" showErrorMessage="1" sqref="E29:H128" xr:uid="{159F7790-D5E7-481E-851D-34FCA66A69A1}">
      <formula1>IF($E$129="-",0,$E$129)&gt;=SUM($E$29:$E$128)</formula1>
    </dataValidation>
    <dataValidation type="list" operator="equal" allowBlank="1" showInputMessage="1" showErrorMessage="1" sqref="D136:H136" xr:uid="{5D31A6CE-F6F9-4F49-AA22-3A533E5C47D1}">
      <formula1>"100,500"</formula1>
    </dataValidation>
    <dataValidation allowBlank="1" showInputMessage="1" showErrorMessage="1" promptTitle="Formula" prompt="(number of employees covered by collective bargaining agreements (in headcount) / total number of employees (in headcount)) * 100" sqref="C148" xr:uid="{BD29E9DE-BD87-4A04-B2D3-F5A99205D049}"/>
    <dataValidation allowBlank="1" showInputMessage="1" showErrorMessage="1" promptTitle="Formula" prompt="Total number of training hours offered to and completed by employees divided by total number of employees. _x000a_For the calculation of the total average training hours, use the headcount figures. " sqref="C154" xr:uid="{47FFB10A-810E-422C-BFBD-C8F392B548FF}"/>
  </dataValidations>
  <hyperlinks>
    <hyperlink ref="C7:G7" r:id="rId1" display="40(a)" xr:uid="{CD9F84FC-ACA1-4091-B992-39B70837E5EC}"/>
    <hyperlink ref="C15:G15" r:id="rId2" display="40(b)" xr:uid="{B953544B-C114-45EA-A606-BC5B8B138C22}"/>
    <hyperlink ref="C25:H25" r:id="rId3" display="40(c)" xr:uid="{C8B78908-BF50-4B65-9003-937BE92AC09D}"/>
    <hyperlink ref="A133" r:id="rId4" xr:uid="{8E1A5ADB-AF53-4384-A62A-C9E6FE069714}"/>
    <hyperlink ref="A138" r:id="rId5" xr:uid="{8EFC0B8E-039A-46A2-9F46-D8E8B87B4F51}"/>
    <hyperlink ref="A139" r:id="rId6" xr:uid="{F03CA4A4-AC7F-4F07-903F-C75F220F7BB2}"/>
    <hyperlink ref="A142" r:id="rId7" xr:uid="{3188E279-C90A-4F17-B627-9FF4BB006A8C}"/>
    <hyperlink ref="A143" r:id="rId8" xr:uid="{6DF9FD68-07EC-4F98-9B1A-B74322E3B1D7}"/>
    <hyperlink ref="A147:A148" r:id="rId9" display="42(c)" xr:uid="{0C874EB2-9644-478E-A773-047755853BB9}"/>
    <hyperlink ref="C151:H151" r:id="rId10" display="42(d)" xr:uid="{3241B182-B1A5-4947-8FD7-A5ED55687C8F}"/>
    <hyperlink ref="A161" r:id="rId11" display="https://knowledgehub.efrag.org/eng/interactive/voluntary-standard/standard-for-voluntary-use/da/59" xr:uid="{10BFB29D-EC8B-4992-82AD-CC3831E1998E}"/>
    <hyperlink ref="A164" r:id="rId12" display="https://knowledgehub.efrag.org/eng/interactive/voluntary-standard/standard-for-voluntary-use/da/60" xr:uid="{6CA484FA-A0CC-4638-AB97-83AF7D74A3A4}"/>
    <hyperlink ref="A168" r:id="rId13" xr:uid="{C0F3D891-4EE3-4634-8BA6-19B7EB88647E}"/>
    <hyperlink ref="A169" r:id="rId14" xr:uid="{B52E826D-FC2A-484A-BB8C-6542DFDDE92B}"/>
    <hyperlink ref="A177" r:id="rId15" xr:uid="{8681AE7E-FCD9-4FDC-A653-EAC7EA9DE35C}"/>
    <hyperlink ref="A180" r:id="rId16" display="https://knowledgehub.efrag.org/eng/interactive/voluntary-standard/standard-for-voluntary-use/da/62" xr:uid="{8B04F7D4-B956-4B1F-89C8-4C754FFF8E5F}"/>
    <hyperlink ref="A181" r:id="rId17" xr:uid="{42F6A29B-A9F1-4E33-A6C8-8E1590038216}"/>
    <hyperlink ref="A188" r:id="rId18" xr:uid="{1CDE0790-C873-412A-806D-8178996FD837}"/>
    <hyperlink ref="A189" r:id="rId19" xr:uid="{376E4401-8A7A-443C-9E73-F57A5CFC3AB0}"/>
    <hyperlink ref="A190" r:id="rId20" xr:uid="{3A8F3C6D-B852-4D9C-B84B-4FF16313DD71}"/>
    <hyperlink ref="C195:H195" r:id="rId21" display="https://knowledgehub.efrag.org/eng/interactive/voluntary-standard/standard-for-voluntary-use/da/12" xr:uid="{07733647-E455-49AF-9175-D7668586937A}"/>
    <hyperlink ref="A179:B179" r:id="rId22" display="https://www.efrag.org/en/vsme-supporting-guide-to-disclosure-c7-comprehensive-module-severe-negative-human-rights-incidents" xr:uid="{0AE58F6E-56A7-4DA5-BEDF-0D15C12A2D22}"/>
    <hyperlink ref="A160" r:id="rId23" display="https://knowledgehub.efrag.org/eng/interactive/voluntary-standard/standard-for-voluntary-use/da/58" xr:uid="{D6F8CDCC-1AC2-41A9-BF7D-34FA0A58A97E}"/>
    <hyperlink ref="A162" r:id="rId24" display="https://knowledgehub.efrag.org/eng/interactive/voluntary-standard/standard-for-voluntary-use/da/59" xr:uid="{A18DB1C3-6E3E-45DC-B18D-76854E8DABF9}"/>
    <hyperlink ref="A163" r:id="rId25" display="https://knowledgehub.efrag.org/eng/interactive/voluntary-standard/standard-for-voluntary-use/da/59" xr:uid="{625DE30E-504D-4357-8385-1ABAF4A8F226}"/>
    <hyperlink ref="A165" r:id="rId26" display="https://knowledgehub.efrag.org/eng/interactive/voluntary-standard/standard-for-voluntary-use/da/60" xr:uid="{FF93894A-5D28-4FA7-B65A-ABE8608A54C2}"/>
    <hyperlink ref="A157" r:id="rId27" display="https://knowledgehub.efrag.org/eng/interactive/voluntary-standard/standard-for-voluntary-use/da/58" xr:uid="{DF1813A9-CF89-4411-A139-F0589F63A059}"/>
    <hyperlink ref="A158" r:id="rId28" display="https://knowledgehub.efrag.org/eng/interactive/voluntary-standard/standard-for-voluntary-use/da/58" xr:uid="{8EEC4E18-D870-4C00-A183-D55938A59681}"/>
    <hyperlink ref="A159" r:id="rId29" display="https://knowledgehub.efrag.org/eng/interactive/voluntary-standard/standard-for-voluntary-use/da/58" xr:uid="{DD2CD590-E96D-4857-8256-324C57B13649}"/>
  </hyperlinks>
  <pageMargins left="0.7" right="0.7" top="0.75" bottom="0.75" header="0.3" footer="0.3"/>
  <pageSetup paperSize="9" orientation="portrait" horizontalDpi="4294967293" verticalDpi="4294967293" r:id="rId30"/>
  <drawing r:id="rId31"/>
  <extLst>
    <ext xmlns:x14="http://schemas.microsoft.com/office/spreadsheetml/2009/9/main" uri="{78C0D931-6437-407d-A8EE-F0AAD7539E65}">
      <x14:conditionalFormattings>
        <x14:conditionalFormatting xmlns:xm="http://schemas.microsoft.com/office/excel/2006/main">
          <x14:cfRule type="expression" priority="5" id="{3087CF38-2519-41B0-ABCB-DA1D7799ABD3}">
            <xm:f>AND('General Information'!$E$280&lt;=10, 'General Information'!$E$280&lt;&gt;"")</xm:f>
            <x14:dxf>
              <fill>
                <patternFill>
                  <bgColor theme="0" tint="-0.14996795556505021"/>
                </patternFill>
              </fill>
            </x14:dxf>
          </x14:cfRule>
          <xm:sqref>D157:H159</xm:sqref>
        </x14:conditionalFormatting>
        <x14:conditionalFormatting xmlns:xm="http://schemas.microsoft.com/office/excel/2006/main">
          <x14:cfRule type="expression" priority="4" id="{01440DAB-5460-4446-8946-3D789235B57E}">
            <xm:f>AND('General Information'!$E$280&lt;=10, 'General Information'!$E$280&lt;&gt;"")</xm:f>
            <x14:dxf>
              <fill>
                <patternFill>
                  <bgColor theme="0" tint="-0.14996795556505021"/>
                </patternFill>
              </fill>
            </x14:dxf>
          </x14:cfRule>
          <xm:sqref>D168:H168</xm:sqref>
        </x14:conditionalFormatting>
        <x14:conditionalFormatting xmlns:xm="http://schemas.microsoft.com/office/excel/2006/main">
          <x14:cfRule type="expression" priority="3" id="{7FE5A079-723B-429B-B0C9-BA9C66752738}">
            <xm:f>AND('General Information'!$E$280&lt;=10, 'General Information'!$E$280&lt;&gt;"")</xm:f>
            <x14:dxf>
              <fill>
                <patternFill>
                  <bgColor theme="0" tint="-0.14996795556505021"/>
                </patternFill>
              </fill>
            </x14:dxf>
          </x14:cfRule>
          <xm:sqref>D177:H177</xm:sqref>
        </x14:conditionalFormatting>
        <x14:conditionalFormatting xmlns:xm="http://schemas.microsoft.com/office/excel/2006/main">
          <x14:cfRule type="expression" priority="2" id="{874EF7EE-5C76-4BA5-87F8-A353E05A656B}">
            <xm:f>AND('General Information'!$E$280&lt;=10, 'General Information'!$E$280&lt;&gt;"")</xm:f>
            <x14:dxf>
              <fill>
                <patternFill>
                  <bgColor theme="0" tint="-0.14996795556505021"/>
                </patternFill>
              </fill>
            </x14:dxf>
          </x14:cfRule>
          <xm:sqref>D180:H180</xm:sqref>
        </x14:conditionalFormatting>
        <x14:conditionalFormatting xmlns:xm="http://schemas.microsoft.com/office/excel/2006/main">
          <x14:cfRule type="expression" priority="1" id="{FAFE23E5-09CA-4899-9934-7DE4B5F366C9}">
            <xm:f>AND('General Information'!$E$280&lt;=10, 'General Information'!$E$280&lt;&gt;"")</xm:f>
            <x14:dxf>
              <fill>
                <patternFill>
                  <bgColor theme="0" tint="-0.14996795556505021"/>
                </patternFill>
              </fill>
            </x14:dxf>
          </x14:cfRule>
          <xm:sqref>D189:H189</xm:sqref>
        </x14:conditionalFormatting>
      </x14:conditionalFormattings>
    </ex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Information'!$E$282="","-",'General Information'!$E$282)</xm:f>
          </x14:formula1>
          <xm:sqref>F2:H2</xm:sqref>
        </x14:dataValidation>
        <x14:dataValidation type="custom" showInputMessage="1" showErrorMessage="1" xr:uid="{5CB0FDEF-7EB7-4204-AC9A-257032190656}">
          <x14:formula1>
            <xm:f>IF('General Information'!$E$280="","-",'General Information'!$E$280)</xm:f>
          </x14:formula1>
          <xm:sqref>D22:G22 E129</xm:sqref>
        </x14:dataValidation>
        <x14:dataValidation type="decimal" operator="lessThanOrEqual" showInputMessage="1" showErrorMessage="1" xr:uid="{0C498D34-B549-4574-AAED-C478F3CDADCC}">
          <x14:formula1>
            <xm:f>'General Information'!E280</xm:f>
          </x14:formula1>
          <xm:sqref>D147:H147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0"/>
  <sheetViews>
    <sheetView zoomScaleNormal="100" workbookViewId="0"/>
  </sheetViews>
  <sheetFormatPr defaultColWidth="8.88671875" defaultRowHeight="14.4"/>
  <cols>
    <col min="1" max="2" width="10" bestFit="1" customWidth="1"/>
    <col min="3" max="3" width="33.5546875" customWidth="1"/>
    <col min="5" max="5" width="14.44140625" customWidth="1"/>
    <col min="7" max="7" width="24.44140625" customWidth="1"/>
    <col min="8" max="8" width="38.44140625" customWidth="1"/>
    <col min="9" max="9" width="15.5546875" style="15" customWidth="1"/>
    <col min="10" max="10" width="16.44140625" style="10" customWidth="1"/>
    <col min="11" max="78" width="8.5546875" style="10"/>
  </cols>
  <sheetData>
    <row r="1" spans="1:9" ht="43.8" thickBot="1">
      <c r="A1" s="209" t="s">
        <v>62</v>
      </c>
      <c r="B1" s="209" t="s">
        <v>63</v>
      </c>
      <c r="C1" s="10"/>
      <c r="D1" s="10"/>
      <c r="E1" s="10"/>
      <c r="F1" s="10"/>
      <c r="G1" s="10"/>
      <c r="H1" s="10"/>
    </row>
    <row r="2" spans="1:9" ht="15" thickBot="1">
      <c r="A2" s="10"/>
      <c r="B2" s="10"/>
      <c r="C2" s="699" t="str">
        <f>template_label_b11_convictions_and_fines_for_corruption_and_bribery&amp;" "&amp;template_label_from&amp;" "&amp;template_starting_date_display&amp;" "&amp;template_label_to&amp;" "&amp;template_ending_date_display&amp;" "</f>
        <v xml:space="preserve">B11 - Convictions and fines for corruption and bribery from - to - </v>
      </c>
      <c r="D2" s="862"/>
      <c r="E2" s="862"/>
      <c r="F2" s="862"/>
      <c r="G2" s="862"/>
      <c r="H2" s="863"/>
    </row>
    <row r="3" spans="1:9">
      <c r="A3" s="10"/>
      <c r="B3" s="10"/>
      <c r="C3" s="702">
        <v>43</v>
      </c>
      <c r="D3" s="817"/>
      <c r="E3" s="817"/>
      <c r="F3" s="817"/>
      <c r="G3" s="817"/>
      <c r="H3" s="818"/>
    </row>
    <row r="4" spans="1:9">
      <c r="A4" s="10"/>
      <c r="B4" s="10"/>
      <c r="C4" s="711"/>
      <c r="D4" s="686"/>
      <c r="E4" s="686"/>
      <c r="F4" s="686"/>
      <c r="G4" s="686"/>
      <c r="H4" s="808"/>
    </row>
    <row r="5" spans="1:9" s="10" customFormat="1">
      <c r="C5" s="783" t="str">
        <f>template_label_has_the_undertaking_incurred_in_convictions_and_fines_in_the_reporting_period</f>
        <v>Has the undertaking incurred in convictions and fines in the reporting period?</v>
      </c>
      <c r="D5" s="861"/>
      <c r="E5" s="861"/>
      <c r="F5" s="861"/>
      <c r="G5" s="861"/>
      <c r="H5" s="140" t="b">
        <v>0</v>
      </c>
      <c r="I5" s="15"/>
    </row>
    <row r="6" spans="1:9" s="10" customFormat="1" ht="21.6" customHeight="1">
      <c r="C6" s="1165" t="str">
        <f>template_label_total_number_of_convictions_for_the_violation_of_anti_corruption_and_anti_bribery_laws</f>
        <v>Total number of convictions  for the violation of anti-corruption and anti-bribery laws</v>
      </c>
      <c r="D6" s="1166"/>
      <c r="E6" s="1166"/>
      <c r="F6" s="1166"/>
      <c r="G6" s="1166"/>
      <c r="H6" s="229"/>
      <c r="I6" s="15" t="str">
        <f>IF(AND($H$5=TRUE,H6&lt;&gt;""), template_label_ok,
IF(AND($H$5=TRUE,H6=""), template_label_missing_value, ""))</f>
        <v/>
      </c>
    </row>
    <row r="7" spans="1:9" s="10" customFormat="1" ht="15" thickBot="1">
      <c r="C7" s="1167"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68"/>
      <c r="E7" s="1168"/>
      <c r="F7" s="1168"/>
      <c r="G7" s="1168"/>
      <c r="H7" s="233"/>
      <c r="I7" s="15" t="str">
        <f>IF(AND($H$5=TRUE,H7&lt;&gt;""), template_label_ok,
IF(AND($H$5=TRUE,H7=""), template_label_missing_value, ""))</f>
        <v/>
      </c>
    </row>
    <row r="8" spans="1:9" s="10" customFormat="1" ht="15" thickBot="1">
      <c r="I8" s="15"/>
    </row>
    <row r="9" spans="1:9" s="10" customFormat="1" ht="15" thickBot="1">
      <c r="C9" s="1161" t="str">
        <f>template_label_c8_revenues_from_certain_sectors&amp;" "&amp;template_label_from&amp;" "&amp;template_starting_date_display&amp;" "&amp;template_label_to&amp;" "&amp;template_ending_date_display&amp;" "</f>
        <v xml:space="preserve">C8 - Revenues from certain activities from - to - </v>
      </c>
      <c r="D9" s="1162"/>
      <c r="E9" s="1162"/>
      <c r="F9" s="1162"/>
      <c r="G9" s="1162"/>
      <c r="H9" s="1163"/>
      <c r="I9" s="15"/>
    </row>
    <row r="10" spans="1:9" ht="28.35" customHeight="1">
      <c r="A10" s="10"/>
      <c r="B10" s="10"/>
      <c r="C10" s="940" t="str">
        <f>template_label_is_the_undertaking_deriving_revenues_from_one_of_the_activities_listed_below</f>
        <v>Is the undertaking deriving revenues from one of the activities listed below?</v>
      </c>
      <c r="D10" s="941"/>
      <c r="E10" s="941"/>
      <c r="F10" s="941"/>
      <c r="G10" s="941"/>
      <c r="H10" s="123" t="b">
        <v>0</v>
      </c>
    </row>
    <row r="11" spans="1:9">
      <c r="A11" s="10"/>
      <c r="B11" s="10"/>
      <c r="C11" s="913"/>
      <c r="D11" s="914"/>
      <c r="E11" s="914"/>
      <c r="F11" s="914"/>
      <c r="G11" s="914"/>
      <c r="H11" s="46" t="str">
        <f>template_label_monetary_amount_in &amp; " " &amp; template_currency</f>
        <v xml:space="preserve">Monetary amount in </v>
      </c>
    </row>
    <row r="12" spans="1:9" s="10" customFormat="1" ht="32.4" customHeight="1">
      <c r="A12" s="365" t="s">
        <v>64</v>
      </c>
      <c r="B12" s="366"/>
      <c r="C12" s="769" t="str">
        <f>template_label_revenue_derived_from_the_prohibited_weapons_industry</f>
        <v>Revenue derived from the prohibited weapons industry (anti-personnel mines, cluster munitions, chemical weapons and biological weapons)</v>
      </c>
      <c r="D12" s="853"/>
      <c r="E12" s="853"/>
      <c r="F12" s="853"/>
      <c r="G12" s="853"/>
      <c r="H12" s="229"/>
      <c r="I12" s="1157" t="str">
        <f>IF(AND(H10=FALSE,COUNTA(H12:H16)=0, H18=""),
    "",
    IF(AND(OR(COUNTA(H12:H16)&gt;0, H18&lt;&gt;""), SUM(H12:H16, H18)&lt;='General Information'!E279),
        template_label_ok,
        IF(AND(H10=TRUE, COUNTA(H12:H16)=0, H18=""),
            template_label_missing_value,
            template_label_value_inconsistency
        )
    )
)</f>
        <v/>
      </c>
    </row>
    <row r="13" spans="1:9" s="10" customFormat="1" ht="15" thickBot="1">
      <c r="A13" s="365" t="s">
        <v>65</v>
      </c>
      <c r="B13" s="366"/>
      <c r="C13" s="834" t="str">
        <f>template_label_revenue_derived_from_cultivation_and_production_of_tobacco</f>
        <v>Revenue derived from cultivation and production of tobacco</v>
      </c>
      <c r="D13" s="1158"/>
      <c r="E13" s="1158"/>
      <c r="F13" s="1158"/>
      <c r="G13" s="1158"/>
      <c r="H13" s="230"/>
      <c r="I13" s="1157"/>
    </row>
    <row r="14" spans="1:9" s="10" customFormat="1">
      <c r="A14" s="1032" t="s">
        <v>66</v>
      </c>
      <c r="B14" s="366"/>
      <c r="C14" s="1159" t="str">
        <f>template_label_revenue_derived_from_coal</f>
        <v>Revenue derived from coal</v>
      </c>
      <c r="D14" s="1160"/>
      <c r="E14" s="1160"/>
      <c r="F14" s="1160"/>
      <c r="G14" s="1160"/>
      <c r="H14" s="231"/>
      <c r="I14" s="1157"/>
    </row>
    <row r="15" spans="1:9" s="10" customFormat="1">
      <c r="A15" s="1033"/>
      <c r="B15" s="366"/>
      <c r="C15" s="769" t="str">
        <f>template_label_revenue_derived_from_oil</f>
        <v>Revenue derived from oil</v>
      </c>
      <c r="D15" s="853"/>
      <c r="E15" s="853"/>
      <c r="F15" s="853"/>
      <c r="G15" s="853"/>
      <c r="H15" s="229"/>
      <c r="I15" s="1157"/>
    </row>
    <row r="16" spans="1:9" s="10" customFormat="1">
      <c r="A16" s="1033"/>
      <c r="B16" s="366"/>
      <c r="C16" s="769" t="str">
        <f>template_label_revenue_derived_from_gas</f>
        <v>Revenue derived from gas</v>
      </c>
      <c r="D16" s="853"/>
      <c r="E16" s="853"/>
      <c r="F16" s="853"/>
      <c r="G16" s="853"/>
      <c r="H16" s="229"/>
      <c r="I16" s="1157"/>
    </row>
    <row r="17" spans="1:9" s="10" customFormat="1" ht="60.6" customHeight="1" thickBot="1">
      <c r="A17" s="817"/>
      <c r="B17" s="366"/>
      <c r="C17" s="1155" t="str">
        <f>template_label_total_revenues_derived_from_fossil_fuel_sector</f>
        <v xml:space="preserve">Total revenues derived from the fossil fuel (coal oil and gas) sector </v>
      </c>
      <c r="D17" s="1156"/>
      <c r="E17" s="1156"/>
      <c r="F17" s="1156"/>
      <c r="G17" s="1156"/>
      <c r="H17" s="227" t="str">
        <f>IF(COUNTA(H14:H16)=0, "-", SUM(H14:H16))</f>
        <v>-</v>
      </c>
      <c r="I17" s="1157"/>
    </row>
    <row r="18" spans="1:9" s="10" customFormat="1" ht="15" thickBot="1">
      <c r="A18" s="365" t="s">
        <v>67</v>
      </c>
      <c r="B18" s="366"/>
      <c r="C18" s="836" t="str">
        <f>template_label_revenue_derived_from_chemicals_production</f>
        <v>Revenue derived from chemicals production</v>
      </c>
      <c r="D18" s="1164"/>
      <c r="E18" s="1164"/>
      <c r="F18" s="1164"/>
      <c r="G18" s="1164"/>
      <c r="H18" s="232"/>
      <c r="I18" s="1157"/>
    </row>
    <row r="19" spans="1:9" s="10" customFormat="1">
      <c r="I19" s="15"/>
    </row>
    <row r="20" spans="1:9" s="10" customFormat="1" ht="15" thickBot="1">
      <c r="I20" s="15"/>
    </row>
    <row r="21" spans="1:9" s="10" customFormat="1" ht="15" thickBot="1">
      <c r="C21" s="980" t="str">
        <f>template_label_c9_gender_diversity_ratio_in_the_governance_body&amp;" "&amp;template_label_at&amp;" "&amp;template_ending_date_display&amp;" "</f>
        <v xml:space="preserve">C9 - Gender diversity ratio in the governance body at - </v>
      </c>
      <c r="D21" s="981"/>
      <c r="E21" s="981"/>
      <c r="F21" s="981"/>
      <c r="G21" s="981"/>
      <c r="H21" s="982"/>
      <c r="I21" s="15"/>
    </row>
    <row r="22" spans="1:9" s="10" customFormat="1">
      <c r="C22" s="940" t="str">
        <f>template_label_does_the_undertaking_have_a_governance_body_in_place</f>
        <v>Does the undertaking have a governance body in place?</v>
      </c>
      <c r="D22" s="941"/>
      <c r="E22" s="941"/>
      <c r="F22" s="941"/>
      <c r="G22" s="941"/>
      <c r="H22" s="123" t="b">
        <v>0</v>
      </c>
      <c r="I22" s="15"/>
    </row>
    <row r="23" spans="1:9" s="10" customFormat="1">
      <c r="A23" s="686">
        <v>64</v>
      </c>
      <c r="B23" s="687"/>
      <c r="C23" s="783" t="str">
        <f>template_label_number_of_female_board_members_at_the_end_of_the_reporting_period</f>
        <v>Number of female board members at the end of the reporting period</v>
      </c>
      <c r="D23" s="861"/>
      <c r="E23" s="861"/>
      <c r="F23" s="861"/>
      <c r="G23" s="861"/>
      <c r="H23" s="229"/>
      <c r="I23" s="15" t="str">
        <f>IF(AND($H$22=TRUE, H23&lt;&gt;""), template_label_ok, IF(AND($H$22=TRUE, H23=""), template_label_missing_value, ""))</f>
        <v/>
      </c>
    </row>
    <row r="24" spans="1:9" s="10" customFormat="1">
      <c r="A24" s="686"/>
      <c r="B24" s="687"/>
      <c r="C24" s="783" t="str">
        <f>template_label_number_of_male_board_members_at_the_end_of_the_reporting_period</f>
        <v>Number of male board members at the end of the reporting period</v>
      </c>
      <c r="D24" s="861"/>
      <c r="E24" s="861"/>
      <c r="F24" s="861"/>
      <c r="G24" s="861"/>
      <c r="H24" s="229"/>
      <c r="I24" s="15" t="str">
        <f>IF(AND($H$22=TRUE, H24&lt;&gt;""), template_label_ok, IF(AND($H$22=TRUE, H24=""), template_label_missing_value, ""))</f>
        <v/>
      </c>
    </row>
    <row r="25" spans="1:9" s="10" customFormat="1" ht="15" thickBot="1">
      <c r="A25" s="686"/>
      <c r="B25" s="687"/>
      <c r="C25" s="1153" t="str">
        <f>template_label_gender_diversity_ratio_in_governance_body</f>
        <v>Gender diversity ratio in governance body</v>
      </c>
      <c r="D25" s="1154"/>
      <c r="E25" s="1154"/>
      <c r="F25" s="1154"/>
      <c r="G25" s="1154"/>
      <c r="H25" s="227" t="str">
        <f>IF(AND(H23&lt;&gt;"",H24&lt;&gt;""),IF(OR(H23=0,H24=0),0,H23/H24),"-")</f>
        <v>-</v>
      </c>
      <c r="I25" s="15"/>
    </row>
    <row r="26" spans="1:9" s="10" customFormat="1">
      <c r="I26" s="15"/>
    </row>
    <row r="27" spans="1:9" s="10" customFormat="1" ht="15" thickBot="1">
      <c r="I27" s="15"/>
    </row>
    <row r="28" spans="1:9" s="10" customFormat="1" ht="15" thickBot="1">
      <c r="C28" s="934" t="str">
        <f>template_label_disclosure_of_any_other_governance_and_or_entity_specific_governance_disclosures&amp;" "&amp;template_label_from&amp;" "&amp;template_starting_date_display&amp;" "&amp;template_label_to&amp;" "&amp;template_ending_date_display&amp;" "</f>
        <v xml:space="preserve">Disclosure of any other governance and/or entity specific governance disclosures from - to - </v>
      </c>
      <c r="D28" s="935"/>
      <c r="E28" s="935"/>
      <c r="F28" s="935"/>
      <c r="G28" s="935"/>
      <c r="H28" s="936"/>
      <c r="I28" s="15"/>
    </row>
    <row r="29" spans="1:9" s="10" customFormat="1">
      <c r="C29" s="702">
        <v>12</v>
      </c>
      <c r="D29" s="817"/>
      <c r="E29" s="817"/>
      <c r="F29" s="817"/>
      <c r="G29" s="817"/>
      <c r="H29" s="818"/>
      <c r="I29" s="15"/>
    </row>
    <row r="30" spans="1:9" s="10" customFormat="1" ht="15" thickBot="1">
      <c r="C30" s="930"/>
      <c r="D30" s="732"/>
      <c r="E30" s="732"/>
      <c r="F30" s="732"/>
      <c r="G30" s="732"/>
      <c r="H30" s="733"/>
      <c r="I30" s="19" t="str">
        <f>IF(C30&lt;&gt;"",template_label_ok, "")</f>
        <v/>
      </c>
    </row>
    <row r="31" spans="1:9" s="10" customFormat="1">
      <c r="I31" s="15"/>
    </row>
    <row r="32" spans="1:9" s="10" customFormat="1">
      <c r="I32" s="15"/>
    </row>
    <row r="33" spans="9:9" s="10" customFormat="1">
      <c r="I33" s="15"/>
    </row>
    <row r="34" spans="9:9" s="10" customFormat="1">
      <c r="I34" s="15"/>
    </row>
    <row r="35" spans="9:9" s="10" customFormat="1">
      <c r="I35" s="15"/>
    </row>
    <row r="36" spans="9:9" s="10" customFormat="1">
      <c r="I36" s="15"/>
    </row>
    <row r="37" spans="9:9" s="10" customFormat="1">
      <c r="I37" s="15"/>
    </row>
    <row r="38" spans="9:9" s="10" customFormat="1">
      <c r="I38" s="15"/>
    </row>
    <row r="39" spans="9:9" s="10" customFormat="1">
      <c r="I39" s="15"/>
    </row>
    <row r="40" spans="9:9" s="10" customFormat="1">
      <c r="I40" s="15"/>
    </row>
    <row r="41" spans="9:9" s="10" customFormat="1">
      <c r="I41" s="15"/>
    </row>
    <row r="42" spans="9:9" s="10" customFormat="1">
      <c r="I42" s="15"/>
    </row>
    <row r="43" spans="9:9" s="10" customFormat="1">
      <c r="I43" s="15"/>
    </row>
    <row r="44" spans="9:9" s="10" customFormat="1">
      <c r="I44" s="15"/>
    </row>
    <row r="45" spans="9:9" s="10" customFormat="1">
      <c r="I45" s="15"/>
    </row>
    <row r="46" spans="9:9" s="10" customFormat="1">
      <c r="I46" s="15"/>
    </row>
    <row r="47" spans="9:9" s="10" customFormat="1">
      <c r="I47" s="15"/>
    </row>
    <row r="48" spans="9:9" s="10" customFormat="1">
      <c r="I48" s="15"/>
    </row>
    <row r="49" spans="9:9" s="10" customFormat="1">
      <c r="I49" s="15"/>
    </row>
    <row r="50" spans="9:9" s="10" customFormat="1">
      <c r="I50" s="15"/>
    </row>
    <row r="51" spans="9:9" s="10" customFormat="1">
      <c r="I51" s="15"/>
    </row>
    <row r="52" spans="9:9" s="10" customFormat="1">
      <c r="I52" s="15"/>
    </row>
    <row r="53" spans="9:9" s="10" customFormat="1">
      <c r="I53" s="15"/>
    </row>
    <row r="54" spans="9:9" s="10" customFormat="1">
      <c r="I54" s="15"/>
    </row>
    <row r="55" spans="9:9" s="10" customFormat="1">
      <c r="I55" s="15"/>
    </row>
    <row r="56" spans="9:9" s="10" customFormat="1">
      <c r="I56" s="15"/>
    </row>
    <row r="57" spans="9:9" s="10" customFormat="1">
      <c r="I57" s="15"/>
    </row>
    <row r="58" spans="9:9" s="10" customFormat="1">
      <c r="I58" s="15"/>
    </row>
    <row r="59" spans="9:9" s="10" customFormat="1">
      <c r="I59" s="15"/>
    </row>
    <row r="60" spans="9:9" s="10" customFormat="1">
      <c r="I60" s="15"/>
    </row>
    <row r="61" spans="9:9" s="10" customFormat="1">
      <c r="I61" s="15"/>
    </row>
    <row r="62" spans="9:9" s="10" customFormat="1">
      <c r="I62" s="15"/>
    </row>
    <row r="63" spans="9:9" s="10" customFormat="1">
      <c r="I63" s="15"/>
    </row>
    <row r="64" spans="9:9" s="10" customFormat="1">
      <c r="I64" s="15"/>
    </row>
    <row r="65" spans="9:9" s="10" customFormat="1">
      <c r="I65" s="15"/>
    </row>
    <row r="66" spans="9:9" s="10" customFormat="1">
      <c r="I66" s="15"/>
    </row>
    <row r="67" spans="9:9" s="10" customFormat="1">
      <c r="I67" s="15"/>
    </row>
    <row r="68" spans="9:9" s="10" customFormat="1">
      <c r="I68" s="15"/>
    </row>
    <row r="69" spans="9:9" s="10" customFormat="1">
      <c r="I69" s="15"/>
    </row>
    <row r="70" spans="9:9" s="10" customFormat="1">
      <c r="I70" s="15"/>
    </row>
    <row r="71" spans="9:9" s="10" customFormat="1">
      <c r="I71" s="15"/>
    </row>
    <row r="72" spans="9:9" s="10" customFormat="1">
      <c r="I72" s="15"/>
    </row>
    <row r="73" spans="9:9" s="10" customFormat="1">
      <c r="I73" s="15"/>
    </row>
    <row r="74" spans="9:9" s="10" customFormat="1">
      <c r="I74" s="15"/>
    </row>
    <row r="75" spans="9:9" s="10" customFormat="1">
      <c r="I75" s="15"/>
    </row>
    <row r="76" spans="9:9" s="10" customFormat="1">
      <c r="I76" s="15"/>
    </row>
    <row r="77" spans="9:9" s="10" customFormat="1">
      <c r="I77" s="15"/>
    </row>
    <row r="78" spans="9:9" s="10" customFormat="1">
      <c r="I78" s="15"/>
    </row>
    <row r="79" spans="9:9" s="10" customFormat="1">
      <c r="I79" s="15"/>
    </row>
    <row r="80" spans="9:9" s="10" customFormat="1">
      <c r="I80" s="15"/>
    </row>
    <row r="81" spans="9:9" s="10" customFormat="1">
      <c r="I81" s="15"/>
    </row>
    <row r="82" spans="9:9" s="10" customFormat="1">
      <c r="I82" s="15"/>
    </row>
    <row r="83" spans="9:9" s="10" customFormat="1">
      <c r="I83" s="15"/>
    </row>
    <row r="84" spans="9:9" s="10" customFormat="1">
      <c r="I84" s="15"/>
    </row>
    <row r="85" spans="9:9" s="10" customFormat="1">
      <c r="I85" s="15"/>
    </row>
    <row r="86" spans="9:9" s="10" customFormat="1">
      <c r="I86" s="15"/>
    </row>
    <row r="87" spans="9:9" s="10" customFormat="1">
      <c r="I87" s="15"/>
    </row>
    <row r="88" spans="9:9" s="10" customFormat="1">
      <c r="I88" s="15"/>
    </row>
    <row r="89" spans="9:9" s="10" customFormat="1">
      <c r="I89" s="15"/>
    </row>
    <row r="90" spans="9:9" s="10" customFormat="1">
      <c r="I90" s="15"/>
    </row>
    <row r="91" spans="9:9" s="10" customFormat="1">
      <c r="I91" s="15"/>
    </row>
    <row r="92" spans="9:9" s="10" customFormat="1">
      <c r="I92" s="15"/>
    </row>
    <row r="93" spans="9:9" s="10" customFormat="1">
      <c r="I93" s="15"/>
    </row>
    <row r="94" spans="9:9" s="10" customFormat="1">
      <c r="I94" s="15"/>
    </row>
    <row r="95" spans="9:9" s="10" customFormat="1">
      <c r="I95" s="15"/>
    </row>
    <row r="96" spans="9:9" s="10" customFormat="1">
      <c r="I96" s="15"/>
    </row>
    <row r="97" spans="9:9" s="10" customFormat="1">
      <c r="I97" s="15"/>
    </row>
    <row r="98" spans="9:9" s="10" customFormat="1">
      <c r="I98" s="15"/>
    </row>
    <row r="99" spans="9:9" s="10" customFormat="1">
      <c r="I99" s="15"/>
    </row>
    <row r="100" spans="9:9" s="10" customFormat="1">
      <c r="I100" s="15"/>
    </row>
    <row r="101" spans="9:9" s="10" customFormat="1">
      <c r="I101" s="15"/>
    </row>
    <row r="102" spans="9:9" s="10" customFormat="1">
      <c r="I102" s="15"/>
    </row>
    <row r="103" spans="9:9" s="10" customFormat="1">
      <c r="I103" s="15"/>
    </row>
    <row r="104" spans="9:9" s="10" customFormat="1">
      <c r="I104" s="15"/>
    </row>
    <row r="105" spans="9:9" s="10" customFormat="1">
      <c r="I105" s="15"/>
    </row>
    <row r="106" spans="9:9" s="10" customFormat="1">
      <c r="I106" s="15"/>
    </row>
    <row r="107" spans="9:9" s="10" customFormat="1">
      <c r="I107" s="15"/>
    </row>
    <row r="108" spans="9:9" s="10" customFormat="1">
      <c r="I108" s="15"/>
    </row>
    <row r="109" spans="9:9" s="10" customFormat="1">
      <c r="I109" s="15"/>
    </row>
    <row r="110" spans="9:9" s="10" customFormat="1">
      <c r="I110" s="15"/>
    </row>
    <row r="111" spans="9:9" s="10" customFormat="1">
      <c r="I111" s="15"/>
    </row>
    <row r="112" spans="9:9" s="10" customFormat="1">
      <c r="I112" s="15"/>
    </row>
    <row r="113" spans="9:9" s="10" customFormat="1">
      <c r="I113" s="15"/>
    </row>
    <row r="114" spans="9:9" s="10" customFormat="1">
      <c r="I114" s="15"/>
    </row>
    <row r="115" spans="9:9" s="10" customFormat="1">
      <c r="I115" s="15"/>
    </row>
    <row r="116" spans="9:9" s="10" customFormat="1">
      <c r="I116" s="15"/>
    </row>
    <row r="117" spans="9:9" s="10" customFormat="1">
      <c r="I117" s="15"/>
    </row>
    <row r="118" spans="9:9" s="10" customFormat="1">
      <c r="I118" s="15"/>
    </row>
    <row r="119" spans="9:9" s="10" customFormat="1">
      <c r="I119" s="15"/>
    </row>
    <row r="120" spans="9:9" s="10" customFormat="1">
      <c r="I120" s="15"/>
    </row>
    <row r="121" spans="9:9" s="10" customFormat="1">
      <c r="I121" s="15"/>
    </row>
    <row r="122" spans="9:9" s="10" customFormat="1">
      <c r="I122" s="15"/>
    </row>
    <row r="123" spans="9:9" s="10" customFormat="1">
      <c r="I123" s="15"/>
    </row>
    <row r="124" spans="9:9" s="10" customFormat="1">
      <c r="I124" s="15"/>
    </row>
    <row r="125" spans="9:9" s="10" customFormat="1">
      <c r="I125" s="15"/>
    </row>
    <row r="126" spans="9:9" s="10" customFormat="1">
      <c r="I126" s="15"/>
    </row>
    <row r="127" spans="9:9" s="10" customFormat="1">
      <c r="I127" s="15"/>
    </row>
    <row r="128" spans="9:9" s="10" customFormat="1">
      <c r="I128" s="15"/>
    </row>
    <row r="129" spans="9:9" s="10" customFormat="1">
      <c r="I129" s="15"/>
    </row>
    <row r="130" spans="9:9" s="10" customFormat="1">
      <c r="I130" s="15"/>
    </row>
    <row r="131" spans="9:9" s="10" customFormat="1">
      <c r="I131" s="15"/>
    </row>
    <row r="132" spans="9:9" s="10" customFormat="1">
      <c r="I132" s="15"/>
    </row>
    <row r="133" spans="9:9" s="10" customFormat="1">
      <c r="I133" s="15"/>
    </row>
    <row r="134" spans="9:9" s="10" customFormat="1">
      <c r="I134" s="15"/>
    </row>
    <row r="135" spans="9:9" s="10" customFormat="1">
      <c r="I135" s="15"/>
    </row>
    <row r="136" spans="9:9" s="10" customFormat="1">
      <c r="I136" s="15"/>
    </row>
    <row r="137" spans="9:9" s="10" customFormat="1">
      <c r="I137" s="15"/>
    </row>
    <row r="138" spans="9:9" s="10" customFormat="1">
      <c r="I138" s="15"/>
    </row>
    <row r="139" spans="9:9" s="10" customFormat="1">
      <c r="I139" s="15"/>
    </row>
    <row r="140" spans="9:9" s="10" customFormat="1">
      <c r="I140" s="15"/>
    </row>
    <row r="141" spans="9:9" s="10" customFormat="1">
      <c r="I141" s="15"/>
    </row>
    <row r="142" spans="9:9" s="10" customFormat="1">
      <c r="I142" s="15"/>
    </row>
    <row r="143" spans="9:9" s="10" customFormat="1">
      <c r="I143" s="15"/>
    </row>
    <row r="144" spans="9:9" s="10" customFormat="1">
      <c r="I144" s="15"/>
    </row>
    <row r="145" spans="9:9" s="10" customFormat="1">
      <c r="I145" s="15"/>
    </row>
    <row r="146" spans="9:9" s="10" customFormat="1">
      <c r="I146" s="15"/>
    </row>
    <row r="147" spans="9:9" s="10" customFormat="1">
      <c r="I147" s="15"/>
    </row>
    <row r="148" spans="9:9" s="10" customFormat="1">
      <c r="I148" s="15"/>
    </row>
    <row r="149" spans="9:9" s="10" customFormat="1">
      <c r="I149" s="15"/>
    </row>
    <row r="150" spans="9:9" s="10" customFormat="1">
      <c r="I150" s="15"/>
    </row>
    <row r="151" spans="9:9" s="10" customFormat="1">
      <c r="I151" s="15"/>
    </row>
    <row r="152" spans="9:9" s="10" customFormat="1">
      <c r="I152" s="15"/>
    </row>
    <row r="153" spans="9:9" s="10" customFormat="1">
      <c r="I153" s="15"/>
    </row>
    <row r="154" spans="9:9" s="10" customFormat="1">
      <c r="I154" s="15"/>
    </row>
    <row r="155" spans="9:9" s="10" customFormat="1">
      <c r="I155" s="15"/>
    </row>
    <row r="156" spans="9:9" s="10" customFormat="1">
      <c r="I156" s="15"/>
    </row>
    <row r="157" spans="9:9" s="10" customFormat="1">
      <c r="I157" s="15"/>
    </row>
    <row r="158" spans="9:9" s="10" customFormat="1">
      <c r="I158" s="15"/>
    </row>
    <row r="159" spans="9:9" s="10" customFormat="1">
      <c r="I159" s="15"/>
    </row>
    <row r="160" spans="9:9" s="10" customFormat="1">
      <c r="I160" s="15"/>
    </row>
    <row r="161" spans="9:9" s="10" customFormat="1">
      <c r="I161" s="15"/>
    </row>
    <row r="162" spans="9:9" s="10" customFormat="1">
      <c r="I162" s="15"/>
    </row>
    <row r="163" spans="9:9" s="10" customFormat="1">
      <c r="I163" s="15"/>
    </row>
    <row r="164" spans="9:9" s="10" customFormat="1">
      <c r="I164" s="15"/>
    </row>
    <row r="165" spans="9:9" s="10" customFormat="1">
      <c r="I165" s="15"/>
    </row>
    <row r="166" spans="9:9" s="10" customFormat="1">
      <c r="I166" s="15"/>
    </row>
    <row r="167" spans="9:9" s="10" customFormat="1">
      <c r="I167" s="15"/>
    </row>
    <row r="168" spans="9:9" s="10" customFormat="1">
      <c r="I168" s="15"/>
    </row>
    <row r="169" spans="9:9" s="10" customFormat="1">
      <c r="I169" s="15"/>
    </row>
    <row r="170" spans="9:9" s="10" customFormat="1">
      <c r="I170" s="15"/>
    </row>
    <row r="171" spans="9:9" s="10" customFormat="1">
      <c r="I171" s="15"/>
    </row>
    <row r="172" spans="9:9" s="10" customFormat="1">
      <c r="I172" s="15"/>
    </row>
    <row r="173" spans="9:9" s="10" customFormat="1">
      <c r="I173" s="15"/>
    </row>
    <row r="174" spans="9:9" s="10" customFormat="1">
      <c r="I174" s="15"/>
    </row>
    <row r="175" spans="9:9" s="10" customFormat="1">
      <c r="I175" s="15"/>
    </row>
    <row r="176" spans="9:9" s="10" customFormat="1">
      <c r="I176" s="15"/>
    </row>
    <row r="177" spans="9:9" s="10" customFormat="1">
      <c r="I177" s="15"/>
    </row>
    <row r="178" spans="9:9" s="10" customFormat="1">
      <c r="I178" s="15"/>
    </row>
    <row r="179" spans="9:9" s="10" customFormat="1">
      <c r="I179" s="15"/>
    </row>
    <row r="180" spans="9:9" s="10" customFormat="1">
      <c r="I180" s="15"/>
    </row>
    <row r="181" spans="9:9" s="10" customFormat="1">
      <c r="I181" s="15"/>
    </row>
    <row r="182" spans="9:9" s="10" customFormat="1">
      <c r="I182" s="15"/>
    </row>
    <row r="183" spans="9:9" s="10" customFormat="1">
      <c r="I183" s="15"/>
    </row>
    <row r="184" spans="9:9" s="10" customFormat="1">
      <c r="I184" s="15"/>
    </row>
    <row r="185" spans="9:9" s="10" customFormat="1">
      <c r="I185" s="15"/>
    </row>
    <row r="186" spans="9:9" s="10" customFormat="1">
      <c r="I186" s="15"/>
    </row>
    <row r="187" spans="9:9" s="10" customFormat="1">
      <c r="I187" s="15"/>
    </row>
    <row r="188" spans="9:9" s="10" customFormat="1">
      <c r="I188" s="15"/>
    </row>
    <row r="189" spans="9:9" s="10" customFormat="1">
      <c r="I189" s="15"/>
    </row>
    <row r="190" spans="9:9" s="10" customFormat="1">
      <c r="I190" s="15"/>
    </row>
    <row r="191" spans="9:9" s="10" customFormat="1">
      <c r="I191" s="15"/>
    </row>
    <row r="192" spans="9:9" s="10" customFormat="1">
      <c r="I192" s="15"/>
    </row>
    <row r="193" spans="9:9" s="10" customFormat="1">
      <c r="I193" s="15"/>
    </row>
    <row r="194" spans="9:9" s="10" customFormat="1">
      <c r="I194" s="15"/>
    </row>
    <row r="195" spans="9:9" s="10" customFormat="1">
      <c r="I195" s="15"/>
    </row>
    <row r="196" spans="9:9" s="10" customFormat="1">
      <c r="I196" s="15"/>
    </row>
    <row r="197" spans="9:9" s="10" customFormat="1">
      <c r="I197" s="15"/>
    </row>
    <row r="198" spans="9:9" s="10" customFormat="1">
      <c r="I198" s="15"/>
    </row>
    <row r="199" spans="9:9" s="10" customFormat="1">
      <c r="I199" s="15"/>
    </row>
    <row r="200" spans="9:9" s="10" customFormat="1">
      <c r="I200" s="15"/>
    </row>
    <row r="201" spans="9:9" s="10" customFormat="1">
      <c r="I201" s="15"/>
    </row>
    <row r="202" spans="9:9" s="10" customFormat="1">
      <c r="I202" s="15"/>
    </row>
    <row r="203" spans="9:9" s="10" customFormat="1">
      <c r="I203" s="15"/>
    </row>
    <row r="204" spans="9:9" s="10" customFormat="1">
      <c r="I204" s="15"/>
    </row>
    <row r="205" spans="9:9" s="10" customFormat="1">
      <c r="I205" s="15"/>
    </row>
    <row r="206" spans="9:9" s="10" customFormat="1">
      <c r="I206" s="15"/>
    </row>
    <row r="207" spans="9:9" s="10" customFormat="1">
      <c r="I207" s="15"/>
    </row>
    <row r="208" spans="9:9" s="10" customFormat="1">
      <c r="I208" s="15"/>
    </row>
    <row r="209" spans="9:9" s="10" customFormat="1">
      <c r="I209" s="15"/>
    </row>
    <row r="210" spans="9:9" s="10" customFormat="1">
      <c r="I210" s="15"/>
    </row>
  </sheetData>
  <sheetProtection formatColumns="0" formatRows="0" insertRows="0"/>
  <mergeCells count="28">
    <mergeCell ref="C2:H2"/>
    <mergeCell ref="C9:H9"/>
    <mergeCell ref="C21:H21"/>
    <mergeCell ref="C3:H3"/>
    <mergeCell ref="C4:H4"/>
    <mergeCell ref="C18:G18"/>
    <mergeCell ref="C11:G11"/>
    <mergeCell ref="C6:G6"/>
    <mergeCell ref="C7:G7"/>
    <mergeCell ref="C16:G16"/>
    <mergeCell ref="C5:G5"/>
    <mergeCell ref="C10:G10"/>
    <mergeCell ref="I12:I18"/>
    <mergeCell ref="C30:H30"/>
    <mergeCell ref="C12:G12"/>
    <mergeCell ref="C13:G13"/>
    <mergeCell ref="C14:G14"/>
    <mergeCell ref="C28:H28"/>
    <mergeCell ref="C29:H29"/>
    <mergeCell ref="C15:G15"/>
    <mergeCell ref="C22:G22"/>
    <mergeCell ref="A14:A17"/>
    <mergeCell ref="A23:A25"/>
    <mergeCell ref="B23:B25"/>
    <mergeCell ref="C25:G25"/>
    <mergeCell ref="C23:G23"/>
    <mergeCell ref="C24:G24"/>
    <mergeCell ref="C17:G17"/>
  </mergeCells>
  <phoneticPr fontId="3" type="noConversion"/>
  <conditionalFormatting sqref="H6:H7">
    <cfRule type="expression" dxfId="98" priority="7">
      <formula>$H$5=TRUE</formula>
    </cfRule>
  </conditionalFormatting>
  <conditionalFormatting sqref="H12:H16">
    <cfRule type="expression" dxfId="97" priority="6">
      <formula>$H$10=TRUE</formula>
    </cfRule>
  </conditionalFormatting>
  <conditionalFormatting sqref="H18">
    <cfRule type="expression" dxfId="96" priority="5">
      <formula>$H$10=TRUE</formula>
    </cfRule>
  </conditionalFormatting>
  <conditionalFormatting sqref="H23:H24">
    <cfRule type="expression" dxfId="95" priority="4">
      <formula>$H$22=TRUE</formula>
    </cfRule>
  </conditionalFormatting>
  <conditionalFormatting sqref="I6:I7">
    <cfRule type="expression" dxfId="94" priority="3">
      <formula>$I6=template_label_missing_value</formula>
    </cfRule>
    <cfRule type="expression" dxfId="93" priority="25">
      <formula>$I6=template_label_ok</formula>
    </cfRule>
  </conditionalFormatting>
  <conditionalFormatting sqref="I12:I18">
    <cfRule type="expression" dxfId="92" priority="1">
      <formula>$I$12=template_label_missing_value</formula>
    </cfRule>
    <cfRule type="expression" dxfId="91" priority="11">
      <formula>$I$12=template_label_value_inconsistency</formula>
    </cfRule>
    <cfRule type="expression" dxfId="90" priority="12">
      <formula>$I$12=template_label_ok</formula>
    </cfRule>
  </conditionalFormatting>
  <conditionalFormatting sqref="I22:I24">
    <cfRule type="expression" dxfId="89" priority="17">
      <formula>$I22=template_label_ok</formula>
    </cfRule>
  </conditionalFormatting>
  <conditionalFormatting sqref="I23:I24">
    <cfRule type="expression" dxfId="88" priority="2">
      <formula>$I23=template_label_missing_value</formula>
    </cfRule>
  </conditionalFormatting>
  <conditionalFormatting sqref="I30">
    <cfRule type="expression" dxfId="87" priority="10">
      <formula>$I$30=template_label_ok</formula>
    </cfRule>
  </conditionalFormatting>
  <dataValidations count="6">
    <dataValidation type="decimal" operator="equal" allowBlank="1" showInputMessage="1" showErrorMessage="1" sqref="H7" xr:uid="{6F872197-207D-42B9-A398-224136E9C3BE}">
      <formula1>H7</formula1>
    </dataValidation>
    <dataValidation type="whole" operator="equal" allowBlank="1" showInputMessage="1" showErrorMessage="1" sqref="H6 H23:H24" xr:uid="{BDA32504-9D53-471A-AB25-BD511E13155A}">
      <formula1>H6</formula1>
    </dataValidation>
    <dataValidation allowBlank="1" showInputMessage="1" showErrorMessage="1" promptTitle="Board gender diversity ratio" prompt="number of female board members / number of male board members" sqref="C25:G25" xr:uid="{13819AD4-B21A-4575-89EF-B9AD3B7EB561}"/>
    <dataValidation type="custom" showInputMessage="1" showErrorMessage="1" sqref="H11" xr:uid="{8A01336C-2998-40B9-9A10-C1CACA56A005}">
      <formula1>IF(H16=TRUE, FALSE, TRUE)</formula1>
    </dataValidation>
    <dataValidation type="custom" showInputMessage="1" showErrorMessage="1" sqref="H5 H10 H22" xr:uid="{5251F65C-302B-430B-9A74-3504B0782C15}">
      <formula1>OR(H5=TRUE,H5=FALSE)</formula1>
    </dataValidation>
    <dataValidation type="custom" allowBlank="1" showInputMessage="1" showErrorMessage="1" sqref="H25" xr:uid="{E5944E2C-49E3-4DA6-B2BA-149B494EA43B}">
      <formula1>IF(AND(H23&lt;&gt;"",H24&lt;&gt;""),IF(OR(H23=0,H24=0),0,H23/H24),"-")</formula1>
    </dataValidation>
  </dataValidations>
  <hyperlinks>
    <hyperlink ref="C3:H3" r:id="rId1" display="https://knowledgehub.efrag.org/eng/interactive/voluntary-standard/standard-for-voluntary-use/da/43" xr:uid="{5C273843-B5E6-42DB-9670-7C6BB42A5F73}"/>
    <hyperlink ref="A12" r:id="rId2" xr:uid="{C615F7D8-42B9-4D7A-AB63-8A75DF01EBEB}"/>
    <hyperlink ref="A13" r:id="rId3" xr:uid="{798A25F5-A749-4655-90C2-2185BFE0067E}"/>
    <hyperlink ref="A14" r:id="rId4" xr:uid="{770F93F1-F6E8-4E9E-BAA7-5C9ABF6B4B01}"/>
    <hyperlink ref="A18" r:id="rId5" xr:uid="{A051D2F5-FDD0-4ECB-B06B-593D1E9E6D4E}"/>
    <hyperlink ref="A23:A25" r:id="rId6" display="https://knowledgehub.efrag.org/eng/interactive/voluntary-standard/standard-for-voluntary-use/da/64" xr:uid="{32BF398F-D410-49C5-9061-5F351D87144D}"/>
    <hyperlink ref="C29:H29" r:id="rId7" display="https://knowledgehub.efrag.org/eng/interactive/voluntary-standard/standard-for-voluntary-use/da/12" xr:uid="{5C9FBD30-6F73-4646-888D-328CDB80F4BE}"/>
  </hyperlinks>
  <pageMargins left="0.7" right="0.7" top="0.75" bottom="0.75" header="0.3" footer="0.3"/>
  <drawing r:id="rId8"/>
  <extLs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Information'!$E$279</xm:f>
          </x14:formula1>
          <xm:sqref>H17</xm:sqref>
        </x14:dataValidation>
        <x14:dataValidation type="custom" showInputMessage="1" showErrorMessage="1" xr:uid="{F6328591-2F0B-4688-A58B-FE2019B26C27}">
          <x14:formula1>
            <xm:f>($H$12+$H$13+$H$14+$H$15+$H$16+$H$18)&lt;='General Information'!$E$279</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3510-1707-4513-9F6C-140BFDB8876A}">
  <dimension ref="A1:Q1525"/>
  <sheetViews>
    <sheetView zoomScaleNormal="100" workbookViewId="0"/>
  </sheetViews>
  <sheetFormatPr defaultColWidth="8.88671875" defaultRowHeight="14.4" outlineLevelRow="2" outlineLevelCol="1"/>
  <cols>
    <col min="1" max="1" width="6.44140625" style="10" bestFit="1" customWidth="1"/>
    <col min="2" max="2" width="93.88671875" style="10" customWidth="1"/>
    <col min="3" max="3" width="38.44140625" style="10" hidden="1" customWidth="1" outlineLevel="1"/>
    <col min="4" max="4" width="86.88671875" style="10" customWidth="1" collapsed="1"/>
    <col min="5" max="8" width="8.88671875" style="10"/>
    <col min="9" max="17" width="8.88671875" style="10" customWidth="1"/>
    <col min="18" max="16384" width="8.88671875" style="10"/>
  </cols>
  <sheetData>
    <row r="1" spans="2:17" ht="37.35" customHeight="1">
      <c r="B1" s="1169" t="str">
        <f>template_label_footnote_instructions</f>
        <v>If you need to add footnotes for the converted VS Digital Template, please select the disclosures in column E and write the related footnote in column C.</v>
      </c>
      <c r="C1" s="1170"/>
      <c r="D1" s="1171"/>
      <c r="E1" s="514"/>
      <c r="F1" s="514"/>
      <c r="G1" s="514"/>
      <c r="H1" s="514"/>
      <c r="I1" s="514"/>
      <c r="J1" s="514"/>
      <c r="K1" s="514"/>
      <c r="L1" s="514"/>
      <c r="M1" s="514"/>
      <c r="N1" s="514"/>
      <c r="O1" s="514"/>
      <c r="P1" s="514"/>
      <c r="Q1" s="514"/>
    </row>
    <row r="2" spans="2:17" ht="19.350000000000001" customHeight="1" thickBot="1">
      <c r="B2" s="1172" t="str">
        <f>template_label_buttons_footnotes</f>
        <v>ℹ️ If needed, the expansion buttons of the left can be used to increase the number of rows and associate the same footnote to several disclosures</v>
      </c>
      <c r="C2" s="1173"/>
      <c r="D2" s="1174"/>
      <c r="E2" s="514"/>
      <c r="F2" s="514"/>
      <c r="G2" s="514"/>
      <c r="H2" s="514"/>
      <c r="I2" s="514"/>
      <c r="J2" s="514"/>
      <c r="K2" s="514"/>
      <c r="L2" s="514"/>
      <c r="M2" s="514"/>
      <c r="N2" s="514"/>
      <c r="O2" s="514"/>
      <c r="P2" s="514"/>
      <c r="Q2" s="514"/>
    </row>
    <row r="3" spans="2:17" ht="15" thickBot="1">
      <c r="B3" s="513" t="str">
        <f>template_label_footnote_text</f>
        <v>Footnote text</v>
      </c>
      <c r="C3" s="513" t="str">
        <f>template_footnote_technical_name</f>
        <v>Dimension (technical name)</v>
      </c>
      <c r="D3" s="513" t="str">
        <f>template_label_disclosure_selection</f>
        <v>Cell to which footnote is associated</v>
      </c>
    </row>
    <row r="4" spans="2:17">
      <c r="B4" s="1177"/>
      <c r="C4" s="536"/>
      <c r="D4" s="537"/>
      <c r="E4" s="1175"/>
      <c r="F4" s="1176"/>
      <c r="G4" s="1176"/>
      <c r="H4" s="1176"/>
      <c r="I4" s="1176"/>
      <c r="J4" s="1176"/>
      <c r="K4" s="1176"/>
      <c r="L4" s="1176"/>
      <c r="M4" s="1176"/>
      <c r="N4" s="1176"/>
      <c r="O4" s="1176"/>
      <c r="P4" s="1176"/>
      <c r="Q4" s="1176"/>
    </row>
    <row r="5" spans="2:17" hidden="1" outlineLevel="1">
      <c r="B5" s="1177"/>
      <c r="C5" s="536"/>
      <c r="D5" s="537"/>
      <c r="E5" s="1175"/>
      <c r="F5" s="1176"/>
      <c r="G5" s="1176"/>
      <c r="H5" s="1176"/>
      <c r="I5" s="1176"/>
      <c r="J5" s="1176"/>
      <c r="K5" s="1176"/>
      <c r="L5" s="1176"/>
      <c r="M5" s="1176"/>
      <c r="N5" s="1176"/>
      <c r="O5" s="1176"/>
      <c r="P5" s="1176"/>
      <c r="Q5" s="1176"/>
    </row>
    <row r="6" spans="2:17" hidden="1" outlineLevel="1">
      <c r="B6" s="1177"/>
      <c r="C6" s="536"/>
      <c r="D6" s="537"/>
      <c r="E6" s="1175"/>
      <c r="F6" s="1176"/>
      <c r="G6" s="1176"/>
      <c r="H6" s="1176"/>
      <c r="I6" s="1176"/>
      <c r="J6" s="1176"/>
      <c r="K6" s="1176"/>
      <c r="L6" s="1176"/>
      <c r="M6" s="1176"/>
      <c r="N6" s="1176"/>
      <c r="O6" s="1176"/>
      <c r="P6" s="1176"/>
      <c r="Q6" s="1176"/>
    </row>
    <row r="7" spans="2:17" hidden="1" outlineLevel="1">
      <c r="B7" s="1177"/>
      <c r="C7" s="536"/>
      <c r="D7" s="537"/>
      <c r="E7" s="1175"/>
      <c r="F7" s="1176"/>
      <c r="G7" s="1176"/>
      <c r="H7" s="1176"/>
      <c r="I7" s="1176"/>
      <c r="J7" s="1176"/>
      <c r="K7" s="1176"/>
      <c r="L7" s="1176"/>
      <c r="M7" s="1176"/>
      <c r="N7" s="1176"/>
      <c r="O7" s="1176"/>
      <c r="P7" s="1176"/>
      <c r="Q7" s="1176"/>
    </row>
    <row r="8" spans="2:17" hidden="1" outlineLevel="1">
      <c r="B8" s="1177"/>
      <c r="C8" s="536"/>
      <c r="D8" s="537"/>
      <c r="E8" s="1175"/>
      <c r="F8" s="1176"/>
      <c r="G8" s="1176"/>
      <c r="H8" s="1176"/>
      <c r="I8" s="1176"/>
      <c r="J8" s="1176"/>
      <c r="K8" s="1176"/>
      <c r="L8" s="1176"/>
      <c r="M8" s="1176"/>
      <c r="N8" s="1176"/>
      <c r="O8" s="1176"/>
      <c r="P8" s="1176"/>
      <c r="Q8" s="1176"/>
    </row>
    <row r="9" spans="2:17" hidden="1" outlineLevel="1">
      <c r="B9" s="1177"/>
      <c r="C9" s="536"/>
      <c r="D9" s="537"/>
      <c r="E9" s="1175"/>
      <c r="F9" s="1176"/>
      <c r="G9" s="1176"/>
      <c r="H9" s="1176"/>
      <c r="I9" s="1176"/>
      <c r="J9" s="1176"/>
      <c r="K9" s="1176"/>
      <c r="L9" s="1176"/>
      <c r="M9" s="1176"/>
      <c r="N9" s="1176"/>
      <c r="O9" s="1176"/>
      <c r="P9" s="1176"/>
      <c r="Q9" s="1176"/>
    </row>
    <row r="10" spans="2:17" hidden="1" outlineLevel="1">
      <c r="B10" s="1177"/>
      <c r="C10" s="536"/>
      <c r="D10" s="537"/>
      <c r="E10" s="1175"/>
      <c r="F10" s="1176"/>
      <c r="G10" s="1176"/>
      <c r="H10" s="1176"/>
      <c r="I10" s="1176"/>
      <c r="J10" s="1176"/>
      <c r="K10" s="1176"/>
      <c r="L10" s="1176"/>
      <c r="M10" s="1176"/>
      <c r="N10" s="1176"/>
      <c r="O10" s="1176"/>
      <c r="P10" s="1176"/>
      <c r="Q10" s="1176"/>
    </row>
    <row r="11" spans="2:17" hidden="1" outlineLevel="1">
      <c r="B11" s="1177"/>
      <c r="C11" s="536"/>
      <c r="D11" s="537"/>
      <c r="E11" s="1175"/>
      <c r="F11" s="1176"/>
      <c r="G11" s="1176"/>
      <c r="H11" s="1176"/>
      <c r="I11" s="1176"/>
      <c r="J11" s="1176"/>
      <c r="K11" s="1176"/>
      <c r="L11" s="1176"/>
      <c r="M11" s="1176"/>
      <c r="N11" s="1176"/>
      <c r="O11" s="1176"/>
      <c r="P11" s="1176"/>
      <c r="Q11" s="1176"/>
    </row>
    <row r="12" spans="2:17" hidden="1" outlineLevel="1">
      <c r="B12" s="1177"/>
      <c r="C12" s="536"/>
      <c r="D12" s="537"/>
      <c r="E12" s="1175"/>
      <c r="F12" s="1176"/>
      <c r="G12" s="1176"/>
      <c r="H12" s="1176"/>
      <c r="I12" s="1176"/>
      <c r="J12" s="1176"/>
      <c r="K12" s="1176"/>
      <c r="L12" s="1176"/>
      <c r="M12" s="1176"/>
      <c r="N12" s="1176"/>
      <c r="O12" s="1176"/>
      <c r="P12" s="1176"/>
      <c r="Q12" s="1176"/>
    </row>
    <row r="13" spans="2:17" hidden="1" outlineLevel="1">
      <c r="B13" s="1177"/>
      <c r="C13" s="536"/>
      <c r="D13" s="537"/>
      <c r="E13" s="1175"/>
      <c r="F13" s="1176"/>
      <c r="G13" s="1176"/>
      <c r="H13" s="1176"/>
      <c r="I13" s="1176"/>
      <c r="J13" s="1176"/>
      <c r="K13" s="1176"/>
      <c r="L13" s="1176"/>
      <c r="M13" s="1176"/>
      <c r="N13" s="1176"/>
      <c r="O13" s="1176"/>
      <c r="P13" s="1176"/>
      <c r="Q13" s="1176"/>
    </row>
    <row r="14" spans="2:17" collapsed="1">
      <c r="B14" s="1177"/>
      <c r="C14" s="536"/>
      <c r="D14" s="537"/>
    </row>
    <row r="15" spans="2:17" hidden="1" outlineLevel="1">
      <c r="B15" s="1177"/>
      <c r="C15" s="536"/>
      <c r="D15" s="537"/>
    </row>
    <row r="16" spans="2:17" hidden="1" outlineLevel="1">
      <c r="B16" s="1177"/>
      <c r="C16" s="536"/>
      <c r="D16" s="537"/>
    </row>
    <row r="17" spans="2:4" hidden="1" outlineLevel="1">
      <c r="B17" s="1177"/>
      <c r="C17" s="536"/>
      <c r="D17" s="537"/>
    </row>
    <row r="18" spans="2:4" hidden="1" outlineLevel="1">
      <c r="B18" s="1177"/>
      <c r="C18" s="536"/>
      <c r="D18" s="537"/>
    </row>
    <row r="19" spans="2:4" hidden="1" outlineLevel="1">
      <c r="B19" s="1177"/>
      <c r="C19" s="536"/>
      <c r="D19" s="537"/>
    </row>
    <row r="20" spans="2:4" hidden="1" outlineLevel="1">
      <c r="B20" s="1177"/>
      <c r="C20" s="536"/>
      <c r="D20" s="537"/>
    </row>
    <row r="21" spans="2:4" hidden="1" outlineLevel="1">
      <c r="B21" s="1177"/>
      <c r="C21" s="536"/>
      <c r="D21" s="537"/>
    </row>
    <row r="22" spans="2:4" hidden="1" outlineLevel="1">
      <c r="B22" s="1177"/>
      <c r="C22" s="536"/>
      <c r="D22" s="537"/>
    </row>
    <row r="23" spans="2:4" hidden="1" outlineLevel="1">
      <c r="B23" s="1177"/>
      <c r="C23" s="536"/>
      <c r="D23" s="537"/>
    </row>
    <row r="24" spans="2:4" collapsed="1">
      <c r="B24" s="1177"/>
      <c r="C24" s="536"/>
      <c r="D24" s="537"/>
    </row>
    <row r="25" spans="2:4" hidden="1" outlineLevel="1">
      <c r="B25" s="1177"/>
      <c r="C25" s="536"/>
      <c r="D25" s="537"/>
    </row>
    <row r="26" spans="2:4" hidden="1" outlineLevel="1">
      <c r="B26" s="1177"/>
      <c r="C26" s="536"/>
      <c r="D26" s="537"/>
    </row>
    <row r="27" spans="2:4" hidden="1" outlineLevel="1">
      <c r="B27" s="1177"/>
      <c r="C27" s="536"/>
      <c r="D27" s="537"/>
    </row>
    <row r="28" spans="2:4" hidden="1" outlineLevel="1">
      <c r="B28" s="1177"/>
      <c r="C28" s="536"/>
      <c r="D28" s="537"/>
    </row>
    <row r="29" spans="2:4" hidden="1" outlineLevel="1">
      <c r="B29" s="1177"/>
      <c r="C29" s="536"/>
      <c r="D29" s="537"/>
    </row>
    <row r="30" spans="2:4" hidden="1" outlineLevel="1">
      <c r="B30" s="1177"/>
      <c r="C30" s="536"/>
      <c r="D30" s="537"/>
    </row>
    <row r="31" spans="2:4" hidden="1" outlineLevel="1">
      <c r="B31" s="1177"/>
      <c r="C31" s="536"/>
      <c r="D31" s="537"/>
    </row>
    <row r="32" spans="2:4" hidden="1" outlineLevel="1">
      <c r="B32" s="1177"/>
      <c r="C32" s="536"/>
      <c r="D32" s="537"/>
    </row>
    <row r="33" spans="2:4" hidden="1" outlineLevel="1">
      <c r="B33" s="1177"/>
      <c r="C33" s="536"/>
      <c r="D33" s="537"/>
    </row>
    <row r="34" spans="2:4" collapsed="1">
      <c r="B34" s="1177"/>
      <c r="C34" s="536"/>
      <c r="D34" s="537"/>
    </row>
    <row r="35" spans="2:4" hidden="1" outlineLevel="1">
      <c r="B35" s="1177"/>
      <c r="C35" s="536"/>
      <c r="D35" s="537"/>
    </row>
    <row r="36" spans="2:4" hidden="1" outlineLevel="1">
      <c r="B36" s="1177"/>
      <c r="C36" s="536"/>
      <c r="D36" s="537"/>
    </row>
    <row r="37" spans="2:4" hidden="1" outlineLevel="1">
      <c r="B37" s="1177"/>
      <c r="C37" s="536"/>
      <c r="D37" s="537"/>
    </row>
    <row r="38" spans="2:4" hidden="1" outlineLevel="1">
      <c r="B38" s="1177"/>
      <c r="C38" s="536"/>
      <c r="D38" s="537"/>
    </row>
    <row r="39" spans="2:4" hidden="1" outlineLevel="1">
      <c r="B39" s="1177"/>
      <c r="C39" s="536"/>
      <c r="D39" s="537"/>
    </row>
    <row r="40" spans="2:4" hidden="1" outlineLevel="1">
      <c r="B40" s="1177"/>
      <c r="C40" s="536"/>
      <c r="D40" s="537"/>
    </row>
    <row r="41" spans="2:4" hidden="1" outlineLevel="1">
      <c r="B41" s="1177"/>
      <c r="C41" s="536"/>
      <c r="D41" s="537"/>
    </row>
    <row r="42" spans="2:4" hidden="1" outlineLevel="1">
      <c r="B42" s="1177"/>
      <c r="C42" s="536"/>
      <c r="D42" s="537"/>
    </row>
    <row r="43" spans="2:4" hidden="1" outlineLevel="1">
      <c r="B43" s="1177"/>
      <c r="C43" s="536"/>
      <c r="D43" s="537"/>
    </row>
    <row r="44" spans="2:4" collapsed="1">
      <c r="B44" s="1177"/>
      <c r="C44" s="536"/>
      <c r="D44" s="537"/>
    </row>
    <row r="45" spans="2:4" hidden="1" outlineLevel="1">
      <c r="B45" s="1177"/>
      <c r="C45" s="536"/>
      <c r="D45" s="537"/>
    </row>
    <row r="46" spans="2:4" hidden="1" outlineLevel="1">
      <c r="B46" s="1177"/>
      <c r="C46" s="536"/>
      <c r="D46" s="537"/>
    </row>
    <row r="47" spans="2:4" hidden="1" outlineLevel="1">
      <c r="B47" s="1177"/>
      <c r="C47" s="536"/>
      <c r="D47" s="537"/>
    </row>
    <row r="48" spans="2:4" hidden="1" outlineLevel="1">
      <c r="B48" s="1177"/>
      <c r="C48" s="536"/>
      <c r="D48" s="537"/>
    </row>
    <row r="49" spans="2:4" hidden="1" outlineLevel="1">
      <c r="B49" s="1177"/>
      <c r="C49" s="536"/>
      <c r="D49" s="537"/>
    </row>
    <row r="50" spans="2:4" hidden="1" outlineLevel="1">
      <c r="B50" s="1177"/>
      <c r="C50" s="536"/>
      <c r="D50" s="537"/>
    </row>
    <row r="51" spans="2:4" hidden="1" outlineLevel="1">
      <c r="B51" s="1177"/>
      <c r="C51" s="536"/>
      <c r="D51" s="537"/>
    </row>
    <row r="52" spans="2:4" hidden="1" outlineLevel="1">
      <c r="B52" s="1177"/>
      <c r="C52" s="536"/>
      <c r="D52" s="537"/>
    </row>
    <row r="53" spans="2:4" hidden="1" outlineLevel="1">
      <c r="B53" s="1177"/>
      <c r="C53" s="536"/>
      <c r="D53" s="537"/>
    </row>
    <row r="54" spans="2:4" collapsed="1">
      <c r="B54" s="1177"/>
      <c r="C54" s="536"/>
      <c r="D54" s="537"/>
    </row>
    <row r="55" spans="2:4" hidden="1" outlineLevel="1">
      <c r="B55" s="1177"/>
      <c r="C55" s="536"/>
      <c r="D55" s="537"/>
    </row>
    <row r="56" spans="2:4" hidden="1" outlineLevel="1">
      <c r="B56" s="1177"/>
      <c r="C56" s="536"/>
      <c r="D56" s="537"/>
    </row>
    <row r="57" spans="2:4" hidden="1" outlineLevel="1">
      <c r="B57" s="1177"/>
      <c r="C57" s="536"/>
      <c r="D57" s="537"/>
    </row>
    <row r="58" spans="2:4" hidden="1" outlineLevel="1">
      <c r="B58" s="1177"/>
      <c r="C58" s="536"/>
      <c r="D58" s="537"/>
    </row>
    <row r="59" spans="2:4" hidden="1" outlineLevel="1">
      <c r="B59" s="1177"/>
      <c r="C59" s="536"/>
      <c r="D59" s="537"/>
    </row>
    <row r="60" spans="2:4" hidden="1" outlineLevel="1">
      <c r="B60" s="1177"/>
      <c r="C60" s="536"/>
      <c r="D60" s="537"/>
    </row>
    <row r="61" spans="2:4" hidden="1" outlineLevel="1">
      <c r="B61" s="1177"/>
      <c r="C61" s="536"/>
      <c r="D61" s="537"/>
    </row>
    <row r="62" spans="2:4" hidden="1" outlineLevel="1">
      <c r="B62" s="1177"/>
      <c r="C62" s="536"/>
      <c r="D62" s="537"/>
    </row>
    <row r="63" spans="2:4" hidden="1" outlineLevel="1">
      <c r="B63" s="1177"/>
      <c r="C63" s="536"/>
      <c r="D63" s="537"/>
    </row>
    <row r="64" spans="2:4" collapsed="1">
      <c r="B64" s="1177"/>
      <c r="C64" s="536"/>
      <c r="D64" s="537"/>
    </row>
    <row r="65" spans="2:4" hidden="1" outlineLevel="1">
      <c r="B65" s="1177"/>
      <c r="C65" s="536"/>
      <c r="D65" s="537"/>
    </row>
    <row r="66" spans="2:4" hidden="1" outlineLevel="1">
      <c r="B66" s="1177"/>
      <c r="C66" s="536"/>
      <c r="D66" s="537"/>
    </row>
    <row r="67" spans="2:4" hidden="1" outlineLevel="1">
      <c r="B67" s="1177"/>
      <c r="C67" s="536"/>
      <c r="D67" s="537"/>
    </row>
    <row r="68" spans="2:4" hidden="1" outlineLevel="1">
      <c r="B68" s="1177"/>
      <c r="C68" s="536"/>
      <c r="D68" s="537"/>
    </row>
    <row r="69" spans="2:4" hidden="1" outlineLevel="1">
      <c r="B69" s="1177"/>
      <c r="C69" s="536"/>
      <c r="D69" s="537"/>
    </row>
    <row r="70" spans="2:4" hidden="1" outlineLevel="1">
      <c r="B70" s="1177"/>
      <c r="C70" s="536"/>
      <c r="D70" s="537"/>
    </row>
    <row r="71" spans="2:4" hidden="1" outlineLevel="1">
      <c r="B71" s="1177"/>
      <c r="C71" s="536"/>
      <c r="D71" s="537"/>
    </row>
    <row r="72" spans="2:4" hidden="1" outlineLevel="1">
      <c r="B72" s="1177"/>
      <c r="C72" s="536"/>
      <c r="D72" s="537"/>
    </row>
    <row r="73" spans="2:4" hidden="1" outlineLevel="1">
      <c r="B73" s="1177"/>
      <c r="C73" s="536"/>
      <c r="D73" s="537"/>
    </row>
    <row r="74" spans="2:4" collapsed="1">
      <c r="B74" s="1177"/>
      <c r="C74" s="536"/>
      <c r="D74" s="537"/>
    </row>
    <row r="75" spans="2:4" hidden="1" outlineLevel="1">
      <c r="B75" s="1177"/>
      <c r="C75" s="536"/>
      <c r="D75" s="537"/>
    </row>
    <row r="76" spans="2:4" hidden="1" outlineLevel="1">
      <c r="B76" s="1177"/>
      <c r="C76" s="536"/>
      <c r="D76" s="537"/>
    </row>
    <row r="77" spans="2:4" hidden="1" outlineLevel="1">
      <c r="B77" s="1177"/>
      <c r="C77" s="536"/>
      <c r="D77" s="537"/>
    </row>
    <row r="78" spans="2:4" hidden="1" outlineLevel="1">
      <c r="B78" s="1177"/>
      <c r="C78" s="536"/>
      <c r="D78" s="537"/>
    </row>
    <row r="79" spans="2:4" hidden="1" outlineLevel="1">
      <c r="B79" s="1177"/>
      <c r="C79" s="536"/>
      <c r="D79" s="537"/>
    </row>
    <row r="80" spans="2:4" hidden="1" outlineLevel="1">
      <c r="B80" s="1177"/>
      <c r="C80" s="536"/>
      <c r="D80" s="537"/>
    </row>
    <row r="81" spans="2:4" hidden="1" outlineLevel="1">
      <c r="B81" s="1177"/>
      <c r="C81" s="536"/>
      <c r="D81" s="537"/>
    </row>
    <row r="82" spans="2:4" hidden="1" outlineLevel="1">
      <c r="B82" s="1177"/>
      <c r="C82" s="536"/>
      <c r="D82" s="537"/>
    </row>
    <row r="83" spans="2:4" hidden="1" outlineLevel="1">
      <c r="B83" s="1177"/>
      <c r="C83" s="536"/>
      <c r="D83" s="537"/>
    </row>
    <row r="84" spans="2:4" collapsed="1">
      <c r="B84" s="1177"/>
      <c r="C84" s="536"/>
      <c r="D84" s="537"/>
    </row>
    <row r="85" spans="2:4" hidden="1" outlineLevel="1">
      <c r="B85" s="1177"/>
      <c r="C85" s="536"/>
      <c r="D85" s="537"/>
    </row>
    <row r="86" spans="2:4" hidden="1" outlineLevel="1">
      <c r="B86" s="1177"/>
      <c r="C86" s="536"/>
      <c r="D86" s="537"/>
    </row>
    <row r="87" spans="2:4" hidden="1" outlineLevel="1">
      <c r="B87" s="1177"/>
      <c r="C87" s="536"/>
      <c r="D87" s="537"/>
    </row>
    <row r="88" spans="2:4" hidden="1" outlineLevel="1">
      <c r="B88" s="1177"/>
      <c r="C88" s="536"/>
      <c r="D88" s="537"/>
    </row>
    <row r="89" spans="2:4" hidden="1" outlineLevel="1">
      <c r="B89" s="1177"/>
      <c r="C89" s="536"/>
      <c r="D89" s="537"/>
    </row>
    <row r="90" spans="2:4" hidden="1" outlineLevel="1">
      <c r="B90" s="1177"/>
      <c r="C90" s="536"/>
      <c r="D90" s="537"/>
    </row>
    <row r="91" spans="2:4" hidden="1" outlineLevel="1">
      <c r="B91" s="1177"/>
      <c r="C91" s="536"/>
      <c r="D91" s="537"/>
    </row>
    <row r="92" spans="2:4" hidden="1" outlineLevel="1">
      <c r="B92" s="1177"/>
      <c r="C92" s="536"/>
      <c r="D92" s="537"/>
    </row>
    <row r="93" spans="2:4" hidden="1" outlineLevel="1">
      <c r="B93" s="1177"/>
      <c r="C93" s="536"/>
      <c r="D93" s="537"/>
    </row>
    <row r="94" spans="2:4" ht="15" collapsed="1" thickBot="1">
      <c r="B94" s="1177"/>
      <c r="C94" s="538"/>
      <c r="D94" s="537"/>
    </row>
    <row r="95" spans="2:4" hidden="1" outlineLevel="1">
      <c r="B95" s="1177"/>
      <c r="C95" s="539"/>
      <c r="D95" s="537"/>
    </row>
    <row r="96" spans="2:4" hidden="1" outlineLevel="1">
      <c r="B96" s="1177"/>
      <c r="C96" s="536"/>
      <c r="D96" s="537"/>
    </row>
    <row r="97" spans="2:4" hidden="1" outlineLevel="1">
      <c r="B97" s="1177"/>
      <c r="C97" s="536"/>
      <c r="D97" s="537"/>
    </row>
    <row r="98" spans="2:4" hidden="1" outlineLevel="1">
      <c r="B98" s="1177"/>
      <c r="C98" s="536"/>
      <c r="D98" s="537"/>
    </row>
    <row r="99" spans="2:4" hidden="1" outlineLevel="1">
      <c r="B99" s="1177"/>
      <c r="C99" s="536"/>
      <c r="D99" s="537"/>
    </row>
    <row r="100" spans="2:4" hidden="1" outlineLevel="1">
      <c r="B100" s="1177"/>
      <c r="C100" s="536"/>
      <c r="D100" s="537"/>
    </row>
    <row r="101" spans="2:4" hidden="1" outlineLevel="1">
      <c r="B101" s="1177"/>
      <c r="C101" s="536"/>
      <c r="D101" s="537"/>
    </row>
    <row r="102" spans="2:4" hidden="1" outlineLevel="1">
      <c r="B102" s="1177"/>
      <c r="C102" s="536"/>
      <c r="D102" s="537"/>
    </row>
    <row r="103" spans="2:4" hidden="1" outlineLevel="1">
      <c r="B103" s="1177"/>
      <c r="C103" s="536"/>
      <c r="D103" s="537"/>
    </row>
    <row r="104" spans="2:4" hidden="1" outlineLevel="1" collapsed="1">
      <c r="B104" s="1177"/>
      <c r="C104" s="536"/>
      <c r="D104" s="537"/>
    </row>
    <row r="105" spans="2:4" hidden="1" outlineLevel="2">
      <c r="B105" s="1177"/>
      <c r="C105" s="536"/>
      <c r="D105" s="537"/>
    </row>
    <row r="106" spans="2:4" hidden="1" outlineLevel="2">
      <c r="B106" s="1177"/>
      <c r="C106" s="536"/>
      <c r="D106" s="537"/>
    </row>
    <row r="107" spans="2:4" hidden="1" outlineLevel="2">
      <c r="B107" s="1177"/>
      <c r="C107" s="536"/>
      <c r="D107" s="537"/>
    </row>
    <row r="108" spans="2:4" hidden="1" outlineLevel="2">
      <c r="B108" s="1177"/>
      <c r="C108" s="536"/>
      <c r="D108" s="537"/>
    </row>
    <row r="109" spans="2:4" hidden="1" outlineLevel="2">
      <c r="B109" s="1177"/>
      <c r="C109" s="536"/>
      <c r="D109" s="537"/>
    </row>
    <row r="110" spans="2:4" hidden="1" outlineLevel="2">
      <c r="B110" s="1177"/>
      <c r="C110" s="536"/>
      <c r="D110" s="537"/>
    </row>
    <row r="111" spans="2:4" hidden="1" outlineLevel="2">
      <c r="B111" s="1177"/>
      <c r="C111" s="536"/>
      <c r="D111" s="537"/>
    </row>
    <row r="112" spans="2:4" hidden="1" outlineLevel="2">
      <c r="B112" s="1177"/>
      <c r="C112" s="536"/>
      <c r="D112" s="537"/>
    </row>
    <row r="113" spans="2:4" hidden="1" outlineLevel="2">
      <c r="B113" s="1177"/>
      <c r="C113" s="536"/>
      <c r="D113" s="537"/>
    </row>
    <row r="114" spans="2:4" hidden="1" outlineLevel="1">
      <c r="B114" s="1177"/>
      <c r="C114" s="536"/>
      <c r="D114" s="537"/>
    </row>
    <row r="115" spans="2:4" hidden="1" outlineLevel="2">
      <c r="B115" s="1177"/>
      <c r="C115" s="536"/>
      <c r="D115" s="537"/>
    </row>
    <row r="116" spans="2:4" hidden="1" outlineLevel="2">
      <c r="B116" s="1177"/>
      <c r="C116" s="536"/>
      <c r="D116" s="537"/>
    </row>
    <row r="117" spans="2:4" hidden="1" outlineLevel="2">
      <c r="B117" s="1177"/>
      <c r="C117" s="536"/>
      <c r="D117" s="537"/>
    </row>
    <row r="118" spans="2:4" hidden="1" outlineLevel="2">
      <c r="B118" s="1177"/>
      <c r="C118" s="536"/>
      <c r="D118" s="537"/>
    </row>
    <row r="119" spans="2:4" hidden="1" outlineLevel="2">
      <c r="B119" s="1177"/>
      <c r="C119" s="536"/>
      <c r="D119" s="537"/>
    </row>
    <row r="120" spans="2:4" hidden="1" outlineLevel="2">
      <c r="B120" s="1177"/>
      <c r="C120" s="536"/>
      <c r="D120" s="537"/>
    </row>
    <row r="121" spans="2:4" hidden="1" outlineLevel="2">
      <c r="B121" s="1177"/>
      <c r="C121" s="536"/>
      <c r="D121" s="537"/>
    </row>
    <row r="122" spans="2:4" hidden="1" outlineLevel="2">
      <c r="B122" s="1177"/>
      <c r="C122" s="536"/>
      <c r="D122" s="537"/>
    </row>
    <row r="123" spans="2:4" hidden="1" outlineLevel="2">
      <c r="B123" s="1177"/>
      <c r="C123" s="536"/>
      <c r="D123" s="537"/>
    </row>
    <row r="124" spans="2:4" hidden="1" outlineLevel="1">
      <c r="B124" s="1177"/>
      <c r="C124" s="536"/>
      <c r="D124" s="537"/>
    </row>
    <row r="125" spans="2:4" hidden="1" outlineLevel="2">
      <c r="B125" s="1177"/>
      <c r="C125" s="536"/>
      <c r="D125" s="537"/>
    </row>
    <row r="126" spans="2:4" hidden="1" outlineLevel="2">
      <c r="B126" s="1177"/>
      <c r="C126" s="536"/>
      <c r="D126" s="537"/>
    </row>
    <row r="127" spans="2:4" hidden="1" outlineLevel="2">
      <c r="B127" s="1177"/>
      <c r="C127" s="536"/>
      <c r="D127" s="537"/>
    </row>
    <row r="128" spans="2:4" hidden="1" outlineLevel="2">
      <c r="B128" s="1177"/>
      <c r="C128" s="536"/>
      <c r="D128" s="537"/>
    </row>
    <row r="129" spans="2:4" hidden="1" outlineLevel="2">
      <c r="B129" s="1177"/>
      <c r="C129" s="536"/>
      <c r="D129" s="537"/>
    </row>
    <row r="130" spans="2:4" hidden="1" outlineLevel="2">
      <c r="B130" s="1177"/>
      <c r="C130" s="536"/>
      <c r="D130" s="537"/>
    </row>
    <row r="131" spans="2:4" hidden="1" outlineLevel="2">
      <c r="B131" s="1177"/>
      <c r="C131" s="536"/>
      <c r="D131" s="537"/>
    </row>
    <row r="132" spans="2:4" hidden="1" outlineLevel="2">
      <c r="B132" s="1177"/>
      <c r="C132" s="536"/>
      <c r="D132" s="537"/>
    </row>
    <row r="133" spans="2:4" hidden="1" outlineLevel="2">
      <c r="B133" s="1177"/>
      <c r="C133" s="536"/>
      <c r="D133" s="537"/>
    </row>
    <row r="134" spans="2:4" hidden="1" outlineLevel="1">
      <c r="B134" s="1177"/>
      <c r="C134" s="536"/>
      <c r="D134" s="537"/>
    </row>
    <row r="135" spans="2:4" hidden="1" outlineLevel="2">
      <c r="B135" s="1177"/>
      <c r="C135" s="536"/>
      <c r="D135" s="537"/>
    </row>
    <row r="136" spans="2:4" hidden="1" outlineLevel="2">
      <c r="B136" s="1177"/>
      <c r="C136" s="536"/>
      <c r="D136" s="537"/>
    </row>
    <row r="137" spans="2:4" hidden="1" outlineLevel="2">
      <c r="B137" s="1177"/>
      <c r="C137" s="536"/>
      <c r="D137" s="537"/>
    </row>
    <row r="138" spans="2:4" hidden="1" outlineLevel="2">
      <c r="B138" s="1177"/>
      <c r="C138" s="536"/>
      <c r="D138" s="537"/>
    </row>
    <row r="139" spans="2:4" hidden="1" outlineLevel="2">
      <c r="B139" s="1177"/>
      <c r="C139" s="536"/>
      <c r="D139" s="537"/>
    </row>
    <row r="140" spans="2:4" hidden="1" outlineLevel="2">
      <c r="B140" s="1177"/>
      <c r="C140" s="536"/>
      <c r="D140" s="537"/>
    </row>
    <row r="141" spans="2:4" hidden="1" outlineLevel="2">
      <c r="B141" s="1177"/>
      <c r="C141" s="536"/>
      <c r="D141" s="537"/>
    </row>
    <row r="142" spans="2:4" hidden="1" outlineLevel="2">
      <c r="B142" s="1177"/>
      <c r="C142" s="536"/>
      <c r="D142" s="537"/>
    </row>
    <row r="143" spans="2:4" hidden="1" outlineLevel="2">
      <c r="B143" s="1177"/>
      <c r="C143" s="536"/>
      <c r="D143" s="537"/>
    </row>
    <row r="144" spans="2:4" hidden="1" outlineLevel="1">
      <c r="B144" s="1177"/>
      <c r="C144" s="536"/>
      <c r="D144" s="537"/>
    </row>
    <row r="145" spans="2:4" hidden="1" outlineLevel="1">
      <c r="B145" s="1177"/>
      <c r="C145" s="536"/>
      <c r="D145" s="537"/>
    </row>
    <row r="146" spans="2:4" hidden="1" outlineLevel="1">
      <c r="B146" s="1177"/>
      <c r="C146" s="536"/>
      <c r="D146" s="537"/>
    </row>
    <row r="147" spans="2:4" hidden="1" outlineLevel="1">
      <c r="B147" s="1177"/>
      <c r="C147" s="536"/>
      <c r="D147" s="537"/>
    </row>
    <row r="148" spans="2:4" hidden="1" outlineLevel="1">
      <c r="B148" s="1177"/>
      <c r="C148" s="536"/>
      <c r="D148" s="537"/>
    </row>
    <row r="149" spans="2:4" hidden="1" outlineLevel="1">
      <c r="B149" s="1177"/>
      <c r="C149" s="536"/>
      <c r="D149" s="537"/>
    </row>
    <row r="150" spans="2:4" hidden="1" outlineLevel="1">
      <c r="B150" s="1177"/>
      <c r="C150" s="536"/>
      <c r="D150" s="537"/>
    </row>
    <row r="151" spans="2:4" hidden="1" outlineLevel="1">
      <c r="B151" s="1177"/>
      <c r="C151" s="536"/>
      <c r="D151" s="537"/>
    </row>
    <row r="152" spans="2:4" hidden="1" outlineLevel="1">
      <c r="B152" s="1177"/>
      <c r="C152" s="536"/>
      <c r="D152" s="537"/>
    </row>
    <row r="153" spans="2:4" hidden="1" outlineLevel="1">
      <c r="B153" s="1177"/>
      <c r="C153" s="536"/>
      <c r="D153" s="537"/>
    </row>
    <row r="154" spans="2:4" hidden="1" outlineLevel="1">
      <c r="B154" s="1177"/>
      <c r="C154" s="536"/>
      <c r="D154" s="537"/>
    </row>
    <row r="155" spans="2:4" hidden="1" outlineLevel="2">
      <c r="B155" s="1177"/>
      <c r="C155" s="536"/>
      <c r="D155" s="537"/>
    </row>
    <row r="156" spans="2:4" hidden="1" outlineLevel="2">
      <c r="B156" s="1177"/>
      <c r="C156" s="536"/>
      <c r="D156" s="537"/>
    </row>
    <row r="157" spans="2:4" hidden="1" outlineLevel="2">
      <c r="B157" s="1177"/>
      <c r="C157" s="536"/>
      <c r="D157" s="537"/>
    </row>
    <row r="158" spans="2:4" hidden="1" outlineLevel="2">
      <c r="B158" s="1177"/>
      <c r="C158" s="536"/>
      <c r="D158" s="537"/>
    </row>
    <row r="159" spans="2:4" hidden="1" outlineLevel="2">
      <c r="B159" s="1177"/>
      <c r="C159" s="536"/>
      <c r="D159" s="537"/>
    </row>
    <row r="160" spans="2:4" hidden="1" outlineLevel="2">
      <c r="B160" s="1177"/>
      <c r="C160" s="536"/>
      <c r="D160" s="537"/>
    </row>
    <row r="161" spans="2:4" hidden="1" outlineLevel="2">
      <c r="B161" s="1177"/>
      <c r="C161" s="536"/>
      <c r="D161" s="537"/>
    </row>
    <row r="162" spans="2:4" hidden="1" outlineLevel="2">
      <c r="B162" s="1177"/>
      <c r="C162" s="536"/>
      <c r="D162" s="537"/>
    </row>
    <row r="163" spans="2:4" hidden="1" outlineLevel="2">
      <c r="B163" s="1177"/>
      <c r="C163" s="536"/>
      <c r="D163" s="537"/>
    </row>
    <row r="164" spans="2:4" hidden="1" outlineLevel="1">
      <c r="B164" s="1177"/>
      <c r="C164" s="536"/>
      <c r="D164" s="537"/>
    </row>
    <row r="165" spans="2:4" hidden="1" outlineLevel="2">
      <c r="B165" s="1177"/>
      <c r="C165" s="536"/>
      <c r="D165" s="537"/>
    </row>
    <row r="166" spans="2:4" hidden="1" outlineLevel="2">
      <c r="B166" s="1177"/>
      <c r="C166" s="536"/>
      <c r="D166" s="537"/>
    </row>
    <row r="167" spans="2:4" hidden="1" outlineLevel="2">
      <c r="B167" s="1177"/>
      <c r="C167" s="536"/>
      <c r="D167" s="537"/>
    </row>
    <row r="168" spans="2:4" hidden="1" outlineLevel="2">
      <c r="B168" s="1177"/>
      <c r="C168" s="536"/>
      <c r="D168" s="537"/>
    </row>
    <row r="169" spans="2:4" hidden="1" outlineLevel="2">
      <c r="B169" s="1177"/>
      <c r="C169" s="536"/>
      <c r="D169" s="537"/>
    </row>
    <row r="170" spans="2:4" hidden="1" outlineLevel="2">
      <c r="B170" s="1177"/>
      <c r="C170" s="536"/>
      <c r="D170" s="537"/>
    </row>
    <row r="171" spans="2:4" hidden="1" outlineLevel="2">
      <c r="B171" s="1177"/>
      <c r="C171" s="536"/>
      <c r="D171" s="537"/>
    </row>
    <row r="172" spans="2:4" hidden="1" outlineLevel="2">
      <c r="B172" s="1177"/>
      <c r="C172" s="536"/>
      <c r="D172" s="537"/>
    </row>
    <row r="173" spans="2:4" hidden="1" outlineLevel="2">
      <c r="B173" s="1177"/>
      <c r="C173" s="536"/>
      <c r="D173" s="537"/>
    </row>
    <row r="174" spans="2:4" hidden="1" outlineLevel="1">
      <c r="B174" s="1177"/>
      <c r="C174" s="536"/>
      <c r="D174" s="537"/>
    </row>
    <row r="175" spans="2:4" hidden="1" outlineLevel="2">
      <c r="B175" s="1177"/>
      <c r="C175" s="536"/>
      <c r="D175" s="537"/>
    </row>
    <row r="176" spans="2:4" hidden="1" outlineLevel="2">
      <c r="B176" s="1177"/>
      <c r="C176" s="536"/>
      <c r="D176" s="537"/>
    </row>
    <row r="177" spans="2:4" hidden="1" outlineLevel="2">
      <c r="B177" s="1177"/>
      <c r="C177" s="536"/>
      <c r="D177" s="537"/>
    </row>
    <row r="178" spans="2:4" hidden="1" outlineLevel="2">
      <c r="B178" s="1177"/>
      <c r="C178" s="536"/>
      <c r="D178" s="537"/>
    </row>
    <row r="179" spans="2:4" hidden="1" outlineLevel="2">
      <c r="B179" s="1177"/>
      <c r="C179" s="536"/>
      <c r="D179" s="537"/>
    </row>
    <row r="180" spans="2:4" hidden="1" outlineLevel="2">
      <c r="B180" s="1177"/>
      <c r="C180" s="536"/>
      <c r="D180" s="537"/>
    </row>
    <row r="181" spans="2:4" hidden="1" outlineLevel="2">
      <c r="B181" s="1177"/>
      <c r="C181" s="536"/>
      <c r="D181" s="537"/>
    </row>
    <row r="182" spans="2:4" hidden="1" outlineLevel="2">
      <c r="B182" s="1177"/>
      <c r="C182" s="536"/>
      <c r="D182" s="537"/>
    </row>
    <row r="183" spans="2:4" hidden="1" outlineLevel="2">
      <c r="B183" s="1177"/>
      <c r="C183" s="536"/>
      <c r="D183" s="537"/>
    </row>
    <row r="184" spans="2:4" hidden="1" outlineLevel="1">
      <c r="B184" s="1177"/>
      <c r="C184" s="536"/>
      <c r="D184" s="537"/>
    </row>
    <row r="185" spans="2:4" hidden="1" outlineLevel="2">
      <c r="B185" s="1177"/>
      <c r="C185" s="536"/>
      <c r="D185" s="537"/>
    </row>
    <row r="186" spans="2:4" hidden="1" outlineLevel="2">
      <c r="B186" s="1177"/>
      <c r="C186" s="536"/>
      <c r="D186" s="537"/>
    </row>
    <row r="187" spans="2:4" hidden="1" outlineLevel="2">
      <c r="B187" s="1177"/>
      <c r="C187" s="536"/>
      <c r="D187" s="537"/>
    </row>
    <row r="188" spans="2:4" hidden="1" outlineLevel="2">
      <c r="B188" s="1177"/>
      <c r="C188" s="536"/>
      <c r="D188" s="537"/>
    </row>
    <row r="189" spans="2:4" hidden="1" outlineLevel="2">
      <c r="B189" s="1177"/>
      <c r="C189" s="536"/>
      <c r="D189" s="537"/>
    </row>
    <row r="190" spans="2:4" hidden="1" outlineLevel="2">
      <c r="B190" s="1177"/>
      <c r="C190" s="536"/>
      <c r="D190" s="537"/>
    </row>
    <row r="191" spans="2:4" hidden="1" outlineLevel="2">
      <c r="B191" s="1177"/>
      <c r="C191" s="536"/>
      <c r="D191" s="537"/>
    </row>
    <row r="192" spans="2:4" hidden="1" outlineLevel="2">
      <c r="B192" s="1177"/>
      <c r="C192" s="536"/>
      <c r="D192" s="537"/>
    </row>
    <row r="193" spans="2:4" hidden="1" outlineLevel="2">
      <c r="B193" s="1177"/>
      <c r="C193" s="536"/>
      <c r="D193" s="537"/>
    </row>
    <row r="194" spans="2:4" ht="15" hidden="1" outlineLevel="1" thickBot="1">
      <c r="B194" s="1177"/>
      <c r="C194" s="538"/>
      <c r="D194" s="537"/>
    </row>
    <row r="195" spans="2:4" hidden="1" outlineLevel="2">
      <c r="B195" s="1177"/>
      <c r="C195" s="539"/>
      <c r="D195" s="537"/>
    </row>
    <row r="196" spans="2:4" hidden="1" outlineLevel="2">
      <c r="B196" s="1177"/>
      <c r="C196" s="536"/>
      <c r="D196" s="537"/>
    </row>
    <row r="197" spans="2:4" hidden="1" outlineLevel="2">
      <c r="B197" s="1177"/>
      <c r="C197" s="536"/>
      <c r="D197" s="537"/>
    </row>
    <row r="198" spans="2:4" hidden="1" outlineLevel="2">
      <c r="B198" s="1177"/>
      <c r="C198" s="536"/>
      <c r="D198" s="537"/>
    </row>
    <row r="199" spans="2:4" hidden="1" outlineLevel="2">
      <c r="B199" s="1177"/>
      <c r="C199" s="536"/>
      <c r="D199" s="537"/>
    </row>
    <row r="200" spans="2:4" hidden="1" outlineLevel="2">
      <c r="B200" s="1177"/>
      <c r="C200" s="536"/>
      <c r="D200" s="537"/>
    </row>
    <row r="201" spans="2:4" hidden="1" outlineLevel="2">
      <c r="B201" s="1177"/>
      <c r="C201" s="536"/>
      <c r="D201" s="537"/>
    </row>
    <row r="202" spans="2:4" hidden="1" outlineLevel="2">
      <c r="B202" s="1177"/>
      <c r="C202" s="536"/>
      <c r="D202" s="537"/>
    </row>
    <row r="203" spans="2:4" hidden="1" outlineLevel="2">
      <c r="B203" s="1177"/>
      <c r="C203" s="536"/>
      <c r="D203" s="537"/>
    </row>
    <row r="204" spans="2:4" hidden="1" outlineLevel="1">
      <c r="B204" s="1177"/>
      <c r="C204" s="536"/>
      <c r="D204" s="537"/>
    </row>
    <row r="205" spans="2:4" hidden="1" outlineLevel="2">
      <c r="B205" s="1177"/>
      <c r="C205" s="536"/>
      <c r="D205" s="537"/>
    </row>
    <row r="206" spans="2:4" hidden="1" outlineLevel="2">
      <c r="B206" s="1177"/>
      <c r="C206" s="536"/>
      <c r="D206" s="537"/>
    </row>
    <row r="207" spans="2:4" hidden="1" outlineLevel="2">
      <c r="B207" s="1177"/>
      <c r="C207" s="536"/>
      <c r="D207" s="537"/>
    </row>
    <row r="208" spans="2:4" hidden="1" outlineLevel="2">
      <c r="B208" s="1177"/>
      <c r="C208" s="536"/>
      <c r="D208" s="537"/>
    </row>
    <row r="209" spans="2:4" hidden="1" outlineLevel="2">
      <c r="B209" s="1177"/>
      <c r="C209" s="536"/>
      <c r="D209" s="537"/>
    </row>
    <row r="210" spans="2:4" hidden="1" outlineLevel="2">
      <c r="B210" s="1177"/>
      <c r="C210" s="536"/>
      <c r="D210" s="537"/>
    </row>
    <row r="211" spans="2:4" hidden="1" outlineLevel="2">
      <c r="B211" s="1177"/>
      <c r="C211" s="536"/>
      <c r="D211" s="537"/>
    </row>
    <row r="212" spans="2:4" hidden="1" outlineLevel="2">
      <c r="B212" s="1177"/>
      <c r="C212" s="536"/>
      <c r="D212" s="537"/>
    </row>
    <row r="213" spans="2:4" hidden="1" outlineLevel="2">
      <c r="B213" s="1177"/>
      <c r="C213" s="536"/>
      <c r="D213" s="537"/>
    </row>
    <row r="214" spans="2:4" hidden="1" outlineLevel="1">
      <c r="B214" s="1177"/>
      <c r="C214" s="536"/>
      <c r="D214" s="537"/>
    </row>
    <row r="215" spans="2:4" hidden="1" outlineLevel="2">
      <c r="B215" s="1177"/>
      <c r="C215" s="536"/>
      <c r="D215" s="537"/>
    </row>
    <row r="216" spans="2:4" hidden="1" outlineLevel="2">
      <c r="B216" s="1177"/>
      <c r="C216" s="536"/>
      <c r="D216" s="537"/>
    </row>
    <row r="217" spans="2:4" hidden="1" outlineLevel="2">
      <c r="B217" s="1177"/>
      <c r="C217" s="536"/>
      <c r="D217" s="537"/>
    </row>
    <row r="218" spans="2:4" hidden="1" outlineLevel="2">
      <c r="B218" s="1177"/>
      <c r="C218" s="536"/>
      <c r="D218" s="537"/>
    </row>
    <row r="219" spans="2:4" hidden="1" outlineLevel="2">
      <c r="B219" s="1177"/>
      <c r="C219" s="536"/>
      <c r="D219" s="537"/>
    </row>
    <row r="220" spans="2:4" hidden="1" outlineLevel="2">
      <c r="B220" s="1177"/>
      <c r="C220" s="536"/>
      <c r="D220" s="537"/>
    </row>
    <row r="221" spans="2:4" hidden="1" outlineLevel="2">
      <c r="B221" s="1177"/>
      <c r="C221" s="536"/>
      <c r="D221" s="537"/>
    </row>
    <row r="222" spans="2:4" hidden="1" outlineLevel="2">
      <c r="B222" s="1177"/>
      <c r="C222" s="536"/>
      <c r="D222" s="537"/>
    </row>
    <row r="223" spans="2:4" hidden="1" outlineLevel="2">
      <c r="B223" s="1177"/>
      <c r="C223" s="536"/>
      <c r="D223" s="537"/>
    </row>
    <row r="224" spans="2:4" hidden="1" outlineLevel="1">
      <c r="B224" s="1177"/>
      <c r="C224" s="536"/>
      <c r="D224" s="537"/>
    </row>
    <row r="225" spans="2:4" hidden="1" outlineLevel="2">
      <c r="B225" s="1177"/>
      <c r="C225" s="536"/>
      <c r="D225" s="537"/>
    </row>
    <row r="226" spans="2:4" hidden="1" outlineLevel="2">
      <c r="B226" s="1177"/>
      <c r="C226" s="536"/>
      <c r="D226" s="537"/>
    </row>
    <row r="227" spans="2:4" hidden="1" outlineLevel="2">
      <c r="B227" s="1177"/>
      <c r="C227" s="536"/>
      <c r="D227" s="537"/>
    </row>
    <row r="228" spans="2:4" hidden="1" outlineLevel="2">
      <c r="B228" s="1177"/>
      <c r="C228" s="536"/>
      <c r="D228" s="537"/>
    </row>
    <row r="229" spans="2:4" hidden="1" outlineLevel="2">
      <c r="B229" s="1177"/>
      <c r="C229" s="536"/>
      <c r="D229" s="537"/>
    </row>
    <row r="230" spans="2:4" hidden="1" outlineLevel="2">
      <c r="B230" s="1177"/>
      <c r="C230" s="536"/>
      <c r="D230" s="537"/>
    </row>
    <row r="231" spans="2:4" hidden="1" outlineLevel="2">
      <c r="B231" s="1177"/>
      <c r="C231" s="536"/>
      <c r="D231" s="537"/>
    </row>
    <row r="232" spans="2:4" hidden="1" outlineLevel="2">
      <c r="B232" s="1177"/>
      <c r="C232" s="536"/>
      <c r="D232" s="537"/>
    </row>
    <row r="233" spans="2:4" hidden="1" outlineLevel="2">
      <c r="B233" s="1177"/>
      <c r="C233" s="536"/>
      <c r="D233" s="537"/>
    </row>
    <row r="234" spans="2:4" hidden="1" outlineLevel="1">
      <c r="B234" s="1177"/>
      <c r="C234" s="536"/>
      <c r="D234" s="537"/>
    </row>
    <row r="235" spans="2:4" hidden="1" outlineLevel="2">
      <c r="B235" s="1177"/>
      <c r="C235" s="536"/>
      <c r="D235" s="537"/>
    </row>
    <row r="236" spans="2:4" hidden="1" outlineLevel="2">
      <c r="B236" s="1177"/>
      <c r="C236" s="536"/>
      <c r="D236" s="537"/>
    </row>
    <row r="237" spans="2:4" hidden="1" outlineLevel="2">
      <c r="B237" s="1177"/>
      <c r="C237" s="536"/>
      <c r="D237" s="537"/>
    </row>
    <row r="238" spans="2:4" hidden="1" outlineLevel="2">
      <c r="B238" s="1177"/>
      <c r="C238" s="536"/>
      <c r="D238" s="537"/>
    </row>
    <row r="239" spans="2:4" hidden="1" outlineLevel="2">
      <c r="B239" s="1177"/>
      <c r="C239" s="536"/>
      <c r="D239" s="537"/>
    </row>
    <row r="240" spans="2:4" hidden="1" outlineLevel="2">
      <c r="B240" s="1177"/>
      <c r="C240" s="536"/>
      <c r="D240" s="537"/>
    </row>
    <row r="241" spans="2:4" hidden="1" outlineLevel="2">
      <c r="B241" s="1177"/>
      <c r="C241" s="536"/>
      <c r="D241" s="537"/>
    </row>
    <row r="242" spans="2:4" hidden="1" outlineLevel="2">
      <c r="B242" s="1177"/>
      <c r="C242" s="536"/>
      <c r="D242" s="537"/>
    </row>
    <row r="243" spans="2:4" hidden="1" outlineLevel="2">
      <c r="B243" s="1177"/>
      <c r="C243" s="536"/>
      <c r="D243" s="537"/>
    </row>
    <row r="244" spans="2:4" hidden="1" outlineLevel="1">
      <c r="B244" s="1177"/>
      <c r="C244" s="536"/>
      <c r="D244" s="537"/>
    </row>
    <row r="245" spans="2:4" hidden="1" outlineLevel="2">
      <c r="B245" s="1177"/>
      <c r="C245" s="536"/>
      <c r="D245" s="537"/>
    </row>
    <row r="246" spans="2:4" hidden="1" outlineLevel="2">
      <c r="B246" s="1177"/>
      <c r="C246" s="536"/>
      <c r="D246" s="537"/>
    </row>
    <row r="247" spans="2:4" hidden="1" outlineLevel="2">
      <c r="B247" s="1177"/>
      <c r="C247" s="536"/>
      <c r="D247" s="537"/>
    </row>
    <row r="248" spans="2:4" hidden="1" outlineLevel="2">
      <c r="B248" s="1177"/>
      <c r="C248" s="536"/>
      <c r="D248" s="537"/>
    </row>
    <row r="249" spans="2:4" hidden="1" outlineLevel="2">
      <c r="B249" s="1177"/>
      <c r="C249" s="536"/>
      <c r="D249" s="537"/>
    </row>
    <row r="250" spans="2:4" hidden="1" outlineLevel="2">
      <c r="B250" s="1177"/>
      <c r="C250" s="536"/>
      <c r="D250" s="537"/>
    </row>
    <row r="251" spans="2:4" hidden="1" outlineLevel="2">
      <c r="B251" s="1177"/>
      <c r="C251" s="536"/>
      <c r="D251" s="537"/>
    </row>
    <row r="252" spans="2:4" hidden="1" outlineLevel="2">
      <c r="B252" s="1177"/>
      <c r="C252" s="536"/>
      <c r="D252" s="537"/>
    </row>
    <row r="253" spans="2:4" hidden="1" outlineLevel="2">
      <c r="B253" s="1177"/>
      <c r="C253" s="536"/>
      <c r="D253" s="537"/>
    </row>
    <row r="254" spans="2:4" hidden="1" outlineLevel="1">
      <c r="B254" s="1177"/>
      <c r="C254" s="536"/>
      <c r="D254" s="537"/>
    </row>
    <row r="255" spans="2:4" hidden="1" outlineLevel="2">
      <c r="B255" s="1177"/>
      <c r="C255" s="536"/>
      <c r="D255" s="537"/>
    </row>
    <row r="256" spans="2:4" hidden="1" outlineLevel="2">
      <c r="B256" s="1177"/>
      <c r="C256" s="536"/>
      <c r="D256" s="537"/>
    </row>
    <row r="257" spans="2:4" hidden="1" outlineLevel="2">
      <c r="B257" s="1177"/>
      <c r="C257" s="536"/>
      <c r="D257" s="537"/>
    </row>
    <row r="258" spans="2:4" hidden="1" outlineLevel="2">
      <c r="B258" s="1177"/>
      <c r="C258" s="536"/>
      <c r="D258" s="537"/>
    </row>
    <row r="259" spans="2:4" hidden="1" outlineLevel="2">
      <c r="B259" s="1177"/>
      <c r="C259" s="536"/>
      <c r="D259" s="537"/>
    </row>
    <row r="260" spans="2:4" hidden="1" outlineLevel="2">
      <c r="B260" s="1177"/>
      <c r="C260" s="536"/>
      <c r="D260" s="537"/>
    </row>
    <row r="261" spans="2:4" hidden="1" outlineLevel="2">
      <c r="B261" s="1177"/>
      <c r="C261" s="536"/>
      <c r="D261" s="537"/>
    </row>
    <row r="262" spans="2:4" hidden="1" outlineLevel="2">
      <c r="B262" s="1177"/>
      <c r="C262" s="536"/>
      <c r="D262" s="537"/>
    </row>
    <row r="263" spans="2:4" hidden="1" outlineLevel="2">
      <c r="B263" s="1177"/>
      <c r="C263" s="536"/>
      <c r="D263" s="537"/>
    </row>
    <row r="264" spans="2:4" hidden="1" outlineLevel="1">
      <c r="B264" s="1177"/>
      <c r="C264" s="536"/>
      <c r="D264" s="537"/>
    </row>
    <row r="265" spans="2:4" hidden="1" outlineLevel="2">
      <c r="B265" s="1177"/>
      <c r="C265" s="536"/>
      <c r="D265" s="537"/>
    </row>
    <row r="266" spans="2:4" hidden="1" outlineLevel="2">
      <c r="B266" s="1177"/>
      <c r="C266" s="536"/>
      <c r="D266" s="537"/>
    </row>
    <row r="267" spans="2:4" hidden="1" outlineLevel="2">
      <c r="B267" s="1177"/>
      <c r="C267" s="536"/>
      <c r="D267" s="537"/>
    </row>
    <row r="268" spans="2:4" hidden="1" outlineLevel="2">
      <c r="B268" s="1177"/>
      <c r="C268" s="536"/>
      <c r="D268" s="537"/>
    </row>
    <row r="269" spans="2:4" hidden="1" outlineLevel="2">
      <c r="B269" s="1177"/>
      <c r="C269" s="536"/>
      <c r="D269" s="537"/>
    </row>
    <row r="270" spans="2:4" hidden="1" outlineLevel="2">
      <c r="B270" s="1177"/>
      <c r="C270" s="536"/>
      <c r="D270" s="537"/>
    </row>
    <row r="271" spans="2:4" hidden="1" outlineLevel="2">
      <c r="B271" s="1177"/>
      <c r="C271" s="536"/>
      <c r="D271" s="537"/>
    </row>
    <row r="272" spans="2:4" hidden="1" outlineLevel="2">
      <c r="B272" s="1177"/>
      <c r="C272" s="536"/>
      <c r="D272" s="537"/>
    </row>
    <row r="273" spans="2:4" hidden="1" outlineLevel="2">
      <c r="B273" s="1177"/>
      <c r="C273" s="536"/>
      <c r="D273" s="537"/>
    </row>
    <row r="274" spans="2:4" hidden="1" outlineLevel="1">
      <c r="B274" s="1177"/>
      <c r="C274" s="536"/>
      <c r="D274" s="537"/>
    </row>
    <row r="275" spans="2:4" hidden="1" outlineLevel="2">
      <c r="B275" s="1177"/>
      <c r="C275" s="536"/>
      <c r="D275" s="537"/>
    </row>
    <row r="276" spans="2:4" hidden="1" outlineLevel="2">
      <c r="B276" s="1177"/>
      <c r="C276" s="536"/>
      <c r="D276" s="537"/>
    </row>
    <row r="277" spans="2:4" hidden="1" outlineLevel="2">
      <c r="B277" s="1177"/>
      <c r="C277" s="536"/>
      <c r="D277" s="537"/>
    </row>
    <row r="278" spans="2:4" hidden="1" outlineLevel="2">
      <c r="B278" s="1177"/>
      <c r="C278" s="536"/>
      <c r="D278" s="537"/>
    </row>
    <row r="279" spans="2:4" hidden="1" outlineLevel="2">
      <c r="B279" s="1177"/>
      <c r="C279" s="536"/>
      <c r="D279" s="537"/>
    </row>
    <row r="280" spans="2:4" hidden="1" outlineLevel="2">
      <c r="B280" s="1177"/>
      <c r="C280" s="536"/>
      <c r="D280" s="537"/>
    </row>
    <row r="281" spans="2:4" hidden="1" outlineLevel="2">
      <c r="B281" s="1177"/>
      <c r="C281" s="536"/>
      <c r="D281" s="537"/>
    </row>
    <row r="282" spans="2:4" hidden="1" outlineLevel="2">
      <c r="B282" s="1177"/>
      <c r="C282" s="536"/>
      <c r="D282" s="537"/>
    </row>
    <row r="283" spans="2:4" hidden="1" outlineLevel="2">
      <c r="B283" s="1177"/>
      <c r="C283" s="536"/>
      <c r="D283" s="537"/>
    </row>
    <row r="284" spans="2:4" hidden="1" outlineLevel="1">
      <c r="B284" s="1177"/>
      <c r="C284" s="536"/>
      <c r="D284" s="537"/>
    </row>
    <row r="285" spans="2:4" hidden="1" outlineLevel="2">
      <c r="B285" s="1177"/>
      <c r="C285" s="536"/>
      <c r="D285" s="537"/>
    </row>
    <row r="286" spans="2:4" hidden="1" outlineLevel="2">
      <c r="B286" s="1177"/>
      <c r="C286" s="536"/>
      <c r="D286" s="537"/>
    </row>
    <row r="287" spans="2:4" hidden="1" outlineLevel="2">
      <c r="B287" s="1177"/>
      <c r="C287" s="536"/>
      <c r="D287" s="537"/>
    </row>
    <row r="288" spans="2:4" hidden="1" outlineLevel="2">
      <c r="B288" s="1177"/>
      <c r="C288" s="536"/>
      <c r="D288" s="537"/>
    </row>
    <row r="289" spans="2:4" hidden="1" outlineLevel="2">
      <c r="B289" s="1177"/>
      <c r="C289" s="536"/>
      <c r="D289" s="537"/>
    </row>
    <row r="290" spans="2:4" hidden="1" outlineLevel="2">
      <c r="B290" s="1177"/>
      <c r="C290" s="536"/>
      <c r="D290" s="537"/>
    </row>
    <row r="291" spans="2:4" hidden="1" outlineLevel="2">
      <c r="B291" s="1177"/>
      <c r="C291" s="536"/>
      <c r="D291" s="537"/>
    </row>
    <row r="292" spans="2:4" hidden="1" outlineLevel="2">
      <c r="B292" s="1177"/>
      <c r="C292" s="536"/>
      <c r="D292" s="537"/>
    </row>
    <row r="293" spans="2:4" hidden="1" outlineLevel="2">
      <c r="B293" s="1177"/>
      <c r="C293" s="536"/>
      <c r="D293" s="537"/>
    </row>
    <row r="294" spans="2:4" hidden="1" outlineLevel="1">
      <c r="B294" s="1177"/>
      <c r="C294" s="536"/>
      <c r="D294" s="537"/>
    </row>
    <row r="295" spans="2:4" hidden="1" outlineLevel="2">
      <c r="B295" s="1177"/>
      <c r="C295" s="536"/>
      <c r="D295" s="537"/>
    </row>
    <row r="296" spans="2:4" hidden="1" outlineLevel="2">
      <c r="B296" s="1177"/>
      <c r="C296" s="536"/>
      <c r="D296" s="537"/>
    </row>
    <row r="297" spans="2:4" hidden="1" outlineLevel="2">
      <c r="B297" s="1177"/>
      <c r="C297" s="536"/>
      <c r="D297" s="537"/>
    </row>
    <row r="298" spans="2:4" hidden="1" outlineLevel="2">
      <c r="B298" s="1177"/>
      <c r="C298" s="536"/>
      <c r="D298" s="537"/>
    </row>
    <row r="299" spans="2:4" hidden="1" outlineLevel="2">
      <c r="B299" s="1177"/>
      <c r="C299" s="536"/>
      <c r="D299" s="537"/>
    </row>
    <row r="300" spans="2:4" hidden="1" outlineLevel="2">
      <c r="B300" s="1177"/>
      <c r="C300" s="536"/>
      <c r="D300" s="537"/>
    </row>
    <row r="301" spans="2:4" hidden="1" outlineLevel="2">
      <c r="B301" s="1177"/>
      <c r="C301" s="536"/>
      <c r="D301" s="537"/>
    </row>
    <row r="302" spans="2:4" hidden="1" outlineLevel="2">
      <c r="B302" s="1177"/>
      <c r="C302" s="536"/>
      <c r="D302" s="537"/>
    </row>
    <row r="303" spans="2:4" hidden="1" outlineLevel="2">
      <c r="B303" s="1177"/>
      <c r="C303" s="536"/>
      <c r="D303" s="537"/>
    </row>
    <row r="304" spans="2:4" hidden="1" outlineLevel="1">
      <c r="B304" s="1177"/>
      <c r="C304" s="536"/>
      <c r="D304" s="537"/>
    </row>
    <row r="305" spans="2:4" hidden="1" outlineLevel="2">
      <c r="B305" s="1177"/>
      <c r="C305" s="536"/>
      <c r="D305" s="537"/>
    </row>
    <row r="306" spans="2:4" hidden="1" outlineLevel="2">
      <c r="B306" s="1177"/>
      <c r="C306" s="536"/>
      <c r="D306" s="537"/>
    </row>
    <row r="307" spans="2:4" hidden="1" outlineLevel="2">
      <c r="B307" s="1177"/>
      <c r="C307" s="536"/>
      <c r="D307" s="537"/>
    </row>
    <row r="308" spans="2:4" hidden="1" outlineLevel="2">
      <c r="B308" s="1177"/>
      <c r="C308" s="536"/>
      <c r="D308" s="537"/>
    </row>
    <row r="309" spans="2:4" hidden="1" outlineLevel="2">
      <c r="B309" s="1177"/>
      <c r="C309" s="536"/>
      <c r="D309" s="537"/>
    </row>
    <row r="310" spans="2:4" hidden="1" outlineLevel="2">
      <c r="B310" s="1177"/>
      <c r="C310" s="536"/>
      <c r="D310" s="537"/>
    </row>
    <row r="311" spans="2:4" hidden="1" outlineLevel="2">
      <c r="B311" s="1177"/>
      <c r="C311" s="536"/>
      <c r="D311" s="537"/>
    </row>
    <row r="312" spans="2:4" hidden="1" outlineLevel="2">
      <c r="B312" s="1177"/>
      <c r="C312" s="536"/>
      <c r="D312" s="537"/>
    </row>
    <row r="313" spans="2:4" hidden="1" outlineLevel="2">
      <c r="B313" s="1177"/>
      <c r="C313" s="536"/>
      <c r="D313" s="537"/>
    </row>
    <row r="314" spans="2:4" hidden="1" outlineLevel="1">
      <c r="B314" s="1177"/>
      <c r="C314" s="536"/>
      <c r="D314" s="537"/>
    </row>
    <row r="315" spans="2:4" hidden="1" outlineLevel="2">
      <c r="B315" s="1177"/>
      <c r="C315" s="536"/>
      <c r="D315" s="537"/>
    </row>
    <row r="316" spans="2:4" hidden="1" outlineLevel="2">
      <c r="B316" s="1177"/>
      <c r="C316" s="536"/>
      <c r="D316" s="537"/>
    </row>
    <row r="317" spans="2:4" hidden="1" outlineLevel="2">
      <c r="B317" s="1177"/>
      <c r="C317" s="536"/>
      <c r="D317" s="537"/>
    </row>
    <row r="318" spans="2:4" hidden="1" outlineLevel="2">
      <c r="B318" s="1177"/>
      <c r="C318" s="536"/>
      <c r="D318" s="537"/>
    </row>
    <row r="319" spans="2:4" hidden="1" outlineLevel="2">
      <c r="B319" s="1177"/>
      <c r="C319" s="536"/>
      <c r="D319" s="537"/>
    </row>
    <row r="320" spans="2:4" hidden="1" outlineLevel="2">
      <c r="B320" s="1177"/>
      <c r="C320" s="536"/>
      <c r="D320" s="537"/>
    </row>
    <row r="321" spans="2:4" hidden="1" outlineLevel="2">
      <c r="B321" s="1177"/>
      <c r="C321" s="536"/>
      <c r="D321" s="537"/>
    </row>
    <row r="322" spans="2:4" hidden="1" outlineLevel="2">
      <c r="B322" s="1177"/>
      <c r="C322" s="536"/>
      <c r="D322" s="537"/>
    </row>
    <row r="323" spans="2:4" hidden="1" outlineLevel="2">
      <c r="B323" s="1177"/>
      <c r="C323" s="536"/>
      <c r="D323" s="537"/>
    </row>
    <row r="324" spans="2:4" hidden="1" outlineLevel="1">
      <c r="B324" s="1177"/>
      <c r="C324" s="536"/>
      <c r="D324" s="537"/>
    </row>
    <row r="325" spans="2:4" hidden="1" outlineLevel="2">
      <c r="B325" s="1177"/>
      <c r="C325" s="536"/>
      <c r="D325" s="537"/>
    </row>
    <row r="326" spans="2:4" hidden="1" outlineLevel="2">
      <c r="B326" s="1177"/>
      <c r="C326" s="536"/>
      <c r="D326" s="537"/>
    </row>
    <row r="327" spans="2:4" hidden="1" outlineLevel="2">
      <c r="B327" s="1177"/>
      <c r="C327" s="536"/>
      <c r="D327" s="537"/>
    </row>
    <row r="328" spans="2:4" hidden="1" outlineLevel="2">
      <c r="B328" s="1177"/>
      <c r="C328" s="536"/>
      <c r="D328" s="537"/>
    </row>
    <row r="329" spans="2:4" hidden="1" outlineLevel="2">
      <c r="B329" s="1177"/>
      <c r="C329" s="536"/>
      <c r="D329" s="537"/>
    </row>
    <row r="330" spans="2:4" hidden="1" outlineLevel="2">
      <c r="B330" s="1177"/>
      <c r="C330" s="536"/>
      <c r="D330" s="537"/>
    </row>
    <row r="331" spans="2:4" hidden="1" outlineLevel="2">
      <c r="B331" s="1177"/>
      <c r="C331" s="536"/>
      <c r="D331" s="537"/>
    </row>
    <row r="332" spans="2:4" hidden="1" outlineLevel="2">
      <c r="B332" s="1177"/>
      <c r="C332" s="536"/>
      <c r="D332" s="537"/>
    </row>
    <row r="333" spans="2:4" hidden="1" outlineLevel="2">
      <c r="B333" s="1177"/>
      <c r="C333" s="536"/>
      <c r="D333" s="537"/>
    </row>
    <row r="334" spans="2:4" hidden="1" outlineLevel="1">
      <c r="B334" s="1177"/>
      <c r="C334" s="536"/>
      <c r="D334" s="537"/>
    </row>
    <row r="335" spans="2:4" hidden="1" outlineLevel="2">
      <c r="B335" s="1177"/>
      <c r="C335" s="536"/>
      <c r="D335" s="537"/>
    </row>
    <row r="336" spans="2:4" hidden="1" outlineLevel="2">
      <c r="B336" s="1177"/>
      <c r="C336" s="536"/>
      <c r="D336" s="537"/>
    </row>
    <row r="337" spans="2:4" hidden="1" outlineLevel="2">
      <c r="B337" s="1177"/>
      <c r="C337" s="536"/>
      <c r="D337" s="537"/>
    </row>
    <row r="338" spans="2:4" hidden="1" outlineLevel="2">
      <c r="B338" s="1177"/>
      <c r="C338" s="536"/>
      <c r="D338" s="537"/>
    </row>
    <row r="339" spans="2:4" hidden="1" outlineLevel="2">
      <c r="B339" s="1177"/>
      <c r="C339" s="536"/>
      <c r="D339" s="537"/>
    </row>
    <row r="340" spans="2:4" hidden="1" outlineLevel="2">
      <c r="B340" s="1177"/>
      <c r="C340" s="536"/>
      <c r="D340" s="537"/>
    </row>
    <row r="341" spans="2:4" hidden="1" outlineLevel="2">
      <c r="B341" s="1177"/>
      <c r="C341" s="536"/>
      <c r="D341" s="537"/>
    </row>
    <row r="342" spans="2:4" hidden="1" outlineLevel="2">
      <c r="B342" s="1177"/>
      <c r="C342" s="536"/>
      <c r="D342" s="537"/>
    </row>
    <row r="343" spans="2:4" hidden="1" outlineLevel="2">
      <c r="B343" s="1177"/>
      <c r="C343" s="536"/>
      <c r="D343" s="537"/>
    </row>
    <row r="344" spans="2:4" hidden="1" outlineLevel="1">
      <c r="B344" s="1177"/>
      <c r="C344" s="536"/>
      <c r="D344" s="537"/>
    </row>
    <row r="345" spans="2:4" hidden="1" outlineLevel="2">
      <c r="B345" s="1177"/>
      <c r="C345" s="536"/>
      <c r="D345" s="537"/>
    </row>
    <row r="346" spans="2:4" hidden="1" outlineLevel="2">
      <c r="B346" s="1177"/>
      <c r="C346" s="536"/>
      <c r="D346" s="537"/>
    </row>
    <row r="347" spans="2:4" hidden="1" outlineLevel="2">
      <c r="B347" s="1177"/>
      <c r="C347" s="536"/>
      <c r="D347" s="537"/>
    </row>
    <row r="348" spans="2:4" hidden="1" outlineLevel="2">
      <c r="B348" s="1177"/>
      <c r="C348" s="536"/>
      <c r="D348" s="537"/>
    </row>
    <row r="349" spans="2:4" hidden="1" outlineLevel="2">
      <c r="B349" s="1177"/>
      <c r="C349" s="536"/>
      <c r="D349" s="537"/>
    </row>
    <row r="350" spans="2:4" hidden="1" outlineLevel="2">
      <c r="B350" s="1177"/>
      <c r="C350" s="536"/>
      <c r="D350" s="537"/>
    </row>
    <row r="351" spans="2:4" hidden="1" outlineLevel="2">
      <c r="B351" s="1177"/>
      <c r="C351" s="536"/>
      <c r="D351" s="537"/>
    </row>
    <row r="352" spans="2:4" hidden="1" outlineLevel="2">
      <c r="B352" s="1177"/>
      <c r="C352" s="536"/>
      <c r="D352" s="537"/>
    </row>
    <row r="353" spans="2:4" hidden="1" outlineLevel="2">
      <c r="B353" s="1177"/>
      <c r="C353" s="536"/>
      <c r="D353" s="537"/>
    </row>
    <row r="354" spans="2:4" hidden="1" outlineLevel="1">
      <c r="B354" s="1177"/>
      <c r="C354" s="536"/>
      <c r="D354" s="537"/>
    </row>
    <row r="355" spans="2:4" hidden="1" outlineLevel="2">
      <c r="B355" s="1177"/>
      <c r="C355" s="536"/>
      <c r="D355" s="537"/>
    </row>
    <row r="356" spans="2:4" hidden="1" outlineLevel="2">
      <c r="B356" s="1177"/>
      <c r="C356" s="536"/>
      <c r="D356" s="537"/>
    </row>
    <row r="357" spans="2:4" hidden="1" outlineLevel="2">
      <c r="B357" s="1177"/>
      <c r="C357" s="536"/>
      <c r="D357" s="537"/>
    </row>
    <row r="358" spans="2:4" hidden="1" outlineLevel="2">
      <c r="B358" s="1177"/>
      <c r="C358" s="536"/>
      <c r="D358" s="537"/>
    </row>
    <row r="359" spans="2:4" hidden="1" outlineLevel="2">
      <c r="B359" s="1177"/>
      <c r="C359" s="536"/>
      <c r="D359" s="537"/>
    </row>
    <row r="360" spans="2:4" hidden="1" outlineLevel="2">
      <c r="B360" s="1177"/>
      <c r="C360" s="536"/>
      <c r="D360" s="537"/>
    </row>
    <row r="361" spans="2:4" hidden="1" outlineLevel="2">
      <c r="B361" s="1177"/>
      <c r="C361" s="536"/>
      <c r="D361" s="537"/>
    </row>
    <row r="362" spans="2:4" hidden="1" outlineLevel="2">
      <c r="B362" s="1177"/>
      <c r="C362" s="536"/>
      <c r="D362" s="537"/>
    </row>
    <row r="363" spans="2:4" hidden="1" outlineLevel="2">
      <c r="B363" s="1177"/>
      <c r="C363" s="536"/>
      <c r="D363" s="537"/>
    </row>
    <row r="364" spans="2:4" hidden="1" outlineLevel="1">
      <c r="B364" s="1177"/>
      <c r="C364" s="536"/>
      <c r="D364" s="537"/>
    </row>
    <row r="365" spans="2:4" hidden="1" outlineLevel="2">
      <c r="B365" s="1177"/>
      <c r="C365" s="536"/>
      <c r="D365" s="537"/>
    </row>
    <row r="366" spans="2:4" hidden="1" outlineLevel="2">
      <c r="B366" s="1177"/>
      <c r="C366" s="536"/>
      <c r="D366" s="537"/>
    </row>
    <row r="367" spans="2:4" hidden="1" outlineLevel="2">
      <c r="B367" s="1177"/>
      <c r="C367" s="536"/>
      <c r="D367" s="537"/>
    </row>
    <row r="368" spans="2:4" hidden="1" outlineLevel="2">
      <c r="B368" s="1177"/>
      <c r="C368" s="536"/>
      <c r="D368" s="537"/>
    </row>
    <row r="369" spans="2:4" hidden="1" outlineLevel="2">
      <c r="B369" s="1177"/>
      <c r="C369" s="536"/>
      <c r="D369" s="537"/>
    </row>
    <row r="370" spans="2:4" hidden="1" outlineLevel="2">
      <c r="B370" s="1177"/>
      <c r="C370" s="536"/>
      <c r="D370" s="537"/>
    </row>
    <row r="371" spans="2:4" hidden="1" outlineLevel="2">
      <c r="B371" s="1177"/>
      <c r="C371" s="536"/>
      <c r="D371" s="537"/>
    </row>
    <row r="372" spans="2:4" hidden="1" outlineLevel="2">
      <c r="B372" s="1177"/>
      <c r="C372" s="536"/>
      <c r="D372" s="537"/>
    </row>
    <row r="373" spans="2:4" hidden="1" outlineLevel="2">
      <c r="B373" s="1177"/>
      <c r="C373" s="536"/>
      <c r="D373" s="537"/>
    </row>
    <row r="374" spans="2:4" hidden="1" outlineLevel="1">
      <c r="B374" s="1177"/>
      <c r="C374" s="536"/>
      <c r="D374" s="537"/>
    </row>
    <row r="375" spans="2:4" hidden="1" outlineLevel="2">
      <c r="B375" s="1177"/>
      <c r="C375" s="536"/>
      <c r="D375" s="537"/>
    </row>
    <row r="376" spans="2:4" hidden="1" outlineLevel="2">
      <c r="B376" s="1177"/>
      <c r="C376" s="536"/>
      <c r="D376" s="537"/>
    </row>
    <row r="377" spans="2:4" hidden="1" outlineLevel="2">
      <c r="B377" s="1177"/>
      <c r="C377" s="536"/>
      <c r="D377" s="537"/>
    </row>
    <row r="378" spans="2:4" hidden="1" outlineLevel="2">
      <c r="B378" s="1177"/>
      <c r="C378" s="536"/>
      <c r="D378" s="537"/>
    </row>
    <row r="379" spans="2:4" hidden="1" outlineLevel="2">
      <c r="B379" s="1177"/>
      <c r="C379" s="536"/>
      <c r="D379" s="537"/>
    </row>
    <row r="380" spans="2:4" hidden="1" outlineLevel="2">
      <c r="B380" s="1177"/>
      <c r="C380" s="536"/>
      <c r="D380" s="537"/>
    </row>
    <row r="381" spans="2:4" hidden="1" outlineLevel="2">
      <c r="B381" s="1177"/>
      <c r="C381" s="536"/>
      <c r="D381" s="537"/>
    </row>
    <row r="382" spans="2:4" hidden="1" outlineLevel="2">
      <c r="B382" s="1177"/>
      <c r="C382" s="536"/>
      <c r="D382" s="537"/>
    </row>
    <row r="383" spans="2:4" hidden="1" outlineLevel="2">
      <c r="B383" s="1177"/>
      <c r="C383" s="536"/>
      <c r="D383" s="537"/>
    </row>
    <row r="384" spans="2:4" hidden="1" outlineLevel="1">
      <c r="B384" s="1177"/>
      <c r="C384" s="536"/>
      <c r="D384" s="537"/>
    </row>
    <row r="385" spans="2:4" hidden="1" outlineLevel="2">
      <c r="B385" s="1177"/>
      <c r="C385" s="536"/>
      <c r="D385" s="537"/>
    </row>
    <row r="386" spans="2:4" hidden="1" outlineLevel="2">
      <c r="B386" s="1177"/>
      <c r="C386" s="536"/>
      <c r="D386" s="537"/>
    </row>
    <row r="387" spans="2:4" hidden="1" outlineLevel="2">
      <c r="B387" s="1177"/>
      <c r="C387" s="536"/>
      <c r="D387" s="537"/>
    </row>
    <row r="388" spans="2:4" hidden="1" outlineLevel="2">
      <c r="B388" s="1177"/>
      <c r="C388" s="536"/>
      <c r="D388" s="537"/>
    </row>
    <row r="389" spans="2:4" hidden="1" outlineLevel="2">
      <c r="B389" s="1177"/>
      <c r="C389" s="536"/>
      <c r="D389" s="537"/>
    </row>
    <row r="390" spans="2:4" hidden="1" outlineLevel="2">
      <c r="B390" s="1177"/>
      <c r="C390" s="536"/>
      <c r="D390" s="537"/>
    </row>
    <row r="391" spans="2:4" hidden="1" outlineLevel="2">
      <c r="B391" s="1177"/>
      <c r="C391" s="536"/>
      <c r="D391" s="537"/>
    </row>
    <row r="392" spans="2:4" hidden="1" outlineLevel="2">
      <c r="B392" s="1177"/>
      <c r="C392" s="536"/>
      <c r="D392" s="537"/>
    </row>
    <row r="393" spans="2:4" hidden="1" outlineLevel="2">
      <c r="B393" s="1177"/>
      <c r="C393" s="536"/>
      <c r="D393" s="537"/>
    </row>
    <row r="394" spans="2:4" hidden="1" outlineLevel="1">
      <c r="B394" s="1177"/>
      <c r="C394" s="536"/>
      <c r="D394" s="537"/>
    </row>
    <row r="395" spans="2:4" hidden="1" outlineLevel="2">
      <c r="B395" s="1177"/>
      <c r="C395" s="536"/>
      <c r="D395" s="537"/>
    </row>
    <row r="396" spans="2:4" hidden="1" outlineLevel="2">
      <c r="B396" s="1177"/>
      <c r="C396" s="536"/>
      <c r="D396" s="537"/>
    </row>
    <row r="397" spans="2:4" hidden="1" outlineLevel="2">
      <c r="B397" s="1177"/>
      <c r="C397" s="536"/>
      <c r="D397" s="537"/>
    </row>
    <row r="398" spans="2:4" hidden="1" outlineLevel="2">
      <c r="B398" s="1177"/>
      <c r="C398" s="536"/>
      <c r="D398" s="537"/>
    </row>
    <row r="399" spans="2:4" hidden="1" outlineLevel="2">
      <c r="B399" s="1177"/>
      <c r="C399" s="536"/>
      <c r="D399" s="537"/>
    </row>
    <row r="400" spans="2:4" hidden="1" outlineLevel="2">
      <c r="B400" s="1177"/>
      <c r="C400" s="536"/>
      <c r="D400" s="537"/>
    </row>
    <row r="401" spans="2:4" hidden="1" outlineLevel="2">
      <c r="B401" s="1177"/>
      <c r="C401" s="536"/>
      <c r="D401" s="537"/>
    </row>
    <row r="402" spans="2:4" hidden="1" outlineLevel="2">
      <c r="B402" s="1177"/>
      <c r="C402" s="536"/>
      <c r="D402" s="537"/>
    </row>
    <row r="403" spans="2:4" hidden="1" outlineLevel="2">
      <c r="B403" s="1177"/>
      <c r="C403" s="536"/>
      <c r="D403" s="537"/>
    </row>
    <row r="404" spans="2:4" hidden="1" outlineLevel="1">
      <c r="B404" s="1177"/>
      <c r="C404" s="536"/>
      <c r="D404" s="537"/>
    </row>
    <row r="405" spans="2:4" hidden="1" outlineLevel="2">
      <c r="B405" s="1177"/>
      <c r="C405" s="536"/>
      <c r="D405" s="537"/>
    </row>
    <row r="406" spans="2:4" hidden="1" outlineLevel="2">
      <c r="B406" s="1177"/>
      <c r="C406" s="536"/>
      <c r="D406" s="537"/>
    </row>
    <row r="407" spans="2:4" hidden="1" outlineLevel="2">
      <c r="B407" s="1177"/>
      <c r="C407" s="536"/>
      <c r="D407" s="537"/>
    </row>
    <row r="408" spans="2:4" hidden="1" outlineLevel="2">
      <c r="B408" s="1177"/>
      <c r="C408" s="536"/>
      <c r="D408" s="537"/>
    </row>
    <row r="409" spans="2:4" hidden="1" outlineLevel="2">
      <c r="B409" s="1177"/>
      <c r="C409" s="536"/>
      <c r="D409" s="537"/>
    </row>
    <row r="410" spans="2:4" hidden="1" outlineLevel="2">
      <c r="B410" s="1177"/>
      <c r="C410" s="536"/>
      <c r="D410" s="537"/>
    </row>
    <row r="411" spans="2:4" hidden="1" outlineLevel="2">
      <c r="B411" s="1177"/>
      <c r="C411" s="536"/>
      <c r="D411" s="537"/>
    </row>
    <row r="412" spans="2:4" hidden="1" outlineLevel="2">
      <c r="B412" s="1177"/>
      <c r="C412" s="536"/>
      <c r="D412" s="537"/>
    </row>
    <row r="413" spans="2:4" hidden="1" outlineLevel="2">
      <c r="B413" s="1177"/>
      <c r="C413" s="536"/>
      <c r="D413" s="537"/>
    </row>
    <row r="414" spans="2:4" hidden="1" outlineLevel="1">
      <c r="B414" s="1177"/>
      <c r="C414" s="536"/>
      <c r="D414" s="537"/>
    </row>
    <row r="415" spans="2:4" hidden="1" outlineLevel="2">
      <c r="B415" s="1177"/>
      <c r="C415" s="536"/>
      <c r="D415" s="537"/>
    </row>
    <row r="416" spans="2:4" hidden="1" outlineLevel="2">
      <c r="B416" s="1177"/>
      <c r="C416" s="536"/>
      <c r="D416" s="537"/>
    </row>
    <row r="417" spans="2:4" hidden="1" outlineLevel="2">
      <c r="B417" s="1177"/>
      <c r="C417" s="536"/>
      <c r="D417" s="537"/>
    </row>
    <row r="418" spans="2:4" hidden="1" outlineLevel="2">
      <c r="B418" s="1177"/>
      <c r="C418" s="536"/>
      <c r="D418" s="537"/>
    </row>
    <row r="419" spans="2:4" hidden="1" outlineLevel="2">
      <c r="B419" s="1177"/>
      <c r="C419" s="536"/>
      <c r="D419" s="537"/>
    </row>
    <row r="420" spans="2:4" hidden="1" outlineLevel="2">
      <c r="B420" s="1177"/>
      <c r="C420" s="536"/>
      <c r="D420" s="537"/>
    </row>
    <row r="421" spans="2:4" hidden="1" outlineLevel="2">
      <c r="B421" s="1177"/>
      <c r="C421" s="536"/>
      <c r="D421" s="537"/>
    </row>
    <row r="422" spans="2:4" hidden="1" outlineLevel="2">
      <c r="B422" s="1177"/>
      <c r="C422" s="536"/>
      <c r="D422" s="537"/>
    </row>
    <row r="423" spans="2:4" hidden="1" outlineLevel="2">
      <c r="B423" s="1177"/>
      <c r="C423" s="536"/>
      <c r="D423" s="537"/>
    </row>
    <row r="424" spans="2:4" hidden="1" outlineLevel="1">
      <c r="B424" s="1177"/>
      <c r="C424" s="536"/>
      <c r="D424" s="537"/>
    </row>
    <row r="425" spans="2:4" hidden="1" outlineLevel="2">
      <c r="B425" s="1177"/>
      <c r="C425" s="536"/>
      <c r="D425" s="537"/>
    </row>
    <row r="426" spans="2:4" hidden="1" outlineLevel="2">
      <c r="B426" s="1177"/>
      <c r="C426" s="536"/>
      <c r="D426" s="537"/>
    </row>
    <row r="427" spans="2:4" hidden="1" outlineLevel="2">
      <c r="B427" s="1177"/>
      <c r="C427" s="536"/>
      <c r="D427" s="537"/>
    </row>
    <row r="428" spans="2:4" hidden="1" outlineLevel="2">
      <c r="B428" s="1177"/>
      <c r="C428" s="536"/>
      <c r="D428" s="537"/>
    </row>
    <row r="429" spans="2:4" hidden="1" outlineLevel="2">
      <c r="B429" s="1177"/>
      <c r="C429" s="536"/>
      <c r="D429" s="537"/>
    </row>
    <row r="430" spans="2:4" hidden="1" outlineLevel="2">
      <c r="B430" s="1177"/>
      <c r="C430" s="536"/>
      <c r="D430" s="537"/>
    </row>
    <row r="431" spans="2:4" hidden="1" outlineLevel="2">
      <c r="B431" s="1177"/>
      <c r="C431" s="536"/>
      <c r="D431" s="537"/>
    </row>
    <row r="432" spans="2:4" hidden="1" outlineLevel="2">
      <c r="B432" s="1177"/>
      <c r="C432" s="536"/>
      <c r="D432" s="537"/>
    </row>
    <row r="433" spans="2:4" hidden="1" outlineLevel="2">
      <c r="B433" s="1177"/>
      <c r="C433" s="536"/>
      <c r="D433" s="537"/>
    </row>
    <row r="434" spans="2:4" hidden="1" outlineLevel="1">
      <c r="B434" s="1177"/>
      <c r="C434" s="536"/>
      <c r="D434" s="537"/>
    </row>
    <row r="435" spans="2:4" hidden="1" outlineLevel="2">
      <c r="B435" s="1177"/>
      <c r="C435" s="536"/>
      <c r="D435" s="537"/>
    </row>
    <row r="436" spans="2:4" hidden="1" outlineLevel="2">
      <c r="B436" s="1177"/>
      <c r="C436" s="536"/>
      <c r="D436" s="537"/>
    </row>
    <row r="437" spans="2:4" hidden="1" outlineLevel="2">
      <c r="B437" s="1177"/>
      <c r="C437" s="536"/>
      <c r="D437" s="537"/>
    </row>
    <row r="438" spans="2:4" hidden="1" outlineLevel="2">
      <c r="B438" s="1177"/>
      <c r="C438" s="536"/>
      <c r="D438" s="537"/>
    </row>
    <row r="439" spans="2:4" hidden="1" outlineLevel="2">
      <c r="B439" s="1177"/>
      <c r="C439" s="536"/>
      <c r="D439" s="537"/>
    </row>
    <row r="440" spans="2:4" hidden="1" outlineLevel="2">
      <c r="B440" s="1177"/>
      <c r="C440" s="536"/>
      <c r="D440" s="537"/>
    </row>
    <row r="441" spans="2:4" hidden="1" outlineLevel="2">
      <c r="B441" s="1177"/>
      <c r="C441" s="536"/>
      <c r="D441" s="537"/>
    </row>
    <row r="442" spans="2:4" hidden="1" outlineLevel="2">
      <c r="B442" s="1177"/>
      <c r="C442" s="536"/>
      <c r="D442" s="537"/>
    </row>
    <row r="443" spans="2:4" hidden="1" outlineLevel="2">
      <c r="B443" s="1177"/>
      <c r="C443" s="536"/>
      <c r="D443" s="537"/>
    </row>
    <row r="444" spans="2:4" hidden="1" outlineLevel="1">
      <c r="B444" s="1177"/>
      <c r="C444" s="536"/>
      <c r="D444" s="537"/>
    </row>
    <row r="445" spans="2:4" hidden="1" outlineLevel="2">
      <c r="B445" s="1177"/>
      <c r="C445" s="536"/>
      <c r="D445" s="537"/>
    </row>
    <row r="446" spans="2:4" hidden="1" outlineLevel="2">
      <c r="B446" s="1177"/>
      <c r="C446" s="536"/>
      <c r="D446" s="537"/>
    </row>
    <row r="447" spans="2:4" hidden="1" outlineLevel="2">
      <c r="B447" s="1177"/>
      <c r="C447" s="536"/>
      <c r="D447" s="537"/>
    </row>
    <row r="448" spans="2:4" hidden="1" outlineLevel="2">
      <c r="B448" s="1177"/>
      <c r="C448" s="536"/>
      <c r="D448" s="537"/>
    </row>
    <row r="449" spans="2:4" hidden="1" outlineLevel="2">
      <c r="B449" s="1177"/>
      <c r="C449" s="536"/>
      <c r="D449" s="537"/>
    </row>
    <row r="450" spans="2:4" hidden="1" outlineLevel="2">
      <c r="B450" s="1177"/>
      <c r="C450" s="536"/>
      <c r="D450" s="537"/>
    </row>
    <row r="451" spans="2:4" hidden="1" outlineLevel="2">
      <c r="B451" s="1177"/>
      <c r="C451" s="536"/>
      <c r="D451" s="537"/>
    </row>
    <row r="452" spans="2:4" hidden="1" outlineLevel="2">
      <c r="B452" s="1177"/>
      <c r="C452" s="536"/>
      <c r="D452" s="537"/>
    </row>
    <row r="453" spans="2:4" hidden="1" outlineLevel="2">
      <c r="B453" s="1177"/>
      <c r="C453" s="536"/>
      <c r="D453" s="537"/>
    </row>
    <row r="454" spans="2:4" hidden="1" outlineLevel="1">
      <c r="B454" s="1177"/>
      <c r="C454" s="536"/>
      <c r="D454" s="537"/>
    </row>
    <row r="455" spans="2:4" hidden="1" outlineLevel="2">
      <c r="B455" s="1177"/>
      <c r="C455" s="536"/>
      <c r="D455" s="537"/>
    </row>
    <row r="456" spans="2:4" hidden="1" outlineLevel="2">
      <c r="B456" s="1177"/>
      <c r="C456" s="536"/>
      <c r="D456" s="537"/>
    </row>
    <row r="457" spans="2:4" hidden="1" outlineLevel="2">
      <c r="B457" s="1177"/>
      <c r="C457" s="536"/>
      <c r="D457" s="537"/>
    </row>
    <row r="458" spans="2:4" hidden="1" outlineLevel="2">
      <c r="B458" s="1177"/>
      <c r="C458" s="536"/>
      <c r="D458" s="537"/>
    </row>
    <row r="459" spans="2:4" hidden="1" outlineLevel="2">
      <c r="B459" s="1177"/>
      <c r="C459" s="536"/>
      <c r="D459" s="537"/>
    </row>
    <row r="460" spans="2:4" hidden="1" outlineLevel="2">
      <c r="B460" s="1177"/>
      <c r="C460" s="536"/>
      <c r="D460" s="537"/>
    </row>
    <row r="461" spans="2:4" hidden="1" outlineLevel="2">
      <c r="B461" s="1177"/>
      <c r="C461" s="536"/>
      <c r="D461" s="537"/>
    </row>
    <row r="462" spans="2:4" hidden="1" outlineLevel="2">
      <c r="B462" s="1177"/>
      <c r="C462" s="536"/>
      <c r="D462" s="537"/>
    </row>
    <row r="463" spans="2:4" hidden="1" outlineLevel="2">
      <c r="B463" s="1177"/>
      <c r="C463" s="536"/>
      <c r="D463" s="537"/>
    </row>
    <row r="464" spans="2:4" hidden="1" outlineLevel="1">
      <c r="B464" s="1177"/>
      <c r="C464" s="536"/>
      <c r="D464" s="537"/>
    </row>
    <row r="465" spans="2:4" hidden="1" outlineLevel="2">
      <c r="B465" s="1177"/>
      <c r="C465" s="536"/>
      <c r="D465" s="537"/>
    </row>
    <row r="466" spans="2:4" hidden="1" outlineLevel="2">
      <c r="B466" s="1177"/>
      <c r="C466" s="536"/>
      <c r="D466" s="537"/>
    </row>
    <row r="467" spans="2:4" hidden="1" outlineLevel="2">
      <c r="B467" s="1177"/>
      <c r="C467" s="536"/>
      <c r="D467" s="537"/>
    </row>
    <row r="468" spans="2:4" hidden="1" outlineLevel="2">
      <c r="B468" s="1177"/>
      <c r="C468" s="536"/>
      <c r="D468" s="537"/>
    </row>
    <row r="469" spans="2:4" hidden="1" outlineLevel="2">
      <c r="B469" s="1177"/>
      <c r="C469" s="536"/>
      <c r="D469" s="537"/>
    </row>
    <row r="470" spans="2:4" hidden="1" outlineLevel="2">
      <c r="B470" s="1177"/>
      <c r="C470" s="536"/>
      <c r="D470" s="537"/>
    </row>
    <row r="471" spans="2:4" hidden="1" outlineLevel="2">
      <c r="B471" s="1177"/>
      <c r="C471" s="536"/>
      <c r="D471" s="537"/>
    </row>
    <row r="472" spans="2:4" hidden="1" outlineLevel="2">
      <c r="B472" s="1177"/>
      <c r="C472" s="536"/>
      <c r="D472" s="537"/>
    </row>
    <row r="473" spans="2:4" hidden="1" outlineLevel="2">
      <c r="B473" s="1177"/>
      <c r="C473" s="536"/>
      <c r="D473" s="537"/>
    </row>
    <row r="474" spans="2:4" hidden="1" outlineLevel="1">
      <c r="B474" s="1177"/>
      <c r="C474" s="536"/>
      <c r="D474" s="537"/>
    </row>
    <row r="475" spans="2:4" hidden="1" outlineLevel="2">
      <c r="B475" s="1177"/>
      <c r="C475" s="536"/>
      <c r="D475" s="537"/>
    </row>
    <row r="476" spans="2:4" hidden="1" outlineLevel="2">
      <c r="B476" s="1177"/>
      <c r="C476" s="536"/>
      <c r="D476" s="537"/>
    </row>
    <row r="477" spans="2:4" hidden="1" outlineLevel="2">
      <c r="B477" s="1177"/>
      <c r="C477" s="536"/>
      <c r="D477" s="537"/>
    </row>
    <row r="478" spans="2:4" hidden="1" outlineLevel="2">
      <c r="B478" s="1177"/>
      <c r="C478" s="536"/>
      <c r="D478" s="537"/>
    </row>
    <row r="479" spans="2:4" hidden="1" outlineLevel="2">
      <c r="B479" s="1177"/>
      <c r="C479" s="536"/>
      <c r="D479" s="537"/>
    </row>
    <row r="480" spans="2:4" hidden="1" outlineLevel="2">
      <c r="B480" s="1177"/>
      <c r="C480" s="536"/>
      <c r="D480" s="537"/>
    </row>
    <row r="481" spans="2:4" hidden="1" outlineLevel="2">
      <c r="B481" s="1177"/>
      <c r="C481" s="536"/>
      <c r="D481" s="537"/>
    </row>
    <row r="482" spans="2:4" hidden="1" outlineLevel="2">
      <c r="B482" s="1177"/>
      <c r="C482" s="536"/>
      <c r="D482" s="537"/>
    </row>
    <row r="483" spans="2:4" hidden="1" outlineLevel="2">
      <c r="B483" s="1177"/>
      <c r="C483" s="536"/>
      <c r="D483" s="537"/>
    </row>
    <row r="484" spans="2:4" hidden="1" outlineLevel="1">
      <c r="B484" s="1177"/>
      <c r="C484" s="536"/>
      <c r="D484" s="537"/>
    </row>
    <row r="485" spans="2:4" hidden="1" outlineLevel="2">
      <c r="B485" s="1177"/>
      <c r="C485" s="536"/>
      <c r="D485" s="537"/>
    </row>
    <row r="486" spans="2:4" hidden="1" outlineLevel="2">
      <c r="B486" s="1177"/>
      <c r="C486" s="536"/>
      <c r="D486" s="537"/>
    </row>
    <row r="487" spans="2:4" hidden="1" outlineLevel="2">
      <c r="B487" s="1177"/>
      <c r="C487" s="536"/>
      <c r="D487" s="537"/>
    </row>
    <row r="488" spans="2:4" hidden="1" outlineLevel="2">
      <c r="B488" s="1177"/>
      <c r="C488" s="536"/>
      <c r="D488" s="537"/>
    </row>
    <row r="489" spans="2:4" hidden="1" outlineLevel="2">
      <c r="B489" s="1177"/>
      <c r="C489" s="536"/>
      <c r="D489" s="537"/>
    </row>
    <row r="490" spans="2:4" hidden="1" outlineLevel="2">
      <c r="B490" s="1177"/>
      <c r="C490" s="536"/>
      <c r="D490" s="537"/>
    </row>
    <row r="491" spans="2:4" hidden="1" outlineLevel="2">
      <c r="B491" s="1177"/>
      <c r="C491" s="536"/>
      <c r="D491" s="537"/>
    </row>
    <row r="492" spans="2:4" hidden="1" outlineLevel="2">
      <c r="B492" s="1177"/>
      <c r="C492" s="536"/>
      <c r="D492" s="537"/>
    </row>
    <row r="493" spans="2:4" hidden="1" outlineLevel="2">
      <c r="B493" s="1177"/>
      <c r="C493" s="536"/>
      <c r="D493" s="537"/>
    </row>
    <row r="494" spans="2:4" hidden="1" outlineLevel="1">
      <c r="B494" s="1177"/>
      <c r="C494" s="536"/>
      <c r="D494" s="537"/>
    </row>
    <row r="495" spans="2:4" hidden="1" outlineLevel="2">
      <c r="B495" s="1177"/>
      <c r="C495" s="536"/>
      <c r="D495" s="537"/>
    </row>
    <row r="496" spans="2:4" hidden="1" outlineLevel="2">
      <c r="B496" s="1177"/>
      <c r="C496" s="536"/>
      <c r="D496" s="537"/>
    </row>
    <row r="497" spans="2:4" hidden="1" outlineLevel="2">
      <c r="B497" s="1177"/>
      <c r="C497" s="536"/>
      <c r="D497" s="537"/>
    </row>
    <row r="498" spans="2:4" hidden="1" outlineLevel="2">
      <c r="B498" s="1177"/>
      <c r="C498" s="536"/>
      <c r="D498" s="537"/>
    </row>
    <row r="499" spans="2:4" hidden="1" outlineLevel="2">
      <c r="B499" s="1177"/>
      <c r="C499" s="536"/>
      <c r="D499" s="537"/>
    </row>
    <row r="500" spans="2:4" hidden="1" outlineLevel="2">
      <c r="B500" s="1177"/>
      <c r="C500" s="536"/>
      <c r="D500" s="537"/>
    </row>
    <row r="501" spans="2:4" hidden="1" outlineLevel="2">
      <c r="B501" s="1177"/>
      <c r="C501" s="536"/>
      <c r="D501" s="537"/>
    </row>
    <row r="502" spans="2:4" hidden="1" outlineLevel="2">
      <c r="B502" s="1177"/>
      <c r="C502" s="536"/>
      <c r="D502" s="537"/>
    </row>
    <row r="503" spans="2:4" hidden="1" outlineLevel="2">
      <c r="B503" s="1177"/>
      <c r="C503" s="536"/>
      <c r="D503" s="537"/>
    </row>
    <row r="504" spans="2:4" hidden="1" outlineLevel="1">
      <c r="B504" s="1177"/>
      <c r="C504" s="536"/>
      <c r="D504" s="537"/>
    </row>
    <row r="505" spans="2:4" hidden="1" outlineLevel="2">
      <c r="B505" s="1177"/>
      <c r="C505" s="536"/>
      <c r="D505" s="537"/>
    </row>
    <row r="506" spans="2:4" hidden="1" outlineLevel="2">
      <c r="B506" s="1177"/>
      <c r="C506" s="536"/>
      <c r="D506" s="537"/>
    </row>
    <row r="507" spans="2:4" hidden="1" outlineLevel="2">
      <c r="B507" s="1177"/>
      <c r="C507" s="536"/>
      <c r="D507" s="537"/>
    </row>
    <row r="508" spans="2:4" hidden="1" outlineLevel="2">
      <c r="B508" s="1177"/>
      <c r="C508" s="536"/>
      <c r="D508" s="537"/>
    </row>
    <row r="509" spans="2:4" hidden="1" outlineLevel="2">
      <c r="B509" s="1177"/>
      <c r="C509" s="536"/>
      <c r="D509" s="537"/>
    </row>
    <row r="510" spans="2:4" hidden="1" outlineLevel="2">
      <c r="B510" s="1177"/>
      <c r="C510" s="536"/>
      <c r="D510" s="537"/>
    </row>
    <row r="511" spans="2:4" hidden="1" outlineLevel="2">
      <c r="B511" s="1177"/>
      <c r="C511" s="536"/>
      <c r="D511" s="537"/>
    </row>
    <row r="512" spans="2:4" hidden="1" outlineLevel="2">
      <c r="B512" s="1177"/>
      <c r="C512" s="536"/>
      <c r="D512" s="537"/>
    </row>
    <row r="513" spans="2:4" hidden="1" outlineLevel="2">
      <c r="B513" s="1177"/>
      <c r="C513" s="536"/>
      <c r="D513" s="537"/>
    </row>
    <row r="514" spans="2:4" hidden="1" outlineLevel="1">
      <c r="B514" s="1177"/>
      <c r="C514" s="536"/>
      <c r="D514" s="537"/>
    </row>
    <row r="515" spans="2:4" hidden="1" outlineLevel="2">
      <c r="B515" s="1177"/>
      <c r="C515" s="536"/>
      <c r="D515" s="537"/>
    </row>
    <row r="516" spans="2:4" hidden="1" outlineLevel="2">
      <c r="B516" s="1177"/>
      <c r="C516" s="536"/>
      <c r="D516" s="537"/>
    </row>
    <row r="517" spans="2:4" hidden="1" outlineLevel="2">
      <c r="B517" s="1177"/>
      <c r="C517" s="536"/>
      <c r="D517" s="537"/>
    </row>
    <row r="518" spans="2:4" hidden="1" outlineLevel="2">
      <c r="B518" s="1177"/>
      <c r="C518" s="536"/>
      <c r="D518" s="537"/>
    </row>
    <row r="519" spans="2:4" hidden="1" outlineLevel="2">
      <c r="B519" s="1177"/>
      <c r="C519" s="536"/>
      <c r="D519" s="537"/>
    </row>
    <row r="520" spans="2:4" hidden="1" outlineLevel="2">
      <c r="B520" s="1177"/>
      <c r="C520" s="536"/>
      <c r="D520" s="537"/>
    </row>
    <row r="521" spans="2:4" hidden="1" outlineLevel="2">
      <c r="B521" s="1177"/>
      <c r="C521" s="536"/>
      <c r="D521" s="537"/>
    </row>
    <row r="522" spans="2:4" hidden="1" outlineLevel="2">
      <c r="B522" s="1177"/>
      <c r="C522" s="536"/>
      <c r="D522" s="537"/>
    </row>
    <row r="523" spans="2:4" hidden="1" outlineLevel="2">
      <c r="B523" s="1177"/>
      <c r="C523" s="536"/>
      <c r="D523" s="537"/>
    </row>
    <row r="524" spans="2:4" hidden="1" outlineLevel="1">
      <c r="B524" s="1177"/>
      <c r="C524" s="536"/>
      <c r="D524" s="537"/>
    </row>
    <row r="525" spans="2:4" hidden="1" outlineLevel="2">
      <c r="B525" s="1177"/>
      <c r="C525" s="536"/>
      <c r="D525" s="537"/>
    </row>
    <row r="526" spans="2:4" hidden="1" outlineLevel="2">
      <c r="B526" s="1177"/>
      <c r="C526" s="536"/>
      <c r="D526" s="537"/>
    </row>
    <row r="527" spans="2:4" hidden="1" outlineLevel="2">
      <c r="B527" s="1177"/>
      <c r="C527" s="536"/>
      <c r="D527" s="537"/>
    </row>
    <row r="528" spans="2:4" hidden="1" outlineLevel="2">
      <c r="B528" s="1177"/>
      <c r="C528" s="536"/>
      <c r="D528" s="537"/>
    </row>
    <row r="529" spans="2:4" hidden="1" outlineLevel="2">
      <c r="B529" s="1177"/>
      <c r="C529" s="536"/>
      <c r="D529" s="537"/>
    </row>
    <row r="530" spans="2:4" hidden="1" outlineLevel="2">
      <c r="B530" s="1177"/>
      <c r="C530" s="536"/>
      <c r="D530" s="537"/>
    </row>
    <row r="531" spans="2:4" hidden="1" outlineLevel="2">
      <c r="B531" s="1177"/>
      <c r="C531" s="536"/>
      <c r="D531" s="537"/>
    </row>
    <row r="532" spans="2:4" hidden="1" outlineLevel="2">
      <c r="B532" s="1177"/>
      <c r="C532" s="536"/>
      <c r="D532" s="537"/>
    </row>
    <row r="533" spans="2:4" hidden="1" outlineLevel="2">
      <c r="B533" s="1177"/>
      <c r="C533" s="536"/>
      <c r="D533" s="537"/>
    </row>
    <row r="534" spans="2:4" hidden="1" outlineLevel="1">
      <c r="B534" s="1177"/>
      <c r="C534" s="536"/>
      <c r="D534" s="537"/>
    </row>
    <row r="535" spans="2:4" hidden="1" outlineLevel="2">
      <c r="B535" s="1177"/>
      <c r="C535" s="536"/>
      <c r="D535" s="537"/>
    </row>
    <row r="536" spans="2:4" hidden="1" outlineLevel="2">
      <c r="B536" s="1177"/>
      <c r="C536" s="536"/>
      <c r="D536" s="537"/>
    </row>
    <row r="537" spans="2:4" hidden="1" outlineLevel="2">
      <c r="B537" s="1177"/>
      <c r="C537" s="536"/>
      <c r="D537" s="537"/>
    </row>
    <row r="538" spans="2:4" hidden="1" outlineLevel="2">
      <c r="B538" s="1177"/>
      <c r="C538" s="536"/>
      <c r="D538" s="537"/>
    </row>
    <row r="539" spans="2:4" hidden="1" outlineLevel="2">
      <c r="B539" s="1177"/>
      <c r="C539" s="536"/>
      <c r="D539" s="537"/>
    </row>
    <row r="540" spans="2:4" hidden="1" outlineLevel="2">
      <c r="B540" s="1177"/>
      <c r="C540" s="536"/>
      <c r="D540" s="537"/>
    </row>
    <row r="541" spans="2:4" hidden="1" outlineLevel="2">
      <c r="B541" s="1177"/>
      <c r="C541" s="536"/>
      <c r="D541" s="537"/>
    </row>
    <row r="542" spans="2:4" hidden="1" outlineLevel="2">
      <c r="B542" s="1177"/>
      <c r="C542" s="536"/>
      <c r="D542" s="537"/>
    </row>
    <row r="543" spans="2:4" hidden="1" outlineLevel="2">
      <c r="B543" s="1177"/>
      <c r="C543" s="536"/>
      <c r="D543" s="537"/>
    </row>
    <row r="544" spans="2:4" hidden="1" outlineLevel="1">
      <c r="B544" s="1177"/>
      <c r="C544" s="536"/>
      <c r="D544" s="537"/>
    </row>
    <row r="545" spans="2:4" hidden="1" outlineLevel="2">
      <c r="B545" s="1177"/>
      <c r="C545" s="536"/>
      <c r="D545" s="537"/>
    </row>
    <row r="546" spans="2:4" hidden="1" outlineLevel="2">
      <c r="B546" s="1177"/>
      <c r="C546" s="536"/>
      <c r="D546" s="537"/>
    </row>
    <row r="547" spans="2:4" hidden="1" outlineLevel="2">
      <c r="B547" s="1177"/>
      <c r="C547" s="536"/>
      <c r="D547" s="537"/>
    </row>
    <row r="548" spans="2:4" hidden="1" outlineLevel="2">
      <c r="B548" s="1177"/>
      <c r="C548" s="536"/>
      <c r="D548" s="537"/>
    </row>
    <row r="549" spans="2:4" hidden="1" outlineLevel="2">
      <c r="B549" s="1177"/>
      <c r="C549" s="536"/>
      <c r="D549" s="537"/>
    </row>
    <row r="550" spans="2:4" hidden="1" outlineLevel="2">
      <c r="B550" s="1177"/>
      <c r="C550" s="536"/>
      <c r="D550" s="537"/>
    </row>
    <row r="551" spans="2:4" hidden="1" outlineLevel="2">
      <c r="B551" s="1177"/>
      <c r="C551" s="536"/>
      <c r="D551" s="537"/>
    </row>
    <row r="552" spans="2:4" hidden="1" outlineLevel="2">
      <c r="B552" s="1177"/>
      <c r="C552" s="536"/>
      <c r="D552" s="537"/>
    </row>
    <row r="553" spans="2:4" hidden="1" outlineLevel="2">
      <c r="B553" s="1177"/>
      <c r="C553" s="536"/>
      <c r="D553" s="537"/>
    </row>
    <row r="554" spans="2:4" hidden="1" outlineLevel="1">
      <c r="B554" s="1177"/>
      <c r="C554" s="536"/>
      <c r="D554" s="537"/>
    </row>
    <row r="555" spans="2:4" hidden="1" outlineLevel="2">
      <c r="B555" s="1177"/>
      <c r="C555" s="536"/>
      <c r="D555" s="537"/>
    </row>
    <row r="556" spans="2:4" hidden="1" outlineLevel="2">
      <c r="B556" s="1177"/>
      <c r="C556" s="536"/>
      <c r="D556" s="537"/>
    </row>
    <row r="557" spans="2:4" hidden="1" outlineLevel="2">
      <c r="B557" s="1177"/>
      <c r="C557" s="536"/>
      <c r="D557" s="537"/>
    </row>
    <row r="558" spans="2:4" hidden="1" outlineLevel="2">
      <c r="B558" s="1177"/>
      <c r="C558" s="536"/>
      <c r="D558" s="537"/>
    </row>
    <row r="559" spans="2:4" hidden="1" outlineLevel="2">
      <c r="B559" s="1177"/>
      <c r="C559" s="536"/>
      <c r="D559" s="537"/>
    </row>
    <row r="560" spans="2:4" hidden="1" outlineLevel="2">
      <c r="B560" s="1177"/>
      <c r="C560" s="536"/>
      <c r="D560" s="537"/>
    </row>
    <row r="561" spans="2:4" hidden="1" outlineLevel="2">
      <c r="B561" s="1177"/>
      <c r="C561" s="536"/>
      <c r="D561" s="537"/>
    </row>
    <row r="562" spans="2:4" hidden="1" outlineLevel="2">
      <c r="B562" s="1177"/>
      <c r="C562" s="536"/>
      <c r="D562" s="537"/>
    </row>
    <row r="563" spans="2:4" hidden="1" outlineLevel="2">
      <c r="B563" s="1177"/>
      <c r="C563" s="536"/>
      <c r="D563" s="537"/>
    </row>
    <row r="564" spans="2:4" hidden="1" outlineLevel="1">
      <c r="B564" s="1177"/>
      <c r="C564" s="536"/>
      <c r="D564" s="537"/>
    </row>
    <row r="565" spans="2:4" hidden="1" outlineLevel="2">
      <c r="B565" s="1177"/>
      <c r="C565" s="536"/>
      <c r="D565" s="537"/>
    </row>
    <row r="566" spans="2:4" hidden="1" outlineLevel="2">
      <c r="B566" s="1177"/>
      <c r="C566" s="536"/>
      <c r="D566" s="537"/>
    </row>
    <row r="567" spans="2:4" hidden="1" outlineLevel="2">
      <c r="B567" s="1177"/>
      <c r="C567" s="536"/>
      <c r="D567" s="537"/>
    </row>
    <row r="568" spans="2:4" hidden="1" outlineLevel="2">
      <c r="B568" s="1177"/>
      <c r="C568" s="536"/>
      <c r="D568" s="537"/>
    </row>
    <row r="569" spans="2:4" hidden="1" outlineLevel="2">
      <c r="B569" s="1177"/>
      <c r="C569" s="536"/>
      <c r="D569" s="537"/>
    </row>
    <row r="570" spans="2:4" hidden="1" outlineLevel="2">
      <c r="B570" s="1177"/>
      <c r="C570" s="536"/>
      <c r="D570" s="537"/>
    </row>
    <row r="571" spans="2:4" hidden="1" outlineLevel="2">
      <c r="B571" s="1177"/>
      <c r="C571" s="536"/>
      <c r="D571" s="537"/>
    </row>
    <row r="572" spans="2:4" hidden="1" outlineLevel="2">
      <c r="B572" s="1177"/>
      <c r="C572" s="536"/>
      <c r="D572" s="537"/>
    </row>
    <row r="573" spans="2:4" hidden="1" outlineLevel="2">
      <c r="B573" s="1177"/>
      <c r="C573" s="536"/>
      <c r="D573" s="537"/>
    </row>
    <row r="574" spans="2:4" hidden="1" outlineLevel="1">
      <c r="B574" s="1177"/>
      <c r="C574" s="536"/>
      <c r="D574" s="537"/>
    </row>
    <row r="575" spans="2:4" hidden="1" outlineLevel="2">
      <c r="B575" s="1177"/>
      <c r="C575" s="536"/>
      <c r="D575" s="537"/>
    </row>
    <row r="576" spans="2:4" hidden="1" outlineLevel="2">
      <c r="B576" s="1177"/>
      <c r="C576" s="536"/>
      <c r="D576" s="537"/>
    </row>
    <row r="577" spans="2:4" hidden="1" outlineLevel="2">
      <c r="B577" s="1177"/>
      <c r="C577" s="536"/>
      <c r="D577" s="537"/>
    </row>
    <row r="578" spans="2:4" hidden="1" outlineLevel="2">
      <c r="B578" s="1177"/>
      <c r="C578" s="536"/>
      <c r="D578" s="537"/>
    </row>
    <row r="579" spans="2:4" hidden="1" outlineLevel="2">
      <c r="B579" s="1177"/>
      <c r="C579" s="536"/>
      <c r="D579" s="537"/>
    </row>
    <row r="580" spans="2:4" hidden="1" outlineLevel="2">
      <c r="B580" s="1177"/>
      <c r="C580" s="536"/>
      <c r="D580" s="537"/>
    </row>
    <row r="581" spans="2:4" hidden="1" outlineLevel="2">
      <c r="B581" s="1177"/>
      <c r="C581" s="536"/>
      <c r="D581" s="537"/>
    </row>
    <row r="582" spans="2:4" hidden="1" outlineLevel="2">
      <c r="B582" s="1177"/>
      <c r="C582" s="536"/>
      <c r="D582" s="537"/>
    </row>
    <row r="583" spans="2:4" hidden="1" outlineLevel="2">
      <c r="B583" s="1177"/>
      <c r="C583" s="536"/>
      <c r="D583" s="537"/>
    </row>
    <row r="584" spans="2:4" hidden="1" outlineLevel="1">
      <c r="B584" s="1177"/>
      <c r="C584" s="536"/>
      <c r="D584" s="537"/>
    </row>
    <row r="585" spans="2:4" hidden="1" outlineLevel="2">
      <c r="B585" s="1177"/>
      <c r="C585" s="536"/>
      <c r="D585" s="537"/>
    </row>
    <row r="586" spans="2:4" hidden="1" outlineLevel="2">
      <c r="B586" s="1177"/>
      <c r="C586" s="536"/>
      <c r="D586" s="537"/>
    </row>
    <row r="587" spans="2:4" hidden="1" outlineLevel="2">
      <c r="B587" s="1177"/>
      <c r="C587" s="536"/>
      <c r="D587" s="537"/>
    </row>
    <row r="588" spans="2:4" hidden="1" outlineLevel="2">
      <c r="B588" s="1177"/>
      <c r="C588" s="536"/>
      <c r="D588" s="537"/>
    </row>
    <row r="589" spans="2:4" hidden="1" outlineLevel="2">
      <c r="B589" s="1177"/>
      <c r="C589" s="536"/>
      <c r="D589" s="537"/>
    </row>
    <row r="590" spans="2:4" hidden="1" outlineLevel="2">
      <c r="B590" s="1177"/>
      <c r="C590" s="536"/>
      <c r="D590" s="537"/>
    </row>
    <row r="591" spans="2:4" hidden="1" outlineLevel="2">
      <c r="B591" s="1177"/>
      <c r="C591" s="536"/>
      <c r="D591" s="537"/>
    </row>
    <row r="592" spans="2:4" hidden="1" outlineLevel="2">
      <c r="B592" s="1177"/>
      <c r="C592" s="536"/>
      <c r="D592" s="537"/>
    </row>
    <row r="593" spans="2:4" hidden="1" outlineLevel="2">
      <c r="B593" s="1177"/>
      <c r="C593" s="536"/>
      <c r="D593" s="537"/>
    </row>
    <row r="594" spans="2:4" hidden="1" outlineLevel="1">
      <c r="B594" s="1177"/>
      <c r="C594" s="536"/>
      <c r="D594" s="537"/>
    </row>
    <row r="595" spans="2:4" hidden="1" outlineLevel="2">
      <c r="B595" s="1177"/>
      <c r="C595" s="536"/>
      <c r="D595" s="537"/>
    </row>
    <row r="596" spans="2:4" hidden="1" outlineLevel="2">
      <c r="B596" s="1177"/>
      <c r="C596" s="536"/>
      <c r="D596" s="537"/>
    </row>
    <row r="597" spans="2:4" hidden="1" outlineLevel="2">
      <c r="B597" s="1177"/>
      <c r="C597" s="536"/>
      <c r="D597" s="537"/>
    </row>
    <row r="598" spans="2:4" hidden="1" outlineLevel="2">
      <c r="B598" s="1177"/>
      <c r="C598" s="536"/>
      <c r="D598" s="537"/>
    </row>
    <row r="599" spans="2:4" hidden="1" outlineLevel="2">
      <c r="B599" s="1177"/>
      <c r="C599" s="536"/>
      <c r="D599" s="537"/>
    </row>
    <row r="600" spans="2:4" hidden="1" outlineLevel="2">
      <c r="B600" s="1177"/>
      <c r="C600" s="536"/>
      <c r="D600" s="537"/>
    </row>
    <row r="601" spans="2:4" hidden="1" outlineLevel="2">
      <c r="B601" s="1177"/>
      <c r="C601" s="536"/>
      <c r="D601" s="537"/>
    </row>
    <row r="602" spans="2:4" hidden="1" outlineLevel="2">
      <c r="B602" s="1177"/>
      <c r="C602" s="536"/>
      <c r="D602" s="537"/>
    </row>
    <row r="603" spans="2:4" hidden="1" outlineLevel="2">
      <c r="B603" s="1177"/>
      <c r="C603" s="536"/>
      <c r="D603" s="537"/>
    </row>
    <row r="604" spans="2:4" hidden="1" outlineLevel="1">
      <c r="B604" s="1177"/>
      <c r="C604" s="536"/>
      <c r="D604" s="537"/>
    </row>
    <row r="605" spans="2:4" hidden="1" outlineLevel="2">
      <c r="B605" s="1177"/>
      <c r="C605" s="536"/>
      <c r="D605" s="537"/>
    </row>
    <row r="606" spans="2:4" hidden="1" outlineLevel="2">
      <c r="B606" s="1177"/>
      <c r="C606" s="536"/>
      <c r="D606" s="537"/>
    </row>
    <row r="607" spans="2:4" hidden="1" outlineLevel="2">
      <c r="B607" s="1177"/>
      <c r="C607" s="536"/>
      <c r="D607" s="537"/>
    </row>
    <row r="608" spans="2:4" hidden="1" outlineLevel="2">
      <c r="B608" s="1177"/>
      <c r="C608" s="536"/>
      <c r="D608" s="537"/>
    </row>
    <row r="609" spans="2:4" hidden="1" outlineLevel="2">
      <c r="B609" s="1177"/>
      <c r="C609" s="536"/>
      <c r="D609" s="537"/>
    </row>
    <row r="610" spans="2:4" hidden="1" outlineLevel="2">
      <c r="B610" s="1177"/>
      <c r="C610" s="536"/>
      <c r="D610" s="537"/>
    </row>
    <row r="611" spans="2:4" hidden="1" outlineLevel="2">
      <c r="B611" s="1177"/>
      <c r="C611" s="536"/>
      <c r="D611" s="537"/>
    </row>
    <row r="612" spans="2:4" hidden="1" outlineLevel="2">
      <c r="B612" s="1177"/>
      <c r="C612" s="536"/>
      <c r="D612" s="537"/>
    </row>
    <row r="613" spans="2:4" hidden="1" outlineLevel="2">
      <c r="B613" s="1177"/>
      <c r="C613" s="536"/>
      <c r="D613" s="537"/>
    </row>
    <row r="614" spans="2:4" hidden="1" outlineLevel="1">
      <c r="B614" s="1177"/>
      <c r="C614" s="536"/>
      <c r="D614" s="537"/>
    </row>
    <row r="615" spans="2:4" hidden="1" outlineLevel="2">
      <c r="B615" s="1177"/>
      <c r="C615" s="536"/>
      <c r="D615" s="537"/>
    </row>
    <row r="616" spans="2:4" hidden="1" outlineLevel="2">
      <c r="B616" s="1177"/>
      <c r="C616" s="536"/>
      <c r="D616" s="537"/>
    </row>
    <row r="617" spans="2:4" hidden="1" outlineLevel="2">
      <c r="B617" s="1177"/>
      <c r="C617" s="536"/>
      <c r="D617" s="537"/>
    </row>
    <row r="618" spans="2:4" hidden="1" outlineLevel="2">
      <c r="B618" s="1177"/>
      <c r="C618" s="536"/>
      <c r="D618" s="537"/>
    </row>
    <row r="619" spans="2:4" hidden="1" outlineLevel="2">
      <c r="B619" s="1177"/>
      <c r="C619" s="536"/>
      <c r="D619" s="537"/>
    </row>
    <row r="620" spans="2:4" hidden="1" outlineLevel="2">
      <c r="B620" s="1177"/>
      <c r="C620" s="536"/>
      <c r="D620" s="537"/>
    </row>
    <row r="621" spans="2:4" hidden="1" outlineLevel="2">
      <c r="B621" s="1177"/>
      <c r="C621" s="536"/>
      <c r="D621" s="537"/>
    </row>
    <row r="622" spans="2:4" hidden="1" outlineLevel="2">
      <c r="B622" s="1177"/>
      <c r="C622" s="536"/>
      <c r="D622" s="537"/>
    </row>
    <row r="623" spans="2:4" hidden="1" outlineLevel="2">
      <c r="B623" s="1177"/>
      <c r="C623" s="536"/>
      <c r="D623" s="537"/>
    </row>
    <row r="624" spans="2:4" hidden="1" outlineLevel="1">
      <c r="B624" s="1177"/>
      <c r="C624" s="536"/>
      <c r="D624" s="537"/>
    </row>
    <row r="625" spans="2:4" hidden="1" outlineLevel="2">
      <c r="B625" s="1177"/>
      <c r="C625" s="536"/>
      <c r="D625" s="537"/>
    </row>
    <row r="626" spans="2:4" hidden="1" outlineLevel="2">
      <c r="B626" s="1177"/>
      <c r="C626" s="536"/>
      <c r="D626" s="537"/>
    </row>
    <row r="627" spans="2:4" hidden="1" outlineLevel="2">
      <c r="B627" s="1177"/>
      <c r="C627" s="536"/>
      <c r="D627" s="537"/>
    </row>
    <row r="628" spans="2:4" hidden="1" outlineLevel="2">
      <c r="B628" s="1177"/>
      <c r="C628" s="536"/>
      <c r="D628" s="537"/>
    </row>
    <row r="629" spans="2:4" hidden="1" outlineLevel="2">
      <c r="B629" s="1177"/>
      <c r="C629" s="536"/>
      <c r="D629" s="537"/>
    </row>
    <row r="630" spans="2:4" hidden="1" outlineLevel="2">
      <c r="B630" s="1177"/>
      <c r="C630" s="536"/>
      <c r="D630" s="537"/>
    </row>
    <row r="631" spans="2:4" hidden="1" outlineLevel="2">
      <c r="B631" s="1177"/>
      <c r="C631" s="536"/>
      <c r="D631" s="537"/>
    </row>
    <row r="632" spans="2:4" hidden="1" outlineLevel="2">
      <c r="B632" s="1177"/>
      <c r="C632" s="536"/>
      <c r="D632" s="537"/>
    </row>
    <row r="633" spans="2:4" hidden="1" outlineLevel="2">
      <c r="B633" s="1177"/>
      <c r="C633" s="536"/>
      <c r="D633" s="537"/>
    </row>
    <row r="634" spans="2:4" hidden="1" outlineLevel="1">
      <c r="B634" s="1177"/>
      <c r="C634" s="536"/>
      <c r="D634" s="537"/>
    </row>
    <row r="635" spans="2:4" hidden="1" outlineLevel="2">
      <c r="B635" s="1177"/>
      <c r="C635" s="536"/>
      <c r="D635" s="537"/>
    </row>
    <row r="636" spans="2:4" hidden="1" outlineLevel="2">
      <c r="B636" s="1177"/>
      <c r="C636" s="536"/>
      <c r="D636" s="537"/>
    </row>
    <row r="637" spans="2:4" hidden="1" outlineLevel="2">
      <c r="B637" s="1177"/>
      <c r="C637" s="536"/>
      <c r="D637" s="537"/>
    </row>
    <row r="638" spans="2:4" hidden="1" outlineLevel="2">
      <c r="B638" s="1177"/>
      <c r="C638" s="536"/>
      <c r="D638" s="537"/>
    </row>
    <row r="639" spans="2:4" hidden="1" outlineLevel="2">
      <c r="B639" s="1177"/>
      <c r="C639" s="536"/>
      <c r="D639" s="537"/>
    </row>
    <row r="640" spans="2:4" hidden="1" outlineLevel="2">
      <c r="B640" s="1177"/>
      <c r="C640" s="536"/>
      <c r="D640" s="537"/>
    </row>
    <row r="641" spans="2:4" hidden="1" outlineLevel="2">
      <c r="B641" s="1177"/>
      <c r="C641" s="536"/>
      <c r="D641" s="537"/>
    </row>
    <row r="642" spans="2:4" hidden="1" outlineLevel="2">
      <c r="B642" s="1177"/>
      <c r="C642" s="536"/>
      <c r="D642" s="537"/>
    </row>
    <row r="643" spans="2:4" hidden="1" outlineLevel="2">
      <c r="B643" s="1177"/>
      <c r="C643" s="536"/>
      <c r="D643" s="537"/>
    </row>
    <row r="644" spans="2:4" hidden="1" outlineLevel="1">
      <c r="B644" s="1177"/>
      <c r="C644" s="536"/>
      <c r="D644" s="537"/>
    </row>
    <row r="645" spans="2:4" hidden="1" outlineLevel="2">
      <c r="B645" s="1177"/>
      <c r="C645" s="536"/>
      <c r="D645" s="537"/>
    </row>
    <row r="646" spans="2:4" hidden="1" outlineLevel="2">
      <c r="B646" s="1177"/>
      <c r="C646" s="536"/>
      <c r="D646" s="537"/>
    </row>
    <row r="647" spans="2:4" hidden="1" outlineLevel="2">
      <c r="B647" s="1177"/>
      <c r="C647" s="536"/>
      <c r="D647" s="537"/>
    </row>
    <row r="648" spans="2:4" hidden="1" outlineLevel="2">
      <c r="B648" s="1177"/>
      <c r="C648" s="536"/>
      <c r="D648" s="537"/>
    </row>
    <row r="649" spans="2:4" hidden="1" outlineLevel="2">
      <c r="B649" s="1177"/>
      <c r="C649" s="536"/>
      <c r="D649" s="537"/>
    </row>
    <row r="650" spans="2:4" hidden="1" outlineLevel="2">
      <c r="B650" s="1177"/>
      <c r="C650" s="536"/>
      <c r="D650" s="537"/>
    </row>
    <row r="651" spans="2:4" hidden="1" outlineLevel="2">
      <c r="B651" s="1177"/>
      <c r="C651" s="536"/>
      <c r="D651" s="537"/>
    </row>
    <row r="652" spans="2:4" hidden="1" outlineLevel="2">
      <c r="B652" s="1177"/>
      <c r="C652" s="536"/>
      <c r="D652" s="537"/>
    </row>
    <row r="653" spans="2:4" hidden="1" outlineLevel="2">
      <c r="B653" s="1177"/>
      <c r="C653" s="536"/>
      <c r="D653" s="537"/>
    </row>
    <row r="654" spans="2:4" hidden="1" outlineLevel="1">
      <c r="B654" s="1177"/>
      <c r="C654" s="536"/>
      <c r="D654" s="537"/>
    </row>
    <row r="655" spans="2:4" hidden="1" outlineLevel="2">
      <c r="B655" s="1177"/>
      <c r="C655" s="536"/>
      <c r="D655" s="537"/>
    </row>
    <row r="656" spans="2:4" hidden="1" outlineLevel="2">
      <c r="B656" s="1177"/>
      <c r="C656" s="536"/>
      <c r="D656" s="537"/>
    </row>
    <row r="657" spans="2:4" hidden="1" outlineLevel="2">
      <c r="B657" s="1177"/>
      <c r="C657" s="536"/>
      <c r="D657" s="537"/>
    </row>
    <row r="658" spans="2:4" hidden="1" outlineLevel="2">
      <c r="B658" s="1177"/>
      <c r="C658" s="536"/>
      <c r="D658" s="537"/>
    </row>
    <row r="659" spans="2:4" hidden="1" outlineLevel="2">
      <c r="B659" s="1177"/>
      <c r="C659" s="536"/>
      <c r="D659" s="537"/>
    </row>
    <row r="660" spans="2:4" hidden="1" outlineLevel="2">
      <c r="B660" s="1177"/>
      <c r="C660" s="536"/>
      <c r="D660" s="537"/>
    </row>
    <row r="661" spans="2:4" hidden="1" outlineLevel="2">
      <c r="B661" s="1177"/>
      <c r="C661" s="536"/>
      <c r="D661" s="537"/>
    </row>
    <row r="662" spans="2:4" hidden="1" outlineLevel="2">
      <c r="B662" s="1177"/>
      <c r="C662" s="536"/>
      <c r="D662" s="537"/>
    </row>
    <row r="663" spans="2:4" hidden="1" outlineLevel="2">
      <c r="B663" s="1177"/>
      <c r="C663" s="536"/>
      <c r="D663" s="537"/>
    </row>
    <row r="664" spans="2:4" hidden="1" outlineLevel="1">
      <c r="B664" s="1177"/>
      <c r="C664" s="536"/>
      <c r="D664" s="537"/>
    </row>
    <row r="665" spans="2:4" hidden="1" outlineLevel="2">
      <c r="B665" s="1177"/>
      <c r="C665" s="536"/>
      <c r="D665" s="537"/>
    </row>
    <row r="666" spans="2:4" hidden="1" outlineLevel="2">
      <c r="B666" s="1177"/>
      <c r="C666" s="536"/>
      <c r="D666" s="537"/>
    </row>
    <row r="667" spans="2:4" hidden="1" outlineLevel="2">
      <c r="B667" s="1177"/>
      <c r="C667" s="536"/>
      <c r="D667" s="537"/>
    </row>
    <row r="668" spans="2:4" hidden="1" outlineLevel="2">
      <c r="B668" s="1177"/>
      <c r="C668" s="536"/>
      <c r="D668" s="537"/>
    </row>
    <row r="669" spans="2:4" hidden="1" outlineLevel="2">
      <c r="B669" s="1177"/>
      <c r="C669" s="536"/>
      <c r="D669" s="537"/>
    </row>
    <row r="670" spans="2:4" hidden="1" outlineLevel="2">
      <c r="B670" s="1177"/>
      <c r="C670" s="536"/>
      <c r="D670" s="537"/>
    </row>
    <row r="671" spans="2:4" hidden="1" outlineLevel="2">
      <c r="B671" s="1177"/>
      <c r="C671" s="536"/>
      <c r="D671" s="537"/>
    </row>
    <row r="672" spans="2:4" hidden="1" outlineLevel="2">
      <c r="B672" s="1177"/>
      <c r="C672" s="536"/>
      <c r="D672" s="537"/>
    </row>
    <row r="673" spans="2:4" hidden="1" outlineLevel="2">
      <c r="B673" s="1177"/>
      <c r="C673" s="536"/>
      <c r="D673" s="537"/>
    </row>
    <row r="674" spans="2:4" hidden="1" outlineLevel="1">
      <c r="B674" s="1177"/>
      <c r="C674" s="536"/>
      <c r="D674" s="537"/>
    </row>
    <row r="675" spans="2:4" hidden="1" outlineLevel="2">
      <c r="B675" s="1177"/>
      <c r="C675" s="536"/>
      <c r="D675" s="537"/>
    </row>
    <row r="676" spans="2:4" hidden="1" outlineLevel="2">
      <c r="B676" s="1177"/>
      <c r="C676" s="536"/>
      <c r="D676" s="537"/>
    </row>
    <row r="677" spans="2:4" hidden="1" outlineLevel="2">
      <c r="B677" s="1177"/>
      <c r="C677" s="536"/>
      <c r="D677" s="537"/>
    </row>
    <row r="678" spans="2:4" hidden="1" outlineLevel="2">
      <c r="B678" s="1177"/>
      <c r="C678" s="536"/>
      <c r="D678" s="537"/>
    </row>
    <row r="679" spans="2:4" hidden="1" outlineLevel="2">
      <c r="B679" s="1177"/>
      <c r="C679" s="536"/>
      <c r="D679" s="537"/>
    </row>
    <row r="680" spans="2:4" hidden="1" outlineLevel="2">
      <c r="B680" s="1177"/>
      <c r="C680" s="536"/>
      <c r="D680" s="537"/>
    </row>
    <row r="681" spans="2:4" hidden="1" outlineLevel="2">
      <c r="B681" s="1177"/>
      <c r="C681" s="536"/>
      <c r="D681" s="537"/>
    </row>
    <row r="682" spans="2:4" hidden="1" outlineLevel="2">
      <c r="B682" s="1177"/>
      <c r="C682" s="536"/>
      <c r="D682" s="537"/>
    </row>
    <row r="683" spans="2:4" hidden="1" outlineLevel="2">
      <c r="B683" s="1177"/>
      <c r="C683" s="536"/>
      <c r="D683" s="537"/>
    </row>
    <row r="684" spans="2:4" hidden="1" outlineLevel="1">
      <c r="B684" s="1177"/>
      <c r="C684" s="536"/>
      <c r="D684" s="537"/>
    </row>
    <row r="685" spans="2:4" hidden="1" outlineLevel="2">
      <c r="B685" s="1177"/>
      <c r="C685" s="536"/>
      <c r="D685" s="537"/>
    </row>
    <row r="686" spans="2:4" hidden="1" outlineLevel="2">
      <c r="B686" s="1177"/>
      <c r="C686" s="536"/>
      <c r="D686" s="537"/>
    </row>
    <row r="687" spans="2:4" hidden="1" outlineLevel="2">
      <c r="B687" s="1177"/>
      <c r="C687" s="536"/>
      <c r="D687" s="537"/>
    </row>
    <row r="688" spans="2:4" hidden="1" outlineLevel="2">
      <c r="B688" s="1177"/>
      <c r="C688" s="536"/>
      <c r="D688" s="537"/>
    </row>
    <row r="689" spans="2:4" hidden="1" outlineLevel="2">
      <c r="B689" s="1177"/>
      <c r="C689" s="536"/>
      <c r="D689" s="537"/>
    </row>
    <row r="690" spans="2:4" hidden="1" outlineLevel="2">
      <c r="B690" s="1177"/>
      <c r="C690" s="536"/>
      <c r="D690" s="537"/>
    </row>
    <row r="691" spans="2:4" hidden="1" outlineLevel="2">
      <c r="B691" s="1177"/>
      <c r="C691" s="536"/>
      <c r="D691" s="537"/>
    </row>
    <row r="692" spans="2:4" hidden="1" outlineLevel="2">
      <c r="B692" s="1177"/>
      <c r="C692" s="536"/>
      <c r="D692" s="537"/>
    </row>
    <row r="693" spans="2:4" hidden="1" outlineLevel="2">
      <c r="B693" s="1177"/>
      <c r="C693" s="536"/>
      <c r="D693" s="537"/>
    </row>
    <row r="694" spans="2:4" hidden="1" outlineLevel="1">
      <c r="B694" s="1177"/>
      <c r="C694" s="536"/>
      <c r="D694" s="537"/>
    </row>
    <row r="695" spans="2:4" hidden="1" outlineLevel="2">
      <c r="B695" s="1177"/>
      <c r="C695" s="536"/>
      <c r="D695" s="537"/>
    </row>
    <row r="696" spans="2:4" hidden="1" outlineLevel="2">
      <c r="B696" s="1177"/>
      <c r="C696" s="536"/>
      <c r="D696" s="537"/>
    </row>
    <row r="697" spans="2:4" hidden="1" outlineLevel="2">
      <c r="B697" s="1177"/>
      <c r="C697" s="536"/>
      <c r="D697" s="537"/>
    </row>
    <row r="698" spans="2:4" hidden="1" outlineLevel="2">
      <c r="B698" s="1177"/>
      <c r="C698" s="536"/>
      <c r="D698" s="537"/>
    </row>
    <row r="699" spans="2:4" hidden="1" outlineLevel="2">
      <c r="B699" s="1177"/>
      <c r="C699" s="536"/>
      <c r="D699" s="537"/>
    </row>
    <row r="700" spans="2:4" hidden="1" outlineLevel="2">
      <c r="B700" s="1177"/>
      <c r="C700" s="536"/>
      <c r="D700" s="537"/>
    </row>
    <row r="701" spans="2:4" hidden="1" outlineLevel="2">
      <c r="B701" s="1177"/>
      <c r="C701" s="536"/>
      <c r="D701" s="537"/>
    </row>
    <row r="702" spans="2:4" hidden="1" outlineLevel="2">
      <c r="B702" s="1177"/>
      <c r="C702" s="536"/>
      <c r="D702" s="537"/>
    </row>
    <row r="703" spans="2:4" hidden="1" outlineLevel="2">
      <c r="B703" s="1177"/>
      <c r="C703" s="536"/>
      <c r="D703" s="537"/>
    </row>
    <row r="704" spans="2:4" hidden="1" outlineLevel="1">
      <c r="B704" s="1177"/>
      <c r="C704" s="536"/>
      <c r="D704" s="537"/>
    </row>
    <row r="705" spans="2:4" hidden="1" outlineLevel="2">
      <c r="B705" s="1177"/>
      <c r="C705" s="536"/>
      <c r="D705" s="537"/>
    </row>
    <row r="706" spans="2:4" hidden="1" outlineLevel="2">
      <c r="B706" s="1177"/>
      <c r="C706" s="536"/>
      <c r="D706" s="537"/>
    </row>
    <row r="707" spans="2:4" hidden="1" outlineLevel="2">
      <c r="B707" s="1177"/>
      <c r="C707" s="536"/>
      <c r="D707" s="537"/>
    </row>
    <row r="708" spans="2:4" hidden="1" outlineLevel="2">
      <c r="B708" s="1177"/>
      <c r="C708" s="536"/>
      <c r="D708" s="537"/>
    </row>
    <row r="709" spans="2:4" hidden="1" outlineLevel="2">
      <c r="B709" s="1177"/>
      <c r="C709" s="536"/>
      <c r="D709" s="537"/>
    </row>
    <row r="710" spans="2:4" hidden="1" outlineLevel="2">
      <c r="B710" s="1177"/>
      <c r="C710" s="536"/>
      <c r="D710" s="537"/>
    </row>
    <row r="711" spans="2:4" hidden="1" outlineLevel="2">
      <c r="B711" s="1177"/>
      <c r="C711" s="536"/>
      <c r="D711" s="537"/>
    </row>
    <row r="712" spans="2:4" hidden="1" outlineLevel="2">
      <c r="B712" s="1177"/>
      <c r="C712" s="536"/>
      <c r="D712" s="537"/>
    </row>
    <row r="713" spans="2:4" hidden="1" outlineLevel="2">
      <c r="B713" s="1177"/>
      <c r="C713" s="536"/>
      <c r="D713" s="537"/>
    </row>
    <row r="714" spans="2:4" hidden="1" outlineLevel="1">
      <c r="B714" s="1177"/>
      <c r="C714" s="536"/>
      <c r="D714" s="537"/>
    </row>
    <row r="715" spans="2:4" hidden="1" outlineLevel="2">
      <c r="B715" s="1177"/>
      <c r="C715" s="536"/>
      <c r="D715" s="537"/>
    </row>
    <row r="716" spans="2:4" hidden="1" outlineLevel="2">
      <c r="B716" s="1177"/>
      <c r="C716" s="536"/>
      <c r="D716" s="537"/>
    </row>
    <row r="717" spans="2:4" hidden="1" outlineLevel="2">
      <c r="B717" s="1177"/>
      <c r="C717" s="536"/>
      <c r="D717" s="537"/>
    </row>
    <row r="718" spans="2:4" hidden="1" outlineLevel="2">
      <c r="B718" s="1177"/>
      <c r="C718" s="536"/>
      <c r="D718" s="537"/>
    </row>
    <row r="719" spans="2:4" hidden="1" outlineLevel="2">
      <c r="B719" s="1177"/>
      <c r="C719" s="536"/>
      <c r="D719" s="537"/>
    </row>
    <row r="720" spans="2:4" hidden="1" outlineLevel="2">
      <c r="B720" s="1177"/>
      <c r="C720" s="536"/>
      <c r="D720" s="537"/>
    </row>
    <row r="721" spans="2:4" hidden="1" outlineLevel="2">
      <c r="B721" s="1177"/>
      <c r="C721" s="536"/>
      <c r="D721" s="537"/>
    </row>
    <row r="722" spans="2:4" hidden="1" outlineLevel="2">
      <c r="B722" s="1177"/>
      <c r="C722" s="536"/>
      <c r="D722" s="537"/>
    </row>
    <row r="723" spans="2:4" hidden="1" outlineLevel="2">
      <c r="B723" s="1177"/>
      <c r="C723" s="536"/>
      <c r="D723" s="537"/>
    </row>
    <row r="724" spans="2:4" hidden="1" outlineLevel="1">
      <c r="B724" s="1177"/>
      <c r="C724" s="536"/>
      <c r="D724" s="537"/>
    </row>
    <row r="725" spans="2:4" hidden="1" outlineLevel="2">
      <c r="B725" s="1177"/>
      <c r="C725" s="536"/>
      <c r="D725" s="537"/>
    </row>
    <row r="726" spans="2:4" hidden="1" outlineLevel="2">
      <c r="B726" s="1177"/>
      <c r="C726" s="536"/>
      <c r="D726" s="537"/>
    </row>
    <row r="727" spans="2:4" hidden="1" outlineLevel="2">
      <c r="B727" s="1177"/>
      <c r="C727" s="536"/>
      <c r="D727" s="537"/>
    </row>
    <row r="728" spans="2:4" hidden="1" outlineLevel="2">
      <c r="B728" s="1177"/>
      <c r="C728" s="536"/>
      <c r="D728" s="537"/>
    </row>
    <row r="729" spans="2:4" hidden="1" outlineLevel="2">
      <c r="B729" s="1177"/>
      <c r="C729" s="536"/>
      <c r="D729" s="537"/>
    </row>
    <row r="730" spans="2:4" hidden="1" outlineLevel="2">
      <c r="B730" s="1177"/>
      <c r="C730" s="536"/>
      <c r="D730" s="537"/>
    </row>
    <row r="731" spans="2:4" hidden="1" outlineLevel="2">
      <c r="B731" s="1177"/>
      <c r="C731" s="536"/>
      <c r="D731" s="537"/>
    </row>
    <row r="732" spans="2:4" hidden="1" outlineLevel="2">
      <c r="B732" s="1177"/>
      <c r="C732" s="536"/>
      <c r="D732" s="537"/>
    </row>
    <row r="733" spans="2:4" hidden="1" outlineLevel="2">
      <c r="B733" s="1177"/>
      <c r="C733" s="536"/>
      <c r="D733" s="537"/>
    </row>
    <row r="734" spans="2:4" hidden="1" outlineLevel="1">
      <c r="B734" s="1177"/>
      <c r="C734" s="536"/>
      <c r="D734" s="537"/>
    </row>
    <row r="735" spans="2:4" hidden="1" outlineLevel="2">
      <c r="B735" s="1177"/>
      <c r="C735" s="536"/>
      <c r="D735" s="537"/>
    </row>
    <row r="736" spans="2:4" hidden="1" outlineLevel="2">
      <c r="B736" s="1177"/>
      <c r="C736" s="536"/>
      <c r="D736" s="537"/>
    </row>
    <row r="737" spans="2:4" hidden="1" outlineLevel="2">
      <c r="B737" s="1177"/>
      <c r="C737" s="536"/>
      <c r="D737" s="537"/>
    </row>
    <row r="738" spans="2:4" hidden="1" outlineLevel="2">
      <c r="B738" s="1177"/>
      <c r="C738" s="536"/>
      <c r="D738" s="537"/>
    </row>
    <row r="739" spans="2:4" hidden="1" outlineLevel="2">
      <c r="B739" s="1177"/>
      <c r="C739" s="536"/>
      <c r="D739" s="537"/>
    </row>
    <row r="740" spans="2:4" hidden="1" outlineLevel="2">
      <c r="B740" s="1177"/>
      <c r="C740" s="536"/>
      <c r="D740" s="537"/>
    </row>
    <row r="741" spans="2:4" hidden="1" outlineLevel="2">
      <c r="B741" s="1177"/>
      <c r="C741" s="536"/>
      <c r="D741" s="537"/>
    </row>
    <row r="742" spans="2:4" hidden="1" outlineLevel="2">
      <c r="B742" s="1177"/>
      <c r="C742" s="536"/>
      <c r="D742" s="537"/>
    </row>
    <row r="743" spans="2:4" hidden="1" outlineLevel="2">
      <c r="B743" s="1177"/>
      <c r="C743" s="536"/>
      <c r="D743" s="537"/>
    </row>
    <row r="744" spans="2:4" hidden="1" outlineLevel="1">
      <c r="B744" s="1177"/>
      <c r="C744" s="536"/>
      <c r="D744" s="537"/>
    </row>
    <row r="745" spans="2:4" hidden="1" outlineLevel="2">
      <c r="B745" s="1177"/>
      <c r="C745" s="536"/>
      <c r="D745" s="537"/>
    </row>
    <row r="746" spans="2:4" hidden="1" outlineLevel="2">
      <c r="B746" s="1177"/>
      <c r="C746" s="536"/>
      <c r="D746" s="537"/>
    </row>
    <row r="747" spans="2:4" hidden="1" outlineLevel="2">
      <c r="B747" s="1177"/>
      <c r="C747" s="536"/>
      <c r="D747" s="537"/>
    </row>
    <row r="748" spans="2:4" hidden="1" outlineLevel="2">
      <c r="B748" s="1177"/>
      <c r="C748" s="536"/>
      <c r="D748" s="537"/>
    </row>
    <row r="749" spans="2:4" hidden="1" outlineLevel="2">
      <c r="B749" s="1177"/>
      <c r="C749" s="536"/>
      <c r="D749" s="537"/>
    </row>
    <row r="750" spans="2:4" hidden="1" outlineLevel="2">
      <c r="B750" s="1177"/>
      <c r="C750" s="536"/>
      <c r="D750" s="537"/>
    </row>
    <row r="751" spans="2:4" hidden="1" outlineLevel="2">
      <c r="B751" s="1177"/>
      <c r="C751" s="536"/>
      <c r="D751" s="537"/>
    </row>
    <row r="752" spans="2:4" hidden="1" outlineLevel="2">
      <c r="B752" s="1177"/>
      <c r="C752" s="536"/>
      <c r="D752" s="537"/>
    </row>
    <row r="753" spans="2:4" hidden="1" outlineLevel="2">
      <c r="B753" s="1177"/>
      <c r="C753" s="536"/>
      <c r="D753" s="537"/>
    </row>
    <row r="754" spans="2:4" hidden="1" outlineLevel="1">
      <c r="B754" s="1177"/>
      <c r="C754" s="536"/>
      <c r="D754" s="537"/>
    </row>
    <row r="755" spans="2:4" hidden="1" outlineLevel="2">
      <c r="B755" s="1177"/>
      <c r="C755" s="536"/>
      <c r="D755" s="537"/>
    </row>
    <row r="756" spans="2:4" hidden="1" outlineLevel="2">
      <c r="B756" s="1177"/>
      <c r="C756" s="536"/>
      <c r="D756" s="537"/>
    </row>
    <row r="757" spans="2:4" hidden="1" outlineLevel="2">
      <c r="B757" s="1177"/>
      <c r="C757" s="536"/>
      <c r="D757" s="537"/>
    </row>
    <row r="758" spans="2:4" hidden="1" outlineLevel="2">
      <c r="B758" s="1177"/>
      <c r="C758" s="536"/>
      <c r="D758" s="537"/>
    </row>
    <row r="759" spans="2:4" hidden="1" outlineLevel="2">
      <c r="B759" s="1177"/>
      <c r="C759" s="536"/>
      <c r="D759" s="537"/>
    </row>
    <row r="760" spans="2:4" hidden="1" outlineLevel="2">
      <c r="B760" s="1177"/>
      <c r="C760" s="536"/>
      <c r="D760" s="537"/>
    </row>
    <row r="761" spans="2:4" hidden="1" outlineLevel="2">
      <c r="B761" s="1177"/>
      <c r="C761" s="536"/>
      <c r="D761" s="537"/>
    </row>
    <row r="762" spans="2:4" hidden="1" outlineLevel="2">
      <c r="B762" s="1177"/>
      <c r="C762" s="536"/>
      <c r="D762" s="537"/>
    </row>
    <row r="763" spans="2:4" hidden="1" outlineLevel="2">
      <c r="B763" s="1177"/>
      <c r="C763" s="536"/>
      <c r="D763" s="537"/>
    </row>
    <row r="764" spans="2:4" hidden="1" outlineLevel="1">
      <c r="B764" s="1177"/>
      <c r="C764" s="536"/>
      <c r="D764" s="537"/>
    </row>
    <row r="765" spans="2:4" hidden="1" outlineLevel="2">
      <c r="B765" s="1177"/>
      <c r="C765" s="536"/>
      <c r="D765" s="537"/>
    </row>
    <row r="766" spans="2:4" hidden="1" outlineLevel="2">
      <c r="B766" s="1177"/>
      <c r="C766" s="536"/>
      <c r="D766" s="537"/>
    </row>
    <row r="767" spans="2:4" hidden="1" outlineLevel="2">
      <c r="B767" s="1177"/>
      <c r="C767" s="536"/>
      <c r="D767" s="537"/>
    </row>
    <row r="768" spans="2:4" hidden="1" outlineLevel="2">
      <c r="B768" s="1177"/>
      <c r="C768" s="536"/>
      <c r="D768" s="537"/>
    </row>
    <row r="769" spans="2:4" hidden="1" outlineLevel="2">
      <c r="B769" s="1177"/>
      <c r="C769" s="536"/>
      <c r="D769" s="537"/>
    </row>
    <row r="770" spans="2:4" hidden="1" outlineLevel="2">
      <c r="B770" s="1177"/>
      <c r="C770" s="536"/>
      <c r="D770" s="537"/>
    </row>
    <row r="771" spans="2:4" hidden="1" outlineLevel="2">
      <c r="B771" s="1177"/>
      <c r="C771" s="536"/>
      <c r="D771" s="537"/>
    </row>
    <row r="772" spans="2:4" hidden="1" outlineLevel="2">
      <c r="B772" s="1177"/>
      <c r="C772" s="536"/>
      <c r="D772" s="537"/>
    </row>
    <row r="773" spans="2:4" hidden="1" outlineLevel="2">
      <c r="B773" s="1177"/>
      <c r="C773" s="536"/>
      <c r="D773" s="537"/>
    </row>
    <row r="774" spans="2:4" hidden="1" outlineLevel="1">
      <c r="B774" s="1177"/>
      <c r="C774" s="536"/>
      <c r="D774" s="537"/>
    </row>
    <row r="775" spans="2:4" hidden="1" outlineLevel="2">
      <c r="B775" s="1177"/>
      <c r="C775" s="536"/>
      <c r="D775" s="537"/>
    </row>
    <row r="776" spans="2:4" hidden="1" outlineLevel="2">
      <c r="B776" s="1177"/>
      <c r="C776" s="536"/>
      <c r="D776" s="537"/>
    </row>
    <row r="777" spans="2:4" hidden="1" outlineLevel="2">
      <c r="B777" s="1177"/>
      <c r="C777" s="536"/>
      <c r="D777" s="537"/>
    </row>
    <row r="778" spans="2:4" hidden="1" outlineLevel="2">
      <c r="B778" s="1177"/>
      <c r="C778" s="536"/>
      <c r="D778" s="537"/>
    </row>
    <row r="779" spans="2:4" hidden="1" outlineLevel="2">
      <c r="B779" s="1177"/>
      <c r="C779" s="536"/>
      <c r="D779" s="537"/>
    </row>
    <row r="780" spans="2:4" hidden="1" outlineLevel="2">
      <c r="B780" s="1177"/>
      <c r="C780" s="536"/>
      <c r="D780" s="537"/>
    </row>
    <row r="781" spans="2:4" hidden="1" outlineLevel="2">
      <c r="B781" s="1177"/>
      <c r="C781" s="536"/>
      <c r="D781" s="537"/>
    </row>
    <row r="782" spans="2:4" hidden="1" outlineLevel="2">
      <c r="B782" s="1177"/>
      <c r="C782" s="536"/>
      <c r="D782" s="537"/>
    </row>
    <row r="783" spans="2:4" hidden="1" outlineLevel="2">
      <c r="B783" s="1177"/>
      <c r="C783" s="536"/>
      <c r="D783" s="537"/>
    </row>
    <row r="784" spans="2:4" hidden="1" outlineLevel="1">
      <c r="B784" s="1177"/>
      <c r="C784" s="536"/>
      <c r="D784" s="537"/>
    </row>
    <row r="785" spans="2:4" hidden="1" outlineLevel="2">
      <c r="B785" s="1177"/>
      <c r="C785" s="536"/>
      <c r="D785" s="537"/>
    </row>
    <row r="786" spans="2:4" hidden="1" outlineLevel="2">
      <c r="B786" s="1177"/>
      <c r="C786" s="536"/>
      <c r="D786" s="537"/>
    </row>
    <row r="787" spans="2:4" hidden="1" outlineLevel="2">
      <c r="B787" s="1177"/>
      <c r="C787" s="536"/>
      <c r="D787" s="537"/>
    </row>
    <row r="788" spans="2:4" hidden="1" outlineLevel="2">
      <c r="B788" s="1177"/>
      <c r="C788" s="536"/>
      <c r="D788" s="537"/>
    </row>
    <row r="789" spans="2:4" hidden="1" outlineLevel="2">
      <c r="B789" s="1177"/>
      <c r="C789" s="536"/>
      <c r="D789" s="537"/>
    </row>
    <row r="790" spans="2:4" hidden="1" outlineLevel="2">
      <c r="B790" s="1177"/>
      <c r="C790" s="536"/>
      <c r="D790" s="537"/>
    </row>
    <row r="791" spans="2:4" hidden="1" outlineLevel="2">
      <c r="B791" s="1177"/>
      <c r="C791" s="536"/>
      <c r="D791" s="537"/>
    </row>
    <row r="792" spans="2:4" hidden="1" outlineLevel="2">
      <c r="B792" s="1177"/>
      <c r="C792" s="536"/>
      <c r="D792" s="537"/>
    </row>
    <row r="793" spans="2:4" hidden="1" outlineLevel="2">
      <c r="B793" s="1177"/>
      <c r="C793" s="536"/>
      <c r="D793" s="537"/>
    </row>
    <row r="794" spans="2:4" hidden="1" outlineLevel="1">
      <c r="B794" s="1177"/>
      <c r="C794" s="536"/>
      <c r="D794" s="537"/>
    </row>
    <row r="795" spans="2:4" hidden="1" outlineLevel="2">
      <c r="B795" s="1177"/>
      <c r="C795" s="536"/>
      <c r="D795" s="537"/>
    </row>
    <row r="796" spans="2:4" hidden="1" outlineLevel="2">
      <c r="B796" s="1177"/>
      <c r="C796" s="536"/>
      <c r="D796" s="537"/>
    </row>
    <row r="797" spans="2:4" hidden="1" outlineLevel="2">
      <c r="B797" s="1177"/>
      <c r="C797" s="536"/>
      <c r="D797" s="537"/>
    </row>
    <row r="798" spans="2:4" hidden="1" outlineLevel="2">
      <c r="B798" s="1177"/>
      <c r="C798" s="536"/>
      <c r="D798" s="537"/>
    </row>
    <row r="799" spans="2:4" hidden="1" outlineLevel="2">
      <c r="B799" s="1177"/>
      <c r="C799" s="536"/>
      <c r="D799" s="537"/>
    </row>
    <row r="800" spans="2:4" hidden="1" outlineLevel="2">
      <c r="B800" s="1177"/>
      <c r="C800" s="536"/>
      <c r="D800" s="537"/>
    </row>
    <row r="801" spans="2:4" hidden="1" outlineLevel="2">
      <c r="B801" s="1177"/>
      <c r="C801" s="536"/>
      <c r="D801" s="537"/>
    </row>
    <row r="802" spans="2:4" hidden="1" outlineLevel="2">
      <c r="B802" s="1177"/>
      <c r="C802" s="536"/>
      <c r="D802" s="537"/>
    </row>
    <row r="803" spans="2:4" hidden="1" outlineLevel="2">
      <c r="B803" s="1177"/>
      <c r="C803" s="536"/>
      <c r="D803" s="537"/>
    </row>
    <row r="804" spans="2:4" hidden="1" outlineLevel="1">
      <c r="B804" s="1177"/>
      <c r="C804" s="536"/>
      <c r="D804" s="537"/>
    </row>
    <row r="805" spans="2:4" hidden="1" outlineLevel="2">
      <c r="B805" s="1177"/>
      <c r="C805" s="536"/>
      <c r="D805" s="537"/>
    </row>
    <row r="806" spans="2:4" hidden="1" outlineLevel="2">
      <c r="B806" s="1177"/>
      <c r="C806" s="536"/>
      <c r="D806" s="537"/>
    </row>
    <row r="807" spans="2:4" hidden="1" outlineLevel="2">
      <c r="B807" s="1177"/>
      <c r="C807" s="536"/>
      <c r="D807" s="537"/>
    </row>
    <row r="808" spans="2:4" hidden="1" outlineLevel="2">
      <c r="B808" s="1177"/>
      <c r="C808" s="536"/>
      <c r="D808" s="537"/>
    </row>
    <row r="809" spans="2:4" hidden="1" outlineLevel="2">
      <c r="B809" s="1177"/>
      <c r="C809" s="536"/>
      <c r="D809" s="537"/>
    </row>
    <row r="810" spans="2:4" hidden="1" outlineLevel="2">
      <c r="B810" s="1177"/>
      <c r="C810" s="536"/>
      <c r="D810" s="537"/>
    </row>
    <row r="811" spans="2:4" hidden="1" outlineLevel="2">
      <c r="B811" s="1177"/>
      <c r="C811" s="536"/>
      <c r="D811" s="537"/>
    </row>
    <row r="812" spans="2:4" hidden="1" outlineLevel="2">
      <c r="B812" s="1177"/>
      <c r="C812" s="536"/>
      <c r="D812" s="537"/>
    </row>
    <row r="813" spans="2:4" hidden="1" outlineLevel="2">
      <c r="B813" s="1177"/>
      <c r="C813" s="536"/>
      <c r="D813" s="537"/>
    </row>
    <row r="814" spans="2:4" hidden="1" outlineLevel="1">
      <c r="B814" s="1177"/>
      <c r="C814" s="536"/>
      <c r="D814" s="537"/>
    </row>
    <row r="815" spans="2:4" hidden="1" outlineLevel="2">
      <c r="B815" s="1177"/>
      <c r="C815" s="536"/>
      <c r="D815" s="537"/>
    </row>
    <row r="816" spans="2:4" hidden="1" outlineLevel="2">
      <c r="B816" s="1177"/>
      <c r="C816" s="536"/>
      <c r="D816" s="537"/>
    </row>
    <row r="817" spans="2:4" hidden="1" outlineLevel="2">
      <c r="B817" s="1177"/>
      <c r="C817" s="536"/>
      <c r="D817" s="537"/>
    </row>
    <row r="818" spans="2:4" hidden="1" outlineLevel="2">
      <c r="B818" s="1177"/>
      <c r="C818" s="536"/>
      <c r="D818" s="537"/>
    </row>
    <row r="819" spans="2:4" hidden="1" outlineLevel="2">
      <c r="B819" s="1177"/>
      <c r="C819" s="536"/>
      <c r="D819" s="537"/>
    </row>
    <row r="820" spans="2:4" hidden="1" outlineLevel="2">
      <c r="B820" s="1177"/>
      <c r="C820" s="536"/>
      <c r="D820" s="537"/>
    </row>
    <row r="821" spans="2:4" hidden="1" outlineLevel="2">
      <c r="B821" s="1177"/>
      <c r="C821" s="536"/>
      <c r="D821" s="537"/>
    </row>
    <row r="822" spans="2:4" hidden="1" outlineLevel="2">
      <c r="B822" s="1177"/>
      <c r="C822" s="536"/>
      <c r="D822" s="537"/>
    </row>
    <row r="823" spans="2:4" hidden="1" outlineLevel="2">
      <c r="B823" s="1177"/>
      <c r="C823" s="536"/>
      <c r="D823" s="537"/>
    </row>
    <row r="824" spans="2:4" hidden="1" outlineLevel="1">
      <c r="B824" s="1177"/>
      <c r="C824" s="536"/>
      <c r="D824" s="537"/>
    </row>
    <row r="825" spans="2:4" hidden="1" outlineLevel="2">
      <c r="B825" s="1177"/>
      <c r="C825" s="536"/>
      <c r="D825" s="537"/>
    </row>
    <row r="826" spans="2:4" hidden="1" outlineLevel="2">
      <c r="B826" s="1177"/>
      <c r="C826" s="536"/>
      <c r="D826" s="537"/>
    </row>
    <row r="827" spans="2:4" hidden="1" outlineLevel="2">
      <c r="B827" s="1177"/>
      <c r="C827" s="536"/>
      <c r="D827" s="537"/>
    </row>
    <row r="828" spans="2:4" hidden="1" outlineLevel="2">
      <c r="B828" s="1177"/>
      <c r="C828" s="536"/>
      <c r="D828" s="537"/>
    </row>
    <row r="829" spans="2:4" hidden="1" outlineLevel="2">
      <c r="B829" s="1177"/>
      <c r="C829" s="536"/>
      <c r="D829" s="537"/>
    </row>
    <row r="830" spans="2:4" hidden="1" outlineLevel="2">
      <c r="B830" s="1177"/>
      <c r="C830" s="536"/>
      <c r="D830" s="537"/>
    </row>
    <row r="831" spans="2:4" hidden="1" outlineLevel="2">
      <c r="B831" s="1177"/>
      <c r="C831" s="536"/>
      <c r="D831" s="537"/>
    </row>
    <row r="832" spans="2:4" hidden="1" outlineLevel="2">
      <c r="B832" s="1177"/>
      <c r="C832" s="536"/>
      <c r="D832" s="537"/>
    </row>
    <row r="833" spans="2:4" hidden="1" outlineLevel="2">
      <c r="B833" s="1177"/>
      <c r="C833" s="536"/>
      <c r="D833" s="537"/>
    </row>
    <row r="834" spans="2:4" hidden="1" outlineLevel="1">
      <c r="B834" s="1177"/>
      <c r="C834" s="536"/>
      <c r="D834" s="537"/>
    </row>
    <row r="835" spans="2:4" hidden="1" outlineLevel="2">
      <c r="B835" s="1177"/>
      <c r="C835" s="536"/>
      <c r="D835" s="537"/>
    </row>
    <row r="836" spans="2:4" hidden="1" outlineLevel="2">
      <c r="B836" s="1177"/>
      <c r="C836" s="536"/>
      <c r="D836" s="537"/>
    </row>
    <row r="837" spans="2:4" hidden="1" outlineLevel="2">
      <c r="B837" s="1177"/>
      <c r="C837" s="536"/>
      <c r="D837" s="537"/>
    </row>
    <row r="838" spans="2:4" hidden="1" outlineLevel="2">
      <c r="B838" s="1177"/>
      <c r="C838" s="536"/>
      <c r="D838" s="537"/>
    </row>
    <row r="839" spans="2:4" hidden="1" outlineLevel="2">
      <c r="B839" s="1177"/>
      <c r="C839" s="536"/>
      <c r="D839" s="537"/>
    </row>
    <row r="840" spans="2:4" hidden="1" outlineLevel="2">
      <c r="B840" s="1177"/>
      <c r="C840" s="536"/>
      <c r="D840" s="537"/>
    </row>
    <row r="841" spans="2:4" hidden="1" outlineLevel="2">
      <c r="B841" s="1177"/>
      <c r="C841" s="536"/>
      <c r="D841" s="537"/>
    </row>
    <row r="842" spans="2:4" hidden="1" outlineLevel="2">
      <c r="B842" s="1177"/>
      <c r="C842" s="536"/>
      <c r="D842" s="537"/>
    </row>
    <row r="843" spans="2:4" hidden="1" outlineLevel="2">
      <c r="B843" s="1177"/>
      <c r="C843" s="536"/>
      <c r="D843" s="537"/>
    </row>
    <row r="844" spans="2:4" hidden="1" outlineLevel="1">
      <c r="B844" s="1177"/>
      <c r="C844" s="536"/>
      <c r="D844" s="537"/>
    </row>
    <row r="845" spans="2:4" hidden="1" outlineLevel="2">
      <c r="B845" s="1177"/>
      <c r="C845" s="536"/>
      <c r="D845" s="537"/>
    </row>
    <row r="846" spans="2:4" hidden="1" outlineLevel="2">
      <c r="B846" s="1177"/>
      <c r="C846" s="536"/>
      <c r="D846" s="537"/>
    </row>
    <row r="847" spans="2:4" hidden="1" outlineLevel="2">
      <c r="B847" s="1177"/>
      <c r="C847" s="536"/>
      <c r="D847" s="537"/>
    </row>
    <row r="848" spans="2:4" hidden="1" outlineLevel="2">
      <c r="B848" s="1177"/>
      <c r="C848" s="536"/>
      <c r="D848" s="537"/>
    </row>
    <row r="849" spans="2:4" hidden="1" outlineLevel="2">
      <c r="B849" s="1177"/>
      <c r="C849" s="536"/>
      <c r="D849" s="537"/>
    </row>
    <row r="850" spans="2:4" hidden="1" outlineLevel="2">
      <c r="B850" s="1177"/>
      <c r="C850" s="536"/>
      <c r="D850" s="537"/>
    </row>
    <row r="851" spans="2:4" hidden="1" outlineLevel="2">
      <c r="B851" s="1177"/>
      <c r="C851" s="536"/>
      <c r="D851" s="537"/>
    </row>
    <row r="852" spans="2:4" hidden="1" outlineLevel="2">
      <c r="B852" s="1177"/>
      <c r="C852" s="536"/>
      <c r="D852" s="537"/>
    </row>
    <row r="853" spans="2:4" hidden="1" outlineLevel="2">
      <c r="B853" s="1177"/>
      <c r="C853" s="536"/>
      <c r="D853" s="537"/>
    </row>
    <row r="854" spans="2:4" hidden="1" outlineLevel="1">
      <c r="B854" s="1177"/>
      <c r="C854" s="536"/>
      <c r="D854" s="537"/>
    </row>
    <row r="855" spans="2:4" hidden="1" outlineLevel="2">
      <c r="B855" s="1177"/>
      <c r="C855" s="536"/>
      <c r="D855" s="537"/>
    </row>
    <row r="856" spans="2:4" hidden="1" outlineLevel="2">
      <c r="B856" s="1177"/>
      <c r="C856" s="536"/>
      <c r="D856" s="537"/>
    </row>
    <row r="857" spans="2:4" hidden="1" outlineLevel="2">
      <c r="B857" s="1177"/>
      <c r="C857" s="536"/>
      <c r="D857" s="537"/>
    </row>
    <row r="858" spans="2:4" hidden="1" outlineLevel="2">
      <c r="B858" s="1177"/>
      <c r="C858" s="536"/>
      <c r="D858" s="537"/>
    </row>
    <row r="859" spans="2:4" hidden="1" outlineLevel="2">
      <c r="B859" s="1177"/>
      <c r="C859" s="536"/>
      <c r="D859" s="537"/>
    </row>
    <row r="860" spans="2:4" hidden="1" outlineLevel="2">
      <c r="B860" s="1177"/>
      <c r="C860" s="536"/>
      <c r="D860" s="537"/>
    </row>
    <row r="861" spans="2:4" hidden="1" outlineLevel="2">
      <c r="B861" s="1177"/>
      <c r="C861" s="536"/>
      <c r="D861" s="537"/>
    </row>
    <row r="862" spans="2:4" hidden="1" outlineLevel="2">
      <c r="B862" s="1177"/>
      <c r="C862" s="536"/>
      <c r="D862" s="537"/>
    </row>
    <row r="863" spans="2:4" hidden="1" outlineLevel="2">
      <c r="B863" s="1177"/>
      <c r="C863" s="536"/>
      <c r="D863" s="537"/>
    </row>
    <row r="864" spans="2:4" hidden="1" outlineLevel="1">
      <c r="B864" s="1177"/>
      <c r="C864" s="536"/>
      <c r="D864" s="537"/>
    </row>
    <row r="865" spans="2:4" hidden="1" outlineLevel="2">
      <c r="B865" s="1177"/>
      <c r="C865" s="536"/>
      <c r="D865" s="537"/>
    </row>
    <row r="866" spans="2:4" hidden="1" outlineLevel="2">
      <c r="B866" s="1177"/>
      <c r="C866" s="536"/>
      <c r="D866" s="537"/>
    </row>
    <row r="867" spans="2:4" hidden="1" outlineLevel="2">
      <c r="B867" s="1177"/>
      <c r="C867" s="536"/>
      <c r="D867" s="537"/>
    </row>
    <row r="868" spans="2:4" hidden="1" outlineLevel="2">
      <c r="B868" s="1177"/>
      <c r="C868" s="536"/>
      <c r="D868" s="537"/>
    </row>
    <row r="869" spans="2:4" hidden="1" outlineLevel="2">
      <c r="B869" s="1177"/>
      <c r="C869" s="536"/>
      <c r="D869" s="537"/>
    </row>
    <row r="870" spans="2:4" hidden="1" outlineLevel="2">
      <c r="B870" s="1177"/>
      <c r="C870" s="536"/>
      <c r="D870" s="537"/>
    </row>
    <row r="871" spans="2:4" hidden="1" outlineLevel="2">
      <c r="B871" s="1177"/>
      <c r="C871" s="536"/>
      <c r="D871" s="537"/>
    </row>
    <row r="872" spans="2:4" hidden="1" outlineLevel="2">
      <c r="B872" s="1177"/>
      <c r="C872" s="536"/>
      <c r="D872" s="537"/>
    </row>
    <row r="873" spans="2:4" hidden="1" outlineLevel="2">
      <c r="B873" s="1177"/>
      <c r="C873" s="536"/>
      <c r="D873" s="537"/>
    </row>
    <row r="874" spans="2:4" hidden="1" outlineLevel="1">
      <c r="B874" s="1177"/>
      <c r="C874" s="536"/>
      <c r="D874" s="537"/>
    </row>
    <row r="875" spans="2:4" hidden="1" outlineLevel="2">
      <c r="B875" s="1177"/>
      <c r="C875" s="536"/>
      <c r="D875" s="537"/>
    </row>
    <row r="876" spans="2:4" hidden="1" outlineLevel="2">
      <c r="B876" s="1177"/>
      <c r="C876" s="536"/>
      <c r="D876" s="537"/>
    </row>
    <row r="877" spans="2:4" hidden="1" outlineLevel="2">
      <c r="B877" s="1177"/>
      <c r="C877" s="536"/>
      <c r="D877" s="537"/>
    </row>
    <row r="878" spans="2:4" hidden="1" outlineLevel="2">
      <c r="B878" s="1177"/>
      <c r="C878" s="536"/>
      <c r="D878" s="537"/>
    </row>
    <row r="879" spans="2:4" hidden="1" outlineLevel="2">
      <c r="B879" s="1177"/>
      <c r="C879" s="536"/>
      <c r="D879" s="537"/>
    </row>
    <row r="880" spans="2:4" hidden="1" outlineLevel="2">
      <c r="B880" s="1177"/>
      <c r="C880" s="536"/>
      <c r="D880" s="537"/>
    </row>
    <row r="881" spans="2:4" hidden="1" outlineLevel="2">
      <c r="B881" s="1177"/>
      <c r="C881" s="536"/>
      <c r="D881" s="537"/>
    </row>
    <row r="882" spans="2:4" hidden="1" outlineLevel="2">
      <c r="B882" s="1177"/>
      <c r="C882" s="536"/>
      <c r="D882" s="537"/>
    </row>
    <row r="883" spans="2:4" hidden="1" outlineLevel="2">
      <c r="B883" s="1177"/>
      <c r="C883" s="536"/>
      <c r="D883" s="537"/>
    </row>
    <row r="884" spans="2:4" hidden="1" outlineLevel="1">
      <c r="B884" s="1177"/>
      <c r="C884" s="536"/>
      <c r="D884" s="537"/>
    </row>
    <row r="885" spans="2:4" hidden="1" outlineLevel="2">
      <c r="B885" s="1177"/>
      <c r="C885" s="536"/>
      <c r="D885" s="537"/>
    </row>
    <row r="886" spans="2:4" hidden="1" outlineLevel="2">
      <c r="B886" s="1177"/>
      <c r="C886" s="536"/>
      <c r="D886" s="537"/>
    </row>
    <row r="887" spans="2:4" hidden="1" outlineLevel="2">
      <c r="B887" s="1177"/>
      <c r="C887" s="536"/>
      <c r="D887" s="537"/>
    </row>
    <row r="888" spans="2:4" hidden="1" outlineLevel="2">
      <c r="B888" s="1177"/>
      <c r="C888" s="536"/>
      <c r="D888" s="537"/>
    </row>
    <row r="889" spans="2:4" hidden="1" outlineLevel="2">
      <c r="B889" s="1177"/>
      <c r="C889" s="536"/>
      <c r="D889" s="537"/>
    </row>
    <row r="890" spans="2:4" hidden="1" outlineLevel="2">
      <c r="B890" s="1177"/>
      <c r="C890" s="536"/>
      <c r="D890" s="537"/>
    </row>
    <row r="891" spans="2:4" hidden="1" outlineLevel="2">
      <c r="B891" s="1177"/>
      <c r="C891" s="536"/>
      <c r="D891" s="537"/>
    </row>
    <row r="892" spans="2:4" hidden="1" outlineLevel="2">
      <c r="B892" s="1177"/>
      <c r="C892" s="536"/>
      <c r="D892" s="537"/>
    </row>
    <row r="893" spans="2:4" hidden="1" outlineLevel="2">
      <c r="B893" s="1177"/>
      <c r="C893" s="536"/>
      <c r="D893" s="537"/>
    </row>
    <row r="894" spans="2:4" hidden="1" outlineLevel="1">
      <c r="B894" s="1177"/>
      <c r="C894" s="536"/>
      <c r="D894" s="537"/>
    </row>
    <row r="895" spans="2:4" hidden="1" outlineLevel="2">
      <c r="B895" s="1177"/>
      <c r="C895" s="536"/>
      <c r="D895" s="537"/>
    </row>
    <row r="896" spans="2:4" hidden="1" outlineLevel="2">
      <c r="B896" s="1177"/>
      <c r="C896" s="536"/>
      <c r="D896" s="537"/>
    </row>
    <row r="897" spans="2:4" hidden="1" outlineLevel="2">
      <c r="B897" s="1177"/>
      <c r="C897" s="536"/>
      <c r="D897" s="537"/>
    </row>
    <row r="898" spans="2:4" hidden="1" outlineLevel="2">
      <c r="B898" s="1177"/>
      <c r="C898" s="536"/>
      <c r="D898" s="537"/>
    </row>
    <row r="899" spans="2:4" hidden="1" outlineLevel="2">
      <c r="B899" s="1177"/>
      <c r="C899" s="536"/>
      <c r="D899" s="537"/>
    </row>
    <row r="900" spans="2:4" hidden="1" outlineLevel="2">
      <c r="B900" s="1177"/>
      <c r="C900" s="536"/>
      <c r="D900" s="537"/>
    </row>
    <row r="901" spans="2:4" hidden="1" outlineLevel="2">
      <c r="B901" s="1177"/>
      <c r="C901" s="536"/>
      <c r="D901" s="537"/>
    </row>
    <row r="902" spans="2:4" hidden="1" outlineLevel="2">
      <c r="B902" s="1177"/>
      <c r="C902" s="536"/>
      <c r="D902" s="537"/>
    </row>
    <row r="903" spans="2:4" hidden="1" outlineLevel="2">
      <c r="B903" s="1177"/>
      <c r="C903" s="536"/>
      <c r="D903" s="537"/>
    </row>
    <row r="904" spans="2:4" hidden="1" outlineLevel="1">
      <c r="B904" s="1177"/>
      <c r="C904" s="536"/>
      <c r="D904" s="537"/>
    </row>
    <row r="905" spans="2:4" hidden="1" outlineLevel="2">
      <c r="B905" s="1177"/>
      <c r="C905" s="536"/>
      <c r="D905" s="537"/>
    </row>
    <row r="906" spans="2:4" hidden="1" outlineLevel="2">
      <c r="B906" s="1177"/>
      <c r="C906" s="536"/>
      <c r="D906" s="537"/>
    </row>
    <row r="907" spans="2:4" hidden="1" outlineLevel="2">
      <c r="B907" s="1177"/>
      <c r="C907" s="536"/>
      <c r="D907" s="537"/>
    </row>
    <row r="908" spans="2:4" hidden="1" outlineLevel="2">
      <c r="B908" s="1177"/>
      <c r="C908" s="536"/>
      <c r="D908" s="537"/>
    </row>
    <row r="909" spans="2:4" hidden="1" outlineLevel="2">
      <c r="B909" s="1177"/>
      <c r="C909" s="536"/>
      <c r="D909" s="537"/>
    </row>
    <row r="910" spans="2:4" hidden="1" outlineLevel="2">
      <c r="B910" s="1177"/>
      <c r="C910" s="536"/>
      <c r="D910" s="537"/>
    </row>
    <row r="911" spans="2:4" hidden="1" outlineLevel="2">
      <c r="B911" s="1177"/>
      <c r="C911" s="536"/>
      <c r="D911" s="537"/>
    </row>
    <row r="912" spans="2:4" hidden="1" outlineLevel="2">
      <c r="B912" s="1177"/>
      <c r="C912" s="536"/>
      <c r="D912" s="537"/>
    </row>
    <row r="913" spans="2:4" hidden="1" outlineLevel="2">
      <c r="B913" s="1177"/>
      <c r="C913" s="536"/>
      <c r="D913" s="537"/>
    </row>
    <row r="914" spans="2:4" hidden="1" outlineLevel="1">
      <c r="B914" s="1177"/>
      <c r="C914" s="536"/>
      <c r="D914" s="537"/>
    </row>
    <row r="915" spans="2:4" hidden="1" outlineLevel="2">
      <c r="B915" s="1177"/>
      <c r="C915" s="536"/>
      <c r="D915" s="537"/>
    </row>
    <row r="916" spans="2:4" hidden="1" outlineLevel="2">
      <c r="B916" s="1177"/>
      <c r="C916" s="536"/>
      <c r="D916" s="537"/>
    </row>
    <row r="917" spans="2:4" hidden="1" outlineLevel="2">
      <c r="B917" s="1177"/>
      <c r="C917" s="536"/>
      <c r="D917" s="537"/>
    </row>
    <row r="918" spans="2:4" hidden="1" outlineLevel="2">
      <c r="B918" s="1177"/>
      <c r="C918" s="536"/>
      <c r="D918" s="537"/>
    </row>
    <row r="919" spans="2:4" hidden="1" outlineLevel="2">
      <c r="B919" s="1177"/>
      <c r="C919" s="536"/>
      <c r="D919" s="537"/>
    </row>
    <row r="920" spans="2:4" hidden="1" outlineLevel="2">
      <c r="B920" s="1177"/>
      <c r="C920" s="536"/>
      <c r="D920" s="537"/>
    </row>
    <row r="921" spans="2:4" hidden="1" outlineLevel="2">
      <c r="B921" s="1177"/>
      <c r="C921" s="536"/>
      <c r="D921" s="537"/>
    </row>
    <row r="922" spans="2:4" hidden="1" outlineLevel="2">
      <c r="B922" s="1177"/>
      <c r="C922" s="536"/>
      <c r="D922" s="537"/>
    </row>
    <row r="923" spans="2:4" hidden="1" outlineLevel="2">
      <c r="B923" s="1177"/>
      <c r="C923" s="536"/>
      <c r="D923" s="537"/>
    </row>
    <row r="924" spans="2:4" hidden="1" outlineLevel="1">
      <c r="B924" s="1177"/>
      <c r="C924" s="536"/>
      <c r="D924" s="537"/>
    </row>
    <row r="925" spans="2:4" hidden="1" outlineLevel="2">
      <c r="B925" s="1177"/>
      <c r="C925" s="536"/>
      <c r="D925" s="537"/>
    </row>
    <row r="926" spans="2:4" hidden="1" outlineLevel="2">
      <c r="B926" s="1177"/>
      <c r="C926" s="536"/>
      <c r="D926" s="537"/>
    </row>
    <row r="927" spans="2:4" hidden="1" outlineLevel="2">
      <c r="B927" s="1177"/>
      <c r="C927" s="536"/>
      <c r="D927" s="537"/>
    </row>
    <row r="928" spans="2:4" hidden="1" outlineLevel="2">
      <c r="B928" s="1177"/>
      <c r="C928" s="536"/>
      <c r="D928" s="537"/>
    </row>
    <row r="929" spans="2:4" hidden="1" outlineLevel="2">
      <c r="B929" s="1177"/>
      <c r="C929" s="536"/>
      <c r="D929" s="537"/>
    </row>
    <row r="930" spans="2:4" hidden="1" outlineLevel="2">
      <c r="B930" s="1177"/>
      <c r="C930" s="536"/>
      <c r="D930" s="537"/>
    </row>
    <row r="931" spans="2:4" hidden="1" outlineLevel="2">
      <c r="B931" s="1177"/>
      <c r="C931" s="536"/>
      <c r="D931" s="537"/>
    </row>
    <row r="932" spans="2:4" hidden="1" outlineLevel="2">
      <c r="B932" s="1177"/>
      <c r="C932" s="536"/>
      <c r="D932" s="537"/>
    </row>
    <row r="933" spans="2:4" hidden="1" outlineLevel="2">
      <c r="B933" s="1177"/>
      <c r="C933" s="536"/>
      <c r="D933" s="537"/>
    </row>
    <row r="934" spans="2:4" hidden="1" outlineLevel="1">
      <c r="B934" s="1177"/>
      <c r="C934" s="536"/>
      <c r="D934" s="537"/>
    </row>
    <row r="935" spans="2:4" hidden="1" outlineLevel="2">
      <c r="B935" s="1177"/>
      <c r="C935" s="536"/>
      <c r="D935" s="537"/>
    </row>
    <row r="936" spans="2:4" hidden="1" outlineLevel="2">
      <c r="B936" s="1177"/>
      <c r="C936" s="536"/>
      <c r="D936" s="537"/>
    </row>
    <row r="937" spans="2:4" hidden="1" outlineLevel="2">
      <c r="B937" s="1177"/>
      <c r="C937" s="536"/>
      <c r="D937" s="537"/>
    </row>
    <row r="938" spans="2:4" hidden="1" outlineLevel="2">
      <c r="B938" s="1177"/>
      <c r="C938" s="536"/>
      <c r="D938" s="537"/>
    </row>
    <row r="939" spans="2:4" hidden="1" outlineLevel="2">
      <c r="B939" s="1177"/>
      <c r="C939" s="536"/>
      <c r="D939" s="537"/>
    </row>
    <row r="940" spans="2:4" hidden="1" outlineLevel="2">
      <c r="B940" s="1177"/>
      <c r="C940" s="536"/>
      <c r="D940" s="537"/>
    </row>
    <row r="941" spans="2:4" hidden="1" outlineLevel="2">
      <c r="B941" s="1177"/>
      <c r="C941" s="536"/>
      <c r="D941" s="537"/>
    </row>
    <row r="942" spans="2:4" hidden="1" outlineLevel="2">
      <c r="B942" s="1177"/>
      <c r="C942" s="536"/>
      <c r="D942" s="537"/>
    </row>
    <row r="943" spans="2:4" hidden="1" outlineLevel="2">
      <c r="B943" s="1177"/>
      <c r="C943" s="536"/>
      <c r="D943" s="537"/>
    </row>
    <row r="944" spans="2:4" hidden="1" outlineLevel="1">
      <c r="B944" s="1177"/>
      <c r="C944" s="536"/>
      <c r="D944" s="537"/>
    </row>
    <row r="945" spans="2:4" hidden="1" outlineLevel="2">
      <c r="B945" s="1177"/>
      <c r="C945" s="536"/>
      <c r="D945" s="537"/>
    </row>
    <row r="946" spans="2:4" hidden="1" outlineLevel="2">
      <c r="B946" s="1177"/>
      <c r="C946" s="536"/>
      <c r="D946" s="537"/>
    </row>
    <row r="947" spans="2:4" hidden="1" outlineLevel="2">
      <c r="B947" s="1177"/>
      <c r="C947" s="536"/>
      <c r="D947" s="537"/>
    </row>
    <row r="948" spans="2:4" hidden="1" outlineLevel="2">
      <c r="B948" s="1177"/>
      <c r="C948" s="536"/>
      <c r="D948" s="537"/>
    </row>
    <row r="949" spans="2:4" hidden="1" outlineLevel="2">
      <c r="B949" s="1177"/>
      <c r="C949" s="536"/>
      <c r="D949" s="537"/>
    </row>
    <row r="950" spans="2:4" hidden="1" outlineLevel="2">
      <c r="B950" s="1177"/>
      <c r="C950" s="536"/>
      <c r="D950" s="537"/>
    </row>
    <row r="951" spans="2:4" hidden="1" outlineLevel="2">
      <c r="B951" s="1177"/>
      <c r="C951" s="536"/>
      <c r="D951" s="537"/>
    </row>
    <row r="952" spans="2:4" hidden="1" outlineLevel="2">
      <c r="B952" s="1177"/>
      <c r="C952" s="536"/>
      <c r="D952" s="537"/>
    </row>
    <row r="953" spans="2:4" hidden="1" outlineLevel="2">
      <c r="B953" s="1177"/>
      <c r="C953" s="536"/>
      <c r="D953" s="537"/>
    </row>
    <row r="954" spans="2:4" hidden="1" outlineLevel="1">
      <c r="B954" s="1177"/>
      <c r="C954" s="536"/>
      <c r="D954" s="537"/>
    </row>
    <row r="955" spans="2:4" hidden="1" outlineLevel="2">
      <c r="B955" s="1177"/>
      <c r="C955" s="536"/>
      <c r="D955" s="537"/>
    </row>
    <row r="956" spans="2:4" hidden="1" outlineLevel="2">
      <c r="B956" s="1177"/>
      <c r="C956" s="536"/>
      <c r="D956" s="537"/>
    </row>
    <row r="957" spans="2:4" hidden="1" outlineLevel="2">
      <c r="B957" s="1177"/>
      <c r="C957" s="536"/>
      <c r="D957" s="537"/>
    </row>
    <row r="958" spans="2:4" hidden="1" outlineLevel="2">
      <c r="B958" s="1177"/>
      <c r="C958" s="536"/>
      <c r="D958" s="537"/>
    </row>
    <row r="959" spans="2:4" hidden="1" outlineLevel="2">
      <c r="B959" s="1177"/>
      <c r="C959" s="536"/>
      <c r="D959" s="537"/>
    </row>
    <row r="960" spans="2:4" hidden="1" outlineLevel="2">
      <c r="B960" s="1177"/>
      <c r="C960" s="536"/>
      <c r="D960" s="537"/>
    </row>
    <row r="961" spans="2:4" hidden="1" outlineLevel="2">
      <c r="B961" s="1177"/>
      <c r="C961" s="536"/>
      <c r="D961" s="537"/>
    </row>
    <row r="962" spans="2:4" hidden="1" outlineLevel="2">
      <c r="B962" s="1177"/>
      <c r="C962" s="536"/>
      <c r="D962" s="537"/>
    </row>
    <row r="963" spans="2:4" hidden="1" outlineLevel="2">
      <c r="B963" s="1177"/>
      <c r="C963" s="536"/>
      <c r="D963" s="537"/>
    </row>
    <row r="964" spans="2:4" hidden="1" outlineLevel="1">
      <c r="B964" s="1177"/>
      <c r="C964" s="536"/>
      <c r="D964" s="537"/>
    </row>
    <row r="965" spans="2:4" hidden="1" outlineLevel="2">
      <c r="B965" s="1177"/>
      <c r="C965" s="536"/>
      <c r="D965" s="537"/>
    </row>
    <row r="966" spans="2:4" hidden="1" outlineLevel="2">
      <c r="B966" s="1177"/>
      <c r="C966" s="536"/>
      <c r="D966" s="537"/>
    </row>
    <row r="967" spans="2:4" hidden="1" outlineLevel="2">
      <c r="B967" s="1177"/>
      <c r="C967" s="536"/>
      <c r="D967" s="537"/>
    </row>
    <row r="968" spans="2:4" hidden="1" outlineLevel="2">
      <c r="B968" s="1177"/>
      <c r="C968" s="536"/>
      <c r="D968" s="537"/>
    </row>
    <row r="969" spans="2:4" hidden="1" outlineLevel="2">
      <c r="B969" s="1177"/>
      <c r="C969" s="536"/>
      <c r="D969" s="537"/>
    </row>
    <row r="970" spans="2:4" hidden="1" outlineLevel="2">
      <c r="B970" s="1177"/>
      <c r="C970" s="536"/>
      <c r="D970" s="537"/>
    </row>
    <row r="971" spans="2:4" hidden="1" outlineLevel="2">
      <c r="B971" s="1177"/>
      <c r="C971" s="536"/>
      <c r="D971" s="537"/>
    </row>
    <row r="972" spans="2:4" hidden="1" outlineLevel="2">
      <c r="B972" s="1177"/>
      <c r="C972" s="536"/>
      <c r="D972" s="537"/>
    </row>
    <row r="973" spans="2:4" hidden="1" outlineLevel="2">
      <c r="B973" s="1177"/>
      <c r="C973" s="536"/>
      <c r="D973" s="537"/>
    </row>
    <row r="974" spans="2:4" hidden="1" outlineLevel="1">
      <c r="B974" s="1177"/>
      <c r="C974" s="536"/>
      <c r="D974" s="537"/>
    </row>
    <row r="975" spans="2:4" hidden="1" outlineLevel="2">
      <c r="B975" s="1177"/>
      <c r="C975" s="536"/>
      <c r="D975" s="537"/>
    </row>
    <row r="976" spans="2:4" hidden="1" outlineLevel="2">
      <c r="B976" s="1177"/>
      <c r="C976" s="536"/>
      <c r="D976" s="537"/>
    </row>
    <row r="977" spans="2:4" hidden="1" outlineLevel="2">
      <c r="B977" s="1177"/>
      <c r="C977" s="536"/>
      <c r="D977" s="537"/>
    </row>
    <row r="978" spans="2:4" hidden="1" outlineLevel="2">
      <c r="B978" s="1177"/>
      <c r="C978" s="536"/>
      <c r="D978" s="537"/>
    </row>
    <row r="979" spans="2:4" hidden="1" outlineLevel="2">
      <c r="B979" s="1177"/>
      <c r="C979" s="536"/>
      <c r="D979" s="537"/>
    </row>
    <row r="980" spans="2:4" hidden="1" outlineLevel="2">
      <c r="B980" s="1177"/>
      <c r="C980" s="536"/>
      <c r="D980" s="537"/>
    </row>
    <row r="981" spans="2:4" hidden="1" outlineLevel="2">
      <c r="B981" s="1177"/>
      <c r="C981" s="536"/>
      <c r="D981" s="537"/>
    </row>
    <row r="982" spans="2:4" hidden="1" outlineLevel="2">
      <c r="B982" s="1177"/>
      <c r="C982" s="536"/>
      <c r="D982" s="537"/>
    </row>
    <row r="983" spans="2:4" hidden="1" outlineLevel="2">
      <c r="B983" s="1177"/>
      <c r="C983" s="536"/>
      <c r="D983" s="537"/>
    </row>
    <row r="984" spans="2:4" hidden="1" outlineLevel="1">
      <c r="B984" s="1177"/>
      <c r="C984" s="536"/>
      <c r="D984" s="537"/>
    </row>
    <row r="985" spans="2:4" hidden="1" outlineLevel="2">
      <c r="B985" s="1177"/>
      <c r="C985" s="536"/>
      <c r="D985" s="537"/>
    </row>
    <row r="986" spans="2:4" hidden="1" outlineLevel="2">
      <c r="B986" s="1177"/>
      <c r="C986" s="536"/>
      <c r="D986" s="537"/>
    </row>
    <row r="987" spans="2:4" hidden="1" outlineLevel="2">
      <c r="B987" s="1177"/>
      <c r="C987" s="536"/>
      <c r="D987" s="537"/>
    </row>
    <row r="988" spans="2:4" hidden="1" outlineLevel="2">
      <c r="B988" s="1177"/>
      <c r="C988" s="536"/>
      <c r="D988" s="537"/>
    </row>
    <row r="989" spans="2:4" hidden="1" outlineLevel="2">
      <c r="B989" s="1177"/>
      <c r="C989" s="536"/>
      <c r="D989" s="537"/>
    </row>
    <row r="990" spans="2:4" hidden="1" outlineLevel="2">
      <c r="B990" s="1177"/>
      <c r="C990" s="536"/>
      <c r="D990" s="537"/>
    </row>
    <row r="991" spans="2:4" hidden="1" outlineLevel="2">
      <c r="B991" s="1177"/>
      <c r="C991" s="536"/>
      <c r="D991" s="537"/>
    </row>
    <row r="992" spans="2:4" hidden="1" outlineLevel="2">
      <c r="B992" s="1177"/>
      <c r="C992" s="536"/>
      <c r="D992" s="537"/>
    </row>
    <row r="993" spans="2:4" hidden="1" outlineLevel="2">
      <c r="B993" s="1177"/>
      <c r="C993" s="536"/>
      <c r="D993" s="537"/>
    </row>
    <row r="994" spans="2:4" hidden="1" outlineLevel="1">
      <c r="B994" s="1177"/>
      <c r="C994" s="536"/>
      <c r="D994" s="537"/>
    </row>
    <row r="995" spans="2:4" hidden="1" outlineLevel="2">
      <c r="B995" s="1177"/>
      <c r="C995" s="536"/>
      <c r="D995" s="537"/>
    </row>
    <row r="996" spans="2:4" hidden="1" outlineLevel="2">
      <c r="B996" s="1177"/>
      <c r="C996" s="536"/>
      <c r="D996" s="537"/>
    </row>
    <row r="997" spans="2:4" hidden="1" outlineLevel="2">
      <c r="B997" s="1177"/>
      <c r="C997" s="536"/>
      <c r="D997" s="537"/>
    </row>
    <row r="998" spans="2:4" hidden="1" outlineLevel="2">
      <c r="B998" s="1177"/>
      <c r="C998" s="536"/>
      <c r="D998" s="537"/>
    </row>
    <row r="999" spans="2:4" hidden="1" outlineLevel="2">
      <c r="B999" s="1177"/>
      <c r="C999" s="536"/>
      <c r="D999" s="537"/>
    </row>
    <row r="1000" spans="2:4" hidden="1" outlineLevel="2">
      <c r="B1000" s="1177"/>
      <c r="C1000" s="536"/>
      <c r="D1000" s="537"/>
    </row>
    <row r="1001" spans="2:4" hidden="1" outlineLevel="2">
      <c r="B1001" s="1177"/>
      <c r="C1001" s="536"/>
      <c r="D1001" s="537"/>
    </row>
    <row r="1002" spans="2:4" hidden="1" outlineLevel="2">
      <c r="B1002" s="1177"/>
      <c r="C1002" s="536"/>
      <c r="D1002" s="537"/>
    </row>
    <row r="1003" spans="2:4" hidden="1" outlineLevel="2">
      <c r="B1003" s="1177"/>
      <c r="C1003" s="536"/>
      <c r="D1003" s="537"/>
    </row>
    <row r="1004" spans="2:4" hidden="1" outlineLevel="1">
      <c r="B1004" s="1177"/>
      <c r="C1004" s="536"/>
      <c r="D1004" s="537"/>
    </row>
    <row r="1005" spans="2:4" hidden="1" outlineLevel="2">
      <c r="B1005" s="1177"/>
      <c r="C1005" s="536"/>
      <c r="D1005" s="537"/>
    </row>
    <row r="1006" spans="2:4" hidden="1" outlineLevel="2">
      <c r="B1006" s="1177"/>
      <c r="C1006" s="536"/>
      <c r="D1006" s="537"/>
    </row>
    <row r="1007" spans="2:4" hidden="1" outlineLevel="2">
      <c r="B1007" s="1177"/>
      <c r="C1007" s="536"/>
      <c r="D1007" s="537"/>
    </row>
    <row r="1008" spans="2:4" hidden="1" outlineLevel="2">
      <c r="B1008" s="1177"/>
      <c r="C1008" s="536"/>
      <c r="D1008" s="537"/>
    </row>
    <row r="1009" spans="2:4" hidden="1" outlineLevel="2">
      <c r="B1009" s="1177"/>
      <c r="C1009" s="536"/>
      <c r="D1009" s="537"/>
    </row>
    <row r="1010" spans="2:4" hidden="1" outlineLevel="2">
      <c r="B1010" s="1177"/>
      <c r="C1010" s="536"/>
      <c r="D1010" s="537"/>
    </row>
    <row r="1011" spans="2:4" hidden="1" outlineLevel="2">
      <c r="B1011" s="1177"/>
      <c r="C1011" s="536"/>
      <c r="D1011" s="537"/>
    </row>
    <row r="1012" spans="2:4" hidden="1" outlineLevel="2">
      <c r="B1012" s="1177"/>
      <c r="C1012" s="536"/>
      <c r="D1012" s="537"/>
    </row>
    <row r="1013" spans="2:4" hidden="1" outlineLevel="2">
      <c r="B1013" s="1177"/>
      <c r="C1013" s="536"/>
      <c r="D1013" s="537"/>
    </row>
    <row r="1014" spans="2:4" hidden="1" outlineLevel="1">
      <c r="B1014" s="1177"/>
      <c r="C1014" s="536"/>
      <c r="D1014" s="537"/>
    </row>
    <row r="1015" spans="2:4" hidden="1" outlineLevel="2">
      <c r="B1015" s="1177"/>
      <c r="C1015" s="536"/>
      <c r="D1015" s="537"/>
    </row>
    <row r="1016" spans="2:4" hidden="1" outlineLevel="2">
      <c r="B1016" s="1177"/>
      <c r="C1016" s="536"/>
      <c r="D1016" s="537"/>
    </row>
    <row r="1017" spans="2:4" hidden="1" outlineLevel="2">
      <c r="B1017" s="1177"/>
      <c r="C1017" s="536"/>
      <c r="D1017" s="537"/>
    </row>
    <row r="1018" spans="2:4" hidden="1" outlineLevel="2">
      <c r="B1018" s="1177"/>
      <c r="C1018" s="536"/>
      <c r="D1018" s="537"/>
    </row>
    <row r="1019" spans="2:4" hidden="1" outlineLevel="2">
      <c r="B1019" s="1177"/>
      <c r="C1019" s="536"/>
      <c r="D1019" s="537"/>
    </row>
    <row r="1020" spans="2:4" hidden="1" outlineLevel="2">
      <c r="B1020" s="1177"/>
      <c r="C1020" s="536"/>
      <c r="D1020" s="537"/>
    </row>
    <row r="1021" spans="2:4" hidden="1" outlineLevel="2">
      <c r="B1021" s="1177"/>
      <c r="C1021" s="536"/>
      <c r="D1021" s="537"/>
    </row>
    <row r="1022" spans="2:4" hidden="1" outlineLevel="2">
      <c r="B1022" s="1177"/>
      <c r="C1022" s="536"/>
      <c r="D1022" s="537"/>
    </row>
    <row r="1023" spans="2:4" hidden="1" outlineLevel="2">
      <c r="B1023" s="1177"/>
      <c r="C1023" s="536"/>
      <c r="D1023" s="537"/>
    </row>
    <row r="1024" spans="2:4" hidden="1" outlineLevel="1">
      <c r="B1024" s="1177"/>
      <c r="C1024" s="536"/>
      <c r="D1024" s="537"/>
    </row>
    <row r="1025" spans="2:4" hidden="1" outlineLevel="2">
      <c r="B1025" s="1177"/>
      <c r="C1025" s="536"/>
      <c r="D1025" s="537"/>
    </row>
    <row r="1026" spans="2:4" hidden="1" outlineLevel="2">
      <c r="B1026" s="1177"/>
      <c r="C1026" s="536"/>
      <c r="D1026" s="537"/>
    </row>
    <row r="1027" spans="2:4" hidden="1" outlineLevel="2">
      <c r="B1027" s="1177"/>
      <c r="C1027" s="536"/>
      <c r="D1027" s="537"/>
    </row>
    <row r="1028" spans="2:4" hidden="1" outlineLevel="2">
      <c r="B1028" s="1177"/>
      <c r="C1028" s="536"/>
      <c r="D1028" s="537"/>
    </row>
    <row r="1029" spans="2:4" hidden="1" outlineLevel="2">
      <c r="B1029" s="1177"/>
      <c r="C1029" s="536"/>
      <c r="D1029" s="537"/>
    </row>
    <row r="1030" spans="2:4" hidden="1" outlineLevel="2">
      <c r="B1030" s="1177"/>
      <c r="C1030" s="536"/>
      <c r="D1030" s="537"/>
    </row>
    <row r="1031" spans="2:4" hidden="1" outlineLevel="2">
      <c r="B1031" s="1177"/>
      <c r="C1031" s="536"/>
      <c r="D1031" s="537"/>
    </row>
    <row r="1032" spans="2:4" hidden="1" outlineLevel="2">
      <c r="B1032" s="1177"/>
      <c r="C1032" s="536"/>
      <c r="D1032" s="537"/>
    </row>
    <row r="1033" spans="2:4" hidden="1" outlineLevel="2">
      <c r="B1033" s="1177"/>
      <c r="C1033" s="536"/>
      <c r="D1033" s="537"/>
    </row>
    <row r="1034" spans="2:4" hidden="1" outlineLevel="1">
      <c r="B1034" s="1177"/>
      <c r="C1034" s="536"/>
      <c r="D1034" s="537"/>
    </row>
    <row r="1035" spans="2:4" hidden="1" outlineLevel="2">
      <c r="B1035" s="1177"/>
      <c r="C1035" s="536"/>
      <c r="D1035" s="537"/>
    </row>
    <row r="1036" spans="2:4" hidden="1" outlineLevel="2">
      <c r="B1036" s="1177"/>
      <c r="C1036" s="536"/>
      <c r="D1036" s="537"/>
    </row>
    <row r="1037" spans="2:4" hidden="1" outlineLevel="2">
      <c r="B1037" s="1177"/>
      <c r="C1037" s="536"/>
      <c r="D1037" s="537"/>
    </row>
    <row r="1038" spans="2:4" hidden="1" outlineLevel="2">
      <c r="B1038" s="1177"/>
      <c r="C1038" s="536"/>
      <c r="D1038" s="537"/>
    </row>
    <row r="1039" spans="2:4" hidden="1" outlineLevel="2">
      <c r="B1039" s="1177"/>
      <c r="C1039" s="536"/>
      <c r="D1039" s="537"/>
    </row>
    <row r="1040" spans="2:4" hidden="1" outlineLevel="2">
      <c r="B1040" s="1177"/>
      <c r="C1040" s="536"/>
      <c r="D1040" s="537"/>
    </row>
    <row r="1041" spans="2:4" hidden="1" outlineLevel="2">
      <c r="B1041" s="1177"/>
      <c r="C1041" s="536"/>
      <c r="D1041" s="537"/>
    </row>
    <row r="1042" spans="2:4" hidden="1" outlineLevel="2">
      <c r="B1042" s="1177"/>
      <c r="C1042" s="536"/>
      <c r="D1042" s="537"/>
    </row>
    <row r="1043" spans="2:4" hidden="1" outlineLevel="2">
      <c r="B1043" s="1177"/>
      <c r="C1043" s="536"/>
      <c r="D1043" s="537"/>
    </row>
    <row r="1044" spans="2:4" hidden="1" outlineLevel="1">
      <c r="B1044" s="1177"/>
      <c r="C1044" s="536"/>
      <c r="D1044" s="537"/>
    </row>
    <row r="1045" spans="2:4" hidden="1" outlineLevel="2">
      <c r="B1045" s="1177"/>
      <c r="C1045" s="536"/>
      <c r="D1045" s="537"/>
    </row>
    <row r="1046" spans="2:4" hidden="1" outlineLevel="2">
      <c r="B1046" s="1177"/>
      <c r="C1046" s="536"/>
      <c r="D1046" s="537"/>
    </row>
    <row r="1047" spans="2:4" hidden="1" outlineLevel="2">
      <c r="B1047" s="1177"/>
      <c r="C1047" s="536"/>
      <c r="D1047" s="537"/>
    </row>
    <row r="1048" spans="2:4" hidden="1" outlineLevel="2">
      <c r="B1048" s="1177"/>
      <c r="C1048" s="536"/>
      <c r="D1048" s="537"/>
    </row>
    <row r="1049" spans="2:4" hidden="1" outlineLevel="2">
      <c r="B1049" s="1177"/>
      <c r="C1049" s="536"/>
      <c r="D1049" s="537"/>
    </row>
    <row r="1050" spans="2:4" hidden="1" outlineLevel="2">
      <c r="B1050" s="1177"/>
      <c r="C1050" s="536"/>
      <c r="D1050" s="537"/>
    </row>
    <row r="1051" spans="2:4" hidden="1" outlineLevel="2">
      <c r="B1051" s="1177"/>
      <c r="C1051" s="536"/>
      <c r="D1051" s="537"/>
    </row>
    <row r="1052" spans="2:4" hidden="1" outlineLevel="2">
      <c r="B1052" s="1177"/>
      <c r="C1052" s="536"/>
      <c r="D1052" s="537"/>
    </row>
    <row r="1053" spans="2:4" hidden="1" outlineLevel="2">
      <c r="B1053" s="1177"/>
      <c r="C1053" s="536"/>
      <c r="D1053" s="537"/>
    </row>
    <row r="1054" spans="2:4" hidden="1" outlineLevel="1">
      <c r="B1054" s="1177"/>
      <c r="C1054" s="536"/>
      <c r="D1054" s="537"/>
    </row>
    <row r="1055" spans="2:4" hidden="1" outlineLevel="2">
      <c r="B1055" s="1177"/>
      <c r="C1055" s="536"/>
      <c r="D1055" s="537"/>
    </row>
    <row r="1056" spans="2:4" hidden="1" outlineLevel="2">
      <c r="B1056" s="1177"/>
      <c r="C1056" s="536"/>
      <c r="D1056" s="537"/>
    </row>
    <row r="1057" spans="2:4" hidden="1" outlineLevel="2">
      <c r="B1057" s="1177"/>
      <c r="C1057" s="536"/>
      <c r="D1057" s="537"/>
    </row>
    <row r="1058" spans="2:4" hidden="1" outlineLevel="2">
      <c r="B1058" s="1177"/>
      <c r="C1058" s="536"/>
      <c r="D1058" s="537"/>
    </row>
    <row r="1059" spans="2:4" hidden="1" outlineLevel="2">
      <c r="B1059" s="1177"/>
      <c r="C1059" s="536"/>
      <c r="D1059" s="537"/>
    </row>
    <row r="1060" spans="2:4" hidden="1" outlineLevel="2">
      <c r="B1060" s="1177"/>
      <c r="C1060" s="536"/>
      <c r="D1060" s="537"/>
    </row>
    <row r="1061" spans="2:4" hidden="1" outlineLevel="2">
      <c r="B1061" s="1177"/>
      <c r="C1061" s="536"/>
      <c r="D1061" s="537"/>
    </row>
    <row r="1062" spans="2:4" hidden="1" outlineLevel="2">
      <c r="B1062" s="1177"/>
      <c r="C1062" s="536"/>
      <c r="D1062" s="537"/>
    </row>
    <row r="1063" spans="2:4" hidden="1" outlineLevel="2">
      <c r="B1063" s="1177"/>
      <c r="C1063" s="536"/>
      <c r="D1063" s="537"/>
    </row>
    <row r="1064" spans="2:4" hidden="1" outlineLevel="1">
      <c r="B1064" s="1177"/>
      <c r="C1064" s="536"/>
      <c r="D1064" s="537"/>
    </row>
    <row r="1065" spans="2:4" hidden="1" outlineLevel="2">
      <c r="B1065" s="1177"/>
      <c r="C1065" s="536"/>
      <c r="D1065" s="537"/>
    </row>
    <row r="1066" spans="2:4" hidden="1" outlineLevel="2">
      <c r="B1066" s="1177"/>
      <c r="C1066" s="536"/>
      <c r="D1066" s="537"/>
    </row>
    <row r="1067" spans="2:4" hidden="1" outlineLevel="2">
      <c r="B1067" s="1177"/>
      <c r="C1067" s="536"/>
      <c r="D1067" s="537"/>
    </row>
    <row r="1068" spans="2:4" hidden="1" outlineLevel="2">
      <c r="B1068" s="1177"/>
      <c r="C1068" s="536"/>
      <c r="D1068" s="537"/>
    </row>
    <row r="1069" spans="2:4" hidden="1" outlineLevel="2">
      <c r="B1069" s="1177"/>
      <c r="C1069" s="536"/>
      <c r="D1069" s="537"/>
    </row>
    <row r="1070" spans="2:4" hidden="1" outlineLevel="2">
      <c r="B1070" s="1177"/>
      <c r="C1070" s="536"/>
      <c r="D1070" s="537"/>
    </row>
    <row r="1071" spans="2:4" hidden="1" outlineLevel="2">
      <c r="B1071" s="1177"/>
      <c r="C1071" s="536"/>
      <c r="D1071" s="537"/>
    </row>
    <row r="1072" spans="2:4" hidden="1" outlineLevel="2">
      <c r="B1072" s="1177"/>
      <c r="C1072" s="536"/>
      <c r="D1072" s="537"/>
    </row>
    <row r="1073" spans="2:4" hidden="1" outlineLevel="2">
      <c r="B1073" s="1177"/>
      <c r="C1073" s="536"/>
      <c r="D1073" s="537"/>
    </row>
    <row r="1074" spans="2:4" hidden="1" outlineLevel="1">
      <c r="B1074" s="1177"/>
      <c r="C1074" s="536"/>
      <c r="D1074" s="537"/>
    </row>
    <row r="1075" spans="2:4" hidden="1" outlineLevel="2">
      <c r="B1075" s="1177"/>
      <c r="C1075" s="536"/>
      <c r="D1075" s="537"/>
    </row>
    <row r="1076" spans="2:4" hidden="1" outlineLevel="2">
      <c r="B1076" s="1177"/>
      <c r="C1076" s="536"/>
      <c r="D1076" s="537"/>
    </row>
    <row r="1077" spans="2:4" hidden="1" outlineLevel="2">
      <c r="B1077" s="1177"/>
      <c r="C1077" s="536"/>
      <c r="D1077" s="537"/>
    </row>
    <row r="1078" spans="2:4" hidden="1" outlineLevel="2">
      <c r="B1078" s="1177"/>
      <c r="C1078" s="536"/>
      <c r="D1078" s="537"/>
    </row>
    <row r="1079" spans="2:4" hidden="1" outlineLevel="2">
      <c r="B1079" s="1177"/>
      <c r="C1079" s="536"/>
      <c r="D1079" s="537"/>
    </row>
    <row r="1080" spans="2:4" hidden="1" outlineLevel="2">
      <c r="B1080" s="1177"/>
      <c r="C1080" s="536"/>
      <c r="D1080" s="537"/>
    </row>
    <row r="1081" spans="2:4" hidden="1" outlineLevel="2">
      <c r="B1081" s="1177"/>
      <c r="C1081" s="536"/>
      <c r="D1081" s="537"/>
    </row>
    <row r="1082" spans="2:4" hidden="1" outlineLevel="2">
      <c r="B1082" s="1177"/>
      <c r="C1082" s="536"/>
      <c r="D1082" s="537"/>
    </row>
    <row r="1083" spans="2:4" hidden="1" outlineLevel="2">
      <c r="B1083" s="1177"/>
      <c r="C1083" s="536"/>
      <c r="D1083" s="537"/>
    </row>
    <row r="1084" spans="2:4" hidden="1" outlineLevel="1">
      <c r="B1084" s="1177"/>
      <c r="C1084" s="536"/>
      <c r="D1084" s="537"/>
    </row>
    <row r="1085" spans="2:4" hidden="1" outlineLevel="2">
      <c r="B1085" s="1177"/>
      <c r="C1085" s="536"/>
      <c r="D1085" s="537"/>
    </row>
    <row r="1086" spans="2:4" hidden="1" outlineLevel="2">
      <c r="B1086" s="1177"/>
      <c r="C1086" s="536"/>
      <c r="D1086" s="537"/>
    </row>
    <row r="1087" spans="2:4" hidden="1" outlineLevel="2">
      <c r="B1087" s="1177"/>
      <c r="C1087" s="536"/>
      <c r="D1087" s="537"/>
    </row>
    <row r="1088" spans="2:4" hidden="1" outlineLevel="2">
      <c r="B1088" s="1177"/>
      <c r="C1088" s="536"/>
      <c r="D1088" s="537"/>
    </row>
    <row r="1089" spans="2:4" hidden="1" outlineLevel="2">
      <c r="B1089" s="1177"/>
      <c r="C1089" s="536"/>
      <c r="D1089" s="537"/>
    </row>
    <row r="1090" spans="2:4" hidden="1" outlineLevel="2">
      <c r="B1090" s="1177"/>
      <c r="C1090" s="536"/>
      <c r="D1090" s="537"/>
    </row>
    <row r="1091" spans="2:4" hidden="1" outlineLevel="2">
      <c r="B1091" s="1177"/>
      <c r="C1091" s="536"/>
      <c r="D1091" s="537"/>
    </row>
    <row r="1092" spans="2:4" hidden="1" outlineLevel="2">
      <c r="B1092" s="1177"/>
      <c r="C1092" s="536"/>
      <c r="D1092" s="537"/>
    </row>
    <row r="1093" spans="2:4" hidden="1" outlineLevel="2">
      <c r="B1093" s="1177"/>
      <c r="C1093" s="536"/>
      <c r="D1093" s="537"/>
    </row>
    <row r="1094" spans="2:4" hidden="1" outlineLevel="1">
      <c r="B1094" s="1177"/>
      <c r="C1094" s="536"/>
      <c r="D1094" s="537"/>
    </row>
    <row r="1095" spans="2:4" hidden="1" outlineLevel="2">
      <c r="B1095" s="1177"/>
      <c r="C1095" s="536"/>
      <c r="D1095" s="537"/>
    </row>
    <row r="1096" spans="2:4" hidden="1" outlineLevel="2">
      <c r="B1096" s="1177"/>
      <c r="C1096" s="536"/>
      <c r="D1096" s="537"/>
    </row>
    <row r="1097" spans="2:4" hidden="1" outlineLevel="2">
      <c r="B1097" s="1177"/>
      <c r="C1097" s="536"/>
      <c r="D1097" s="537"/>
    </row>
    <row r="1098" spans="2:4" hidden="1" outlineLevel="2">
      <c r="B1098" s="1177"/>
      <c r="C1098" s="536"/>
      <c r="D1098" s="537"/>
    </row>
    <row r="1099" spans="2:4" hidden="1" outlineLevel="2">
      <c r="B1099" s="1177"/>
      <c r="C1099" s="536"/>
      <c r="D1099" s="537"/>
    </row>
    <row r="1100" spans="2:4" hidden="1" outlineLevel="2">
      <c r="B1100" s="1177"/>
      <c r="C1100" s="536"/>
      <c r="D1100" s="537"/>
    </row>
    <row r="1101" spans="2:4" hidden="1" outlineLevel="2">
      <c r="B1101" s="1177"/>
      <c r="C1101" s="536"/>
      <c r="D1101" s="537"/>
    </row>
    <row r="1102" spans="2:4" hidden="1" outlineLevel="2">
      <c r="B1102" s="1177"/>
      <c r="C1102" s="536"/>
      <c r="D1102" s="537"/>
    </row>
    <row r="1103" spans="2:4" hidden="1" outlineLevel="2">
      <c r="B1103" s="1177"/>
      <c r="C1103" s="536"/>
      <c r="D1103" s="537"/>
    </row>
    <row r="1104" spans="2:4" hidden="1" outlineLevel="1">
      <c r="B1104" s="1177"/>
      <c r="C1104" s="536"/>
      <c r="D1104" s="537"/>
    </row>
    <row r="1105" spans="2:4" hidden="1" outlineLevel="2">
      <c r="B1105" s="1177"/>
      <c r="C1105" s="536"/>
      <c r="D1105" s="537"/>
    </row>
    <row r="1106" spans="2:4" hidden="1" outlineLevel="2">
      <c r="B1106" s="1177"/>
      <c r="C1106" s="536"/>
      <c r="D1106" s="537"/>
    </row>
    <row r="1107" spans="2:4" hidden="1" outlineLevel="2">
      <c r="B1107" s="1177"/>
      <c r="C1107" s="536"/>
      <c r="D1107" s="537"/>
    </row>
    <row r="1108" spans="2:4" hidden="1" outlineLevel="2">
      <c r="B1108" s="1177"/>
      <c r="C1108" s="536"/>
      <c r="D1108" s="537"/>
    </row>
    <row r="1109" spans="2:4" hidden="1" outlineLevel="2">
      <c r="B1109" s="1177"/>
      <c r="C1109" s="536"/>
      <c r="D1109" s="537"/>
    </row>
    <row r="1110" spans="2:4" hidden="1" outlineLevel="2">
      <c r="B1110" s="1177"/>
      <c r="C1110" s="536"/>
      <c r="D1110" s="537"/>
    </row>
    <row r="1111" spans="2:4" hidden="1" outlineLevel="2">
      <c r="B1111" s="1177"/>
      <c r="C1111" s="536"/>
      <c r="D1111" s="537"/>
    </row>
    <row r="1112" spans="2:4" hidden="1" outlineLevel="2">
      <c r="B1112" s="1177"/>
      <c r="C1112" s="536"/>
      <c r="D1112" s="537"/>
    </row>
    <row r="1113" spans="2:4" hidden="1" outlineLevel="2">
      <c r="B1113" s="1177"/>
      <c r="C1113" s="536"/>
      <c r="D1113" s="537"/>
    </row>
    <row r="1114" spans="2:4" hidden="1" outlineLevel="1">
      <c r="B1114" s="1177"/>
      <c r="C1114" s="536"/>
      <c r="D1114" s="537"/>
    </row>
    <row r="1115" spans="2:4" hidden="1" outlineLevel="2">
      <c r="B1115" s="1177"/>
      <c r="C1115" s="536"/>
      <c r="D1115" s="537"/>
    </row>
    <row r="1116" spans="2:4" hidden="1" outlineLevel="2">
      <c r="B1116" s="1177"/>
      <c r="C1116" s="536"/>
      <c r="D1116" s="537"/>
    </row>
    <row r="1117" spans="2:4" hidden="1" outlineLevel="2">
      <c r="B1117" s="1177"/>
      <c r="C1117" s="536"/>
      <c r="D1117" s="537"/>
    </row>
    <row r="1118" spans="2:4" hidden="1" outlineLevel="2">
      <c r="B1118" s="1177"/>
      <c r="C1118" s="536"/>
      <c r="D1118" s="537"/>
    </row>
    <row r="1119" spans="2:4" hidden="1" outlineLevel="2">
      <c r="B1119" s="1177"/>
      <c r="C1119" s="536"/>
      <c r="D1119" s="537"/>
    </row>
    <row r="1120" spans="2:4" hidden="1" outlineLevel="2">
      <c r="B1120" s="1177"/>
      <c r="C1120" s="536"/>
      <c r="D1120" s="537"/>
    </row>
    <row r="1121" spans="2:4" hidden="1" outlineLevel="2">
      <c r="B1121" s="1177"/>
      <c r="C1121" s="536"/>
      <c r="D1121" s="537"/>
    </row>
    <row r="1122" spans="2:4" hidden="1" outlineLevel="2">
      <c r="B1122" s="1177"/>
      <c r="C1122" s="536"/>
      <c r="D1122" s="537"/>
    </row>
    <row r="1123" spans="2:4" hidden="1" outlineLevel="2">
      <c r="B1123" s="1177"/>
      <c r="C1123" s="536"/>
      <c r="D1123" s="537"/>
    </row>
    <row r="1124" spans="2:4" hidden="1" outlineLevel="1">
      <c r="B1124" s="1177"/>
      <c r="C1124" s="536"/>
      <c r="D1124" s="537"/>
    </row>
    <row r="1125" spans="2:4" hidden="1" outlineLevel="2">
      <c r="B1125" s="1177"/>
      <c r="C1125" s="536"/>
      <c r="D1125" s="537"/>
    </row>
    <row r="1126" spans="2:4" hidden="1" outlineLevel="2">
      <c r="B1126" s="1177"/>
      <c r="C1126" s="536"/>
      <c r="D1126" s="537"/>
    </row>
    <row r="1127" spans="2:4" hidden="1" outlineLevel="2">
      <c r="B1127" s="1177"/>
      <c r="C1127" s="536"/>
      <c r="D1127" s="537"/>
    </row>
    <row r="1128" spans="2:4" hidden="1" outlineLevel="2">
      <c r="B1128" s="1177"/>
      <c r="C1128" s="536"/>
      <c r="D1128" s="537"/>
    </row>
    <row r="1129" spans="2:4" hidden="1" outlineLevel="2">
      <c r="B1129" s="1177"/>
      <c r="C1129" s="536"/>
      <c r="D1129" s="537"/>
    </row>
    <row r="1130" spans="2:4" hidden="1" outlineLevel="2">
      <c r="B1130" s="1177"/>
      <c r="C1130" s="536"/>
      <c r="D1130" s="537"/>
    </row>
    <row r="1131" spans="2:4" hidden="1" outlineLevel="2">
      <c r="B1131" s="1177"/>
      <c r="C1131" s="536"/>
      <c r="D1131" s="537"/>
    </row>
    <row r="1132" spans="2:4" hidden="1" outlineLevel="2">
      <c r="B1132" s="1177"/>
      <c r="C1132" s="536"/>
      <c r="D1132" s="537"/>
    </row>
    <row r="1133" spans="2:4" hidden="1" outlineLevel="2">
      <c r="B1133" s="1177"/>
      <c r="C1133" s="536"/>
      <c r="D1133" s="537"/>
    </row>
    <row r="1134" spans="2:4" hidden="1" outlineLevel="1">
      <c r="B1134" s="1177"/>
      <c r="C1134" s="536"/>
      <c r="D1134" s="537"/>
    </row>
    <row r="1135" spans="2:4" hidden="1" outlineLevel="2">
      <c r="B1135" s="1177"/>
      <c r="C1135" s="536"/>
      <c r="D1135" s="537"/>
    </row>
    <row r="1136" spans="2:4" hidden="1" outlineLevel="2">
      <c r="B1136" s="1177"/>
      <c r="C1136" s="536"/>
      <c r="D1136" s="537"/>
    </row>
    <row r="1137" spans="2:4" hidden="1" outlineLevel="2">
      <c r="B1137" s="1177"/>
      <c r="C1137" s="536"/>
      <c r="D1137" s="537"/>
    </row>
    <row r="1138" spans="2:4" hidden="1" outlineLevel="2">
      <c r="B1138" s="1177"/>
      <c r="C1138" s="536"/>
      <c r="D1138" s="537"/>
    </row>
    <row r="1139" spans="2:4" hidden="1" outlineLevel="2">
      <c r="B1139" s="1177"/>
      <c r="C1139" s="536"/>
      <c r="D1139" s="537"/>
    </row>
    <row r="1140" spans="2:4" hidden="1" outlineLevel="2">
      <c r="B1140" s="1177"/>
      <c r="C1140" s="536"/>
      <c r="D1140" s="537"/>
    </row>
    <row r="1141" spans="2:4" hidden="1" outlineLevel="2">
      <c r="B1141" s="1177"/>
      <c r="C1141" s="536"/>
      <c r="D1141" s="537"/>
    </row>
    <row r="1142" spans="2:4" hidden="1" outlineLevel="2">
      <c r="B1142" s="1177"/>
      <c r="C1142" s="536"/>
      <c r="D1142" s="537"/>
    </row>
    <row r="1143" spans="2:4" hidden="1" outlineLevel="2">
      <c r="B1143" s="1177"/>
      <c r="C1143" s="536"/>
      <c r="D1143" s="537"/>
    </row>
    <row r="1144" spans="2:4" hidden="1" outlineLevel="1">
      <c r="B1144" s="1177"/>
      <c r="C1144" s="536"/>
      <c r="D1144" s="537"/>
    </row>
    <row r="1145" spans="2:4" hidden="1" outlineLevel="2">
      <c r="B1145" s="1177"/>
      <c r="C1145" s="536"/>
      <c r="D1145" s="537"/>
    </row>
    <row r="1146" spans="2:4" hidden="1" outlineLevel="2">
      <c r="B1146" s="1177"/>
      <c r="C1146" s="536"/>
      <c r="D1146" s="537"/>
    </row>
    <row r="1147" spans="2:4" hidden="1" outlineLevel="2">
      <c r="B1147" s="1177"/>
      <c r="C1147" s="536"/>
      <c r="D1147" s="537"/>
    </row>
    <row r="1148" spans="2:4" hidden="1" outlineLevel="2">
      <c r="B1148" s="1177"/>
      <c r="C1148" s="536"/>
      <c r="D1148" s="537"/>
    </row>
    <row r="1149" spans="2:4" hidden="1" outlineLevel="2">
      <c r="B1149" s="1177"/>
      <c r="C1149" s="536"/>
      <c r="D1149" s="537"/>
    </row>
    <row r="1150" spans="2:4" hidden="1" outlineLevel="2">
      <c r="B1150" s="1177"/>
      <c r="C1150" s="536"/>
      <c r="D1150" s="537"/>
    </row>
    <row r="1151" spans="2:4" hidden="1" outlineLevel="2">
      <c r="B1151" s="1177"/>
      <c r="C1151" s="536"/>
      <c r="D1151" s="537"/>
    </row>
    <row r="1152" spans="2:4" hidden="1" outlineLevel="2">
      <c r="B1152" s="1177"/>
      <c r="C1152" s="536"/>
      <c r="D1152" s="537"/>
    </row>
    <row r="1153" spans="2:4" hidden="1" outlineLevel="2">
      <c r="B1153" s="1177"/>
      <c r="C1153" s="536"/>
      <c r="D1153" s="537"/>
    </row>
    <row r="1154" spans="2:4" hidden="1" outlineLevel="1">
      <c r="B1154" s="1177"/>
      <c r="C1154" s="536"/>
      <c r="D1154" s="537"/>
    </row>
    <row r="1155" spans="2:4" hidden="1" outlineLevel="2">
      <c r="B1155" s="1177"/>
      <c r="C1155" s="536"/>
      <c r="D1155" s="537"/>
    </row>
    <row r="1156" spans="2:4" hidden="1" outlineLevel="2">
      <c r="B1156" s="1177"/>
      <c r="C1156" s="536"/>
      <c r="D1156" s="537"/>
    </row>
    <row r="1157" spans="2:4" hidden="1" outlineLevel="2">
      <c r="B1157" s="1177"/>
      <c r="C1157" s="536"/>
      <c r="D1157" s="537"/>
    </row>
    <row r="1158" spans="2:4" hidden="1" outlineLevel="2">
      <c r="B1158" s="1177"/>
      <c r="C1158" s="536"/>
      <c r="D1158" s="537"/>
    </row>
    <row r="1159" spans="2:4" hidden="1" outlineLevel="2">
      <c r="B1159" s="1177"/>
      <c r="C1159" s="536"/>
      <c r="D1159" s="537"/>
    </row>
    <row r="1160" spans="2:4" hidden="1" outlineLevel="2">
      <c r="B1160" s="1177"/>
      <c r="C1160" s="536"/>
      <c r="D1160" s="537"/>
    </row>
    <row r="1161" spans="2:4" hidden="1" outlineLevel="2">
      <c r="B1161" s="1177"/>
      <c r="C1161" s="536"/>
      <c r="D1161" s="537"/>
    </row>
    <row r="1162" spans="2:4" hidden="1" outlineLevel="2">
      <c r="B1162" s="1177"/>
      <c r="C1162" s="536"/>
      <c r="D1162" s="537"/>
    </row>
    <row r="1163" spans="2:4" hidden="1" outlineLevel="2">
      <c r="B1163" s="1177"/>
      <c r="C1163" s="536"/>
      <c r="D1163" s="537"/>
    </row>
    <row r="1164" spans="2:4" hidden="1" outlineLevel="1">
      <c r="B1164" s="1177"/>
      <c r="C1164" s="536"/>
      <c r="D1164" s="537"/>
    </row>
    <row r="1165" spans="2:4" hidden="1" outlineLevel="2">
      <c r="B1165" s="1177"/>
      <c r="C1165" s="536"/>
      <c r="D1165" s="537"/>
    </row>
    <row r="1166" spans="2:4" hidden="1" outlineLevel="2">
      <c r="B1166" s="1177"/>
      <c r="C1166" s="536"/>
      <c r="D1166" s="537"/>
    </row>
    <row r="1167" spans="2:4" hidden="1" outlineLevel="2">
      <c r="B1167" s="1177"/>
      <c r="C1167" s="536"/>
      <c r="D1167" s="537"/>
    </row>
    <row r="1168" spans="2:4" hidden="1" outlineLevel="2">
      <c r="B1168" s="1177"/>
      <c r="C1168" s="536"/>
      <c r="D1168" s="537"/>
    </row>
    <row r="1169" spans="2:4" hidden="1" outlineLevel="2">
      <c r="B1169" s="1177"/>
      <c r="C1169" s="536"/>
      <c r="D1169" s="537"/>
    </row>
    <row r="1170" spans="2:4" hidden="1" outlineLevel="2">
      <c r="B1170" s="1177"/>
      <c r="C1170" s="536"/>
      <c r="D1170" s="537"/>
    </row>
    <row r="1171" spans="2:4" hidden="1" outlineLevel="2">
      <c r="B1171" s="1177"/>
      <c r="C1171" s="536"/>
      <c r="D1171" s="537"/>
    </row>
    <row r="1172" spans="2:4" hidden="1" outlineLevel="2">
      <c r="B1172" s="1177"/>
      <c r="C1172" s="536"/>
      <c r="D1172" s="537"/>
    </row>
    <row r="1173" spans="2:4" hidden="1" outlineLevel="2">
      <c r="B1173" s="1177"/>
      <c r="C1173" s="536"/>
      <c r="D1173" s="537"/>
    </row>
    <row r="1174" spans="2:4" hidden="1" outlineLevel="1">
      <c r="B1174" s="1177"/>
      <c r="C1174" s="536"/>
      <c r="D1174" s="537"/>
    </row>
    <row r="1175" spans="2:4" hidden="1" outlineLevel="2">
      <c r="B1175" s="1177"/>
      <c r="C1175" s="536"/>
      <c r="D1175" s="537"/>
    </row>
    <row r="1176" spans="2:4" hidden="1" outlineLevel="2">
      <c r="B1176" s="1177"/>
      <c r="C1176" s="536"/>
      <c r="D1176" s="537"/>
    </row>
    <row r="1177" spans="2:4" hidden="1" outlineLevel="2">
      <c r="B1177" s="1177"/>
      <c r="C1177" s="536"/>
      <c r="D1177" s="537"/>
    </row>
    <row r="1178" spans="2:4" hidden="1" outlineLevel="2">
      <c r="B1178" s="1177"/>
      <c r="C1178" s="536"/>
      <c r="D1178" s="537"/>
    </row>
    <row r="1179" spans="2:4" hidden="1" outlineLevel="2">
      <c r="B1179" s="1177"/>
      <c r="C1179" s="536"/>
      <c r="D1179" s="537"/>
    </row>
    <row r="1180" spans="2:4" hidden="1" outlineLevel="2">
      <c r="B1180" s="1177"/>
      <c r="C1180" s="536"/>
      <c r="D1180" s="537"/>
    </row>
    <row r="1181" spans="2:4" hidden="1" outlineLevel="2">
      <c r="B1181" s="1177"/>
      <c r="C1181" s="536"/>
      <c r="D1181" s="537"/>
    </row>
    <row r="1182" spans="2:4" hidden="1" outlineLevel="2">
      <c r="B1182" s="1177"/>
      <c r="C1182" s="536"/>
      <c r="D1182" s="537"/>
    </row>
    <row r="1183" spans="2:4" hidden="1" outlineLevel="2">
      <c r="B1183" s="1177"/>
      <c r="C1183" s="536"/>
      <c r="D1183" s="537"/>
    </row>
    <row r="1184" spans="2:4" hidden="1" outlineLevel="1">
      <c r="B1184" s="1177"/>
      <c r="C1184" s="536"/>
      <c r="D1184" s="537"/>
    </row>
    <row r="1185" spans="2:4" hidden="1" outlineLevel="2">
      <c r="B1185" s="1177"/>
      <c r="C1185" s="536"/>
      <c r="D1185" s="537"/>
    </row>
    <row r="1186" spans="2:4" hidden="1" outlineLevel="2">
      <c r="B1186" s="1177"/>
      <c r="C1186" s="536"/>
      <c r="D1186" s="537"/>
    </row>
    <row r="1187" spans="2:4" hidden="1" outlineLevel="2">
      <c r="B1187" s="1177"/>
      <c r="C1187" s="536"/>
      <c r="D1187" s="537"/>
    </row>
    <row r="1188" spans="2:4" hidden="1" outlineLevel="2">
      <c r="B1188" s="1177"/>
      <c r="C1188" s="536"/>
      <c r="D1188" s="537"/>
    </row>
    <row r="1189" spans="2:4" hidden="1" outlineLevel="2">
      <c r="B1189" s="1177"/>
      <c r="C1189" s="536"/>
      <c r="D1189" s="537"/>
    </row>
    <row r="1190" spans="2:4" hidden="1" outlineLevel="2">
      <c r="B1190" s="1177"/>
      <c r="C1190" s="536"/>
      <c r="D1190" s="537"/>
    </row>
    <row r="1191" spans="2:4" hidden="1" outlineLevel="2">
      <c r="B1191" s="1177"/>
      <c r="C1191" s="536"/>
      <c r="D1191" s="537"/>
    </row>
    <row r="1192" spans="2:4" hidden="1" outlineLevel="2">
      <c r="B1192" s="1177"/>
      <c r="C1192" s="536"/>
      <c r="D1192" s="537"/>
    </row>
    <row r="1193" spans="2:4" hidden="1" outlineLevel="2">
      <c r="B1193" s="1177"/>
      <c r="C1193" s="536"/>
      <c r="D1193" s="537"/>
    </row>
    <row r="1194" spans="2:4" hidden="1" outlineLevel="1">
      <c r="B1194" s="1177"/>
      <c r="C1194" s="536"/>
      <c r="D1194" s="537"/>
    </row>
    <row r="1195" spans="2:4" hidden="1" outlineLevel="2">
      <c r="B1195" s="1177"/>
      <c r="C1195" s="536"/>
      <c r="D1195" s="537"/>
    </row>
    <row r="1196" spans="2:4" hidden="1" outlineLevel="2">
      <c r="B1196" s="1177"/>
      <c r="C1196" s="536"/>
      <c r="D1196" s="537"/>
    </row>
    <row r="1197" spans="2:4" hidden="1" outlineLevel="2">
      <c r="B1197" s="1177"/>
      <c r="C1197" s="536"/>
      <c r="D1197" s="537"/>
    </row>
    <row r="1198" spans="2:4" hidden="1" outlineLevel="2">
      <c r="B1198" s="1177"/>
      <c r="C1198" s="536"/>
      <c r="D1198" s="537"/>
    </row>
    <row r="1199" spans="2:4" hidden="1" outlineLevel="2">
      <c r="B1199" s="1177"/>
      <c r="C1199" s="536"/>
      <c r="D1199" s="537"/>
    </row>
    <row r="1200" spans="2:4" hidden="1" outlineLevel="2">
      <c r="B1200" s="1177"/>
      <c r="C1200" s="536"/>
      <c r="D1200" s="537"/>
    </row>
    <row r="1201" spans="2:4" hidden="1" outlineLevel="2">
      <c r="B1201" s="1177"/>
      <c r="C1201" s="536"/>
      <c r="D1201" s="537"/>
    </row>
    <row r="1202" spans="2:4" hidden="1" outlineLevel="2">
      <c r="B1202" s="1177"/>
      <c r="C1202" s="536"/>
      <c r="D1202" s="537"/>
    </row>
    <row r="1203" spans="2:4" hidden="1" outlineLevel="2">
      <c r="B1203" s="1177"/>
      <c r="C1203" s="536"/>
      <c r="D1203" s="537"/>
    </row>
    <row r="1204" spans="2:4" hidden="1" outlineLevel="1">
      <c r="B1204" s="1177"/>
      <c r="C1204" s="536"/>
      <c r="D1204" s="537"/>
    </row>
    <row r="1205" spans="2:4" hidden="1" outlineLevel="2">
      <c r="B1205" s="1177"/>
      <c r="C1205" s="536"/>
      <c r="D1205" s="537"/>
    </row>
    <row r="1206" spans="2:4" hidden="1" outlineLevel="2">
      <c r="B1206" s="1177"/>
      <c r="C1206" s="536"/>
      <c r="D1206" s="537"/>
    </row>
    <row r="1207" spans="2:4" hidden="1" outlineLevel="2">
      <c r="B1207" s="1177"/>
      <c r="C1207" s="536"/>
      <c r="D1207" s="537"/>
    </row>
    <row r="1208" spans="2:4" hidden="1" outlineLevel="2">
      <c r="B1208" s="1177"/>
      <c r="C1208" s="536"/>
      <c r="D1208" s="537"/>
    </row>
    <row r="1209" spans="2:4" hidden="1" outlineLevel="2">
      <c r="B1209" s="1177"/>
      <c r="C1209" s="536"/>
      <c r="D1209" s="537"/>
    </row>
    <row r="1210" spans="2:4" hidden="1" outlineLevel="2">
      <c r="B1210" s="1177"/>
      <c r="C1210" s="536"/>
      <c r="D1210" s="537"/>
    </row>
    <row r="1211" spans="2:4" hidden="1" outlineLevel="2">
      <c r="B1211" s="1177"/>
      <c r="C1211" s="536"/>
      <c r="D1211" s="537"/>
    </row>
    <row r="1212" spans="2:4" hidden="1" outlineLevel="2">
      <c r="B1212" s="1177"/>
      <c r="C1212" s="536"/>
      <c r="D1212" s="537"/>
    </row>
    <row r="1213" spans="2:4" hidden="1" outlineLevel="2">
      <c r="B1213" s="1177"/>
      <c r="C1213" s="536"/>
      <c r="D1213" s="537"/>
    </row>
    <row r="1214" spans="2:4" hidden="1" outlineLevel="1">
      <c r="B1214" s="1177"/>
      <c r="C1214" s="536"/>
      <c r="D1214" s="537"/>
    </row>
    <row r="1215" spans="2:4" hidden="1" outlineLevel="2">
      <c r="B1215" s="1177"/>
      <c r="C1215" s="536"/>
      <c r="D1215" s="537"/>
    </row>
    <row r="1216" spans="2:4" hidden="1" outlineLevel="2">
      <c r="B1216" s="1177"/>
      <c r="C1216" s="536"/>
      <c r="D1216" s="537"/>
    </row>
    <row r="1217" spans="2:4" hidden="1" outlineLevel="2">
      <c r="B1217" s="1177"/>
      <c r="C1217" s="536"/>
      <c r="D1217" s="537"/>
    </row>
    <row r="1218" spans="2:4" hidden="1" outlineLevel="2">
      <c r="B1218" s="1177"/>
      <c r="C1218" s="536"/>
      <c r="D1218" s="537"/>
    </row>
    <row r="1219" spans="2:4" hidden="1" outlineLevel="2">
      <c r="B1219" s="1177"/>
      <c r="C1219" s="536"/>
      <c r="D1219" s="537"/>
    </row>
    <row r="1220" spans="2:4" hidden="1" outlineLevel="2">
      <c r="B1220" s="1177"/>
      <c r="C1220" s="536"/>
      <c r="D1220" s="537"/>
    </row>
    <row r="1221" spans="2:4" hidden="1" outlineLevel="2">
      <c r="B1221" s="1177"/>
      <c r="C1221" s="536"/>
      <c r="D1221" s="537"/>
    </row>
    <row r="1222" spans="2:4" hidden="1" outlineLevel="2">
      <c r="B1222" s="1177"/>
      <c r="C1222" s="536"/>
      <c r="D1222" s="537"/>
    </row>
    <row r="1223" spans="2:4" hidden="1" outlineLevel="2">
      <c r="B1223" s="1177"/>
      <c r="C1223" s="536"/>
      <c r="D1223" s="537"/>
    </row>
    <row r="1224" spans="2:4" hidden="1" outlineLevel="1">
      <c r="B1224" s="1177"/>
      <c r="C1224" s="536"/>
      <c r="D1224" s="537"/>
    </row>
    <row r="1225" spans="2:4" hidden="1" outlineLevel="2">
      <c r="B1225" s="1177"/>
      <c r="C1225" s="536"/>
      <c r="D1225" s="537"/>
    </row>
    <row r="1226" spans="2:4" hidden="1" outlineLevel="2">
      <c r="B1226" s="1177"/>
      <c r="C1226" s="536"/>
      <c r="D1226" s="537"/>
    </row>
    <row r="1227" spans="2:4" hidden="1" outlineLevel="2">
      <c r="B1227" s="1177"/>
      <c r="C1227" s="536"/>
      <c r="D1227" s="537"/>
    </row>
    <row r="1228" spans="2:4" hidden="1" outlineLevel="2">
      <c r="B1228" s="1177"/>
      <c r="C1228" s="536"/>
      <c r="D1228" s="537"/>
    </row>
    <row r="1229" spans="2:4" hidden="1" outlineLevel="2">
      <c r="B1229" s="1177"/>
      <c r="C1229" s="536"/>
      <c r="D1229" s="537"/>
    </row>
    <row r="1230" spans="2:4" hidden="1" outlineLevel="2">
      <c r="B1230" s="1177"/>
      <c r="C1230" s="536"/>
      <c r="D1230" s="537"/>
    </row>
    <row r="1231" spans="2:4" hidden="1" outlineLevel="2">
      <c r="B1231" s="1177"/>
      <c r="C1231" s="536"/>
      <c r="D1231" s="537"/>
    </row>
    <row r="1232" spans="2:4" hidden="1" outlineLevel="2">
      <c r="B1232" s="1177"/>
      <c r="C1232" s="536"/>
      <c r="D1232" s="537"/>
    </row>
    <row r="1233" spans="2:4" hidden="1" outlineLevel="2">
      <c r="B1233" s="1177"/>
      <c r="C1233" s="536"/>
      <c r="D1233" s="537"/>
    </row>
    <row r="1234" spans="2:4" hidden="1" outlineLevel="1">
      <c r="B1234" s="1177"/>
      <c r="C1234" s="536"/>
      <c r="D1234" s="537"/>
    </row>
    <row r="1235" spans="2:4" hidden="1" outlineLevel="2">
      <c r="B1235" s="1177"/>
      <c r="C1235" s="536"/>
      <c r="D1235" s="537"/>
    </row>
    <row r="1236" spans="2:4" hidden="1" outlineLevel="2">
      <c r="B1236" s="1177"/>
      <c r="C1236" s="536"/>
      <c r="D1236" s="537"/>
    </row>
    <row r="1237" spans="2:4" hidden="1" outlineLevel="2">
      <c r="B1237" s="1177"/>
      <c r="C1237" s="536"/>
      <c r="D1237" s="537"/>
    </row>
    <row r="1238" spans="2:4" hidden="1" outlineLevel="2">
      <c r="B1238" s="1177"/>
      <c r="C1238" s="536"/>
      <c r="D1238" s="537"/>
    </row>
    <row r="1239" spans="2:4" hidden="1" outlineLevel="2">
      <c r="B1239" s="1177"/>
      <c r="C1239" s="536"/>
      <c r="D1239" s="537"/>
    </row>
    <row r="1240" spans="2:4" hidden="1" outlineLevel="2">
      <c r="B1240" s="1177"/>
      <c r="C1240" s="536"/>
      <c r="D1240" s="537"/>
    </row>
    <row r="1241" spans="2:4" hidden="1" outlineLevel="2">
      <c r="B1241" s="1177"/>
      <c r="C1241" s="536"/>
      <c r="D1241" s="537"/>
    </row>
    <row r="1242" spans="2:4" hidden="1" outlineLevel="2">
      <c r="B1242" s="1177"/>
      <c r="C1242" s="536"/>
      <c r="D1242" s="537"/>
    </row>
    <row r="1243" spans="2:4" hidden="1" outlineLevel="2">
      <c r="B1243" s="1177"/>
      <c r="C1243" s="536"/>
      <c r="D1243" s="537"/>
    </row>
    <row r="1244" spans="2:4" hidden="1" outlineLevel="1">
      <c r="B1244" s="1177"/>
      <c r="C1244" s="536"/>
      <c r="D1244" s="537"/>
    </row>
    <row r="1245" spans="2:4" hidden="1" outlineLevel="2">
      <c r="B1245" s="1177"/>
      <c r="C1245" s="536"/>
      <c r="D1245" s="537"/>
    </row>
    <row r="1246" spans="2:4" hidden="1" outlineLevel="2">
      <c r="B1246" s="1177"/>
      <c r="C1246" s="536"/>
      <c r="D1246" s="537"/>
    </row>
    <row r="1247" spans="2:4" hidden="1" outlineLevel="2">
      <c r="B1247" s="1177"/>
      <c r="C1247" s="536"/>
      <c r="D1247" s="537"/>
    </row>
    <row r="1248" spans="2:4" hidden="1" outlineLevel="2">
      <c r="B1248" s="1177"/>
      <c r="C1248" s="536"/>
      <c r="D1248" s="537"/>
    </row>
    <row r="1249" spans="2:4" hidden="1" outlineLevel="2">
      <c r="B1249" s="1177"/>
      <c r="C1249" s="536"/>
      <c r="D1249" s="537"/>
    </row>
    <row r="1250" spans="2:4" hidden="1" outlineLevel="2">
      <c r="B1250" s="1177"/>
      <c r="C1250" s="536"/>
      <c r="D1250" s="537"/>
    </row>
    <row r="1251" spans="2:4" hidden="1" outlineLevel="2">
      <c r="B1251" s="1177"/>
      <c r="C1251" s="536"/>
      <c r="D1251" s="537"/>
    </row>
    <row r="1252" spans="2:4" hidden="1" outlineLevel="2">
      <c r="B1252" s="1177"/>
      <c r="C1252" s="536"/>
      <c r="D1252" s="537"/>
    </row>
    <row r="1253" spans="2:4" hidden="1" outlineLevel="2">
      <c r="B1253" s="1177"/>
      <c r="C1253" s="536"/>
      <c r="D1253" s="537"/>
    </row>
    <row r="1254" spans="2:4" hidden="1" outlineLevel="1">
      <c r="B1254" s="1177"/>
      <c r="C1254" s="536"/>
      <c r="D1254" s="537"/>
    </row>
    <row r="1255" spans="2:4" hidden="1" outlineLevel="2">
      <c r="B1255" s="1177"/>
      <c r="C1255" s="536"/>
      <c r="D1255" s="537"/>
    </row>
    <row r="1256" spans="2:4" hidden="1" outlineLevel="2">
      <c r="B1256" s="1177"/>
      <c r="C1256" s="536"/>
      <c r="D1256" s="537"/>
    </row>
    <row r="1257" spans="2:4" hidden="1" outlineLevel="2">
      <c r="B1257" s="1177"/>
      <c r="C1257" s="536"/>
      <c r="D1257" s="537"/>
    </row>
    <row r="1258" spans="2:4" hidden="1" outlineLevel="2">
      <c r="B1258" s="1177"/>
      <c r="C1258" s="536"/>
      <c r="D1258" s="537"/>
    </row>
    <row r="1259" spans="2:4" hidden="1" outlineLevel="2">
      <c r="B1259" s="1177"/>
      <c r="C1259" s="536"/>
      <c r="D1259" s="537"/>
    </row>
    <row r="1260" spans="2:4" hidden="1" outlineLevel="2">
      <c r="B1260" s="1177"/>
      <c r="C1260" s="536"/>
      <c r="D1260" s="537"/>
    </row>
    <row r="1261" spans="2:4" hidden="1" outlineLevel="2">
      <c r="B1261" s="1177"/>
      <c r="C1261" s="536"/>
      <c r="D1261" s="537"/>
    </row>
    <row r="1262" spans="2:4" hidden="1" outlineLevel="2">
      <c r="B1262" s="1177"/>
      <c r="C1262" s="536"/>
      <c r="D1262" s="537"/>
    </row>
    <row r="1263" spans="2:4" hidden="1" outlineLevel="2">
      <c r="B1263" s="1177"/>
      <c r="C1263" s="536"/>
      <c r="D1263" s="537"/>
    </row>
    <row r="1264" spans="2:4" hidden="1" outlineLevel="1">
      <c r="B1264" s="1177"/>
      <c r="C1264" s="536"/>
      <c r="D1264" s="537"/>
    </row>
    <row r="1265" spans="2:4" hidden="1" outlineLevel="2">
      <c r="B1265" s="1177"/>
      <c r="C1265" s="536"/>
      <c r="D1265" s="537"/>
    </row>
    <row r="1266" spans="2:4" hidden="1" outlineLevel="2">
      <c r="B1266" s="1177"/>
      <c r="C1266" s="536"/>
      <c r="D1266" s="537"/>
    </row>
    <row r="1267" spans="2:4" hidden="1" outlineLevel="2">
      <c r="B1267" s="1177"/>
      <c r="C1267" s="536"/>
      <c r="D1267" s="537"/>
    </row>
    <row r="1268" spans="2:4" hidden="1" outlineLevel="2">
      <c r="B1268" s="1177"/>
      <c r="C1268" s="536"/>
      <c r="D1268" s="537"/>
    </row>
    <row r="1269" spans="2:4" hidden="1" outlineLevel="2">
      <c r="B1269" s="1177"/>
      <c r="C1269" s="536"/>
      <c r="D1269" s="537"/>
    </row>
    <row r="1270" spans="2:4" hidden="1" outlineLevel="2">
      <c r="B1270" s="1177"/>
      <c r="C1270" s="536"/>
      <c r="D1270" s="537"/>
    </row>
    <row r="1271" spans="2:4" hidden="1" outlineLevel="2">
      <c r="B1271" s="1177"/>
      <c r="C1271" s="536"/>
      <c r="D1271" s="537"/>
    </row>
    <row r="1272" spans="2:4" hidden="1" outlineLevel="2">
      <c r="B1272" s="1177"/>
      <c r="C1272" s="536"/>
      <c r="D1272" s="537"/>
    </row>
    <row r="1273" spans="2:4" hidden="1" outlineLevel="2">
      <c r="B1273" s="1177"/>
      <c r="C1273" s="536"/>
      <c r="D1273" s="537"/>
    </row>
    <row r="1274" spans="2:4" hidden="1" outlineLevel="1">
      <c r="B1274" s="1177"/>
      <c r="C1274" s="536"/>
      <c r="D1274" s="537"/>
    </row>
    <row r="1275" spans="2:4" hidden="1" outlineLevel="2">
      <c r="B1275" s="1177"/>
      <c r="C1275" s="536"/>
      <c r="D1275" s="537"/>
    </row>
    <row r="1276" spans="2:4" hidden="1" outlineLevel="2">
      <c r="B1276" s="1177"/>
      <c r="C1276" s="536"/>
      <c r="D1276" s="537"/>
    </row>
    <row r="1277" spans="2:4" hidden="1" outlineLevel="2">
      <c r="B1277" s="1177"/>
      <c r="C1277" s="536"/>
      <c r="D1277" s="537"/>
    </row>
    <row r="1278" spans="2:4" hidden="1" outlineLevel="2">
      <c r="B1278" s="1177"/>
      <c r="C1278" s="536"/>
      <c r="D1278" s="537"/>
    </row>
    <row r="1279" spans="2:4" hidden="1" outlineLevel="2">
      <c r="B1279" s="1177"/>
      <c r="C1279" s="536"/>
      <c r="D1279" s="537"/>
    </row>
    <row r="1280" spans="2:4" hidden="1" outlineLevel="2">
      <c r="B1280" s="1177"/>
      <c r="C1280" s="536"/>
      <c r="D1280" s="537"/>
    </row>
    <row r="1281" spans="2:4" hidden="1" outlineLevel="2">
      <c r="B1281" s="1177"/>
      <c r="C1281" s="536"/>
      <c r="D1281" s="537"/>
    </row>
    <row r="1282" spans="2:4" hidden="1" outlineLevel="2">
      <c r="B1282" s="1177"/>
      <c r="C1282" s="536"/>
      <c r="D1282" s="537"/>
    </row>
    <row r="1283" spans="2:4" hidden="1" outlineLevel="2">
      <c r="B1283" s="1177"/>
      <c r="C1283" s="536"/>
      <c r="D1283" s="537"/>
    </row>
    <row r="1284" spans="2:4" hidden="1" outlineLevel="1">
      <c r="B1284" s="1177"/>
      <c r="C1284" s="536"/>
      <c r="D1284" s="537"/>
    </row>
    <row r="1285" spans="2:4" hidden="1" outlineLevel="2">
      <c r="B1285" s="1177"/>
      <c r="C1285" s="536"/>
      <c r="D1285" s="537"/>
    </row>
    <row r="1286" spans="2:4" hidden="1" outlineLevel="2">
      <c r="B1286" s="1177"/>
      <c r="C1286" s="536"/>
      <c r="D1286" s="537"/>
    </row>
    <row r="1287" spans="2:4" hidden="1" outlineLevel="2">
      <c r="B1287" s="1177"/>
      <c r="C1287" s="536"/>
      <c r="D1287" s="537"/>
    </row>
    <row r="1288" spans="2:4" hidden="1" outlineLevel="2">
      <c r="B1288" s="1177"/>
      <c r="C1288" s="536"/>
      <c r="D1288" s="537"/>
    </row>
    <row r="1289" spans="2:4" hidden="1" outlineLevel="2">
      <c r="B1289" s="1177"/>
      <c r="C1289" s="536"/>
      <c r="D1289" s="537"/>
    </row>
    <row r="1290" spans="2:4" hidden="1" outlineLevel="2">
      <c r="B1290" s="1177"/>
      <c r="C1290" s="536"/>
      <c r="D1290" s="537"/>
    </row>
    <row r="1291" spans="2:4" hidden="1" outlineLevel="2">
      <c r="B1291" s="1177"/>
      <c r="C1291" s="536"/>
      <c r="D1291" s="537"/>
    </row>
    <row r="1292" spans="2:4" hidden="1" outlineLevel="2">
      <c r="B1292" s="1177"/>
      <c r="C1292" s="536"/>
      <c r="D1292" s="537"/>
    </row>
    <row r="1293" spans="2:4" hidden="1" outlineLevel="2">
      <c r="B1293" s="1177"/>
      <c r="C1293" s="536"/>
      <c r="D1293" s="537"/>
    </row>
    <row r="1294" spans="2:4" hidden="1" outlineLevel="1">
      <c r="B1294" s="1177"/>
      <c r="C1294" s="536"/>
      <c r="D1294" s="537"/>
    </row>
    <row r="1295" spans="2:4" hidden="1" outlineLevel="2">
      <c r="B1295" s="1177"/>
      <c r="C1295" s="536"/>
      <c r="D1295" s="537"/>
    </row>
    <row r="1296" spans="2:4" hidden="1" outlineLevel="2">
      <c r="B1296" s="1177"/>
      <c r="C1296" s="536"/>
      <c r="D1296" s="537"/>
    </row>
    <row r="1297" spans="2:4" hidden="1" outlineLevel="2">
      <c r="B1297" s="1177"/>
      <c r="C1297" s="536"/>
      <c r="D1297" s="537"/>
    </row>
    <row r="1298" spans="2:4" hidden="1" outlineLevel="2">
      <c r="B1298" s="1177"/>
      <c r="C1298" s="536"/>
      <c r="D1298" s="537"/>
    </row>
    <row r="1299" spans="2:4" hidden="1" outlineLevel="2">
      <c r="B1299" s="1177"/>
      <c r="C1299" s="536"/>
      <c r="D1299" s="537"/>
    </row>
    <row r="1300" spans="2:4" hidden="1" outlineLevel="2">
      <c r="B1300" s="1177"/>
      <c r="C1300" s="536"/>
      <c r="D1300" s="537"/>
    </row>
    <row r="1301" spans="2:4" hidden="1" outlineLevel="2">
      <c r="B1301" s="1177"/>
      <c r="C1301" s="536"/>
      <c r="D1301" s="537"/>
    </row>
    <row r="1302" spans="2:4" hidden="1" outlineLevel="2">
      <c r="B1302" s="1177"/>
      <c r="C1302" s="536"/>
      <c r="D1302" s="537"/>
    </row>
    <row r="1303" spans="2:4" hidden="1" outlineLevel="2">
      <c r="B1303" s="1177"/>
      <c r="C1303" s="536"/>
      <c r="D1303" s="537"/>
    </row>
    <row r="1304" spans="2:4" hidden="1" outlineLevel="1">
      <c r="B1304" s="1177"/>
      <c r="C1304" s="536"/>
      <c r="D1304" s="537"/>
    </row>
    <row r="1305" spans="2:4" hidden="1" outlineLevel="2">
      <c r="B1305" s="1177"/>
      <c r="C1305" s="536"/>
      <c r="D1305" s="537"/>
    </row>
    <row r="1306" spans="2:4" hidden="1" outlineLevel="2">
      <c r="B1306" s="1177"/>
      <c r="C1306" s="536"/>
      <c r="D1306" s="537"/>
    </row>
    <row r="1307" spans="2:4" hidden="1" outlineLevel="2">
      <c r="B1307" s="1177"/>
      <c r="C1307" s="536"/>
      <c r="D1307" s="537"/>
    </row>
    <row r="1308" spans="2:4" hidden="1" outlineLevel="2">
      <c r="B1308" s="1177"/>
      <c r="C1308" s="536"/>
      <c r="D1308" s="537"/>
    </row>
    <row r="1309" spans="2:4" hidden="1" outlineLevel="2">
      <c r="B1309" s="1177"/>
      <c r="C1309" s="536"/>
      <c r="D1309" s="537"/>
    </row>
    <row r="1310" spans="2:4" hidden="1" outlineLevel="2">
      <c r="B1310" s="1177"/>
      <c r="C1310" s="536"/>
      <c r="D1310" s="537"/>
    </row>
    <row r="1311" spans="2:4" hidden="1" outlineLevel="2">
      <c r="B1311" s="1177"/>
      <c r="C1311" s="536"/>
      <c r="D1311" s="537"/>
    </row>
    <row r="1312" spans="2:4" hidden="1" outlineLevel="2">
      <c r="B1312" s="1177"/>
      <c r="C1312" s="536"/>
      <c r="D1312" s="537"/>
    </row>
    <row r="1313" spans="2:4" hidden="1" outlineLevel="2">
      <c r="B1313" s="1177"/>
      <c r="C1313" s="536"/>
      <c r="D1313" s="537"/>
    </row>
    <row r="1314" spans="2:4" hidden="1" outlineLevel="1">
      <c r="B1314" s="1177"/>
      <c r="C1314" s="536"/>
      <c r="D1314" s="537"/>
    </row>
    <row r="1315" spans="2:4" hidden="1" outlineLevel="2">
      <c r="B1315" s="1177"/>
      <c r="C1315" s="536"/>
      <c r="D1315" s="537"/>
    </row>
    <row r="1316" spans="2:4" hidden="1" outlineLevel="2">
      <c r="B1316" s="1177"/>
      <c r="C1316" s="536"/>
      <c r="D1316" s="537"/>
    </row>
    <row r="1317" spans="2:4" hidden="1" outlineLevel="2">
      <c r="B1317" s="1177"/>
      <c r="C1317" s="536"/>
      <c r="D1317" s="537"/>
    </row>
    <row r="1318" spans="2:4" hidden="1" outlineLevel="2">
      <c r="B1318" s="1177"/>
      <c r="C1318" s="536"/>
      <c r="D1318" s="537"/>
    </row>
    <row r="1319" spans="2:4" hidden="1" outlineLevel="2">
      <c r="B1319" s="1177"/>
      <c r="C1319" s="536"/>
      <c r="D1319" s="537"/>
    </row>
    <row r="1320" spans="2:4" hidden="1" outlineLevel="2">
      <c r="B1320" s="1177"/>
      <c r="C1320" s="536"/>
      <c r="D1320" s="537"/>
    </row>
    <row r="1321" spans="2:4" hidden="1" outlineLevel="2">
      <c r="B1321" s="1177"/>
      <c r="C1321" s="536"/>
      <c r="D1321" s="537"/>
    </row>
    <row r="1322" spans="2:4" hidden="1" outlineLevel="2">
      <c r="B1322" s="1177"/>
      <c r="C1322" s="536"/>
      <c r="D1322" s="537"/>
    </row>
    <row r="1323" spans="2:4" hidden="1" outlineLevel="2">
      <c r="B1323" s="1177"/>
      <c r="C1323" s="536"/>
      <c r="D1323" s="537"/>
    </row>
    <row r="1324" spans="2:4" hidden="1" outlineLevel="1">
      <c r="B1324" s="1177"/>
      <c r="C1324" s="536"/>
      <c r="D1324" s="537"/>
    </row>
    <row r="1325" spans="2:4" hidden="1" outlineLevel="2">
      <c r="B1325" s="1177"/>
      <c r="C1325" s="536"/>
      <c r="D1325" s="537"/>
    </row>
    <row r="1326" spans="2:4" hidden="1" outlineLevel="2">
      <c r="B1326" s="1177"/>
      <c r="C1326" s="536"/>
      <c r="D1326" s="537"/>
    </row>
    <row r="1327" spans="2:4" hidden="1" outlineLevel="2">
      <c r="B1327" s="1177"/>
      <c r="C1327" s="536"/>
      <c r="D1327" s="537"/>
    </row>
    <row r="1328" spans="2:4" hidden="1" outlineLevel="2">
      <c r="B1328" s="1177"/>
      <c r="C1328" s="536"/>
      <c r="D1328" s="537"/>
    </row>
    <row r="1329" spans="2:4" hidden="1" outlineLevel="2">
      <c r="B1329" s="1177"/>
      <c r="C1329" s="536"/>
      <c r="D1329" s="537"/>
    </row>
    <row r="1330" spans="2:4" hidden="1" outlineLevel="2">
      <c r="B1330" s="1177"/>
      <c r="C1330" s="536"/>
      <c r="D1330" s="537"/>
    </row>
    <row r="1331" spans="2:4" hidden="1" outlineLevel="2">
      <c r="B1331" s="1177"/>
      <c r="C1331" s="536"/>
      <c r="D1331" s="537"/>
    </row>
    <row r="1332" spans="2:4" hidden="1" outlineLevel="2">
      <c r="B1332" s="1177"/>
      <c r="C1332" s="536"/>
      <c r="D1332" s="537"/>
    </row>
    <row r="1333" spans="2:4" hidden="1" outlineLevel="2">
      <c r="B1333" s="1177"/>
      <c r="C1333" s="536"/>
      <c r="D1333" s="537"/>
    </row>
    <row r="1334" spans="2:4" hidden="1" outlineLevel="1">
      <c r="B1334" s="1177"/>
      <c r="C1334" s="536"/>
      <c r="D1334" s="537"/>
    </row>
    <row r="1335" spans="2:4" hidden="1" outlineLevel="2">
      <c r="B1335" s="1177"/>
      <c r="C1335" s="536"/>
      <c r="D1335" s="537"/>
    </row>
    <row r="1336" spans="2:4" hidden="1" outlineLevel="2">
      <c r="B1336" s="1177"/>
      <c r="C1336" s="536"/>
      <c r="D1336" s="537"/>
    </row>
    <row r="1337" spans="2:4" hidden="1" outlineLevel="2">
      <c r="B1337" s="1177"/>
      <c r="C1337" s="536"/>
      <c r="D1337" s="537"/>
    </row>
    <row r="1338" spans="2:4" hidden="1" outlineLevel="2">
      <c r="B1338" s="1177"/>
      <c r="C1338" s="536"/>
      <c r="D1338" s="537"/>
    </row>
    <row r="1339" spans="2:4" hidden="1" outlineLevel="2">
      <c r="B1339" s="1177"/>
      <c r="C1339" s="536"/>
      <c r="D1339" s="537"/>
    </row>
    <row r="1340" spans="2:4" hidden="1" outlineLevel="2">
      <c r="B1340" s="1177"/>
      <c r="C1340" s="536"/>
      <c r="D1340" s="537"/>
    </row>
    <row r="1341" spans="2:4" hidden="1" outlineLevel="2">
      <c r="B1341" s="1177"/>
      <c r="C1341" s="536"/>
      <c r="D1341" s="537"/>
    </row>
    <row r="1342" spans="2:4" hidden="1" outlineLevel="2">
      <c r="B1342" s="1177"/>
      <c r="C1342" s="536"/>
      <c r="D1342" s="537"/>
    </row>
    <row r="1343" spans="2:4" hidden="1" outlineLevel="2">
      <c r="B1343" s="1177"/>
      <c r="C1343" s="536"/>
      <c r="D1343" s="537"/>
    </row>
    <row r="1344" spans="2:4" hidden="1" outlineLevel="1">
      <c r="B1344" s="1177"/>
      <c r="C1344" s="536"/>
      <c r="D1344" s="537"/>
    </row>
    <row r="1345" spans="2:4" hidden="1" outlineLevel="2">
      <c r="B1345" s="1177"/>
      <c r="C1345" s="536"/>
      <c r="D1345" s="537"/>
    </row>
    <row r="1346" spans="2:4" hidden="1" outlineLevel="2">
      <c r="B1346" s="1177"/>
      <c r="C1346" s="536"/>
      <c r="D1346" s="537"/>
    </row>
    <row r="1347" spans="2:4" hidden="1" outlineLevel="2">
      <c r="B1347" s="1177"/>
      <c r="C1347" s="536"/>
      <c r="D1347" s="537"/>
    </row>
    <row r="1348" spans="2:4" hidden="1" outlineLevel="2">
      <c r="B1348" s="1177"/>
      <c r="C1348" s="536"/>
      <c r="D1348" s="537"/>
    </row>
    <row r="1349" spans="2:4" hidden="1" outlineLevel="2">
      <c r="B1349" s="1177"/>
      <c r="C1349" s="536"/>
      <c r="D1349" s="537"/>
    </row>
    <row r="1350" spans="2:4" hidden="1" outlineLevel="2">
      <c r="B1350" s="1177"/>
      <c r="C1350" s="536"/>
      <c r="D1350" s="537"/>
    </row>
    <row r="1351" spans="2:4" hidden="1" outlineLevel="2">
      <c r="B1351" s="1177"/>
      <c r="C1351" s="536"/>
      <c r="D1351" s="537"/>
    </row>
    <row r="1352" spans="2:4" hidden="1" outlineLevel="2">
      <c r="B1352" s="1177"/>
      <c r="C1352" s="536"/>
      <c r="D1352" s="537"/>
    </row>
    <row r="1353" spans="2:4" hidden="1" outlineLevel="2">
      <c r="B1353" s="1177"/>
      <c r="C1353" s="536"/>
      <c r="D1353" s="537"/>
    </row>
    <row r="1354" spans="2:4" hidden="1" outlineLevel="1">
      <c r="B1354" s="1177"/>
      <c r="C1354" s="536"/>
      <c r="D1354" s="537"/>
    </row>
    <row r="1355" spans="2:4" hidden="1" outlineLevel="2">
      <c r="B1355" s="1177"/>
      <c r="C1355" s="536"/>
      <c r="D1355" s="537"/>
    </row>
    <row r="1356" spans="2:4" hidden="1" outlineLevel="2">
      <c r="B1356" s="1177"/>
      <c r="C1356" s="536"/>
      <c r="D1356" s="537"/>
    </row>
    <row r="1357" spans="2:4" hidden="1" outlineLevel="2">
      <c r="B1357" s="1177"/>
      <c r="C1357" s="536"/>
      <c r="D1357" s="537"/>
    </row>
    <row r="1358" spans="2:4" hidden="1" outlineLevel="2">
      <c r="B1358" s="1177"/>
      <c r="C1358" s="536"/>
      <c r="D1358" s="537"/>
    </row>
    <row r="1359" spans="2:4" hidden="1" outlineLevel="2">
      <c r="B1359" s="1177"/>
      <c r="C1359" s="536"/>
      <c r="D1359" s="537"/>
    </row>
    <row r="1360" spans="2:4" hidden="1" outlineLevel="2">
      <c r="B1360" s="1177"/>
      <c r="C1360" s="536"/>
      <c r="D1360" s="537"/>
    </row>
    <row r="1361" spans="2:4" hidden="1" outlineLevel="2">
      <c r="B1361" s="1177"/>
      <c r="C1361" s="536"/>
      <c r="D1361" s="537"/>
    </row>
    <row r="1362" spans="2:4" hidden="1" outlineLevel="2">
      <c r="B1362" s="1177"/>
      <c r="C1362" s="536"/>
      <c r="D1362" s="537"/>
    </row>
    <row r="1363" spans="2:4" hidden="1" outlineLevel="2">
      <c r="B1363" s="1177"/>
      <c r="C1363" s="536"/>
      <c r="D1363" s="537"/>
    </row>
    <row r="1364" spans="2:4" hidden="1" outlineLevel="1">
      <c r="B1364" s="1177"/>
      <c r="C1364" s="536"/>
      <c r="D1364" s="537"/>
    </row>
    <row r="1365" spans="2:4" hidden="1" outlineLevel="2">
      <c r="B1365" s="1177"/>
      <c r="C1365" s="536"/>
      <c r="D1365" s="537"/>
    </row>
    <row r="1366" spans="2:4" hidden="1" outlineLevel="2">
      <c r="B1366" s="1177"/>
      <c r="C1366" s="536"/>
      <c r="D1366" s="537"/>
    </row>
    <row r="1367" spans="2:4" hidden="1" outlineLevel="2">
      <c r="B1367" s="1177"/>
      <c r="C1367" s="536"/>
      <c r="D1367" s="537"/>
    </row>
    <row r="1368" spans="2:4" hidden="1" outlineLevel="2">
      <c r="B1368" s="1177"/>
      <c r="C1368" s="536"/>
      <c r="D1368" s="537"/>
    </row>
    <row r="1369" spans="2:4" hidden="1" outlineLevel="2">
      <c r="B1369" s="1177"/>
      <c r="C1369" s="536"/>
      <c r="D1369" s="537"/>
    </row>
    <row r="1370" spans="2:4" hidden="1" outlineLevel="2">
      <c r="B1370" s="1177"/>
      <c r="C1370" s="536"/>
      <c r="D1370" s="537"/>
    </row>
    <row r="1371" spans="2:4" hidden="1" outlineLevel="2">
      <c r="B1371" s="1177"/>
      <c r="C1371" s="536"/>
      <c r="D1371" s="537"/>
    </row>
    <row r="1372" spans="2:4" hidden="1" outlineLevel="2">
      <c r="B1372" s="1177"/>
      <c r="C1372" s="536"/>
      <c r="D1372" s="537"/>
    </row>
    <row r="1373" spans="2:4" hidden="1" outlineLevel="2">
      <c r="B1373" s="1177"/>
      <c r="C1373" s="536"/>
      <c r="D1373" s="537"/>
    </row>
    <row r="1374" spans="2:4" hidden="1" outlineLevel="1">
      <c r="B1374" s="1177"/>
      <c r="C1374" s="536"/>
      <c r="D1374" s="537"/>
    </row>
    <row r="1375" spans="2:4" hidden="1" outlineLevel="2">
      <c r="B1375" s="1177"/>
      <c r="C1375" s="536"/>
      <c r="D1375" s="537"/>
    </row>
    <row r="1376" spans="2:4" hidden="1" outlineLevel="2">
      <c r="B1376" s="1177"/>
      <c r="C1376" s="536"/>
      <c r="D1376" s="537"/>
    </row>
    <row r="1377" spans="2:4" hidden="1" outlineLevel="2">
      <c r="B1377" s="1177"/>
      <c r="C1377" s="536"/>
      <c r="D1377" s="537"/>
    </row>
    <row r="1378" spans="2:4" hidden="1" outlineLevel="2">
      <c r="B1378" s="1177"/>
      <c r="C1378" s="536"/>
      <c r="D1378" s="537"/>
    </row>
    <row r="1379" spans="2:4" hidden="1" outlineLevel="2">
      <c r="B1379" s="1177"/>
      <c r="C1379" s="536"/>
      <c r="D1379" s="537"/>
    </row>
    <row r="1380" spans="2:4" hidden="1" outlineLevel="2">
      <c r="B1380" s="1177"/>
      <c r="C1380" s="536"/>
      <c r="D1380" s="537"/>
    </row>
    <row r="1381" spans="2:4" hidden="1" outlineLevel="2">
      <c r="B1381" s="1177"/>
      <c r="C1381" s="536"/>
      <c r="D1381" s="537"/>
    </row>
    <row r="1382" spans="2:4" hidden="1" outlineLevel="2">
      <c r="B1382" s="1177"/>
      <c r="C1382" s="536"/>
      <c r="D1382" s="537"/>
    </row>
    <row r="1383" spans="2:4" hidden="1" outlineLevel="2">
      <c r="B1383" s="1177"/>
      <c r="C1383" s="536"/>
      <c r="D1383" s="537"/>
    </row>
    <row r="1384" spans="2:4" hidden="1" outlineLevel="1">
      <c r="B1384" s="1177"/>
      <c r="C1384" s="536"/>
      <c r="D1384" s="537"/>
    </row>
    <row r="1385" spans="2:4" hidden="1" outlineLevel="2">
      <c r="B1385" s="1177"/>
      <c r="C1385" s="536"/>
      <c r="D1385" s="537"/>
    </row>
    <row r="1386" spans="2:4" hidden="1" outlineLevel="2">
      <c r="B1386" s="1177"/>
      <c r="C1386" s="536"/>
      <c r="D1386" s="537"/>
    </row>
    <row r="1387" spans="2:4" hidden="1" outlineLevel="2">
      <c r="B1387" s="1177"/>
      <c r="C1387" s="536"/>
      <c r="D1387" s="537"/>
    </row>
    <row r="1388" spans="2:4" hidden="1" outlineLevel="2">
      <c r="B1388" s="1177"/>
      <c r="C1388" s="536"/>
      <c r="D1388" s="537"/>
    </row>
    <row r="1389" spans="2:4" hidden="1" outlineLevel="2">
      <c r="B1389" s="1177"/>
      <c r="C1389" s="536"/>
      <c r="D1389" s="537"/>
    </row>
    <row r="1390" spans="2:4" hidden="1" outlineLevel="2">
      <c r="B1390" s="1177"/>
      <c r="C1390" s="536"/>
      <c r="D1390" s="537"/>
    </row>
    <row r="1391" spans="2:4" hidden="1" outlineLevel="2">
      <c r="B1391" s="1177"/>
      <c r="C1391" s="536"/>
      <c r="D1391" s="537"/>
    </row>
    <row r="1392" spans="2:4" hidden="1" outlineLevel="2">
      <c r="B1392" s="1177"/>
      <c r="C1392" s="536"/>
      <c r="D1392" s="537"/>
    </row>
    <row r="1393" spans="2:4" hidden="1" outlineLevel="2">
      <c r="B1393" s="1177"/>
      <c r="C1393" s="536"/>
      <c r="D1393" s="537"/>
    </row>
    <row r="1394" spans="2:4" hidden="1" outlineLevel="1">
      <c r="B1394" s="1177"/>
      <c r="C1394" s="536"/>
      <c r="D1394" s="537"/>
    </row>
    <row r="1395" spans="2:4" hidden="1" outlineLevel="2">
      <c r="B1395" s="1177"/>
      <c r="C1395" s="536"/>
      <c r="D1395" s="537"/>
    </row>
    <row r="1396" spans="2:4" hidden="1" outlineLevel="2">
      <c r="B1396" s="1177"/>
      <c r="C1396" s="536"/>
      <c r="D1396" s="537"/>
    </row>
    <row r="1397" spans="2:4" hidden="1" outlineLevel="2">
      <c r="B1397" s="1177"/>
      <c r="C1397" s="536"/>
      <c r="D1397" s="537"/>
    </row>
    <row r="1398" spans="2:4" hidden="1" outlineLevel="2">
      <c r="B1398" s="1177"/>
      <c r="C1398" s="536"/>
      <c r="D1398" s="537"/>
    </row>
    <row r="1399" spans="2:4" hidden="1" outlineLevel="2">
      <c r="B1399" s="1177"/>
      <c r="C1399" s="536"/>
      <c r="D1399" s="537"/>
    </row>
    <row r="1400" spans="2:4" hidden="1" outlineLevel="2">
      <c r="B1400" s="1177"/>
      <c r="C1400" s="536"/>
      <c r="D1400" s="537"/>
    </row>
    <row r="1401" spans="2:4" hidden="1" outlineLevel="2">
      <c r="B1401" s="1177"/>
      <c r="C1401" s="536"/>
      <c r="D1401" s="537"/>
    </row>
    <row r="1402" spans="2:4" hidden="1" outlineLevel="2">
      <c r="B1402" s="1177"/>
      <c r="C1402" s="536"/>
      <c r="D1402" s="537"/>
    </row>
    <row r="1403" spans="2:4" hidden="1" outlineLevel="2">
      <c r="B1403" s="1177"/>
      <c r="C1403" s="536"/>
      <c r="D1403" s="537"/>
    </row>
    <row r="1404" spans="2:4" hidden="1" outlineLevel="1">
      <c r="B1404" s="1177"/>
      <c r="C1404" s="536"/>
      <c r="D1404" s="537"/>
    </row>
    <row r="1405" spans="2:4" hidden="1" outlineLevel="2">
      <c r="B1405" s="1177"/>
      <c r="C1405" s="536"/>
      <c r="D1405" s="537"/>
    </row>
    <row r="1406" spans="2:4" hidden="1" outlineLevel="2">
      <c r="B1406" s="1177"/>
      <c r="C1406" s="536"/>
      <c r="D1406" s="537"/>
    </row>
    <row r="1407" spans="2:4" hidden="1" outlineLevel="2">
      <c r="B1407" s="1177"/>
      <c r="C1407" s="536"/>
      <c r="D1407" s="537"/>
    </row>
    <row r="1408" spans="2:4" hidden="1" outlineLevel="2">
      <c r="B1408" s="1177"/>
      <c r="C1408" s="536"/>
      <c r="D1408" s="537"/>
    </row>
    <row r="1409" spans="2:4" hidden="1" outlineLevel="2">
      <c r="B1409" s="1177"/>
      <c r="C1409" s="536"/>
      <c r="D1409" s="537"/>
    </row>
    <row r="1410" spans="2:4" hidden="1" outlineLevel="2">
      <c r="B1410" s="1177"/>
      <c r="C1410" s="536"/>
      <c r="D1410" s="537"/>
    </row>
    <row r="1411" spans="2:4" hidden="1" outlineLevel="2">
      <c r="B1411" s="1177"/>
      <c r="C1411" s="536"/>
      <c r="D1411" s="537"/>
    </row>
    <row r="1412" spans="2:4" hidden="1" outlineLevel="2">
      <c r="B1412" s="1177"/>
      <c r="C1412" s="536"/>
      <c r="D1412" s="537"/>
    </row>
    <row r="1413" spans="2:4" hidden="1" outlineLevel="2">
      <c r="B1413" s="1177"/>
      <c r="C1413" s="536"/>
      <c r="D1413" s="537"/>
    </row>
    <row r="1414" spans="2:4" hidden="1" outlineLevel="1">
      <c r="B1414" s="1177"/>
      <c r="C1414" s="536"/>
      <c r="D1414" s="537"/>
    </row>
    <row r="1415" spans="2:4" hidden="1" outlineLevel="2">
      <c r="B1415" s="1177"/>
      <c r="C1415" s="536"/>
      <c r="D1415" s="537"/>
    </row>
    <row r="1416" spans="2:4" hidden="1" outlineLevel="2">
      <c r="B1416" s="1177"/>
      <c r="C1416" s="536"/>
      <c r="D1416" s="537"/>
    </row>
    <row r="1417" spans="2:4" hidden="1" outlineLevel="2">
      <c r="B1417" s="1177"/>
      <c r="C1417" s="536"/>
      <c r="D1417" s="537"/>
    </row>
    <row r="1418" spans="2:4" hidden="1" outlineLevel="2">
      <c r="B1418" s="1177"/>
      <c r="C1418" s="536"/>
      <c r="D1418" s="537"/>
    </row>
    <row r="1419" spans="2:4" hidden="1" outlineLevel="2">
      <c r="B1419" s="1177"/>
      <c r="C1419" s="536"/>
      <c r="D1419" s="537"/>
    </row>
    <row r="1420" spans="2:4" hidden="1" outlineLevel="2">
      <c r="B1420" s="1177"/>
      <c r="C1420" s="536"/>
      <c r="D1420" s="537"/>
    </row>
    <row r="1421" spans="2:4" hidden="1" outlineLevel="2">
      <c r="B1421" s="1177"/>
      <c r="C1421" s="536"/>
      <c r="D1421" s="537"/>
    </row>
    <row r="1422" spans="2:4" hidden="1" outlineLevel="2">
      <c r="B1422" s="1177"/>
      <c r="C1422" s="536"/>
      <c r="D1422" s="537"/>
    </row>
    <row r="1423" spans="2:4" hidden="1" outlineLevel="2">
      <c r="B1423" s="1177"/>
      <c r="C1423" s="536"/>
      <c r="D1423" s="537"/>
    </row>
    <row r="1424" spans="2:4" hidden="1" outlineLevel="1">
      <c r="B1424" s="1177"/>
      <c r="C1424" s="536"/>
      <c r="D1424" s="537"/>
    </row>
    <row r="1425" spans="2:4" hidden="1" outlineLevel="2">
      <c r="B1425" s="1177"/>
      <c r="C1425" s="536"/>
      <c r="D1425" s="537"/>
    </row>
    <row r="1426" spans="2:4" hidden="1" outlineLevel="2">
      <c r="B1426" s="1177"/>
      <c r="C1426" s="536"/>
      <c r="D1426" s="537"/>
    </row>
    <row r="1427" spans="2:4" hidden="1" outlineLevel="2">
      <c r="B1427" s="1177"/>
      <c r="C1427" s="536"/>
      <c r="D1427" s="537"/>
    </row>
    <row r="1428" spans="2:4" hidden="1" outlineLevel="2">
      <c r="B1428" s="1177"/>
      <c r="C1428" s="536"/>
      <c r="D1428" s="537"/>
    </row>
    <row r="1429" spans="2:4" hidden="1" outlineLevel="2">
      <c r="B1429" s="1177"/>
      <c r="C1429" s="536"/>
      <c r="D1429" s="537"/>
    </row>
    <row r="1430" spans="2:4" hidden="1" outlineLevel="2">
      <c r="B1430" s="1177"/>
      <c r="C1430" s="536"/>
      <c r="D1430" s="537"/>
    </row>
    <row r="1431" spans="2:4" hidden="1" outlineLevel="2">
      <c r="B1431" s="1177"/>
      <c r="C1431" s="536"/>
      <c r="D1431" s="537"/>
    </row>
    <row r="1432" spans="2:4" hidden="1" outlineLevel="2">
      <c r="B1432" s="1177"/>
      <c r="C1432" s="536"/>
      <c r="D1432" s="537"/>
    </row>
    <row r="1433" spans="2:4" hidden="1" outlineLevel="2">
      <c r="B1433" s="1177"/>
      <c r="C1433" s="536"/>
      <c r="D1433" s="537"/>
    </row>
    <row r="1434" spans="2:4" hidden="1" outlineLevel="1">
      <c r="B1434" s="1177"/>
      <c r="C1434" s="536"/>
      <c r="D1434" s="537"/>
    </row>
    <row r="1435" spans="2:4" hidden="1" outlineLevel="2">
      <c r="B1435" s="1177"/>
      <c r="C1435" s="536"/>
      <c r="D1435" s="537"/>
    </row>
    <row r="1436" spans="2:4" hidden="1" outlineLevel="2">
      <c r="B1436" s="1177"/>
      <c r="C1436" s="536"/>
      <c r="D1436" s="537"/>
    </row>
    <row r="1437" spans="2:4" hidden="1" outlineLevel="2">
      <c r="B1437" s="1177"/>
      <c r="C1437" s="536"/>
      <c r="D1437" s="537"/>
    </row>
    <row r="1438" spans="2:4" hidden="1" outlineLevel="2">
      <c r="B1438" s="1177"/>
      <c r="C1438" s="536"/>
      <c r="D1438" s="537"/>
    </row>
    <row r="1439" spans="2:4" hidden="1" outlineLevel="2">
      <c r="B1439" s="1177"/>
      <c r="C1439" s="536"/>
      <c r="D1439" s="537"/>
    </row>
    <row r="1440" spans="2:4" hidden="1" outlineLevel="2">
      <c r="B1440" s="1177"/>
      <c r="C1440" s="536"/>
      <c r="D1440" s="537"/>
    </row>
    <row r="1441" spans="2:4" hidden="1" outlineLevel="2">
      <c r="B1441" s="1177"/>
      <c r="C1441" s="536"/>
      <c r="D1441" s="537"/>
    </row>
    <row r="1442" spans="2:4" hidden="1" outlineLevel="2">
      <c r="B1442" s="1177"/>
      <c r="C1442" s="536"/>
      <c r="D1442" s="537"/>
    </row>
    <row r="1443" spans="2:4" hidden="1" outlineLevel="2">
      <c r="B1443" s="1177"/>
      <c r="C1443" s="536"/>
      <c r="D1443" s="537"/>
    </row>
    <row r="1444" spans="2:4" hidden="1" outlineLevel="1">
      <c r="B1444" s="1177"/>
      <c r="C1444" s="536"/>
      <c r="D1444" s="537"/>
    </row>
    <row r="1445" spans="2:4" hidden="1" outlineLevel="2">
      <c r="B1445" s="1177"/>
      <c r="C1445" s="536"/>
      <c r="D1445" s="537"/>
    </row>
    <row r="1446" spans="2:4" hidden="1" outlineLevel="2">
      <c r="B1446" s="1177"/>
      <c r="C1446" s="536"/>
      <c r="D1446" s="537"/>
    </row>
    <row r="1447" spans="2:4" hidden="1" outlineLevel="2">
      <c r="B1447" s="1177"/>
      <c r="C1447" s="536"/>
      <c r="D1447" s="537"/>
    </row>
    <row r="1448" spans="2:4" hidden="1" outlineLevel="2">
      <c r="B1448" s="1177"/>
      <c r="C1448" s="536"/>
      <c r="D1448" s="537"/>
    </row>
    <row r="1449" spans="2:4" hidden="1" outlineLevel="2">
      <c r="B1449" s="1177"/>
      <c r="C1449" s="536"/>
      <c r="D1449" s="537"/>
    </row>
    <row r="1450" spans="2:4" hidden="1" outlineLevel="2">
      <c r="B1450" s="1177"/>
      <c r="C1450" s="536"/>
      <c r="D1450" s="537"/>
    </row>
    <row r="1451" spans="2:4" hidden="1" outlineLevel="2">
      <c r="B1451" s="1177"/>
      <c r="C1451" s="536"/>
      <c r="D1451" s="537"/>
    </row>
    <row r="1452" spans="2:4" hidden="1" outlineLevel="2">
      <c r="B1452" s="1177"/>
      <c r="C1452" s="536"/>
      <c r="D1452" s="537"/>
    </row>
    <row r="1453" spans="2:4" hidden="1" outlineLevel="2">
      <c r="B1453" s="1177"/>
      <c r="C1453" s="536"/>
      <c r="D1453" s="537"/>
    </row>
    <row r="1454" spans="2:4" hidden="1" outlineLevel="1">
      <c r="B1454" s="1177"/>
      <c r="C1454" s="536"/>
      <c r="D1454" s="537"/>
    </row>
    <row r="1455" spans="2:4" hidden="1" outlineLevel="2">
      <c r="B1455" s="1177"/>
      <c r="C1455" s="536"/>
      <c r="D1455" s="537"/>
    </row>
    <row r="1456" spans="2:4" hidden="1" outlineLevel="2">
      <c r="B1456" s="1177"/>
      <c r="C1456" s="536"/>
      <c r="D1456" s="537"/>
    </row>
    <row r="1457" spans="2:4" hidden="1" outlineLevel="2">
      <c r="B1457" s="1177"/>
      <c r="C1457" s="536"/>
      <c r="D1457" s="537"/>
    </row>
    <row r="1458" spans="2:4" hidden="1" outlineLevel="2">
      <c r="B1458" s="1177"/>
      <c r="C1458" s="536"/>
      <c r="D1458" s="537"/>
    </row>
    <row r="1459" spans="2:4" hidden="1" outlineLevel="2">
      <c r="B1459" s="1177"/>
      <c r="C1459" s="536"/>
      <c r="D1459" s="537"/>
    </row>
    <row r="1460" spans="2:4" hidden="1" outlineLevel="2">
      <c r="B1460" s="1177"/>
      <c r="C1460" s="536"/>
      <c r="D1460" s="537"/>
    </row>
    <row r="1461" spans="2:4" hidden="1" outlineLevel="2">
      <c r="B1461" s="1177"/>
      <c r="C1461" s="536"/>
      <c r="D1461" s="537"/>
    </row>
    <row r="1462" spans="2:4" hidden="1" outlineLevel="2">
      <c r="B1462" s="1177"/>
      <c r="C1462" s="536"/>
      <c r="D1462" s="537"/>
    </row>
    <row r="1463" spans="2:4" hidden="1" outlineLevel="2">
      <c r="B1463" s="1177"/>
      <c r="C1463" s="536"/>
      <c r="D1463" s="537"/>
    </row>
    <row r="1464" spans="2:4" hidden="1" outlineLevel="1">
      <c r="B1464" s="1177"/>
      <c r="C1464" s="536"/>
      <c r="D1464" s="537"/>
    </row>
    <row r="1465" spans="2:4" hidden="1" outlineLevel="2">
      <c r="B1465" s="1177"/>
      <c r="C1465" s="536"/>
      <c r="D1465" s="537"/>
    </row>
    <row r="1466" spans="2:4" hidden="1" outlineLevel="2">
      <c r="B1466" s="1177"/>
      <c r="C1466" s="536"/>
      <c r="D1466" s="537"/>
    </row>
    <row r="1467" spans="2:4" hidden="1" outlineLevel="2">
      <c r="B1467" s="1177"/>
      <c r="C1467" s="536"/>
      <c r="D1467" s="537"/>
    </row>
    <row r="1468" spans="2:4" hidden="1" outlineLevel="2">
      <c r="B1468" s="1177"/>
      <c r="C1468" s="536"/>
      <c r="D1468" s="537"/>
    </row>
    <row r="1469" spans="2:4" hidden="1" outlineLevel="2">
      <c r="B1469" s="1177"/>
      <c r="C1469" s="536"/>
      <c r="D1469" s="537"/>
    </row>
    <row r="1470" spans="2:4" hidden="1" outlineLevel="2">
      <c r="B1470" s="1177"/>
      <c r="C1470" s="536"/>
      <c r="D1470" s="537"/>
    </row>
    <row r="1471" spans="2:4" hidden="1" outlineLevel="2">
      <c r="B1471" s="1177"/>
      <c r="C1471" s="536"/>
      <c r="D1471" s="537"/>
    </row>
    <row r="1472" spans="2:4" hidden="1" outlineLevel="2">
      <c r="B1472" s="1177"/>
      <c r="C1472" s="536"/>
      <c r="D1472" s="537"/>
    </row>
    <row r="1473" spans="2:4" hidden="1" outlineLevel="2">
      <c r="B1473" s="1177"/>
      <c r="C1473" s="536"/>
      <c r="D1473" s="537"/>
    </row>
    <row r="1474" spans="2:4" hidden="1" outlineLevel="1">
      <c r="B1474" s="1177"/>
      <c r="C1474" s="536"/>
      <c r="D1474" s="537"/>
    </row>
    <row r="1475" spans="2:4" hidden="1" outlineLevel="2">
      <c r="B1475" s="1177"/>
      <c r="C1475" s="536"/>
      <c r="D1475" s="537"/>
    </row>
    <row r="1476" spans="2:4" hidden="1" outlineLevel="2">
      <c r="B1476" s="1177"/>
      <c r="C1476" s="536"/>
      <c r="D1476" s="537"/>
    </row>
    <row r="1477" spans="2:4" hidden="1" outlineLevel="2">
      <c r="B1477" s="1177"/>
      <c r="C1477" s="536"/>
      <c r="D1477" s="537"/>
    </row>
    <row r="1478" spans="2:4" hidden="1" outlineLevel="2">
      <c r="B1478" s="1177"/>
      <c r="C1478" s="536"/>
      <c r="D1478" s="537"/>
    </row>
    <row r="1479" spans="2:4" hidden="1" outlineLevel="2">
      <c r="B1479" s="1177"/>
      <c r="C1479" s="536"/>
      <c r="D1479" s="537"/>
    </row>
    <row r="1480" spans="2:4" hidden="1" outlineLevel="2">
      <c r="B1480" s="1177"/>
      <c r="C1480" s="536"/>
      <c r="D1480" s="537"/>
    </row>
    <row r="1481" spans="2:4" hidden="1" outlineLevel="2">
      <c r="B1481" s="1177"/>
      <c r="C1481" s="536"/>
      <c r="D1481" s="537"/>
    </row>
    <row r="1482" spans="2:4" hidden="1" outlineLevel="2">
      <c r="B1482" s="1177"/>
      <c r="C1482" s="536"/>
      <c r="D1482" s="537"/>
    </row>
    <row r="1483" spans="2:4" hidden="1" outlineLevel="2">
      <c r="B1483" s="1177"/>
      <c r="C1483" s="536"/>
      <c r="D1483" s="537"/>
    </row>
    <row r="1484" spans="2:4" hidden="1" outlineLevel="1">
      <c r="B1484" s="1177"/>
      <c r="C1484" s="536"/>
      <c r="D1484" s="537"/>
    </row>
    <row r="1485" spans="2:4" hidden="1" outlineLevel="2">
      <c r="B1485" s="1177"/>
      <c r="C1485" s="536"/>
      <c r="D1485" s="537"/>
    </row>
    <row r="1486" spans="2:4" hidden="1" outlineLevel="2">
      <c r="B1486" s="1177"/>
      <c r="C1486" s="536"/>
      <c r="D1486" s="537"/>
    </row>
    <row r="1487" spans="2:4" hidden="1" outlineLevel="2">
      <c r="B1487" s="1177"/>
      <c r="C1487" s="536"/>
      <c r="D1487" s="537"/>
    </row>
    <row r="1488" spans="2:4" hidden="1" outlineLevel="2">
      <c r="B1488" s="1177"/>
      <c r="C1488" s="536"/>
      <c r="D1488" s="537"/>
    </row>
    <row r="1489" spans="2:4" hidden="1" outlineLevel="2">
      <c r="B1489" s="1177"/>
      <c r="C1489" s="536"/>
      <c r="D1489" s="537"/>
    </row>
    <row r="1490" spans="2:4" hidden="1" outlineLevel="2">
      <c r="B1490" s="1177"/>
      <c r="C1490" s="536"/>
      <c r="D1490" s="537"/>
    </row>
    <row r="1491" spans="2:4" hidden="1" outlineLevel="2">
      <c r="B1491" s="1177"/>
      <c r="C1491" s="536"/>
      <c r="D1491" s="537"/>
    </row>
    <row r="1492" spans="2:4" hidden="1" outlineLevel="2">
      <c r="B1492" s="1177"/>
      <c r="C1492" s="536"/>
      <c r="D1492" s="537"/>
    </row>
    <row r="1493" spans="2:4" hidden="1" outlineLevel="2">
      <c r="B1493" s="1177"/>
      <c r="C1493" s="536"/>
      <c r="D1493" s="537"/>
    </row>
    <row r="1494" spans="2:4" hidden="1" outlineLevel="1">
      <c r="B1494" s="1177"/>
      <c r="C1494" s="536"/>
      <c r="D1494" s="537"/>
    </row>
    <row r="1495" spans="2:4" hidden="1" outlineLevel="2">
      <c r="B1495" s="1177"/>
      <c r="C1495" s="536"/>
      <c r="D1495" s="537"/>
    </row>
    <row r="1496" spans="2:4" hidden="1" outlineLevel="2">
      <c r="B1496" s="1177"/>
      <c r="C1496" s="536"/>
      <c r="D1496" s="537"/>
    </row>
    <row r="1497" spans="2:4" hidden="1" outlineLevel="2">
      <c r="B1497" s="1177"/>
      <c r="C1497" s="536"/>
      <c r="D1497" s="537"/>
    </row>
    <row r="1498" spans="2:4" hidden="1" outlineLevel="2">
      <c r="B1498" s="1177"/>
      <c r="C1498" s="536"/>
      <c r="D1498" s="537"/>
    </row>
    <row r="1499" spans="2:4" hidden="1" outlineLevel="2">
      <c r="B1499" s="1177"/>
      <c r="C1499" s="536"/>
      <c r="D1499" s="537"/>
    </row>
    <row r="1500" spans="2:4" hidden="1" outlineLevel="2">
      <c r="B1500" s="1177"/>
      <c r="C1500" s="536"/>
      <c r="D1500" s="537"/>
    </row>
    <row r="1501" spans="2:4" hidden="1" outlineLevel="2">
      <c r="B1501" s="1177"/>
      <c r="C1501" s="536"/>
      <c r="D1501" s="537"/>
    </row>
    <row r="1502" spans="2:4" hidden="1" outlineLevel="2">
      <c r="B1502" s="1177"/>
      <c r="C1502" s="536"/>
      <c r="D1502" s="537"/>
    </row>
    <row r="1503" spans="2:4" hidden="1" outlineLevel="2">
      <c r="B1503" s="1177"/>
      <c r="C1503" s="536"/>
      <c r="D1503" s="537"/>
    </row>
    <row r="1504" spans="2:4" hidden="1" outlineLevel="1">
      <c r="B1504" s="1177"/>
      <c r="C1504" s="536"/>
      <c r="D1504" s="537"/>
    </row>
    <row r="1505" spans="2:4" hidden="1" outlineLevel="2">
      <c r="B1505" s="1177"/>
      <c r="C1505" s="536"/>
      <c r="D1505" s="537"/>
    </row>
    <row r="1506" spans="2:4" hidden="1" outlineLevel="2">
      <c r="B1506" s="1177"/>
      <c r="C1506" s="536"/>
      <c r="D1506" s="537"/>
    </row>
    <row r="1507" spans="2:4" hidden="1" outlineLevel="2">
      <c r="B1507" s="1177"/>
      <c r="C1507" s="536"/>
      <c r="D1507" s="537"/>
    </row>
    <row r="1508" spans="2:4" hidden="1" outlineLevel="2">
      <c r="B1508" s="1177"/>
      <c r="C1508" s="536"/>
      <c r="D1508" s="537"/>
    </row>
    <row r="1509" spans="2:4" hidden="1" outlineLevel="2">
      <c r="B1509" s="1177"/>
      <c r="C1509" s="536"/>
      <c r="D1509" s="537"/>
    </row>
    <row r="1510" spans="2:4" hidden="1" outlineLevel="2">
      <c r="B1510" s="1177"/>
      <c r="C1510" s="536"/>
      <c r="D1510" s="537"/>
    </row>
    <row r="1511" spans="2:4" hidden="1" outlineLevel="2">
      <c r="B1511" s="1177"/>
      <c r="C1511" s="536"/>
      <c r="D1511" s="537"/>
    </row>
    <row r="1512" spans="2:4" hidden="1" outlineLevel="2">
      <c r="B1512" s="1177"/>
      <c r="C1512" s="536"/>
      <c r="D1512" s="537"/>
    </row>
    <row r="1513" spans="2:4" hidden="1" outlineLevel="2">
      <c r="B1513" s="1177"/>
      <c r="C1513" s="536"/>
      <c r="D1513" s="537"/>
    </row>
    <row r="1514" spans="2:4" hidden="1" outlineLevel="1">
      <c r="B1514" s="1177"/>
      <c r="C1514" s="536"/>
      <c r="D1514" s="537"/>
    </row>
    <row r="1515" spans="2:4" hidden="1" outlineLevel="2">
      <c r="B1515" s="1177"/>
      <c r="C1515" s="536"/>
      <c r="D1515" s="537"/>
    </row>
    <row r="1516" spans="2:4" hidden="1" outlineLevel="2">
      <c r="B1516" s="1177"/>
      <c r="C1516" s="536"/>
      <c r="D1516" s="537"/>
    </row>
    <row r="1517" spans="2:4" hidden="1" outlineLevel="2">
      <c r="B1517" s="1177"/>
      <c r="C1517" s="536"/>
      <c r="D1517" s="537"/>
    </row>
    <row r="1518" spans="2:4" hidden="1" outlineLevel="2">
      <c r="B1518" s="1177"/>
      <c r="C1518" s="536"/>
      <c r="D1518" s="537"/>
    </row>
    <row r="1519" spans="2:4" hidden="1" outlineLevel="2">
      <c r="B1519" s="1177"/>
      <c r="C1519" s="536"/>
      <c r="D1519" s="537"/>
    </row>
    <row r="1520" spans="2:4" hidden="1" outlineLevel="2">
      <c r="B1520" s="1177"/>
      <c r="C1520" s="536"/>
      <c r="D1520" s="537"/>
    </row>
    <row r="1521" spans="1:10" hidden="1" outlineLevel="2">
      <c r="B1521" s="1177"/>
      <c r="C1521" s="536"/>
      <c r="D1521" s="537"/>
    </row>
    <row r="1522" spans="1:10" hidden="1" outlineLevel="2">
      <c r="B1522" s="1177"/>
      <c r="C1522" s="536"/>
      <c r="D1522" s="537"/>
    </row>
    <row r="1523" spans="1:10" ht="15" hidden="1" outlineLevel="2" thickBot="1">
      <c r="B1523" s="1177"/>
      <c r="C1523" s="536"/>
      <c r="D1523" s="537"/>
    </row>
    <row r="1524" spans="1:10" ht="15" hidden="1" outlineLevel="1" thickBot="1">
      <c r="B1524" s="535"/>
      <c r="C1524" s="516"/>
      <c r="D1524" s="517"/>
      <c r="E1524" s="43"/>
    </row>
    <row r="1525" spans="1:10" ht="79.349999999999994" customHeight="1" collapsed="1" thickBot="1">
      <c r="A1525" s="533" t="s">
        <v>1</v>
      </c>
      <c r="B1525" s="534" t="str">
        <f>template_footnote_expansion_button</f>
        <v>Click on the expansion button on the left if you need to include more footnotes</v>
      </c>
      <c r="C1525" s="532"/>
      <c r="D1525" s="519"/>
      <c r="E1525" s="518"/>
      <c r="F1525" s="518"/>
      <c r="G1525" s="518"/>
      <c r="H1525" s="518"/>
      <c r="I1525" s="518"/>
      <c r="J1525" s="518"/>
    </row>
  </sheetData>
  <sheetProtection algorithmName="SHA-512" hashValue="L8N1NCBtH2DuMXyZ3yGqPu7/oJh53ekm7KNl56GTQKnpl+B/NXpb/5x2mFIlRhJxkA1An/Bm/ewEWYy49iRdFw==" saltValue="0oZxeQgFegsLKqpdu3/kPg==" spinCount="100000" sheet="1" objects="1" scenarios="1" formatCells="0" formatColumns="0" formatRows="0" insertColumns="0" insertRows="0" insertHyperlinks="0"/>
  <mergeCells count="155">
    <mergeCell ref="B1444:B1453"/>
    <mergeCell ref="B1454:B1463"/>
    <mergeCell ref="B1464:B1473"/>
    <mergeCell ref="B1414:B1423"/>
    <mergeCell ref="B1424:B1433"/>
    <mergeCell ref="B1434:B1443"/>
    <mergeCell ref="B1504:B1513"/>
    <mergeCell ref="B1514:B1523"/>
    <mergeCell ref="B1474:B1483"/>
    <mergeCell ref="B1484:B1493"/>
    <mergeCell ref="B1494:B1503"/>
    <mergeCell ref="B1324:B1333"/>
    <mergeCell ref="B1334:B1343"/>
    <mergeCell ref="B1344:B1353"/>
    <mergeCell ref="B1294:B1303"/>
    <mergeCell ref="B1304:B1313"/>
    <mergeCell ref="B1314:B1323"/>
    <mergeCell ref="B1384:B1393"/>
    <mergeCell ref="B1394:B1403"/>
    <mergeCell ref="B1404:B1413"/>
    <mergeCell ref="B1354:B1363"/>
    <mergeCell ref="B1364:B1373"/>
    <mergeCell ref="B1374:B1383"/>
    <mergeCell ref="B1204:B1213"/>
    <mergeCell ref="B1214:B1223"/>
    <mergeCell ref="B1224:B1233"/>
    <mergeCell ref="B1174:B1183"/>
    <mergeCell ref="B1184:B1193"/>
    <mergeCell ref="B1194:B1203"/>
    <mergeCell ref="B1264:B1273"/>
    <mergeCell ref="B1274:B1283"/>
    <mergeCell ref="B1284:B1293"/>
    <mergeCell ref="B1234:B1243"/>
    <mergeCell ref="B1244:B1253"/>
    <mergeCell ref="B1254:B1263"/>
    <mergeCell ref="B1084:B1093"/>
    <mergeCell ref="B1094:B1103"/>
    <mergeCell ref="B1104:B1113"/>
    <mergeCell ref="B1054:B1063"/>
    <mergeCell ref="B1064:B1073"/>
    <mergeCell ref="B1074:B1083"/>
    <mergeCell ref="B1144:B1153"/>
    <mergeCell ref="B1154:B1163"/>
    <mergeCell ref="B1164:B1173"/>
    <mergeCell ref="B1114:B1123"/>
    <mergeCell ref="B1124:B1133"/>
    <mergeCell ref="B1134:B1143"/>
    <mergeCell ref="B964:B973"/>
    <mergeCell ref="B974:B983"/>
    <mergeCell ref="B984:B993"/>
    <mergeCell ref="B934:B943"/>
    <mergeCell ref="B944:B953"/>
    <mergeCell ref="B954:B963"/>
    <mergeCell ref="B1024:B1033"/>
    <mergeCell ref="B1034:B1043"/>
    <mergeCell ref="B1044:B1053"/>
    <mergeCell ref="B994:B1003"/>
    <mergeCell ref="B1004:B1013"/>
    <mergeCell ref="B1014:B1023"/>
    <mergeCell ref="B844:B853"/>
    <mergeCell ref="B854:B863"/>
    <mergeCell ref="B864:B873"/>
    <mergeCell ref="B814:B823"/>
    <mergeCell ref="B824:B833"/>
    <mergeCell ref="B834:B843"/>
    <mergeCell ref="B904:B913"/>
    <mergeCell ref="B914:B923"/>
    <mergeCell ref="B924:B933"/>
    <mergeCell ref="B874:B883"/>
    <mergeCell ref="B884:B893"/>
    <mergeCell ref="B894:B903"/>
    <mergeCell ref="B724:B733"/>
    <mergeCell ref="B734:B743"/>
    <mergeCell ref="B744:B753"/>
    <mergeCell ref="B694:B703"/>
    <mergeCell ref="B704:B713"/>
    <mergeCell ref="B714:B723"/>
    <mergeCell ref="B784:B793"/>
    <mergeCell ref="B794:B803"/>
    <mergeCell ref="B804:B813"/>
    <mergeCell ref="B754:B763"/>
    <mergeCell ref="B764:B773"/>
    <mergeCell ref="B774:B783"/>
    <mergeCell ref="B604:B613"/>
    <mergeCell ref="B614:B623"/>
    <mergeCell ref="B624:B633"/>
    <mergeCell ref="B574:B583"/>
    <mergeCell ref="B584:B593"/>
    <mergeCell ref="B594:B603"/>
    <mergeCell ref="B664:B673"/>
    <mergeCell ref="B674:B683"/>
    <mergeCell ref="B684:B693"/>
    <mergeCell ref="B634:B643"/>
    <mergeCell ref="B644:B653"/>
    <mergeCell ref="B654:B663"/>
    <mergeCell ref="B484:B493"/>
    <mergeCell ref="B494:B503"/>
    <mergeCell ref="B504:B513"/>
    <mergeCell ref="B454:B463"/>
    <mergeCell ref="B464:B473"/>
    <mergeCell ref="B474:B483"/>
    <mergeCell ref="B544:B553"/>
    <mergeCell ref="B554:B563"/>
    <mergeCell ref="B564:B573"/>
    <mergeCell ref="B514:B523"/>
    <mergeCell ref="B524:B533"/>
    <mergeCell ref="B534:B543"/>
    <mergeCell ref="B364:B373"/>
    <mergeCell ref="B374:B383"/>
    <mergeCell ref="B384:B393"/>
    <mergeCell ref="B334:B343"/>
    <mergeCell ref="B344:B353"/>
    <mergeCell ref="B354:B363"/>
    <mergeCell ref="B424:B433"/>
    <mergeCell ref="B434:B443"/>
    <mergeCell ref="B444:B453"/>
    <mergeCell ref="B394:B403"/>
    <mergeCell ref="B404:B413"/>
    <mergeCell ref="B414:B423"/>
    <mergeCell ref="B244:B253"/>
    <mergeCell ref="B254:B263"/>
    <mergeCell ref="B264:B273"/>
    <mergeCell ref="B214:B223"/>
    <mergeCell ref="B224:B233"/>
    <mergeCell ref="B234:B243"/>
    <mergeCell ref="B304:B313"/>
    <mergeCell ref="B314:B323"/>
    <mergeCell ref="B324:B333"/>
    <mergeCell ref="B274:B283"/>
    <mergeCell ref="B284:B293"/>
    <mergeCell ref="B294:B303"/>
    <mergeCell ref="B124:B133"/>
    <mergeCell ref="B134:B143"/>
    <mergeCell ref="B144:B153"/>
    <mergeCell ref="B94:B103"/>
    <mergeCell ref="B104:B113"/>
    <mergeCell ref="B114:B123"/>
    <mergeCell ref="B184:B193"/>
    <mergeCell ref="B194:B203"/>
    <mergeCell ref="B204:B213"/>
    <mergeCell ref="B154:B163"/>
    <mergeCell ref="B164:B173"/>
    <mergeCell ref="B174:B183"/>
    <mergeCell ref="B1:D1"/>
    <mergeCell ref="B2:D2"/>
    <mergeCell ref="E4:Q13"/>
    <mergeCell ref="B4:B13"/>
    <mergeCell ref="B14:B23"/>
    <mergeCell ref="B24:B33"/>
    <mergeCell ref="B64:B73"/>
    <mergeCell ref="B74:B83"/>
    <mergeCell ref="B84:B93"/>
    <mergeCell ref="B34:B43"/>
    <mergeCell ref="B44:B53"/>
    <mergeCell ref="B54:B63"/>
  </mergeCells>
  <dataValidations count="1">
    <dataValidation type="list" allowBlank="1" showInputMessage="1" showErrorMessage="1" sqref="D4:D1523" xr:uid="{EEC87A16-BB54-4FFE-B78C-02BE95583850}">
      <formula1>template_footnote_labels_taxonomy</formula1>
    </dataValidation>
  </dataValidation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zoomScaleNormal="100" workbookViewId="0"/>
  </sheetViews>
  <sheetFormatPr defaultColWidth="9.44140625" defaultRowHeight="14.4"/>
  <cols>
    <col min="1" max="1" width="28.5546875" bestFit="1" customWidth="1"/>
    <col min="2" max="2" width="32.44140625" customWidth="1"/>
    <col min="3" max="3" width="19.5546875" style="10" bestFit="1" customWidth="1"/>
    <col min="4" max="4" width="17.5546875" style="10" bestFit="1" customWidth="1"/>
    <col min="5" max="5" width="21.44140625" style="10" bestFit="1" customWidth="1"/>
    <col min="6" max="6" width="24.109375" style="10" bestFit="1" customWidth="1"/>
    <col min="7" max="7" width="33.109375" style="10" bestFit="1" customWidth="1"/>
    <col min="8" max="8" width="32.44140625" style="10" customWidth="1"/>
    <col min="9" max="9" width="20.5546875" style="10" customWidth="1"/>
    <col min="10" max="10" width="23.5546875" style="10" customWidth="1"/>
    <col min="11" max="11" width="14.5546875" style="10" customWidth="1"/>
    <col min="12" max="12" width="24.5546875" style="10" customWidth="1"/>
    <col min="13" max="13" width="25" style="10" customWidth="1"/>
    <col min="14" max="14" width="67.5546875" style="10" hidden="1" customWidth="1"/>
    <col min="15" max="15" width="24.44140625" style="10" hidden="1" customWidth="1"/>
    <col min="16" max="16" width="24.5546875" style="10" hidden="1" customWidth="1"/>
    <col min="17" max="17" width="25" style="10" hidden="1" customWidth="1"/>
    <col min="18" max="18" width="62.44140625" style="10" hidden="1" customWidth="1"/>
    <col min="19" max="19" width="22.554687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441406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5546875" style="10" hidden="1" customWidth="1"/>
    <col min="36" max="36" width="31.44140625" style="10" hidden="1" customWidth="1"/>
    <col min="37" max="37" width="25" style="10" hidden="1" customWidth="1"/>
    <col min="38" max="38" width="39.554687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5546875" style="10" hidden="1" customWidth="1"/>
    <col min="45" max="45" width="25" style="10" hidden="1" customWidth="1"/>
    <col min="46" max="46" width="45.5546875" style="10" hidden="1" customWidth="1"/>
    <col min="47" max="47" width="32.5546875" style="10" hidden="1" customWidth="1"/>
    <col min="48" max="48" width="38.44140625" style="10" hidden="1" customWidth="1"/>
    <col min="49" max="49" width="24.5546875" style="10" hidden="1" customWidth="1"/>
    <col min="50" max="50" width="50.109375" style="10" hidden="1" customWidth="1"/>
    <col min="51" max="51" width="1.109375" style="10" hidden="1" customWidth="1"/>
    <col min="52" max="52" width="0.44140625" style="10" hidden="1" customWidth="1"/>
    <col min="53" max="53" width="0.5546875" style="10" hidden="1" customWidth="1"/>
    <col min="54" max="54" width="9.44140625" style="10" hidden="1" customWidth="1"/>
    <col min="55" max="16384" width="9.44140625" style="10"/>
  </cols>
  <sheetData>
    <row r="1" spans="1:53" ht="28.5" customHeight="1" thickTop="1" thickBot="1">
      <c r="A1" s="303" t="str">
        <f>template_label_fuel_converter</f>
        <v>FUEL CONVERTER</v>
      </c>
      <c r="B1" s="10"/>
      <c r="AL1" s="10"/>
      <c r="AN1" s="10"/>
      <c r="AO1" s="10"/>
      <c r="AP1" s="10"/>
    </row>
    <row r="2" spans="1:53" ht="39.6" customHeight="1" thickTop="1">
      <c r="A2" s="328" t="str">
        <f>template_label_disclaimer</f>
        <v>DISCLAIMER:</v>
      </c>
      <c r="B2" s="10"/>
      <c r="AL2" s="10"/>
      <c r="AN2" s="10"/>
      <c r="AO2" s="10"/>
      <c r="AP2" s="10"/>
    </row>
    <row r="3" spans="1:53" ht="54" customHeight="1">
      <c r="A3" s="1182"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82"/>
      <c r="C3" s="1182"/>
      <c r="D3" s="1182"/>
      <c r="E3" s="1182"/>
      <c r="F3" s="1182"/>
      <c r="G3" s="1182"/>
      <c r="H3" s="1182"/>
      <c r="I3" s="1182"/>
      <c r="J3" s="1182"/>
      <c r="K3" s="1182"/>
      <c r="AL3" s="10"/>
      <c r="AN3" s="10"/>
      <c r="AO3" s="10"/>
      <c r="AP3" s="10"/>
    </row>
    <row r="4" spans="1:53" ht="42.6" customHeight="1">
      <c r="A4" s="1182"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82"/>
      <c r="C4" s="1182"/>
      <c r="D4" s="1182"/>
      <c r="E4" s="1182"/>
      <c r="F4" s="1182"/>
      <c r="G4" s="1182"/>
      <c r="H4" s="1182"/>
      <c r="I4" s="1182"/>
      <c r="J4" s="1182"/>
      <c r="K4" s="1182"/>
      <c r="AL4" s="10"/>
      <c r="AN4" s="10"/>
      <c r="AO4" s="10"/>
      <c r="AP4" s="10"/>
    </row>
    <row r="5" spans="1:53" ht="66.599999999999994" customHeight="1" thickBot="1">
      <c r="A5" s="1182"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82"/>
      <c r="C5" s="1182"/>
      <c r="D5" s="1182"/>
      <c r="E5" s="1182"/>
      <c r="F5" s="1182"/>
      <c r="G5" s="1182"/>
      <c r="H5" s="1182"/>
      <c r="I5" s="1182"/>
      <c r="J5" s="1182"/>
      <c r="K5" s="1182"/>
      <c r="AL5" s="10"/>
      <c r="AN5" s="10"/>
      <c r="AO5" s="10"/>
      <c r="AP5" s="10"/>
    </row>
    <row r="6" spans="1:53" ht="35.4" customHeight="1" thickBot="1">
      <c r="A6" s="306"/>
      <c r="B6" s="1201" t="str">
        <f>template_label_indicates_that_the_cell_should_be_filled_either_by_selecting_a_value_from_the_dropdown</f>
        <v>Indicates that the cell should be filled either by selecting a value from the dropdown (e.g. Type of fuel or Unit of Measurement) or by entering an amount.</v>
      </c>
      <c r="C6" s="1202"/>
      <c r="D6" s="1202"/>
      <c r="E6" s="1202"/>
      <c r="F6" s="1203"/>
      <c r="G6" s="307"/>
      <c r="H6" s="305"/>
      <c r="I6" s="305"/>
      <c r="J6" s="305"/>
      <c r="AL6" s="10"/>
      <c r="AN6" s="10"/>
      <c r="AO6" s="10"/>
      <c r="AP6" s="10"/>
    </row>
    <row r="7" spans="1:53" ht="44.4" customHeight="1" thickBot="1">
      <c r="A7" s="308" t="s">
        <v>68</v>
      </c>
      <c r="B7" s="1201" t="str">
        <f>template_label_indicates_that_the_cell_is_automatically_calculated_and_that_no_data_entry_is_required</f>
        <v>Indicates that the cell is automatically calculated and that no data entry is required.</v>
      </c>
      <c r="C7" s="1202"/>
      <c r="D7" s="1202"/>
      <c r="E7" s="1202"/>
      <c r="F7" s="1203"/>
      <c r="G7" s="307"/>
      <c r="H7" s="305"/>
      <c r="I7" s="305"/>
      <c r="J7" s="305"/>
      <c r="AL7" s="10"/>
      <c r="AN7" s="10"/>
      <c r="AO7" s="10"/>
      <c r="AP7" s="10"/>
    </row>
    <row r="8" spans="1:53" ht="40.35" customHeight="1" thickBot="1">
      <c r="A8" s="304"/>
      <c r="B8" s="10"/>
      <c r="AC8" s="309"/>
      <c r="AL8" s="10"/>
      <c r="AN8" s="10"/>
      <c r="AO8" s="10"/>
      <c r="AP8" s="10"/>
    </row>
    <row r="9" spans="1:53" ht="21.6" thickBot="1">
      <c r="A9" s="393" t="str">
        <f>template_label_fuel_type</f>
        <v>Fuel type</v>
      </c>
      <c r="B9" s="393" t="str">
        <f>template_label_unit_of_measurement</f>
        <v>Unit of measurement</v>
      </c>
      <c r="C9" s="394" t="str">
        <f>template_label_amount</f>
        <v>Amount</v>
      </c>
      <c r="D9" s="394" t="str">
        <f>template_label_state_of_matter</f>
        <v>State of matter</v>
      </c>
      <c r="E9" s="395" t="str">
        <f>template_label_typical_renewable_state</f>
        <v>Typical renewable state</v>
      </c>
      <c r="F9" s="396" t="str">
        <f>template_label_calculated_energy_in_mwh</f>
        <v>Calculated Energy in MWh</v>
      </c>
      <c r="G9" s="447" t="str">
        <f>template_label_overall_validation_status_validation&amp;":"</f>
        <v>Overall Validation Status:</v>
      </c>
      <c r="H9" s="448"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04" t="str">
        <f>template_label_usage_of_fuel_converter</f>
        <v>Usage of Fuel Converter:</v>
      </c>
      <c r="O9" s="336"/>
      <c r="P9" s="337"/>
      <c r="Q9" s="338"/>
      <c r="S9" s="336"/>
      <c r="T9" s="337"/>
      <c r="U9" s="338"/>
      <c r="W9" s="336"/>
      <c r="X9" s="337"/>
      <c r="Y9" s="338"/>
      <c r="AA9" s="336"/>
      <c r="AB9" s="337"/>
      <c r="AC9" s="338"/>
      <c r="AE9" s="336"/>
      <c r="AF9" s="337"/>
      <c r="AG9" s="338"/>
      <c r="AI9" s="336"/>
      <c r="AJ9" s="337"/>
      <c r="AK9" s="338"/>
      <c r="AL9" s="10"/>
      <c r="AM9" s="336"/>
      <c r="AN9" s="337"/>
      <c r="AO9" s="338"/>
      <c r="AP9" s="10"/>
      <c r="AQ9" s="336"/>
      <c r="AR9" s="337"/>
      <c r="AS9" s="338"/>
      <c r="AU9" s="336"/>
      <c r="AV9" s="337"/>
      <c r="AW9" s="338"/>
      <c r="AY9" s="336"/>
      <c r="AZ9" s="337"/>
      <c r="BA9" s="338"/>
    </row>
    <row r="10" spans="1:53" ht="15" thickBot="1">
      <c r="A10" s="301"/>
      <c r="B10" s="301"/>
      <c r="C10" s="302"/>
      <c r="D10" s="311" t="str">
        <f>P11</f>
        <v>-</v>
      </c>
      <c r="E10" s="312" t="str">
        <f>P12</f>
        <v>-</v>
      </c>
      <c r="F10" s="313" t="str">
        <f>IF(C10="","-",O23)</f>
        <v>-</v>
      </c>
      <c r="G10" s="1204"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205"/>
      <c r="J10" s="10" t="str">
        <f>template_label_1_in_cell_a9_select_the_fuel_used_searching_for_it_or_scrolling_down_the_list_displayed_clicking_the_cell</f>
        <v>1. In cell A10 select the Fuel used, searching for it or scrolling down the list displayed clicking the cell</v>
      </c>
      <c r="O10" s="314" t="s">
        <v>69</v>
      </c>
      <c r="P10" s="339" t="str">
        <f>IF(A10="","-",A10)</f>
        <v>-</v>
      </c>
      <c r="Q10" s="340"/>
      <c r="S10" s="314" t="s">
        <v>69</v>
      </c>
      <c r="T10" s="339" t="str">
        <f>IF(A11="","-",A11)</f>
        <v>-</v>
      </c>
      <c r="U10" s="340"/>
      <c r="W10" s="314" t="s">
        <v>69</v>
      </c>
      <c r="X10" s="339" t="str">
        <f>IF(A12="","-",A12)</f>
        <v>-</v>
      </c>
      <c r="Y10" s="340"/>
      <c r="AA10" s="314" t="s">
        <v>69</v>
      </c>
      <c r="AB10" s="339" t="str">
        <f>IF(A13="","-",A13)</f>
        <v>-</v>
      </c>
      <c r="AC10" s="340"/>
      <c r="AE10" s="314" t="s">
        <v>69</v>
      </c>
      <c r="AF10" s="339" t="str">
        <f>IF(A14="","-",A14)</f>
        <v>-</v>
      </c>
      <c r="AG10" s="340"/>
      <c r="AI10" s="314" t="s">
        <v>69</v>
      </c>
      <c r="AJ10" s="339" t="str">
        <f>IF(A15="","-",A15)</f>
        <v>-</v>
      </c>
      <c r="AK10" s="340"/>
      <c r="AL10" s="10"/>
      <c r="AM10" s="314" t="s">
        <v>69</v>
      </c>
      <c r="AN10" s="339" t="str">
        <f>IF(A16="","-",A16)</f>
        <v>-</v>
      </c>
      <c r="AO10" s="340"/>
      <c r="AP10" s="10"/>
      <c r="AQ10" s="314" t="s">
        <v>69</v>
      </c>
      <c r="AR10" s="339" t="str">
        <f>IF(A17="","-",A17)</f>
        <v>-</v>
      </c>
      <c r="AS10" s="340"/>
      <c r="AU10" s="314" t="s">
        <v>69</v>
      </c>
      <c r="AV10" s="339" t="str">
        <f>IF(A18="","-",A18)</f>
        <v>-</v>
      </c>
      <c r="AW10" s="340"/>
      <c r="AY10" s="314" t="s">
        <v>69</v>
      </c>
      <c r="AZ10" s="339" t="str">
        <f>IF(A19="","-",A19)</f>
        <v>-</v>
      </c>
      <c r="BA10" s="340"/>
    </row>
    <row r="11" spans="1:53" ht="15" thickBot="1">
      <c r="A11" s="301"/>
      <c r="B11" s="301"/>
      <c r="C11" s="302"/>
      <c r="D11" s="315" t="str">
        <f>T11</f>
        <v>-</v>
      </c>
      <c r="E11" s="316" t="str">
        <f>T12</f>
        <v>-</v>
      </c>
      <c r="F11" s="313" t="str">
        <f>IF(C11="","-",S23)</f>
        <v>-</v>
      </c>
      <c r="G11" s="1178" t="str">
        <f t="shared" si="0"/>
        <v/>
      </c>
      <c r="H11" s="1179"/>
      <c r="J11" s="10" t="str">
        <f>template_label_2_in_cell_b9_select_the_unit_of_measurement_used</f>
        <v>2. In cell B10 select the Unit of measurement used</v>
      </c>
      <c r="O11" s="314" t="s">
        <v>70</v>
      </c>
      <c r="P11" s="341" t="str">
        <f>IF(OR(P10="", P10="-"), "-", IFERROR(IF(INDEX('Fuel Conversion Parameters'!$B$2:$B$61, MATCH(P10, 'Fuel Conversion Parameters'!$A$2:$A$61, 0))="", "MISSING VALUE", INDEX('Fuel Conversion Parameters'!$B$2:$B$61, MATCH(P10, 'Fuel Conversion Parameters'!$A$2:$A$61, 0))), "MISSING VALUE"))</f>
        <v>-</v>
      </c>
      <c r="Q11" s="340"/>
      <c r="S11" s="314" t="s">
        <v>70</v>
      </c>
      <c r="T11" s="341" t="str">
        <f>IF(OR(T10="", T10="-"), "-", IFERROR(IF(INDEX('Fuel Conversion Parameters'!$B$2:$B$61, MATCH(T10, 'Fuel Conversion Parameters'!$A$2:$A$61, 0))="", "MISSING VALUE", INDEX('Fuel Conversion Parameters'!$B$2:$B$61, MATCH(T10, 'Fuel Conversion Parameters'!$A$2:$A$61, 0))), "MISSING VALUE"))</f>
        <v>-</v>
      </c>
      <c r="U11" s="340"/>
      <c r="W11" s="314" t="s">
        <v>70</v>
      </c>
      <c r="X11" s="341" t="str">
        <f>IF(OR(X10="", X10="-"), "-", IFERROR(IF(INDEX('Fuel Conversion Parameters'!$B$2:$B$61, MATCH(X10, 'Fuel Conversion Parameters'!$A$2:$A$61, 0))="", "MISSING VALUE", INDEX('Fuel Conversion Parameters'!$B$2:$B$61, MATCH(X10, 'Fuel Conversion Parameters'!$A$2:$A$61, 0))), "MISSING VALUE"))</f>
        <v>-</v>
      </c>
      <c r="Y11" s="340"/>
      <c r="AA11" s="314" t="s">
        <v>70</v>
      </c>
      <c r="AB11" s="341" t="str">
        <f>IF(OR(AB10="", AB10="-"), "-", IFERROR(IF(INDEX('Fuel Conversion Parameters'!$B$2:$B$61, MATCH(AB10, 'Fuel Conversion Parameters'!$A$2:$A$61, 0))="", "MISSING VALUE", INDEX('Fuel Conversion Parameters'!$B$2:$B$61, MATCH(AB10, 'Fuel Conversion Parameters'!$A$2:$A$61, 0))), "MISSING VALUE"))</f>
        <v>-</v>
      </c>
      <c r="AC11" s="340"/>
      <c r="AE11" s="314" t="s">
        <v>70</v>
      </c>
      <c r="AF11" s="341" t="str">
        <f>IF(OR(AF10="", AF10="-"), "-", IFERROR(IF(INDEX('Fuel Conversion Parameters'!$B$2:$B$61, MATCH(AF10, 'Fuel Conversion Parameters'!$A$2:$A$61, 0))="", "MISSING VALUE", INDEX('Fuel Conversion Parameters'!$B$2:$B$61, MATCH(AF10, 'Fuel Conversion Parameters'!$A$2:$A$61, 0))), "MISSING VALUE"))</f>
        <v>-</v>
      </c>
      <c r="AG11" s="340"/>
      <c r="AI11" s="314" t="s">
        <v>70</v>
      </c>
      <c r="AJ11" s="341" t="str">
        <f>IF(OR(AJ10="", AJ10="-"), "-", IFERROR(IF(INDEX('Fuel Conversion Parameters'!$B$2:$B$61, MATCH(AJ10, 'Fuel Conversion Parameters'!$A$2:$A$61, 0))="", "MISSING VALUE", INDEX('Fuel Conversion Parameters'!$B$2:$B$61, MATCH(AJ10, 'Fuel Conversion Parameters'!$A$2:$A$61, 0))), "MISSING VALUE"))</f>
        <v>-</v>
      </c>
      <c r="AK11" s="340"/>
      <c r="AL11" s="10"/>
      <c r="AM11" s="314" t="s">
        <v>70</v>
      </c>
      <c r="AN11" s="341" t="str">
        <f>IF(OR(AN10="", AN10="-"), "-", IFERROR(IF(INDEX('Fuel Conversion Parameters'!$B$2:$B$61, MATCH(AN10, 'Fuel Conversion Parameters'!$A$2:$A$61, 0))="", "MISSING VALUE", INDEX('Fuel Conversion Parameters'!$B$2:$B$61, MATCH(AN10, 'Fuel Conversion Parameters'!$A$2:$A$61, 0))), "MISSING VALUE"))</f>
        <v>-</v>
      </c>
      <c r="AO11" s="340"/>
      <c r="AP11" s="10"/>
      <c r="AQ11" s="314" t="s">
        <v>70</v>
      </c>
      <c r="AR11" s="341" t="str">
        <f>IF(OR(AR10="", AR10="-"), "-", IFERROR(IF(INDEX('Fuel Conversion Parameters'!$B$2:$B$61, MATCH(AR10, 'Fuel Conversion Parameters'!$A$2:$A$61, 0))="", "MISSING VALUE", INDEX('Fuel Conversion Parameters'!$B$2:$B$61, MATCH(AR10, 'Fuel Conversion Parameters'!$A$2:$A$61, 0))), "MISSING VALUE"))</f>
        <v>-</v>
      </c>
      <c r="AS11" s="340"/>
      <c r="AU11" s="314" t="s">
        <v>70</v>
      </c>
      <c r="AV11" s="341" t="str">
        <f>IF(OR(AV10="", AV10="-"), "-", IFERROR(IF(INDEX('Fuel Conversion Parameters'!$B$2:$B$61, MATCH(AV10, 'Fuel Conversion Parameters'!$A$2:$A$61, 0))="", "MISSING VALUE", INDEX('Fuel Conversion Parameters'!$B$2:$B$61, MATCH(AV10, 'Fuel Conversion Parameters'!$A$2:$A$61, 0))), "MISSING VALUE"))</f>
        <v>-</v>
      </c>
      <c r="AW11" s="340"/>
      <c r="AY11" s="314" t="s">
        <v>70</v>
      </c>
      <c r="AZ11" s="341" t="str">
        <f>IF(OR(AZ10="", AZ10="-"), "-", IFERROR(IF(INDEX('Fuel Conversion Parameters'!$B$2:$B$61, MATCH(AZ10, 'Fuel Conversion Parameters'!$A$2:$A$61, 0))="", "MISSING VALUE", INDEX('Fuel Conversion Parameters'!$B$2:$B$61, MATCH(AZ10, 'Fuel Conversion Parameters'!$A$2:$A$61, 0))), "MISSING VALUE"))</f>
        <v>-</v>
      </c>
      <c r="BA11" s="340"/>
    </row>
    <row r="12" spans="1:53" ht="15" thickBot="1">
      <c r="A12" s="301"/>
      <c r="B12" s="301"/>
      <c r="C12" s="302"/>
      <c r="D12" s="315" t="str">
        <f>X11</f>
        <v>-</v>
      </c>
      <c r="E12" s="316" t="str">
        <f>X12</f>
        <v>-</v>
      </c>
      <c r="F12" s="313" t="str">
        <f>IF(C12="","-",W23)</f>
        <v>-</v>
      </c>
      <c r="G12" s="1178" t="str">
        <f t="shared" si="0"/>
        <v/>
      </c>
      <c r="H12" s="1179"/>
      <c r="J12" s="10" t="str">
        <f>template_label_3_in_cell_c9_select_the_amount_of_fuel_used</f>
        <v>3. In cell C10 select the Amount of fuel used</v>
      </c>
      <c r="O12" s="314" t="s">
        <v>71</v>
      </c>
      <c r="P12" s="341" t="str">
        <f>IF(OR(P10="", P10="-"), "-", IFERROR(IF(INDEX('Fuel Conversion Parameters'!$F$2:$F$61, MATCH(P10, 'Fuel Conversion Parameters'!$A$2:$A$61, 0))="", "MISSING VALUE", INDEX('Fuel Conversion Parameters'!$F$2:$F$61, MATCH(P10, 'Fuel Conversion Parameters'!$A$2:$A$61, 0))), "MISSING VALUE"))</f>
        <v>-</v>
      </c>
      <c r="Q12" s="340"/>
      <c r="S12" s="314" t="s">
        <v>71</v>
      </c>
      <c r="T12" s="341" t="str">
        <f>IF(OR(T10="", T10="-"), "-", IFERROR(IF(INDEX('Fuel Conversion Parameters'!$F$2:$F$61, MATCH(T10, 'Fuel Conversion Parameters'!$A$2:$A$61, 0))="", "MISSING VALUE", INDEX('Fuel Conversion Parameters'!$F$2:$F$61, MATCH(T10, 'Fuel Conversion Parameters'!$A$2:$A$61, 0))), "MISSING VALUE"))</f>
        <v>-</v>
      </c>
      <c r="U12" s="340"/>
      <c r="W12" s="314" t="s">
        <v>71</v>
      </c>
      <c r="X12" s="341" t="str">
        <f>IF(OR(X10="", X10="-"), "-", IFERROR(IF(INDEX('Fuel Conversion Parameters'!$F$2:$F$61, MATCH(X10, 'Fuel Conversion Parameters'!$A$2:$A$61, 0))="", "MISSING VALUE", INDEX('Fuel Conversion Parameters'!$F$2:$F$61, MATCH(X10, 'Fuel Conversion Parameters'!$A$2:$A$61, 0))), "MISSING VALUE"))</f>
        <v>-</v>
      </c>
      <c r="Y12" s="340"/>
      <c r="AA12" s="314" t="s">
        <v>71</v>
      </c>
      <c r="AB12" s="341" t="str">
        <f>IF(OR(AB10="", AB10="-"), "-", IFERROR(IF(INDEX('Fuel Conversion Parameters'!$F$2:$F$61, MATCH(AB10, 'Fuel Conversion Parameters'!$A$2:$A$61, 0))="", "MISSING VALUE", INDEX('Fuel Conversion Parameters'!$F$2:$F$61, MATCH(AB10, 'Fuel Conversion Parameters'!$A$2:$A$61, 0))), "MISSING VALUE"))</f>
        <v>-</v>
      </c>
      <c r="AC12" s="340"/>
      <c r="AE12" s="314" t="s">
        <v>71</v>
      </c>
      <c r="AF12" s="341" t="str">
        <f>IF(OR(AF10="", AF10="-"), "-", IFERROR(IF(INDEX('Fuel Conversion Parameters'!$F$2:$F$61, MATCH(AF10, 'Fuel Conversion Parameters'!$A$2:$A$61, 0))="", "MISSING VALUE", INDEX('Fuel Conversion Parameters'!$F$2:$F$61, MATCH(AF10, 'Fuel Conversion Parameters'!$A$2:$A$61, 0))), "MISSING VALUE"))</f>
        <v>-</v>
      </c>
      <c r="AG12" s="340"/>
      <c r="AI12" s="314" t="s">
        <v>71</v>
      </c>
      <c r="AJ12" s="341" t="str">
        <f>IF(OR(AJ10="", AJ10="-"), "-", IFERROR(IF(INDEX('Fuel Conversion Parameters'!$F$2:$F$61, MATCH(AJ10, 'Fuel Conversion Parameters'!$A$2:$A$61, 0))="", "MISSING VALUE", INDEX('Fuel Conversion Parameters'!$F$2:$F$61, MATCH(AJ10, 'Fuel Conversion Parameters'!$A$2:$A$61, 0))), "MISSING VALUE"))</f>
        <v>-</v>
      </c>
      <c r="AK12" s="340"/>
      <c r="AL12" s="10"/>
      <c r="AM12" s="314" t="s">
        <v>71</v>
      </c>
      <c r="AN12" s="341" t="str">
        <f>IF(OR(AN10="", AN10="-"), "-", IFERROR(IF(INDEX('Fuel Conversion Parameters'!$F$2:$F$61, MATCH(AN10, 'Fuel Conversion Parameters'!$A$2:$A$61, 0))="", "MISSING VALUE", INDEX('Fuel Conversion Parameters'!$F$2:$F$61, MATCH(AN10, 'Fuel Conversion Parameters'!$A$2:$A$61, 0))), "MISSING VALUE"))</f>
        <v>-</v>
      </c>
      <c r="AO12" s="340"/>
      <c r="AP12" s="10"/>
      <c r="AQ12" s="314" t="s">
        <v>71</v>
      </c>
      <c r="AR12" s="341" t="str">
        <f>IF(OR(AR10="", AR10="-"), "-", IFERROR(IF(INDEX('Fuel Conversion Parameters'!$F$2:$F$61, MATCH(AR10, 'Fuel Conversion Parameters'!$A$2:$A$61, 0))="", "MISSING VALUE", INDEX('Fuel Conversion Parameters'!$F$2:$F$61, MATCH(AR10, 'Fuel Conversion Parameters'!$A$2:$A$61, 0))), "MISSING VALUE"))</f>
        <v>-</v>
      </c>
      <c r="AS12" s="340"/>
      <c r="AU12" s="314" t="s">
        <v>71</v>
      </c>
      <c r="AV12" s="341" t="str">
        <f>IF(OR(AV10="", AV10="-"), "-", IFERROR(IF(INDEX('Fuel Conversion Parameters'!$F$2:$F$61, MATCH(AV10, 'Fuel Conversion Parameters'!$A$2:$A$61, 0))="", "MISSING VALUE", INDEX('Fuel Conversion Parameters'!$F$2:$F$61, MATCH(AV10, 'Fuel Conversion Parameters'!$A$2:$A$61, 0))), "MISSING VALUE"))</f>
        <v>-</v>
      </c>
      <c r="AW12" s="340"/>
      <c r="AY12" s="314" t="s">
        <v>71</v>
      </c>
      <c r="AZ12" s="341" t="str">
        <f>IF(OR(AZ10="", AZ10="-"), "-", IFERROR(IF(INDEX('Fuel Conversion Parameters'!$F$2:$F$61, MATCH(AZ10, 'Fuel Conversion Parameters'!$A$2:$A$61, 0))="", "MISSING VALUE", INDEX('Fuel Conversion Parameters'!$F$2:$F$61, MATCH(AZ10, 'Fuel Conversion Parameters'!$A$2:$A$61, 0))), "MISSING VALUE"))</f>
        <v>-</v>
      </c>
      <c r="BA12" s="340"/>
    </row>
    <row r="13" spans="1:53">
      <c r="A13" s="301"/>
      <c r="B13" s="301"/>
      <c r="C13" s="302"/>
      <c r="D13" s="315" t="str">
        <f>AB11</f>
        <v>-</v>
      </c>
      <c r="E13" s="316" t="str">
        <f>AB12</f>
        <v>-</v>
      </c>
      <c r="F13" s="313" t="str">
        <f>IF(C13="","-",AA23)</f>
        <v>-</v>
      </c>
      <c r="G13" s="1178" t="str">
        <f t="shared" si="0"/>
        <v/>
      </c>
      <c r="H13" s="1179"/>
      <c r="J13" s="10" t="str">
        <f>template_label_4_in_cell_d9_it_is_displayed_the_state_of_matter_for_the_fuel_selected</f>
        <v>4. In cell D10 it is displayed the State of matter for the Fuel selected</v>
      </c>
      <c r="O13" s="342"/>
      <c r="P13" s="19"/>
      <c r="Q13" s="340"/>
      <c r="S13" s="342"/>
      <c r="T13" s="19"/>
      <c r="U13" s="340"/>
      <c r="W13" s="342"/>
      <c r="X13" s="19"/>
      <c r="Y13" s="340"/>
      <c r="AA13" s="342"/>
      <c r="AB13" s="19"/>
      <c r="AC13" s="340"/>
      <c r="AE13" s="342"/>
      <c r="AF13" s="19"/>
      <c r="AG13" s="340"/>
      <c r="AI13" s="342"/>
      <c r="AJ13" s="19"/>
      <c r="AK13" s="340"/>
      <c r="AL13" s="10"/>
      <c r="AM13" s="342"/>
      <c r="AN13" s="19"/>
      <c r="AO13" s="340"/>
      <c r="AP13" s="10"/>
      <c r="AQ13" s="342"/>
      <c r="AR13" s="19"/>
      <c r="AS13" s="340"/>
      <c r="AU13" s="342"/>
      <c r="AV13" s="19"/>
      <c r="AW13" s="340"/>
      <c r="AY13" s="342"/>
      <c r="AZ13" s="19"/>
      <c r="BA13" s="340"/>
    </row>
    <row r="14" spans="1:53">
      <c r="A14" s="301"/>
      <c r="B14" s="301"/>
      <c r="C14" s="302"/>
      <c r="D14" s="315" t="str">
        <f>AF11</f>
        <v>-</v>
      </c>
      <c r="E14" s="316" t="str">
        <f>AF12</f>
        <v>-</v>
      </c>
      <c r="F14" s="313" t="str">
        <f>IF(C14="","-",AE23)</f>
        <v>-</v>
      </c>
      <c r="G14" s="1178" t="str">
        <f t="shared" si="0"/>
        <v/>
      </c>
      <c r="H14" s="1179"/>
      <c r="J14" s="10" t="str">
        <f>template_label_5_in_cell_e9_it_is_displayed_the_typical_renewability_state_for_the_fuel_selected</f>
        <v>5. In cell E10 it is displayed the Typical renewability state for the Fuel selected</v>
      </c>
      <c r="O14" s="343"/>
      <c r="Q14" s="340"/>
      <c r="S14" s="343"/>
      <c r="U14" s="340"/>
      <c r="W14" s="343"/>
      <c r="Y14" s="340"/>
      <c r="AA14" s="343"/>
      <c r="AC14" s="340"/>
      <c r="AE14" s="343"/>
      <c r="AG14" s="340"/>
      <c r="AI14" s="343"/>
      <c r="AK14" s="340"/>
      <c r="AL14" s="10"/>
      <c r="AM14" s="343"/>
      <c r="AN14" s="10"/>
      <c r="AO14" s="340"/>
      <c r="AP14" s="10"/>
      <c r="AQ14" s="343"/>
      <c r="AS14" s="340"/>
      <c r="AU14" s="343"/>
      <c r="AW14" s="340"/>
      <c r="AY14" s="343"/>
      <c r="BA14" s="340"/>
    </row>
    <row r="15" spans="1:53" ht="15" thickBot="1">
      <c r="A15" s="301"/>
      <c r="B15" s="301"/>
      <c r="C15" s="302"/>
      <c r="D15" s="315" t="str">
        <f>AJ11</f>
        <v>-</v>
      </c>
      <c r="E15" s="316" t="str">
        <f>AJ12</f>
        <v>-</v>
      </c>
      <c r="F15" s="313" t="str">
        <f>IF(C15="","-",AI23)</f>
        <v>-</v>
      </c>
      <c r="G15" s="1178" t="str">
        <f t="shared" si="0"/>
        <v/>
      </c>
      <c r="H15" s="1179"/>
      <c r="J15" s="10" t="str">
        <f>template_label_6_in_cell_f9_is_displayed_the_energy_produced_in_mega_watt_hours_by_the_amount_of_fuel_specified</f>
        <v>6. In cell F10 is displayed the Energy produced in Mega Watt hours by the Amount of Fuel specified</v>
      </c>
      <c r="O15" s="344"/>
      <c r="Q15" s="340"/>
      <c r="S15" s="344"/>
      <c r="U15" s="340"/>
      <c r="W15" s="343"/>
      <c r="Y15" s="340"/>
      <c r="AA15" s="343"/>
      <c r="AC15" s="340"/>
      <c r="AE15" s="343"/>
      <c r="AG15" s="340"/>
      <c r="AI15" s="343"/>
      <c r="AK15" s="340"/>
      <c r="AL15" s="10"/>
      <c r="AM15" s="343"/>
      <c r="AN15" s="10"/>
      <c r="AO15" s="340"/>
      <c r="AP15" s="10"/>
      <c r="AQ15" s="343"/>
      <c r="AS15" s="340"/>
      <c r="AU15" s="343"/>
      <c r="AW15" s="340"/>
      <c r="AY15" s="343"/>
      <c r="BA15" s="340"/>
    </row>
    <row r="16" spans="1:53" ht="15" thickBot="1">
      <c r="A16" s="301"/>
      <c r="B16" s="301"/>
      <c r="C16" s="302"/>
      <c r="D16" s="315" t="str">
        <f>AN11</f>
        <v>-</v>
      </c>
      <c r="E16" s="316" t="str">
        <f>AN12</f>
        <v>-</v>
      </c>
      <c r="F16" s="313" t="str">
        <f>IF(C16="","-",AM23)</f>
        <v>-</v>
      </c>
      <c r="G16" s="1178" t="str">
        <f t="shared" si="0"/>
        <v/>
      </c>
      <c r="H16" s="1179"/>
      <c r="J16" s="10" t="str">
        <f>template_label_7_in_cell_a28_is_displayed_the_total_energy_in_mega_watt_hours</f>
        <v>7. In cell A29 is displayed the Total Energy in Mega Watt hours</v>
      </c>
      <c r="O16" s="345" t="s">
        <v>72</v>
      </c>
      <c r="P16" s="346">
        <f>B10</f>
        <v>0</v>
      </c>
      <c r="Q16" s="347"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45" t="s">
        <v>72</v>
      </c>
      <c r="T16" s="346">
        <f>B11</f>
        <v>0</v>
      </c>
      <c r="U16" s="347"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45" t="s">
        <v>72</v>
      </c>
      <c r="X16" s="346">
        <f>B12</f>
        <v>0</v>
      </c>
      <c r="Y16" s="340"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45" t="s">
        <v>72</v>
      </c>
      <c r="AB16" s="346">
        <f>B13</f>
        <v>0</v>
      </c>
      <c r="AC16" s="347"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45" t="s">
        <v>72</v>
      </c>
      <c r="AF16" s="346">
        <f>B14</f>
        <v>0</v>
      </c>
      <c r="AG16" s="347"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45" t="s">
        <v>72</v>
      </c>
      <c r="AJ16" s="346">
        <f>B15</f>
        <v>0</v>
      </c>
      <c r="AK16" s="347"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45" t="s">
        <v>72</v>
      </c>
      <c r="AN16" s="346">
        <f>B16</f>
        <v>0</v>
      </c>
      <c r="AO16" s="347"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45" t="s">
        <v>72</v>
      </c>
      <c r="AR16" s="346">
        <f>B17</f>
        <v>0</v>
      </c>
      <c r="AS16" s="347"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45" t="s">
        <v>72</v>
      </c>
      <c r="AV16" s="346">
        <f>B18</f>
        <v>0</v>
      </c>
      <c r="AW16" s="347"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45" t="s">
        <v>72</v>
      </c>
      <c r="AZ16" s="346">
        <f>B19</f>
        <v>0</v>
      </c>
      <c r="BA16" s="347"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c r="A17" s="301"/>
      <c r="B17" s="301"/>
      <c r="C17" s="302"/>
      <c r="D17" s="315" t="str">
        <f>AR11</f>
        <v>-</v>
      </c>
      <c r="E17" s="316" t="str">
        <f>AR12</f>
        <v>-</v>
      </c>
      <c r="F17" s="313" t="str">
        <f>IF(C17="","-",AQ23)</f>
        <v>-</v>
      </c>
      <c r="G17" s="1178" t="str">
        <f t="shared" si="0"/>
        <v/>
      </c>
      <c r="H17" s="1179"/>
      <c r="J17" s="10" t="str">
        <f>template_label_8_in_cell_a31_is_displayed_the_total_renewable_energy_in_mega_watt_hours</f>
        <v>8. In cell A32 is displayed the Total Renewable Energy in Mega Watt hours</v>
      </c>
      <c r="O17" s="314" t="s">
        <v>73</v>
      </c>
      <c r="P17" s="348">
        <f>C10</f>
        <v>0</v>
      </c>
      <c r="Q17" s="340"/>
      <c r="S17" s="314" t="s">
        <v>73</v>
      </c>
      <c r="T17" s="348">
        <f>C11</f>
        <v>0</v>
      </c>
      <c r="U17" s="340"/>
      <c r="W17" s="314" t="s">
        <v>73</v>
      </c>
      <c r="X17" s="348">
        <f>C12</f>
        <v>0</v>
      </c>
      <c r="Y17" s="340"/>
      <c r="AA17" s="314" t="s">
        <v>73</v>
      </c>
      <c r="AB17" s="348">
        <f>C13</f>
        <v>0</v>
      </c>
      <c r="AC17" s="340"/>
      <c r="AE17" s="314" t="s">
        <v>73</v>
      </c>
      <c r="AF17" s="348">
        <f>C14</f>
        <v>0</v>
      </c>
      <c r="AG17" s="340"/>
      <c r="AI17" s="314" t="s">
        <v>73</v>
      </c>
      <c r="AJ17" s="348">
        <f>C15</f>
        <v>0</v>
      </c>
      <c r="AK17" s="340"/>
      <c r="AL17" s="10"/>
      <c r="AM17" s="314" t="s">
        <v>73</v>
      </c>
      <c r="AN17" s="348">
        <f>C16</f>
        <v>0</v>
      </c>
      <c r="AO17" s="340"/>
      <c r="AP17" s="10"/>
      <c r="AQ17" s="314" t="s">
        <v>73</v>
      </c>
      <c r="AR17" s="348">
        <f>C17</f>
        <v>0</v>
      </c>
      <c r="AS17" s="340"/>
      <c r="AU17" s="314" t="s">
        <v>73</v>
      </c>
      <c r="AV17" s="348">
        <f>C18</f>
        <v>0</v>
      </c>
      <c r="AW17" s="340"/>
      <c r="AY17" s="314" t="s">
        <v>73</v>
      </c>
      <c r="AZ17" s="348">
        <f>C19</f>
        <v>0</v>
      </c>
      <c r="BA17" s="340"/>
    </row>
    <row r="18" spans="1:53">
      <c r="A18" s="301"/>
      <c r="B18" s="301"/>
      <c r="C18" s="302"/>
      <c r="D18" s="315" t="str">
        <f>AV11</f>
        <v>-</v>
      </c>
      <c r="E18" s="316" t="str">
        <f>AV12</f>
        <v>-</v>
      </c>
      <c r="F18" s="313" t="str">
        <f>IF(C18="","-",AU23)</f>
        <v>-</v>
      </c>
      <c r="G18" s="1178" t="str">
        <f t="shared" si="0"/>
        <v/>
      </c>
      <c r="H18" s="1179"/>
      <c r="J18" s="10" t="str">
        <f>template_label_9_in_cell_b31_is_displayed_the_total_nonrenewable_energy_in_mega_watt_hours</f>
        <v>9. In cell B32 is displayed the Total Non-renewable Energy in Mega Watt hours</v>
      </c>
      <c r="K18" s="317"/>
      <c r="L18" s="317"/>
      <c r="M18" s="317"/>
      <c r="O18" s="343" t="str">
        <f>IFERROR(VLOOKUP(P10, 'Fuel Conversion Parameters'!$A:$C, 3, FALSE), "")</f>
        <v/>
      </c>
      <c r="P18" s="351" t="str">
        <f>IF(P16="g - gram",P17*0.000000001,
IF(P16="Kg - Kilogram",P17*0.000001,
IF(P16="t - tonne",P17*0.001,
IF(P16="Gg - Gigagram",P17*1,
IF(P16="m³ - cubic meters",P17*1000,
IF(P16="L - Liter",P17*1,
""))))))</f>
        <v/>
      </c>
      <c r="Q18" s="340"/>
      <c r="S18" s="343" t="str">
        <f>IFERROR(VLOOKUP(T10, 'Fuel Conversion Parameters'!$A:$C, 3, FALSE), "")</f>
        <v/>
      </c>
      <c r="T18" s="351" t="str">
        <f>IF(T16="g - gram",T17*0.000000001,
IF(T16="Kg - Kilogram",T17*0.000001,
IF(T16="t - tonne",T17*0.001,
IF(T16="Gg - Gigagram",T17*1,
IF(T16="m³ - cubic meters",T17*1000,
IF(T16="L - Liter",T17*1,
""))))))</f>
        <v/>
      </c>
      <c r="U18" s="340"/>
      <c r="W18" s="343" t="str">
        <f>IFERROR(VLOOKUP(X10, 'Fuel Conversion Parameters'!$A:$C, 3, FALSE), "")</f>
        <v/>
      </c>
      <c r="X18" s="351" t="str">
        <f>IF(X16="g - gram",X17*0.000000001,
IF(X16="Kg - Kilogram",X17*0.000001,
IF(X16="t - tonne",X17*0.001,
IF(X16="Gg - Gigagram",X17*1,
IF(X16="m³ - cubic meters",X17*1000,
IF(X16="L - Liter",X17*1,
""))))))</f>
        <v/>
      </c>
      <c r="Y18" s="340"/>
      <c r="AA18" s="343" t="str">
        <f>IFERROR(VLOOKUP(AB10, 'Fuel Conversion Parameters'!$A:$C, 3, FALSE), "")</f>
        <v/>
      </c>
      <c r="AB18" s="351" t="str">
        <f>IF(AB16="g - gram",AB17*0.000000001,
IF(AB16="Kg - Kilogram",AB17*0.000001,
IF(AB16="t - tonne",AB17*0.001,
IF(AB16="Gg - Gigagram",AB17*1,
IF(AB16="m³ - cubic meters",AB17*1000,
IF(AB16="L - Liter",AB17*1,
""))))))</f>
        <v/>
      </c>
      <c r="AC18" s="340"/>
      <c r="AE18" s="343" t="str">
        <f>IFERROR(VLOOKUP(AF10, 'Fuel Conversion Parameters'!$A:$C, 3, FALSE), "")</f>
        <v/>
      </c>
      <c r="AF18" s="351" t="str">
        <f>IF(AF16="g - gram",AF17*0.000000001,
IF(AF16="Kg - Kilogram",AF17*0.000001,
IF(AF16="t - tonne",AF17*0.001,
IF(AF16="Gg - Gigagram",AF17*1,
IF(AF16="m³ - cubic meters",AF17*1000,
IF(AF16="L - Liter",AF17*1,
""))))))</f>
        <v/>
      </c>
      <c r="AG18" s="340"/>
      <c r="AI18" s="343" t="str">
        <f>IFERROR(VLOOKUP(AJ10, 'Fuel Conversion Parameters'!$A:$C, 3, FALSE), "")</f>
        <v/>
      </c>
      <c r="AJ18" s="351" t="str">
        <f>IF(AJ16="g - gram",AJ17*0.000000001,
IF(AJ16="Kg - Kilogram",AJ17*0.000001,
IF(AJ16="t - tonne",AJ17*0.001,
IF(AJ16="Gg - Gigagram",AJ17*1,
IF(AJ16="m³ - cubic meters",AJ17*1000,
IF(AJ16="L - Liter",AJ17*1,
""))))))</f>
        <v/>
      </c>
      <c r="AK18" s="340"/>
      <c r="AL18" s="10"/>
      <c r="AM18" s="343" t="str">
        <f>IFERROR(VLOOKUP(AN10, 'Fuel Conversion Parameters'!$A:$C, 3, FALSE), "")</f>
        <v/>
      </c>
      <c r="AN18" s="351" t="str">
        <f>IF(AN16="g - gram",AN17*0.000000001,
IF(AN16="Kg - Kilogram",AN17*0.000001,
IF(AN16="t - tonne",AN17*0.001,
IF(AN16="Gg - Gigagram",AN17*1,
IF(AN16="m³ - cubic meters",AN17*1000,
IF(AN16="L - Liter",AN17*1,
""))))))</f>
        <v/>
      </c>
      <c r="AO18" s="340"/>
      <c r="AP18" s="10"/>
      <c r="AQ18" s="354" t="str">
        <f>IFERROR(VLOOKUP(AR10, 'Fuel Conversion Parameters'!$A:$C, 3, FALSE), "")</f>
        <v/>
      </c>
      <c r="AR18" s="351" t="str">
        <f>IF(AR16="g - gram",AR17*0.000000001,
IF(AR16="Kg - Kilogram",AR17*0.000001,
IF(AR16="t - tonne",AR17*0.001,
IF(AR16="Gg - Gigagram",AR17*1,
IF(AR16="m³ - cubic meters",AR17*1000,
IF(AR16="L - Liter",AR17*1,
""))))))</f>
        <v/>
      </c>
      <c r="AS18" s="340"/>
      <c r="AU18" s="343" t="str">
        <f>IFERROR(VLOOKUP(AV10, 'Fuel Conversion Parameters'!$A:$C, 3, FALSE), "")</f>
        <v/>
      </c>
      <c r="AV18" s="351" t="str">
        <f>IF(AV16="g - gram",AV17*0.000000001,
IF(AV16="Kg - Kilogram",AV17*0.000001,
IF(AV16="t - tonne",AV17*0.001,
IF(AV16="Gg - Gigagram",AV17*1,
IF(AV16="m³ - cubic meters",AV17*1000,
IF(AV16="L - Liter",AV17*1,
""))))))</f>
        <v/>
      </c>
      <c r="AW18" s="340"/>
      <c r="AY18" s="343" t="str">
        <f>IFERROR(VLOOKUP(AZ10, 'Fuel Conversion Parameters'!$A:$C, 3, FALSE), "")</f>
        <v/>
      </c>
      <c r="AZ18" s="351" t="str">
        <f>IF(AZ16="g - gram",AZ17*0.000000001,
IF(AZ16="Kg - Kilogram",AZ17*0.000001,
IF(AZ16="t - tonne",AZ17*0.001,
IF(AZ16="Gg - Gigagram",AZ17*1,
IF(AZ16="m³ - cubic meters",AZ17*1000,
IF(AZ16="L - Liter",AZ17*1,
""))))))</f>
        <v/>
      </c>
      <c r="BA18" s="340"/>
    </row>
    <row r="19" spans="1:53" ht="15" thickBot="1">
      <c r="A19" s="355"/>
      <c r="B19" s="355"/>
      <c r="C19" s="356"/>
      <c r="D19" s="318" t="str">
        <f>AZ11</f>
        <v>-</v>
      </c>
      <c r="E19" s="319" t="str">
        <f>AZ12</f>
        <v>-</v>
      </c>
      <c r="F19" s="357" t="str">
        <f>IF(C19="","-",AY23)</f>
        <v>-</v>
      </c>
      <c r="G19" s="1180" t="str">
        <f t="shared" si="0"/>
        <v/>
      </c>
      <c r="H19" s="1181"/>
      <c r="J19" s="329" t="str">
        <f>template_label_10_further_notes_can_be_found_below</f>
        <v>10. Further notes can be found below</v>
      </c>
      <c r="O19" s="343" t="str">
        <f>IFERROR(
    IF(AND(P11="Solid"),P18,
        IF(AND(P11="Liquid"),P18*_xlfn.XLOOKUP(P10,'Fuel Conversion Parameters'!$A$2:$A$51,'Fuel Conversion Parameters'!$D$2:$D$51)*10^(-6),
            IF(AND(P11="Gaseous"),P18*_xlfn.XLOOKUP(P10,'Fuel Conversion Parameters'!$A$2:$A$51,'Fuel Conversion Parameters'!$E$2:$E$51)*10^(-3)*10^(-6),"")
        )
    ),
    ""
)</f>
        <v/>
      </c>
      <c r="P19" s="18"/>
      <c r="Q19" s="340"/>
      <c r="S19" s="343" t="str">
        <f>IFERROR(
    IF(AND(T11="Solid"),T18,
        IF(AND(T11="Liquid"),T18*_xlfn.XLOOKUP(T10,'Fuel Conversion Parameters'!$A$2:$A$61,'Fuel Conversion Parameters'!$D$2:$D$61)*10^(-6),
            IF(AND(T11="Gaseous"),T18*_xlfn.XLOOKUP(T10,'Fuel Conversion Parameters'!$A$2:$A$61,'Fuel Conversion Parameters'!$E$2:$E$61)*10^(-3)*10^(-6),"")
        )
    ),
    ""
)</f>
        <v/>
      </c>
      <c r="T19" s="18"/>
      <c r="U19" s="340"/>
      <c r="W19" s="343" t="str">
        <f>IFERROR(
    IF(AND(X11="Solid"),X18,
        IF(AND(X11="Liquid"),X18*_xlfn.XLOOKUP(X10,'Fuel Conversion Parameters'!$A$2:$A$61,'Fuel Conversion Parameters'!$D$2:$D$61)*10^(-6),
            IF(AND(X11="Gaseous"),X18*_xlfn.XLOOKUP(X10,'Fuel Conversion Parameters'!$A$2:$A$61,'Fuel Conversion Parameters'!$E$2:$E$61)*10^(-3)*10^(-6),"")
        )
    ),
    ""
)</f>
        <v/>
      </c>
      <c r="X19" s="18"/>
      <c r="Y19" s="340"/>
      <c r="AA19" s="343" t="str">
        <f>IFERROR(
    IF(AND(AB11="Solid"),AB18,
        IF(AND(AB11="Liquid"),AB18*_xlfn.XLOOKUP(AB10,'Fuel Conversion Parameters'!$A$2:$A$61,'Fuel Conversion Parameters'!$D$2:$D$61)*10^(-6),
            IF(AND(AB11="Gaseous"),AB18*_xlfn.XLOOKUP(AB10,'Fuel Conversion Parameters'!$A$2:$A$61,'Fuel Conversion Parameters'!$E$2:$E$61)*10^(-3)*10^(-6),"")
        )
    ),
    ""
)</f>
        <v/>
      </c>
      <c r="AB19" s="18"/>
      <c r="AC19" s="340"/>
      <c r="AE19" s="343" t="str">
        <f>IFERROR(
    IF(AND(AF11="Solid"),AF18,
        IF(AND(AF11="Liquid"),AF18*_xlfn.XLOOKUP(AF10,'Fuel Conversion Parameters'!$A$2:$A$61,'Fuel Conversion Parameters'!$D$2:$D$61)*10^(-6),
            IF(AND(AF11="Gaseous"),AF18*_xlfn.XLOOKUP(AF10,'Fuel Conversion Parameters'!$A$2:$A$61,'Fuel Conversion Parameters'!$E$2:$E$61)*10^(-3)*10^(-6),"")
        )
    ),
    ""
)</f>
        <v/>
      </c>
      <c r="AF19" s="18"/>
      <c r="AG19" s="340"/>
      <c r="AI19" s="343" t="str">
        <f>IFERROR(
    IF(AND(AJ11="Solid"),AJ18,
        IF(AND(AJ11="Liquid"),AJ18*_xlfn.XLOOKUP(AJ10,'Fuel Conversion Parameters'!$A$2:$A$61,'Fuel Conversion Parameters'!$D$2:$D$61)*10^(-6),
            IF(AND(AJ11="Gaseous"),AJ18*_xlfn.XLOOKUP(AJ10,'Fuel Conversion Parameters'!$A$2:$A$61,'Fuel Conversion Parameters'!$E$2:$E$61)*10^(-3)*10^(-6),"")
        )
    ),
    ""
)</f>
        <v/>
      </c>
      <c r="AJ19" s="18"/>
      <c r="AK19" s="340"/>
      <c r="AL19" s="10"/>
      <c r="AM19" s="354" t="str">
        <f>IFERROR(
    IF(AND(AN11="Solid"),AN18,
        IF(AND(AN11="Liquid"),AN18*_xlfn.XLOOKUP(AN10,'Fuel Conversion Parameters'!$A$2:$A$61,'Fuel Conversion Parameters'!$D$2:$D$61)*10^(-6),
            IF(AND(AN11="Gaseous"),AN18*_xlfn.XLOOKUP(AN10,'Fuel Conversion Parameters'!$A$2:$A$61,'Fuel Conversion Parameters'!$E$2:$E$61)*10^(-3)*10^(-6),"")
        )
    ),
    ""
)</f>
        <v/>
      </c>
      <c r="AN19" s="18"/>
      <c r="AO19" s="340"/>
      <c r="AP19" s="10"/>
      <c r="AQ19" s="354" t="str">
        <f>IFERROR(
    IF(AND(AR11="Solid"),AR18,
        IF(AND(AR11="Liquid"),AR18*_xlfn.XLOOKUP(AR10,'Fuel Conversion Parameters'!$A$2:$A$61,'Fuel Conversion Parameters'!$D$2:$D$61)*10^(-6),
            IF(AND(AR11="Gaseous"),AR18*_xlfn.XLOOKUP(AR10,'Fuel Conversion Parameters'!$A$2:$A$61,'Fuel Conversion Parameters'!$E$2:$E$61)*10^(-3)*10^(-6),"")
        )
    ),
    ""
)</f>
        <v/>
      </c>
      <c r="AR19" s="18"/>
      <c r="AS19" s="340"/>
      <c r="AU19" s="343" t="str">
        <f>IFERROR(
    IF(AND(AV11="Solid"),AV18,
        IF(AND(AV11="Liquid"),AV18*_xlfn.XLOOKUP(AV10,'Fuel Conversion Parameters'!$A$2:$A$61,'Fuel Conversion Parameters'!$D$2:$D$61)*10^(-6),
            IF(AND(AV11="Gaseous"),AV18*_xlfn.XLOOKUP(AV10,'Fuel Conversion Parameters'!$A$2:$A$61,'Fuel Conversion Parameters'!$E$2:$E$61)*10^(-3)*10^(-6),"")
        )
    ),
    ""
)</f>
        <v/>
      </c>
      <c r="AV19" s="18"/>
      <c r="AW19" s="340"/>
      <c r="AY19" s="343" t="str">
        <f>IFERROR(
    IF(AND(AZ11="Solid"),AZ18,
        IF(AND(AZ11="Liquid"),AZ18*_xlfn.XLOOKUP(AZ10,'Fuel Conversion Parameters'!$A$2:$A$61,'Fuel Conversion Parameters'!$D$2:$D$61)*10^(-6),
            IF(AND(AZ11="Gaseous"),AZ18*_xlfn.XLOOKUP(AZ10,'Fuel Conversion Parameters'!$A$2:$A$61,'Fuel Conversion Parameters'!$E$2:$E$61)*10^(-3)*10^(-6),"")
        )
    ),
    ""
)</f>
        <v/>
      </c>
      <c r="AZ19" s="18"/>
      <c r="BA19" s="340"/>
    </row>
    <row r="20" spans="1:53">
      <c r="A20" s="10"/>
      <c r="B20" s="10"/>
      <c r="O20" s="352" t="str">
        <f>IFERROR(IF(OR(O19="", O18=""), "", O19*O18), "")</f>
        <v/>
      </c>
      <c r="Q20" s="340"/>
      <c r="S20" s="352" t="str">
        <f>IFERROR(IF(OR(S19="", S18=""), "", S19*S18), "")</f>
        <v/>
      </c>
      <c r="U20" s="340"/>
      <c r="W20" s="352" t="str">
        <f>IFERROR(IF(OR(W19="", W18=""), "", W19*W18), "")</f>
        <v/>
      </c>
      <c r="Y20" s="340"/>
      <c r="AA20" s="352" t="str">
        <f>IFERROR(IF(OR(AA19="", AA18=""), "", AA19*AA18), "")</f>
        <v/>
      </c>
      <c r="AC20" s="340"/>
      <c r="AE20" s="352" t="str">
        <f>IFERROR(IF(OR(AE19="", AE18=""), "", AE19*AE18), "")</f>
        <v/>
      </c>
      <c r="AG20" s="340"/>
      <c r="AI20" s="352" t="str">
        <f>IFERROR(IF(OR(AI19="", AI18=""), "", AI19*AI18), "")</f>
        <v/>
      </c>
      <c r="AK20" s="340"/>
      <c r="AL20" s="10"/>
      <c r="AM20" s="352" t="str">
        <f>IFERROR(IF(OR(AM19="", AM18=""), "", AM19*AM18), "")</f>
        <v/>
      </c>
      <c r="AN20" s="10"/>
      <c r="AO20" s="340"/>
      <c r="AP20" s="10"/>
      <c r="AQ20" s="352" t="str">
        <f>IFERROR(IF(OR(AQ19="", AQ18=""), "", AQ19*AQ18), "")</f>
        <v/>
      </c>
      <c r="AS20" s="340"/>
      <c r="AU20" s="352" t="str">
        <f>IFERROR(IF(OR(AU19="", AU18=""), "", AU19*AU18), "")</f>
        <v/>
      </c>
      <c r="AW20" s="340"/>
      <c r="AY20" s="352" t="str">
        <f>IFERROR(IF(OR(AY19="", AY18=""), "", AY19*AY18), "")</f>
        <v/>
      </c>
      <c r="BA20" s="340"/>
    </row>
    <row r="21" spans="1:53" ht="15" thickBot="1">
      <c r="A21" s="10"/>
      <c r="B21" s="10"/>
      <c r="I21" s="317"/>
      <c r="J21" s="317"/>
      <c r="K21" s="317"/>
      <c r="L21" s="317"/>
      <c r="M21" s="317"/>
      <c r="O21" s="343" t="str">
        <f>IFERROR(O20, "")</f>
        <v/>
      </c>
      <c r="Q21" s="340"/>
      <c r="S21" s="343" t="str">
        <f>IFERROR(S20, "")</f>
        <v/>
      </c>
      <c r="U21" s="340"/>
      <c r="W21" s="353" t="str">
        <f>IFERROR(W20, "")</f>
        <v/>
      </c>
      <c r="Y21" s="340"/>
      <c r="AA21" s="343" t="str">
        <f>IFERROR(AA20, "")</f>
        <v/>
      </c>
      <c r="AC21" s="340"/>
      <c r="AE21" s="343" t="str">
        <f>IFERROR(AE20, "")</f>
        <v/>
      </c>
      <c r="AG21" s="340"/>
      <c r="AI21" s="343" t="str">
        <f>IFERROR(AI20, "")</f>
        <v/>
      </c>
      <c r="AK21" s="340"/>
      <c r="AL21" s="10"/>
      <c r="AM21" s="354" t="str">
        <f>IFERROR(AM20, "")</f>
        <v/>
      </c>
      <c r="AN21" s="10"/>
      <c r="AO21" s="340"/>
      <c r="AP21" s="10"/>
      <c r="AQ21" s="354" t="str">
        <f>IFERROR(AQ20, "")</f>
        <v/>
      </c>
      <c r="AS21" s="340"/>
      <c r="AU21" s="343" t="str">
        <f>IFERROR(AU20, "")</f>
        <v/>
      </c>
      <c r="AW21" s="340"/>
      <c r="AY21" s="343" t="str">
        <f>IFERROR(AY20, "")</f>
        <v/>
      </c>
      <c r="BA21" s="340"/>
    </row>
    <row r="22" spans="1:53" ht="15" thickBot="1">
      <c r="A22" s="10"/>
      <c r="B22" s="10"/>
      <c r="O22" s="314" t="s">
        <v>74</v>
      </c>
      <c r="P22" s="10" t="str">
        <f>IFERROR(IF(AND(P17&lt;&gt;0,O23=0),"ERROR",""),"")</f>
        <v/>
      </c>
      <c r="Q22" s="340"/>
      <c r="S22" s="314" t="s">
        <v>74</v>
      </c>
      <c r="T22" s="10" t="str">
        <f>IFERROR(IF(AND(T17&lt;&gt;0,S23=0),"ERROR",""),"")</f>
        <v/>
      </c>
      <c r="U22" s="340"/>
      <c r="W22" s="314" t="s">
        <v>74</v>
      </c>
      <c r="X22" s="10" t="str">
        <f>IFERROR(IF(AND(X17&lt;&gt;0,W23=0),"ERROR",""),"")</f>
        <v/>
      </c>
      <c r="Y22" s="340"/>
      <c r="AA22" s="314" t="s">
        <v>74</v>
      </c>
      <c r="AB22" s="10" t="str">
        <f>IFERROR(IF(AND(AB17&lt;&gt;0,AA23=0),"ERROR",""),"")</f>
        <v/>
      </c>
      <c r="AC22" s="340"/>
      <c r="AE22" s="314" t="s">
        <v>74</v>
      </c>
      <c r="AF22" s="10" t="str">
        <f>IFERROR(IF(AND(AF17&lt;&gt;0,AE23=0),"ERROR",""),"")</f>
        <v/>
      </c>
      <c r="AG22" s="340"/>
      <c r="AI22" s="314" t="s">
        <v>74</v>
      </c>
      <c r="AJ22" s="10" t="str">
        <f>IFERROR(IF(AND(AJ17&lt;&gt;0,AI23=0),"ERROR",""),"")</f>
        <v/>
      </c>
      <c r="AK22" s="340"/>
      <c r="AL22" s="10"/>
      <c r="AM22" s="314" t="s">
        <v>74</v>
      </c>
      <c r="AN22" s="10" t="str">
        <f>IFERROR(IF(AND(AN17&lt;&gt;0,AM23=0),"ERROR",""),"")</f>
        <v/>
      </c>
      <c r="AO22" s="340"/>
      <c r="AP22" s="10"/>
      <c r="AQ22" s="314" t="s">
        <v>74</v>
      </c>
      <c r="AR22" s="10" t="str">
        <f>IFERROR(IF(AND(AR17&lt;&gt;0,AQ23=0),"ERROR",""),"")</f>
        <v/>
      </c>
      <c r="AS22" s="340"/>
      <c r="AU22" s="314" t="s">
        <v>74</v>
      </c>
      <c r="AV22" s="10" t="str">
        <f>IFERROR(IF(AND(AV17&lt;&gt;0,AU23=0),"ERROR",""),"")</f>
        <v/>
      </c>
      <c r="AW22" s="340"/>
      <c r="AY22" s="314" t="s">
        <v>74</v>
      </c>
      <c r="AZ22" s="10" t="str">
        <f>IFERROR(IF(AND(AZ17&lt;&gt;0,AY23=0),"ERROR",""),"")</f>
        <v/>
      </c>
      <c r="BA22" s="340"/>
    </row>
    <row r="23" spans="1:53">
      <c r="A23" s="1189" t="str">
        <f>template_label_transfer_the_total_results_to_the_b3_fuel_energy_consumption_reporting_cell</f>
        <v>Transfer the total calculated results to the B3 "Fuel Energy Consumption" reporting cell</v>
      </c>
      <c r="B23" s="1190"/>
      <c r="C23" s="1191"/>
      <c r="D23" s="1195" t="b">
        <v>0</v>
      </c>
      <c r="E23" s="1196"/>
      <c r="F23" s="1197"/>
      <c r="O23" s="350"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09"/>
      <c r="Q23" s="349"/>
      <c r="S23" s="350"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09"/>
      <c r="U23" s="349"/>
      <c r="W23" s="350"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09"/>
      <c r="Y23" s="349"/>
      <c r="AA23" s="350"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09"/>
      <c r="AC23" s="349"/>
      <c r="AE23" s="350"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09"/>
      <c r="AG23" s="349"/>
      <c r="AI23" s="350"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09"/>
      <c r="AK23" s="349"/>
      <c r="AL23" s="10"/>
      <c r="AM23" s="350"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09"/>
      <c r="AO23" s="349"/>
      <c r="AP23" s="10"/>
      <c r="AQ23" s="350"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09"/>
      <c r="AS23" s="349"/>
      <c r="AU23" s="350"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09"/>
      <c r="AW23" s="349"/>
      <c r="AY23" s="350"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09"/>
      <c r="BA23" s="349"/>
    </row>
    <row r="24" spans="1:53" ht="15" thickBot="1">
      <c r="A24" s="1192"/>
      <c r="B24" s="1193"/>
      <c r="C24" s="1194"/>
      <c r="D24" s="1198"/>
      <c r="E24" s="1199"/>
      <c r="F24" s="1200"/>
      <c r="AL24" s="10"/>
      <c r="AN24" s="10"/>
      <c r="AO24" s="10"/>
      <c r="AP24" s="10"/>
    </row>
    <row r="25" spans="1:53">
      <c r="B25" s="10"/>
      <c r="AL25" s="10"/>
      <c r="AN25" s="10"/>
      <c r="AO25" s="10"/>
      <c r="AP25" s="10"/>
    </row>
    <row r="26" spans="1:5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c r="B27" s="10"/>
      <c r="AL27" s="10"/>
      <c r="AN27" s="10"/>
      <c r="AO27" s="10"/>
      <c r="AP27" s="10"/>
    </row>
    <row r="28" spans="1:53" ht="15" thickBot="1">
      <c r="A28" s="1185" t="str">
        <f>template_label_total_energy</f>
        <v>Total Energy [MWh]</v>
      </c>
      <c r="B28" s="1186"/>
      <c r="AL28" s="10"/>
      <c r="AN28" s="10"/>
      <c r="AO28" s="10"/>
      <c r="AP28" s="10"/>
    </row>
    <row r="29" spans="1:53" ht="15" thickBot="1">
      <c r="A29" s="1187" t="str" cm="1">
        <f t="array" ref="A29">_xlfn.IFS(AND(A32="-",B32="-"),"-",AND(A32="-",B32&lt;&gt;"-"),B32,AND(A32&lt;&gt;"-",B32="-"),A32,AND(A32&lt;&gt;"-",B32&lt;&gt;"-"),A32+B32)</f>
        <v>-</v>
      </c>
      <c r="B29" s="1188"/>
      <c r="AL29" s="10"/>
      <c r="AN29" s="10"/>
      <c r="AO29" s="10"/>
      <c r="AP29" s="10"/>
    </row>
    <row r="30" spans="1:53" ht="15" thickBot="1">
      <c r="A30" s="10"/>
      <c r="B30" s="10"/>
      <c r="AL30" s="10"/>
      <c r="AN30" s="10"/>
      <c r="AO30" s="10"/>
    </row>
    <row r="31" spans="1:53" ht="15" thickBot="1">
      <c r="A31" s="314" t="str">
        <f>template_label_total_renewable_energy</f>
        <v>Total Renewable Energy [MWh]</v>
      </c>
      <c r="B31" s="310" t="str">
        <f>template_label_total_nonrenewable_energy</f>
        <v>Total Non-renewable Energy [MWh]</v>
      </c>
      <c r="AN31" s="10"/>
      <c r="AO31" s="10"/>
      <c r="AP31" s="10"/>
    </row>
    <row r="32" spans="1:53" ht="15" thickBot="1">
      <c r="A32" s="320" t="str" cm="1">
        <f t="array" ref="A32">_xlfn.IFS(AND(H9=template_label_complete, COUNTIF(E10:E19, "Renewable") = 0), "-",
AND(H9=template_label_complete, COUNTIF(E10:E19, "Renewable") &gt; 0), SUMIF(E10:E19,"Renewable",F10:F19),
H9=template_label_incomplete, "-",
H9="-", "-")</f>
        <v>-</v>
      </c>
      <c r="B32" s="320" t="str" cm="1">
        <f t="array" ref="B32">_xlfn.IFS(AND(H9=template_label_complete, COUNTIF(E10:E19, "Non-renewable") = 0), "-",
AND(H9=template_label_complete, COUNTIF(E10:E19, "Non-renewable") &gt; 0), SUMIF(E10:E19,"Non-renewable",F10:F19),
H9=template_label_incomplete, "-",
H9="-", "-")</f>
        <v>-</v>
      </c>
      <c r="R32" s="304"/>
      <c r="AL32" s="10"/>
      <c r="AN32" s="10"/>
      <c r="AO32" s="10"/>
      <c r="AP32" s="10"/>
    </row>
    <row r="33" spans="1:42">
      <c r="A33" s="321"/>
      <c r="B33" s="10"/>
      <c r="AL33" s="10"/>
      <c r="AN33" s="10"/>
      <c r="AO33" s="10"/>
      <c r="AP33" s="10"/>
    </row>
    <row r="34" spans="1:42">
      <c r="A34" s="10"/>
      <c r="B34" s="10"/>
      <c r="AL34" s="10"/>
      <c r="AN34" s="10"/>
      <c r="AO34" s="10"/>
      <c r="AP34" s="10"/>
    </row>
    <row r="35" spans="1:42">
      <c r="A35" s="10"/>
      <c r="B35" s="10"/>
      <c r="AL35" s="10"/>
      <c r="AN35" s="10"/>
      <c r="AO35" s="10"/>
      <c r="AP35" s="10"/>
    </row>
    <row r="36" spans="1:42">
      <c r="A36" s="304" t="str">
        <f>template_label_further_notes</f>
        <v>Further notes:</v>
      </c>
      <c r="B36" s="10"/>
      <c r="AL36" s="10"/>
      <c r="AN36" s="10"/>
      <c r="AO36" s="10"/>
      <c r="AP36" s="10"/>
    </row>
    <row r="37" spans="1:42" ht="257.39999999999998" customHeight="1">
      <c r="A37" s="1044"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44"/>
      <c r="AL37" s="10"/>
      <c r="AN37" s="10"/>
      <c r="AO37" s="10"/>
      <c r="AP37" s="10"/>
    </row>
    <row r="38" spans="1:42">
      <c r="A38" s="10"/>
      <c r="B38" s="10"/>
      <c r="AL38" s="10"/>
      <c r="AN38" s="10"/>
      <c r="AO38" s="10"/>
      <c r="AP38" s="10"/>
    </row>
    <row r="39" spans="1:42">
      <c r="A39" s="1183" t="str">
        <f>template_label_energy_consumption_per_hour_in_mwh_for_solid_fuels</f>
        <v>Energy Consumption per Hour in MWh for Solid Fuels:</v>
      </c>
      <c r="B39" s="1183"/>
      <c r="AL39" s="10"/>
      <c r="AN39" s="10"/>
      <c r="AO39" s="10"/>
      <c r="AP39" s="10"/>
    </row>
    <row r="40" spans="1:42" ht="18">
      <c r="A40" s="1184" t="str">
        <f>template_label_energy_solid_fuels</f>
        <v>Energy [MWh] = Mass [t] * NCV [MWh/t]</v>
      </c>
      <c r="B40" s="1184"/>
      <c r="AL40" s="10"/>
      <c r="AN40" s="10"/>
      <c r="AO40" s="10"/>
      <c r="AP40" s="10"/>
    </row>
    <row r="41" spans="1:42">
      <c r="A41" s="1183"/>
      <c r="B41" s="1183"/>
      <c r="AL41" s="10"/>
      <c r="AN41" s="10"/>
      <c r="AO41" s="10"/>
      <c r="AP41" s="10"/>
    </row>
    <row r="42" spans="1:42">
      <c r="A42" s="1183" t="str">
        <f>template_label_energy_consumption_per_hour_in_mwh_for_liquid_fuels</f>
        <v>Energy Consumption per Hour in MWh for Liquid Fuels:</v>
      </c>
      <c r="B42" s="1183"/>
      <c r="AL42" s="10"/>
      <c r="AN42" s="10"/>
      <c r="AO42" s="10"/>
      <c r="AP42" s="10"/>
    </row>
    <row r="43" spans="1:42" ht="18">
      <c r="A43" s="1184" t="str">
        <f>template_label_mass_liquid_fuels</f>
        <v>Mass [t] = Volume [L] * Density [t/L]</v>
      </c>
      <c r="B43" s="1184"/>
      <c r="AL43" s="10"/>
      <c r="AN43" s="10"/>
      <c r="AO43" s="10"/>
      <c r="AP43" s="10"/>
    </row>
    <row r="44" spans="1:42" ht="18">
      <c r="A44" s="1184" t="str">
        <f>template_label_energy_liquid_fuels</f>
        <v>Energy [MWh] = Mass [t] * [MWh/t]</v>
      </c>
      <c r="B44" s="1184"/>
      <c r="AL44" s="10"/>
      <c r="AN44" s="10"/>
      <c r="AO44" s="10"/>
      <c r="AP44" s="10"/>
    </row>
    <row r="45" spans="1:42">
      <c r="A45" s="1183"/>
      <c r="B45" s="1183"/>
      <c r="AL45" s="10"/>
      <c r="AN45" s="10"/>
      <c r="AO45" s="10"/>
      <c r="AP45" s="10"/>
    </row>
    <row r="46" spans="1:42">
      <c r="A46" s="1183" t="str">
        <f>template_label_energy_consumption_per_hour_in_mwh_for_gaseous_fuels</f>
        <v>Energy Consumption per Hour in MWh for Gaseous Fuels:</v>
      </c>
      <c r="B46" s="1183"/>
      <c r="AL46" s="10"/>
      <c r="AN46" s="10"/>
      <c r="AO46" s="10"/>
      <c r="AP46" s="10"/>
    </row>
    <row r="47" spans="1:42" ht="18">
      <c r="A47" s="1184" t="str">
        <f>template_label_mass_gaseous_fuels</f>
        <v>Mass [t] = Volume [m³] * Density [t/m³]</v>
      </c>
      <c r="B47" s="1184"/>
      <c r="C47" s="324"/>
      <c r="AL47" s="10"/>
      <c r="AN47" s="10"/>
      <c r="AO47" s="10"/>
      <c r="AP47" s="10"/>
    </row>
    <row r="48" spans="1:42" ht="18">
      <c r="A48" s="1184" t="str">
        <f>template_label_energy_gaseous_fuels</f>
        <v>Energy [MWh] = Mass [t] * NCV [MWh/t]</v>
      </c>
      <c r="B48" s="1184"/>
      <c r="AL48" s="10"/>
      <c r="AN48" s="10"/>
      <c r="AO48" s="10"/>
      <c r="AP48" s="10"/>
    </row>
    <row r="49" s="10" customFormat="1"/>
    <row r="50" s="10" customFormat="1"/>
    <row r="51" s="10" customFormat="1"/>
    <row r="52" s="10" customFormat="1"/>
    <row r="53" s="10" customFormat="1"/>
    <row r="54" s="10" customFormat="1"/>
    <row r="55" s="10" customFormat="1"/>
    <row r="56" s="10" customFormat="1"/>
    <row r="57" s="10" customFormat="1"/>
    <row r="58" s="10" customFormat="1"/>
    <row r="59" s="10" customFormat="1"/>
    <row r="60" s="10" customFormat="1"/>
    <row r="61" s="10" customFormat="1"/>
    <row r="62" s="10" customFormat="1"/>
    <row r="63" s="10" customFormat="1"/>
    <row r="64" s="10" customFormat="1"/>
    <row r="65" s="10" customFormat="1"/>
    <row r="66" s="10" customFormat="1"/>
    <row r="67" s="10" customFormat="1"/>
    <row r="68" s="10" customFormat="1"/>
    <row r="69" s="10" customFormat="1"/>
    <row r="70" s="10" customFormat="1"/>
    <row r="71" s="10" customFormat="1"/>
    <row r="72" s="10" customFormat="1"/>
    <row r="73" s="10" customFormat="1"/>
    <row r="74" s="10" customFormat="1"/>
    <row r="75" s="10" customFormat="1"/>
    <row r="76" s="10" customFormat="1"/>
    <row r="77" s="10" customFormat="1"/>
    <row r="78" s="10" customFormat="1"/>
    <row r="79" s="10" customFormat="1"/>
    <row r="80" s="10" customFormat="1"/>
    <row r="81" s="10" customFormat="1"/>
    <row r="82" s="10" customFormat="1"/>
    <row r="83" s="10" customFormat="1"/>
    <row r="84" s="10" customFormat="1"/>
    <row r="85" s="10" customFormat="1"/>
    <row r="86" s="10" customFormat="1"/>
    <row r="87" s="10" customFormat="1"/>
    <row r="88" s="10" customFormat="1"/>
    <row r="89" s="10" customFormat="1"/>
    <row r="90" s="10" customFormat="1"/>
    <row r="91" s="10" customFormat="1"/>
    <row r="92" s="10" customFormat="1"/>
    <row r="93" s="10" customFormat="1"/>
    <row r="94" s="10" customFormat="1"/>
    <row r="95" s="10" customFormat="1"/>
    <row r="96" s="10" customFormat="1"/>
    <row r="97" s="10" customFormat="1"/>
    <row r="98" s="10" customFormat="1"/>
    <row r="99" s="10" customFormat="1"/>
    <row r="100" s="10" customFormat="1"/>
    <row r="101" s="10" customFormat="1"/>
    <row r="102" s="10" customFormat="1"/>
    <row r="103" s="10" customFormat="1"/>
    <row r="104" s="10" customFormat="1"/>
    <row r="105" s="10" customFormat="1"/>
    <row r="106" s="10" customFormat="1"/>
    <row r="107" s="10" customFormat="1"/>
    <row r="108" s="10" customFormat="1"/>
    <row r="109" s="10" customFormat="1"/>
    <row r="110" s="10" customFormat="1"/>
    <row r="111" s="10" customFormat="1"/>
    <row r="112" s="10" customFormat="1"/>
    <row r="113" s="10" customFormat="1"/>
    <row r="114" s="10" customFormat="1"/>
    <row r="115" s="10" customFormat="1"/>
    <row r="116" s="10" customFormat="1"/>
    <row r="117" s="10" customFormat="1"/>
    <row r="118" s="10" customFormat="1"/>
    <row r="119" s="10" customFormat="1"/>
    <row r="120" s="10" customFormat="1"/>
    <row r="121" s="10" customFormat="1"/>
    <row r="122" s="10" customFormat="1"/>
    <row r="123" s="10" customFormat="1"/>
    <row r="124" s="10" customFormat="1"/>
    <row r="125" s="10" customFormat="1"/>
    <row r="126" s="10" customFormat="1"/>
    <row r="127" s="10" customFormat="1"/>
    <row r="128" s="10" customFormat="1"/>
    <row r="129" s="10" customFormat="1"/>
    <row r="130" s="10" customFormat="1"/>
    <row r="131" s="10" customFormat="1"/>
    <row r="132" s="10" customFormat="1"/>
    <row r="133" s="10" customFormat="1"/>
    <row r="134" s="10" customFormat="1"/>
    <row r="135" s="10" customFormat="1"/>
    <row r="136" s="10" customFormat="1"/>
    <row r="137" s="10" customFormat="1"/>
    <row r="138" s="10" customFormat="1"/>
    <row r="139" s="10" customFormat="1"/>
    <row r="140" s="10" customFormat="1"/>
  </sheetData>
  <sheetProtection algorithmName="SHA-512" hashValue="nDFAIo9s7BSWDUM2NsBXvr/jn0fbieReYh5Q2uFgkKnjb0+36x2DkjN4Oc0u9beYG98cOZy6/waKGkTXGMzZuw==" saltValue="UP/uqJXb8TSw3oAQOw29kA==" spinCount="100000" sheet="1" objects="1" scenarios="1"/>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88671875" defaultRowHeight="14.4"/>
  <cols>
    <col min="1" max="1" width="82.44140625" customWidth="1"/>
    <col min="2" max="2" width="14.109375" bestFit="1" customWidth="1"/>
    <col min="3" max="3" width="18.5546875" bestFit="1" customWidth="1"/>
    <col min="4" max="4" width="20.5546875" bestFit="1" customWidth="1"/>
    <col min="5" max="5" width="21.109375" bestFit="1" customWidth="1"/>
    <col min="6" max="6" width="25.44140625" bestFit="1" customWidth="1"/>
    <col min="7" max="8" width="15.44140625" hidden="1" customWidth="1"/>
    <col min="9" max="9" width="20.44140625" hidden="1" customWidth="1"/>
    <col min="10" max="11" width="8.88671875" hidden="1" customWidth="1"/>
    <col min="12" max="12" width="23.88671875" hidden="1" customWidth="1"/>
    <col min="13" max="13" width="20.5546875" hidden="1" customWidth="1"/>
    <col min="14" max="14" width="17.5546875" hidden="1" customWidth="1"/>
    <col min="15" max="15" width="14.5546875" hidden="1" customWidth="1"/>
    <col min="16" max="16" width="27.109375" hidden="1" customWidth="1"/>
    <col min="17" max="17" width="23.88671875" hidden="1" customWidth="1"/>
    <col min="18" max="18" width="20.5546875" hidden="1" customWidth="1"/>
    <col min="19" max="19" width="17.5546875" hidden="1" customWidth="1"/>
    <col min="20" max="21" width="8.88671875" hidden="1" customWidth="1"/>
    <col min="22" max="22" width="38.5546875" hidden="1" customWidth="1"/>
    <col min="23" max="24" width="42.5546875" hidden="1" customWidth="1"/>
    <col min="25" max="25" width="48.554687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5546875" hidden="1" customWidth="1"/>
    <col min="34" max="34" width="24.44140625" hidden="1" customWidth="1"/>
    <col min="35" max="35" width="27.109375" hidden="1" customWidth="1"/>
    <col min="36" max="36" width="30.44140625" hidden="1" customWidth="1"/>
    <col min="37" max="37" width="33.441406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5546875" hidden="1" customWidth="1"/>
    <col min="47" max="47" width="18.109375" hidden="1" customWidth="1"/>
    <col min="48" max="48" width="21.44140625" hidden="1" customWidth="1"/>
    <col min="49" max="49" width="13.44140625" hidden="1" customWidth="1"/>
    <col min="50" max="50" width="22.5546875" hidden="1" customWidth="1"/>
    <col min="51" max="51" width="7.109375" customWidth="1"/>
    <col min="52" max="52" width="9.109375" customWidth="1"/>
  </cols>
  <sheetData>
    <row r="1" spans="1:51" ht="29.4" thickBot="1">
      <c r="A1" s="143" t="s">
        <v>75</v>
      </c>
      <c r="B1" s="144" t="s">
        <v>70</v>
      </c>
      <c r="C1" s="145" t="s">
        <v>76</v>
      </c>
      <c r="D1" s="146" t="s">
        <v>77</v>
      </c>
      <c r="E1" s="147" t="s">
        <v>78</v>
      </c>
      <c r="F1" s="177" t="s">
        <v>71</v>
      </c>
      <c r="G1" s="20" t="s">
        <v>79</v>
      </c>
      <c r="H1" s="77" t="s">
        <v>80</v>
      </c>
      <c r="I1" s="20" t="s">
        <v>81</v>
      </c>
      <c r="J1" s="20" t="s">
        <v>82</v>
      </c>
      <c r="K1" s="21" t="s">
        <v>83</v>
      </c>
      <c r="L1" s="21" t="s">
        <v>84</v>
      </c>
      <c r="M1" s="21" t="s">
        <v>85</v>
      </c>
      <c r="N1" s="21" t="s">
        <v>86</v>
      </c>
      <c r="O1" s="21" t="s">
        <v>87</v>
      </c>
      <c r="P1" s="21" t="s">
        <v>88</v>
      </c>
      <c r="Q1" s="21" t="s">
        <v>89</v>
      </c>
      <c r="R1" s="21" t="s">
        <v>90</v>
      </c>
      <c r="S1" s="21" t="s">
        <v>91</v>
      </c>
      <c r="T1" s="14"/>
      <c r="U1" s="21" t="s">
        <v>83</v>
      </c>
      <c r="V1" s="21" t="s">
        <v>92</v>
      </c>
      <c r="W1" s="21" t="s">
        <v>93</v>
      </c>
      <c r="X1" s="21" t="s">
        <v>94</v>
      </c>
      <c r="Y1" s="21" t="s">
        <v>95</v>
      </c>
      <c r="Z1" s="21" t="s">
        <v>96</v>
      </c>
      <c r="AA1" s="21" t="s">
        <v>97</v>
      </c>
      <c r="AB1" s="21" t="s">
        <v>98</v>
      </c>
      <c r="AC1" s="21" t="s">
        <v>99</v>
      </c>
      <c r="AD1" s="21" t="s">
        <v>100</v>
      </c>
      <c r="AE1" s="21" t="s">
        <v>101</v>
      </c>
      <c r="AF1" s="21" t="s">
        <v>102</v>
      </c>
      <c r="AG1" s="21" t="s">
        <v>103</v>
      </c>
      <c r="AH1" s="21" t="s">
        <v>104</v>
      </c>
      <c r="AI1" s="21" t="s">
        <v>105</v>
      </c>
      <c r="AJ1" s="21" t="s">
        <v>106</v>
      </c>
      <c r="AK1" s="21" t="s">
        <v>107</v>
      </c>
      <c r="AL1" s="8"/>
      <c r="AM1" s="157" t="s">
        <v>83</v>
      </c>
      <c r="AN1" s="158" t="s">
        <v>108</v>
      </c>
      <c r="AO1" s="158" t="s">
        <v>109</v>
      </c>
      <c r="AP1" s="158" t="s">
        <v>110</v>
      </c>
      <c r="AQ1" s="158" t="s">
        <v>111</v>
      </c>
      <c r="AR1" s="158" t="s">
        <v>112</v>
      </c>
      <c r="AS1" s="158" t="s">
        <v>113</v>
      </c>
      <c r="AT1" s="158" t="s">
        <v>114</v>
      </c>
      <c r="AU1" s="158" t="s">
        <v>115</v>
      </c>
      <c r="AW1" s="145" t="s">
        <v>70</v>
      </c>
      <c r="AX1" s="177" t="s">
        <v>71</v>
      </c>
      <c r="AY1" s="246" t="s">
        <v>116</v>
      </c>
    </row>
    <row r="2" spans="1:51" ht="15" thickBot="1">
      <c r="A2" s="293" t="s">
        <v>117</v>
      </c>
      <c r="B2" s="148" t="s">
        <v>118</v>
      </c>
      <c r="C2" s="149">
        <v>26.7</v>
      </c>
      <c r="D2" s="238"/>
      <c r="E2" s="239"/>
      <c r="F2" s="182" t="s">
        <v>119</v>
      </c>
      <c r="G2" s="180" t="s">
        <v>120</v>
      </c>
      <c r="H2" s="47" t="s">
        <v>121</v>
      </c>
      <c r="I2" s="3" t="s">
        <v>122</v>
      </c>
      <c r="J2" s="1" t="s">
        <v>120</v>
      </c>
      <c r="K2" s="22" t="s">
        <v>84</v>
      </c>
      <c r="L2" s="23">
        <v>1</v>
      </c>
      <c r="M2" s="24">
        <v>1E-3</v>
      </c>
      <c r="N2" s="24">
        <v>9.9999999999999995E-7</v>
      </c>
      <c r="O2" s="24">
        <v>1.0000000000000001E-9</v>
      </c>
      <c r="P2" s="24">
        <v>1000</v>
      </c>
      <c r="Q2" s="24">
        <v>1</v>
      </c>
      <c r="R2" s="24">
        <v>1E-3</v>
      </c>
      <c r="S2" s="25">
        <v>9.9999999999999995E-7</v>
      </c>
      <c r="U2" s="22" t="s">
        <v>92</v>
      </c>
      <c r="V2" s="36">
        <v>1</v>
      </c>
      <c r="W2" s="37">
        <v>1000</v>
      </c>
      <c r="X2" s="37">
        <v>1000000</v>
      </c>
      <c r="Y2" s="37">
        <v>1000000000</v>
      </c>
      <c r="Z2" s="37">
        <v>1E-3</v>
      </c>
      <c r="AA2" s="37">
        <v>1</v>
      </c>
      <c r="AB2" s="37">
        <v>1000</v>
      </c>
      <c r="AC2" s="37">
        <v>1000000</v>
      </c>
      <c r="AD2" s="37">
        <v>9.9999999999999998E-13</v>
      </c>
      <c r="AE2" s="37">
        <v>1.0000000000000001E-9</v>
      </c>
      <c r="AF2" s="37">
        <v>9.9999999999999995E-7</v>
      </c>
      <c r="AG2" s="37">
        <v>1E-3</v>
      </c>
      <c r="AH2" s="40">
        <v>2.7799999999999998E-13</v>
      </c>
      <c r="AI2" s="40">
        <v>2.7800000000000002E-10</v>
      </c>
      <c r="AJ2" s="40">
        <v>2.7799999999999997E-7</v>
      </c>
      <c r="AK2" s="41">
        <v>2.7799999999999998E-4</v>
      </c>
      <c r="AM2" s="159" t="s">
        <v>108</v>
      </c>
      <c r="AN2" s="160">
        <v>1</v>
      </c>
      <c r="AO2" s="160">
        <v>0.1</v>
      </c>
      <c r="AP2" s="161">
        <v>0.01</v>
      </c>
      <c r="AQ2" s="161">
        <v>1E-3</v>
      </c>
      <c r="AR2" s="161">
        <v>9.9999999999999995E-7</v>
      </c>
      <c r="AS2" s="161">
        <v>9.9999999999999995E-7</v>
      </c>
      <c r="AT2" s="161">
        <v>1.0000000000000001E-9</v>
      </c>
      <c r="AU2" s="162">
        <v>9.9999999999999998E-13</v>
      </c>
      <c r="AW2" s="3" t="s">
        <v>118</v>
      </c>
      <c r="AX2" s="3" t="s">
        <v>123</v>
      </c>
      <c r="AY2" s="247"/>
    </row>
    <row r="3" spans="1:51" ht="15" thickBot="1">
      <c r="A3" s="294" t="s">
        <v>124</v>
      </c>
      <c r="B3" s="148" t="s">
        <v>125</v>
      </c>
      <c r="C3" s="150">
        <v>44.3</v>
      </c>
      <c r="D3" s="124">
        <v>0.71</v>
      </c>
      <c r="E3" s="240"/>
      <c r="F3" s="183" t="s">
        <v>119</v>
      </c>
      <c r="G3" s="181" t="s">
        <v>126</v>
      </c>
      <c r="H3" s="7" t="s">
        <v>127</v>
      </c>
      <c r="I3" s="1" t="s">
        <v>128</v>
      </c>
      <c r="J3" s="1" t="s">
        <v>126</v>
      </c>
      <c r="K3" s="26" t="s">
        <v>85</v>
      </c>
      <c r="L3" s="27">
        <v>1000</v>
      </c>
      <c r="M3" s="28">
        <v>1</v>
      </c>
      <c r="N3" s="28">
        <v>1E-3</v>
      </c>
      <c r="O3" s="28">
        <v>9.9999999999999995E-7</v>
      </c>
      <c r="P3" s="28">
        <v>1000000</v>
      </c>
      <c r="Q3" s="28">
        <v>1000</v>
      </c>
      <c r="R3" s="28">
        <v>1</v>
      </c>
      <c r="S3" s="29">
        <v>1E-3</v>
      </c>
      <c r="U3" s="26" t="s">
        <v>93</v>
      </c>
      <c r="V3" s="35">
        <v>1E-3</v>
      </c>
      <c r="W3" s="34">
        <v>1</v>
      </c>
      <c r="X3" s="34">
        <v>1000</v>
      </c>
      <c r="Y3" s="34">
        <v>1000000</v>
      </c>
      <c r="Z3" s="34">
        <v>9.9999999999999995E-7</v>
      </c>
      <c r="AA3" s="34">
        <v>1E-3</v>
      </c>
      <c r="AB3" s="34">
        <v>1</v>
      </c>
      <c r="AC3" s="34">
        <v>1000</v>
      </c>
      <c r="AD3" s="34">
        <v>1.0000000000000001E-15</v>
      </c>
      <c r="AE3" s="34">
        <v>9.9999999999999998E-13</v>
      </c>
      <c r="AF3" s="34">
        <v>1.0000000000000001E-9</v>
      </c>
      <c r="AG3" s="34">
        <v>9.9999999999999995E-7</v>
      </c>
      <c r="AH3" s="38">
        <v>2.7799999999999998E-16</v>
      </c>
      <c r="AI3" s="38">
        <v>2.7800000000000002E-10</v>
      </c>
      <c r="AJ3" s="38">
        <v>2.7799999999999997E-7</v>
      </c>
      <c r="AK3" s="42">
        <v>2.7799999999999998E-4</v>
      </c>
      <c r="AM3" s="159" t="s">
        <v>109</v>
      </c>
      <c r="AN3" s="163">
        <v>10</v>
      </c>
      <c r="AO3" s="163">
        <v>1</v>
      </c>
      <c r="AP3" s="164">
        <v>0.1</v>
      </c>
      <c r="AQ3" s="164">
        <v>0.01</v>
      </c>
      <c r="AR3" s="164">
        <v>1.0000000000000001E-5</v>
      </c>
      <c r="AS3" s="164">
        <v>1.0000000000000001E-5</v>
      </c>
      <c r="AT3" s="164">
        <v>1E-8</v>
      </c>
      <c r="AU3" s="165">
        <v>9.9999999999999994E-12</v>
      </c>
      <c r="AW3" s="1" t="s">
        <v>125</v>
      </c>
      <c r="AX3" s="1" t="s">
        <v>119</v>
      </c>
      <c r="AY3" s="247"/>
    </row>
    <row r="4" spans="1:51" ht="15" thickBot="1">
      <c r="A4" s="294" t="s">
        <v>129</v>
      </c>
      <c r="B4" s="148" t="s">
        <v>125</v>
      </c>
      <c r="C4" s="150">
        <v>27</v>
      </c>
      <c r="D4" s="124">
        <v>0.85</v>
      </c>
      <c r="E4" s="240"/>
      <c r="F4" s="183" t="s">
        <v>123</v>
      </c>
      <c r="G4" s="181" t="s">
        <v>130</v>
      </c>
      <c r="J4" s="1" t="s">
        <v>130</v>
      </c>
      <c r="K4" s="26" t="s">
        <v>86</v>
      </c>
      <c r="L4" s="27">
        <v>1000000</v>
      </c>
      <c r="M4" s="28">
        <v>1000</v>
      </c>
      <c r="N4" s="28">
        <v>1</v>
      </c>
      <c r="O4" s="28">
        <v>1E-3</v>
      </c>
      <c r="P4" s="28">
        <v>1000000000</v>
      </c>
      <c r="Q4" s="28">
        <v>1000000</v>
      </c>
      <c r="R4" s="28">
        <v>1000</v>
      </c>
      <c r="S4" s="29">
        <v>1</v>
      </c>
      <c r="U4" s="26" t="s">
        <v>94</v>
      </c>
      <c r="V4" s="35">
        <v>9.9999999999999995E-7</v>
      </c>
      <c r="W4" s="34">
        <v>1E-3</v>
      </c>
      <c r="X4" s="34">
        <v>1</v>
      </c>
      <c r="Y4" s="34">
        <v>1000</v>
      </c>
      <c r="Z4" s="34">
        <v>1.0000000000000001E-9</v>
      </c>
      <c r="AA4" s="34">
        <v>9.9999999999999995E-7</v>
      </c>
      <c r="AB4" s="34">
        <v>1</v>
      </c>
      <c r="AC4" s="34">
        <v>1000</v>
      </c>
      <c r="AD4" s="34">
        <v>1.0000000000000001E-18</v>
      </c>
      <c r="AE4" s="34">
        <v>1.0000000000000001E-15</v>
      </c>
      <c r="AF4" s="34">
        <v>9.9999999999999998E-13</v>
      </c>
      <c r="AG4" s="34">
        <v>1.0000000000000001E-9</v>
      </c>
      <c r="AH4" s="38">
        <v>2.7799999999999998E-19</v>
      </c>
      <c r="AI4" s="38">
        <v>2.7799999999999998E-13</v>
      </c>
      <c r="AJ4" s="38">
        <v>2.7800000000000002E-10</v>
      </c>
      <c r="AK4" s="42">
        <v>2.7799999999999997E-7</v>
      </c>
      <c r="AM4" s="159" t="s">
        <v>110</v>
      </c>
      <c r="AN4" s="163">
        <v>100</v>
      </c>
      <c r="AO4" s="163">
        <v>10</v>
      </c>
      <c r="AP4" s="164">
        <v>1</v>
      </c>
      <c r="AQ4" s="164">
        <v>0.1</v>
      </c>
      <c r="AR4" s="164">
        <v>1E-4</v>
      </c>
      <c r="AS4" s="164">
        <v>1E-4</v>
      </c>
      <c r="AT4" s="164">
        <v>9.9999999999999995E-8</v>
      </c>
      <c r="AU4" s="165">
        <v>1E-10</v>
      </c>
      <c r="AW4" s="1" t="s">
        <v>131</v>
      </c>
      <c r="AX4" s="1"/>
      <c r="AY4" s="247"/>
    </row>
    <row r="5" spans="1:51" ht="15" thickBot="1">
      <c r="A5" s="294" t="s">
        <v>132</v>
      </c>
      <c r="B5" s="148" t="s">
        <v>125</v>
      </c>
      <c r="C5" s="150">
        <v>27</v>
      </c>
      <c r="D5" s="176">
        <v>0.75</v>
      </c>
      <c r="E5" s="241"/>
      <c r="F5" s="183" t="s">
        <v>123</v>
      </c>
      <c r="G5" s="181" t="s">
        <v>133</v>
      </c>
      <c r="J5" s="1" t="s">
        <v>133</v>
      </c>
      <c r="K5" s="26" t="s">
        <v>87</v>
      </c>
      <c r="L5" s="27">
        <v>1000000000</v>
      </c>
      <c r="M5" s="28">
        <v>1000000</v>
      </c>
      <c r="N5" s="28">
        <v>1000</v>
      </c>
      <c r="O5" s="28">
        <v>1</v>
      </c>
      <c r="P5" s="28">
        <v>1000000000000</v>
      </c>
      <c r="Q5" s="28">
        <v>1000000000</v>
      </c>
      <c r="R5" s="28">
        <v>1000000</v>
      </c>
      <c r="S5" s="29">
        <v>1000</v>
      </c>
      <c r="U5" s="26" t="s">
        <v>95</v>
      </c>
      <c r="V5" s="35">
        <v>1.0000000000000001E-9</v>
      </c>
      <c r="W5" s="34">
        <v>9.9999999999999995E-7</v>
      </c>
      <c r="X5" s="34">
        <v>1E-3</v>
      </c>
      <c r="Y5" s="34">
        <v>1</v>
      </c>
      <c r="Z5" s="34">
        <v>9.9999999999999998E-13</v>
      </c>
      <c r="AA5" s="34">
        <v>9.9999999999999995E-7</v>
      </c>
      <c r="AB5" s="34">
        <v>1E-3</v>
      </c>
      <c r="AC5" s="34">
        <v>1</v>
      </c>
      <c r="AD5" s="34">
        <v>9.9999999999999991E-22</v>
      </c>
      <c r="AE5" s="34">
        <v>1.0000000000000001E-18</v>
      </c>
      <c r="AF5" s="34">
        <v>1.0000000000000001E-15</v>
      </c>
      <c r="AG5" s="34">
        <v>9.9999999999999998E-13</v>
      </c>
      <c r="AH5" s="38">
        <v>2.7800000000000001E-22</v>
      </c>
      <c r="AI5" s="38">
        <v>2.7799999999999998E-16</v>
      </c>
      <c r="AJ5" s="38">
        <v>2.7799999999999998E-13</v>
      </c>
      <c r="AK5" s="42">
        <v>2.7800000000000002E-10</v>
      </c>
      <c r="AM5" s="159" t="s">
        <v>111</v>
      </c>
      <c r="AN5" s="163">
        <v>1000</v>
      </c>
      <c r="AO5" s="163">
        <v>100</v>
      </c>
      <c r="AP5" s="164">
        <v>10</v>
      </c>
      <c r="AQ5" s="164">
        <v>1</v>
      </c>
      <c r="AR5" s="164">
        <v>1E-3</v>
      </c>
      <c r="AS5" s="164">
        <v>1E-3</v>
      </c>
      <c r="AT5" s="164">
        <v>9.9999999999999995E-7</v>
      </c>
      <c r="AU5" s="165">
        <v>1.0000000000000001E-9</v>
      </c>
      <c r="AW5" s="1"/>
      <c r="AX5" s="44"/>
      <c r="AY5" s="248" t="s">
        <v>134</v>
      </c>
    </row>
    <row r="6" spans="1:51" ht="15" thickBot="1">
      <c r="A6" s="294" t="s">
        <v>135</v>
      </c>
      <c r="B6" s="148" t="s">
        <v>125</v>
      </c>
      <c r="C6" s="150">
        <v>40.200000000000003</v>
      </c>
      <c r="D6" s="176">
        <v>1.0349999999999999</v>
      </c>
      <c r="E6" s="240"/>
      <c r="F6" s="183" t="s">
        <v>119</v>
      </c>
      <c r="J6" s="1" t="s">
        <v>121</v>
      </c>
      <c r="K6" s="26" t="s">
        <v>88</v>
      </c>
      <c r="L6" s="27">
        <v>1E-3</v>
      </c>
      <c r="M6" s="28">
        <v>9.9999999999999995E-7</v>
      </c>
      <c r="N6" s="28">
        <v>1.0000000000000001E-9</v>
      </c>
      <c r="O6" s="28">
        <v>9.9999999999999998E-13</v>
      </c>
      <c r="P6" s="28">
        <v>1</v>
      </c>
      <c r="Q6" s="28">
        <v>1E-3</v>
      </c>
      <c r="R6" s="28">
        <v>9.9999999999999995E-7</v>
      </c>
      <c r="S6" s="29">
        <v>1.0000000000000001E-9</v>
      </c>
      <c r="U6" s="26" t="s">
        <v>96</v>
      </c>
      <c r="V6" s="35">
        <v>1000</v>
      </c>
      <c r="W6" s="34">
        <v>1000000</v>
      </c>
      <c r="X6" s="34">
        <v>1000000000</v>
      </c>
      <c r="Y6" s="34">
        <v>1000000000000</v>
      </c>
      <c r="Z6" s="34">
        <v>1</v>
      </c>
      <c r="AA6" s="34">
        <v>1000</v>
      </c>
      <c r="AB6" s="34">
        <v>1000000</v>
      </c>
      <c r="AC6" s="34">
        <v>1000000000</v>
      </c>
      <c r="AD6" s="34">
        <v>1.0000000000000001E-9</v>
      </c>
      <c r="AE6" s="34">
        <v>9.9999999999999995E-7</v>
      </c>
      <c r="AF6" s="34">
        <v>1E-3</v>
      </c>
      <c r="AG6" s="34">
        <v>1</v>
      </c>
      <c r="AH6" s="38">
        <v>2.7800000000000002E-10</v>
      </c>
      <c r="AI6" s="38">
        <v>2.7799999999999997E-7</v>
      </c>
      <c r="AJ6" s="38">
        <v>2.7799999999999998E-4</v>
      </c>
      <c r="AK6" s="42">
        <v>0.27800000000000002</v>
      </c>
      <c r="AM6" s="159" t="s">
        <v>112</v>
      </c>
      <c r="AN6" s="163">
        <v>1000000</v>
      </c>
      <c r="AO6" s="163">
        <v>100000</v>
      </c>
      <c r="AP6" s="164">
        <v>10000</v>
      </c>
      <c r="AQ6" s="164">
        <v>1000</v>
      </c>
      <c r="AR6" s="164">
        <v>1</v>
      </c>
      <c r="AS6" s="164">
        <v>1</v>
      </c>
      <c r="AT6" s="164">
        <v>1E-3</v>
      </c>
      <c r="AU6" s="165">
        <v>9.9999999999999995E-7</v>
      </c>
      <c r="AY6" s="248" t="s">
        <v>136</v>
      </c>
    </row>
    <row r="7" spans="1:51" ht="15" thickBot="1">
      <c r="A7" s="294" t="s">
        <v>137</v>
      </c>
      <c r="B7" s="148" t="s">
        <v>131</v>
      </c>
      <c r="C7" s="150">
        <v>2.4700000000000002</v>
      </c>
      <c r="D7" s="242"/>
      <c r="E7" s="178">
        <v>1.25</v>
      </c>
      <c r="F7" s="183" t="s">
        <v>119</v>
      </c>
      <c r="J7" s="1" t="s">
        <v>127</v>
      </c>
      <c r="K7" s="26" t="s">
        <v>89</v>
      </c>
      <c r="L7" s="27">
        <v>1</v>
      </c>
      <c r="M7" s="28">
        <v>1E-3</v>
      </c>
      <c r="N7" s="28">
        <v>9.9999999999999995E-7</v>
      </c>
      <c r="O7" s="28">
        <v>1.0000000000000001E-9</v>
      </c>
      <c r="P7" s="28">
        <v>1000</v>
      </c>
      <c r="Q7" s="28">
        <v>1</v>
      </c>
      <c r="R7" s="28">
        <v>1E-3</v>
      </c>
      <c r="S7" s="29">
        <v>9.9999999999999995E-7</v>
      </c>
      <c r="U7" s="26" t="s">
        <v>97</v>
      </c>
      <c r="V7" s="35">
        <v>1</v>
      </c>
      <c r="W7" s="34">
        <v>1000</v>
      </c>
      <c r="X7" s="34">
        <v>1000000</v>
      </c>
      <c r="Y7" s="34">
        <v>1000000000</v>
      </c>
      <c r="Z7" s="34">
        <v>1E-3</v>
      </c>
      <c r="AA7" s="34">
        <v>1</v>
      </c>
      <c r="AB7" s="34">
        <v>1000</v>
      </c>
      <c r="AC7" s="34">
        <v>1000000</v>
      </c>
      <c r="AD7" s="34">
        <v>9.9999999999999998E-13</v>
      </c>
      <c r="AE7" s="34">
        <v>1.0000000000000001E-9</v>
      </c>
      <c r="AF7" s="34">
        <v>9.9999999999999995E-7</v>
      </c>
      <c r="AG7" s="34">
        <v>1E-3</v>
      </c>
      <c r="AH7" s="38">
        <v>2.7799999999999998E-13</v>
      </c>
      <c r="AI7" s="38">
        <v>2.7800000000000002E-10</v>
      </c>
      <c r="AJ7" s="38">
        <v>2.7799999999999997E-7</v>
      </c>
      <c r="AK7" s="42">
        <v>2.7799999999999998E-4</v>
      </c>
      <c r="AM7" s="159" t="s">
        <v>113</v>
      </c>
      <c r="AN7" s="163">
        <v>1000000</v>
      </c>
      <c r="AO7" s="163">
        <v>100000</v>
      </c>
      <c r="AP7" s="164">
        <v>10000</v>
      </c>
      <c r="AQ7" s="164">
        <v>1000</v>
      </c>
      <c r="AR7" s="164">
        <v>1</v>
      </c>
      <c r="AS7" s="164">
        <v>1</v>
      </c>
      <c r="AT7" s="164">
        <v>1E-3</v>
      </c>
      <c r="AU7" s="165">
        <v>9.9999999999999995E-7</v>
      </c>
      <c r="AY7" s="248" t="s">
        <v>138</v>
      </c>
    </row>
    <row r="8" spans="1:51" ht="15" thickBot="1">
      <c r="A8" s="294" t="s">
        <v>139</v>
      </c>
      <c r="B8" s="148" t="s">
        <v>118</v>
      </c>
      <c r="C8" s="150">
        <v>20.7</v>
      </c>
      <c r="D8" s="242"/>
      <c r="E8" s="240"/>
      <c r="F8" s="183" t="s">
        <v>119</v>
      </c>
      <c r="K8" s="26" t="s">
        <v>90</v>
      </c>
      <c r="L8" s="27">
        <v>1000</v>
      </c>
      <c r="M8" s="28">
        <v>1</v>
      </c>
      <c r="N8" s="28">
        <v>1E-3</v>
      </c>
      <c r="O8" s="28">
        <v>1E-3</v>
      </c>
      <c r="P8" s="28">
        <v>1000000</v>
      </c>
      <c r="Q8" s="28">
        <v>1000</v>
      </c>
      <c r="R8" s="28">
        <v>1</v>
      </c>
      <c r="S8" s="29">
        <v>1E-3</v>
      </c>
      <c r="U8" s="26" t="s">
        <v>98</v>
      </c>
      <c r="V8" s="35">
        <v>1E-3</v>
      </c>
      <c r="W8" s="34">
        <v>1</v>
      </c>
      <c r="X8" s="34">
        <v>1000</v>
      </c>
      <c r="Y8" s="34">
        <v>1000000</v>
      </c>
      <c r="Z8" s="34">
        <v>9.9999999999999995E-7</v>
      </c>
      <c r="AA8" s="34">
        <v>1E-3</v>
      </c>
      <c r="AB8" s="34">
        <v>1</v>
      </c>
      <c r="AC8" s="34">
        <v>1000</v>
      </c>
      <c r="AD8" s="34">
        <v>1.0000000000000001E-15</v>
      </c>
      <c r="AE8" s="34">
        <v>9.9999999999999998E-13</v>
      </c>
      <c r="AF8" s="34">
        <v>1.0000000000000001E-9</v>
      </c>
      <c r="AG8" s="34">
        <v>9.9999999999999995E-7</v>
      </c>
      <c r="AH8" s="38">
        <v>2.7799999999999998E-16</v>
      </c>
      <c r="AI8" s="38">
        <v>2.7800000000000002E-10</v>
      </c>
      <c r="AJ8" s="38">
        <v>2.7799999999999997E-7</v>
      </c>
      <c r="AK8" s="42">
        <v>2.7799999999999998E-4</v>
      </c>
      <c r="AM8" s="159" t="s">
        <v>114</v>
      </c>
      <c r="AN8" s="163">
        <v>1000000000</v>
      </c>
      <c r="AO8" s="163">
        <v>100000000</v>
      </c>
      <c r="AP8" s="164">
        <v>10000000</v>
      </c>
      <c r="AQ8" s="164">
        <v>1000000</v>
      </c>
      <c r="AR8" s="164">
        <v>1000</v>
      </c>
      <c r="AS8" s="164">
        <v>1000</v>
      </c>
      <c r="AT8" s="164">
        <v>1</v>
      </c>
      <c r="AU8" s="165">
        <v>1E-3</v>
      </c>
      <c r="AY8" s="249"/>
    </row>
    <row r="9" spans="1:51" ht="15" thickBot="1">
      <c r="A9" s="294" t="s">
        <v>140</v>
      </c>
      <c r="B9" s="148" t="s">
        <v>131</v>
      </c>
      <c r="C9" s="176">
        <v>45.57</v>
      </c>
      <c r="D9" s="242"/>
      <c r="E9" s="152">
        <v>2.5</v>
      </c>
      <c r="F9" s="183" t="s">
        <v>119</v>
      </c>
      <c r="K9" s="26" t="s">
        <v>91</v>
      </c>
      <c r="L9" s="30">
        <v>1000000</v>
      </c>
      <c r="M9" s="31">
        <v>1000</v>
      </c>
      <c r="N9" s="31">
        <v>1</v>
      </c>
      <c r="O9" s="31">
        <v>1E-3</v>
      </c>
      <c r="P9" s="31">
        <v>1000000000</v>
      </c>
      <c r="Q9" s="31">
        <v>1000000</v>
      </c>
      <c r="R9" s="31">
        <v>1000</v>
      </c>
      <c r="S9" s="32">
        <v>1</v>
      </c>
      <c r="U9" s="26" t="s">
        <v>99</v>
      </c>
      <c r="V9" s="35">
        <v>9.9999999999999995E-7</v>
      </c>
      <c r="W9" s="34">
        <v>1E-3</v>
      </c>
      <c r="X9" s="34">
        <v>1</v>
      </c>
      <c r="Y9" s="34">
        <v>1000</v>
      </c>
      <c r="Z9" s="34">
        <v>1.0000000000000001E-9</v>
      </c>
      <c r="AA9" s="34">
        <v>9.9999999999999995E-7</v>
      </c>
      <c r="AB9" s="34">
        <v>1</v>
      </c>
      <c r="AC9" s="34">
        <v>1000</v>
      </c>
      <c r="AD9" s="34">
        <v>1.0000000000000001E-18</v>
      </c>
      <c r="AE9" s="34">
        <v>1.0000000000000001E-15</v>
      </c>
      <c r="AF9" s="34">
        <v>9.9999999999999998E-13</v>
      </c>
      <c r="AG9" s="34">
        <v>1.0000000000000001E-9</v>
      </c>
      <c r="AH9" s="38">
        <v>2.7799999999999998E-19</v>
      </c>
      <c r="AI9" s="38">
        <v>2.7799999999999998E-13</v>
      </c>
      <c r="AJ9" s="38">
        <v>2.7800000000000002E-10</v>
      </c>
      <c r="AK9" s="42">
        <v>2.7799999999999997E-7</v>
      </c>
      <c r="AM9" s="159" t="s">
        <v>115</v>
      </c>
      <c r="AN9" s="166">
        <v>1000000000000</v>
      </c>
      <c r="AO9" s="166">
        <v>100000000000</v>
      </c>
      <c r="AP9" s="167">
        <v>10000000000</v>
      </c>
      <c r="AQ9" s="167">
        <v>1000000000</v>
      </c>
      <c r="AR9" s="167">
        <v>1000000</v>
      </c>
      <c r="AS9" s="167">
        <v>1000000</v>
      </c>
      <c r="AT9" s="167">
        <v>1000</v>
      </c>
      <c r="AU9" s="168">
        <v>1</v>
      </c>
      <c r="AY9" s="248" t="s">
        <v>141</v>
      </c>
    </row>
    <row r="10" spans="1:51" ht="15" thickBot="1">
      <c r="A10" s="294" t="s">
        <v>142</v>
      </c>
      <c r="B10" s="148" t="s">
        <v>118</v>
      </c>
      <c r="C10" s="150">
        <v>28.2</v>
      </c>
      <c r="D10" s="242"/>
      <c r="E10" s="240"/>
      <c r="F10" s="183" t="s">
        <v>119</v>
      </c>
      <c r="U10" s="26" t="s">
        <v>102</v>
      </c>
      <c r="V10" s="35">
        <v>1000000</v>
      </c>
      <c r="W10" s="34">
        <v>1000000000</v>
      </c>
      <c r="X10" s="34">
        <v>1000000000000</v>
      </c>
      <c r="Y10" s="34">
        <v>1000000000000000</v>
      </c>
      <c r="Z10" s="34">
        <v>1000</v>
      </c>
      <c r="AA10" s="34">
        <v>1000000</v>
      </c>
      <c r="AB10" s="34">
        <v>1000000000</v>
      </c>
      <c r="AC10" s="34">
        <v>1000000000000</v>
      </c>
      <c r="AD10" s="34">
        <v>9.9999999999999995E-7</v>
      </c>
      <c r="AE10" s="34">
        <v>1E-3</v>
      </c>
      <c r="AF10" s="34">
        <v>1</v>
      </c>
      <c r="AG10" s="34">
        <v>1000</v>
      </c>
      <c r="AH10" s="38">
        <v>2.7780000000000001E-7</v>
      </c>
      <c r="AI10" s="38">
        <v>2.777778E-4</v>
      </c>
      <c r="AJ10" s="38">
        <v>0.27777777780000001</v>
      </c>
      <c r="AK10" s="42">
        <v>277.77777780000002</v>
      </c>
      <c r="AY10" s="249"/>
    </row>
    <row r="11" spans="1:51" ht="15" thickBot="1">
      <c r="A11" s="294" t="s">
        <v>143</v>
      </c>
      <c r="B11" s="148" t="s">
        <v>131</v>
      </c>
      <c r="C11" s="150">
        <v>38.700000000000003</v>
      </c>
      <c r="D11" s="242"/>
      <c r="E11" s="178">
        <v>0.47499999999999998</v>
      </c>
      <c r="F11" s="183" t="s">
        <v>119</v>
      </c>
      <c r="U11" s="26" t="s">
        <v>103</v>
      </c>
      <c r="V11" s="35">
        <v>1000</v>
      </c>
      <c r="W11" s="34">
        <v>1000000</v>
      </c>
      <c r="X11" s="34">
        <v>1000000000</v>
      </c>
      <c r="Y11" s="34">
        <v>1000000000000</v>
      </c>
      <c r="Z11" s="34">
        <v>1</v>
      </c>
      <c r="AA11" s="34">
        <v>1000</v>
      </c>
      <c r="AB11" s="34">
        <v>1000000</v>
      </c>
      <c r="AC11" s="34">
        <v>1000000000</v>
      </c>
      <c r="AD11" s="34">
        <v>1.0000000000000001E-9</v>
      </c>
      <c r="AE11" s="34">
        <v>9.9999999999999995E-7</v>
      </c>
      <c r="AF11" s="34">
        <v>1E-3</v>
      </c>
      <c r="AG11" s="34">
        <v>1</v>
      </c>
      <c r="AH11" s="38">
        <v>2.7800000000000002E-10</v>
      </c>
      <c r="AI11" s="38">
        <v>2.7780000000000001E-7</v>
      </c>
      <c r="AJ11" s="38">
        <v>2.777778E-4</v>
      </c>
      <c r="AK11" s="42">
        <v>0.27777777780000001</v>
      </c>
      <c r="AY11" s="248" t="s">
        <v>144</v>
      </c>
    </row>
    <row r="12" spans="1:51" ht="15" thickBot="1">
      <c r="A12" s="294" t="s">
        <v>145</v>
      </c>
      <c r="B12" s="148" t="s">
        <v>118</v>
      </c>
      <c r="C12" s="150">
        <v>28.2</v>
      </c>
      <c r="D12" s="242"/>
      <c r="E12" s="240"/>
      <c r="F12" s="183" t="s">
        <v>119</v>
      </c>
      <c r="U12" s="20" t="s">
        <v>104</v>
      </c>
      <c r="V12" s="39">
        <v>3600000000000</v>
      </c>
      <c r="W12" s="38">
        <v>3600000000000000</v>
      </c>
      <c r="X12" s="38">
        <v>3.6E+18</v>
      </c>
      <c r="Y12" s="38">
        <v>3.6E+21</v>
      </c>
      <c r="Z12" s="38">
        <v>3600000000</v>
      </c>
      <c r="AA12" s="38">
        <v>3600000000000</v>
      </c>
      <c r="AB12" s="38">
        <v>3600000000000000</v>
      </c>
      <c r="AC12" s="38">
        <v>3.6E+18</v>
      </c>
      <c r="AD12" s="38">
        <v>3.6</v>
      </c>
      <c r="AE12" s="38">
        <v>3600</v>
      </c>
      <c r="AF12" s="38">
        <v>3600000</v>
      </c>
      <c r="AG12" s="38">
        <v>3600000000</v>
      </c>
      <c r="AH12" s="38">
        <v>1</v>
      </c>
      <c r="AI12" s="38">
        <v>1000</v>
      </c>
      <c r="AJ12" s="38">
        <v>1000000</v>
      </c>
      <c r="AK12" s="42">
        <v>1000000000</v>
      </c>
      <c r="AY12" s="247"/>
    </row>
    <row r="13" spans="1:51" ht="15" thickBot="1">
      <c r="A13" s="294" t="s">
        <v>146</v>
      </c>
      <c r="B13" s="148" t="s">
        <v>125</v>
      </c>
      <c r="C13" s="150">
        <v>42.3</v>
      </c>
      <c r="D13" s="124">
        <v>0.8</v>
      </c>
      <c r="E13" s="240"/>
      <c r="F13" s="183" t="s">
        <v>119</v>
      </c>
      <c r="U13" s="20" t="s">
        <v>105</v>
      </c>
      <c r="V13" s="39">
        <v>3600000000</v>
      </c>
      <c r="W13" s="38">
        <v>3600000000000</v>
      </c>
      <c r="X13" s="38">
        <v>3600000000000000</v>
      </c>
      <c r="Y13" s="38">
        <v>3.6E+18</v>
      </c>
      <c r="Z13" s="38">
        <v>3600000</v>
      </c>
      <c r="AA13" s="38">
        <v>3600000000</v>
      </c>
      <c r="AB13" s="38">
        <v>3600000000000</v>
      </c>
      <c r="AC13" s="38">
        <v>3600000000000000</v>
      </c>
      <c r="AD13" s="38">
        <v>3.5999999999999999E-3</v>
      </c>
      <c r="AE13" s="38">
        <v>3.6</v>
      </c>
      <c r="AF13" s="38">
        <v>3600</v>
      </c>
      <c r="AG13" s="38">
        <v>3600000</v>
      </c>
      <c r="AH13" s="38">
        <v>1E-3</v>
      </c>
      <c r="AI13" s="38">
        <v>1</v>
      </c>
      <c r="AJ13" s="38">
        <v>1000</v>
      </c>
      <c r="AK13" s="42">
        <v>1000000</v>
      </c>
      <c r="AY13" s="247"/>
    </row>
    <row r="14" spans="1:51">
      <c r="A14" s="294" t="s">
        <v>147</v>
      </c>
      <c r="B14" s="148" t="s">
        <v>131</v>
      </c>
      <c r="C14" s="150">
        <v>46.4</v>
      </c>
      <c r="D14" s="151"/>
      <c r="E14" s="152">
        <v>1.3</v>
      </c>
      <c r="F14" s="183" t="s">
        <v>119</v>
      </c>
      <c r="AY14" s="247"/>
    </row>
    <row r="15" spans="1:51">
      <c r="A15" s="294" t="s">
        <v>148</v>
      </c>
      <c r="B15" s="148" t="s">
        <v>131</v>
      </c>
      <c r="C15" s="150">
        <v>28.2</v>
      </c>
      <c r="D15" s="151"/>
      <c r="E15" s="178">
        <v>0.54</v>
      </c>
      <c r="F15" s="183" t="s">
        <v>119</v>
      </c>
      <c r="AY15" s="248" t="s">
        <v>149</v>
      </c>
    </row>
    <row r="16" spans="1:51">
      <c r="A16" s="294" t="s">
        <v>150</v>
      </c>
      <c r="B16" s="148" t="s">
        <v>125</v>
      </c>
      <c r="C16" s="150">
        <v>43</v>
      </c>
      <c r="D16" s="153">
        <v>0.84</v>
      </c>
      <c r="E16" s="243"/>
      <c r="F16" s="183" t="s">
        <v>119</v>
      </c>
      <c r="AY16" s="249"/>
    </row>
    <row r="17" spans="1:51">
      <c r="A17" s="294" t="s">
        <v>151</v>
      </c>
      <c r="B17" s="148" t="s">
        <v>125</v>
      </c>
      <c r="C17" s="150">
        <v>44.3</v>
      </c>
      <c r="D17" s="176">
        <v>0.81</v>
      </c>
      <c r="E17" s="240"/>
      <c r="F17" s="183" t="s">
        <v>119</v>
      </c>
      <c r="AY17" s="248" t="s">
        <v>152</v>
      </c>
    </row>
    <row r="18" spans="1:51">
      <c r="A18" s="294" t="s">
        <v>153</v>
      </c>
      <c r="B18" s="148" t="s">
        <v>125</v>
      </c>
      <c r="C18" s="150">
        <v>44.1</v>
      </c>
      <c r="D18" s="124">
        <v>0.79</v>
      </c>
      <c r="E18" s="240"/>
      <c r="F18" s="183" t="s">
        <v>119</v>
      </c>
      <c r="AY18" s="247"/>
    </row>
    <row r="19" spans="1:51">
      <c r="A19" s="294" t="s">
        <v>154</v>
      </c>
      <c r="B19" s="148" t="s">
        <v>125</v>
      </c>
      <c r="C19" s="150">
        <v>43.8</v>
      </c>
      <c r="D19" s="124">
        <v>0.8</v>
      </c>
      <c r="E19" s="240"/>
      <c r="F19" s="183" t="s">
        <v>119</v>
      </c>
      <c r="AY19" s="247"/>
    </row>
    <row r="20" spans="1:51">
      <c r="A20" s="294" t="s">
        <v>155</v>
      </c>
      <c r="B20" s="148" t="s">
        <v>131</v>
      </c>
      <c r="C20" s="150">
        <v>50.4</v>
      </c>
      <c r="D20" s="242"/>
      <c r="E20" s="152">
        <v>0.9</v>
      </c>
      <c r="F20" s="183" t="s">
        <v>123</v>
      </c>
      <c r="AY20" s="247"/>
    </row>
    <row r="21" spans="1:51">
      <c r="A21" s="294" t="s">
        <v>156</v>
      </c>
      <c r="B21" s="148" t="s">
        <v>118</v>
      </c>
      <c r="C21" s="150">
        <v>11.9</v>
      </c>
      <c r="D21" s="242"/>
      <c r="E21" s="240"/>
      <c r="F21" s="183" t="s">
        <v>119</v>
      </c>
      <c r="AY21" s="247"/>
    </row>
    <row r="22" spans="1:51">
      <c r="A22" s="294" t="s">
        <v>157</v>
      </c>
      <c r="B22" s="148" t="s">
        <v>125</v>
      </c>
      <c r="C22" s="150">
        <v>47.3</v>
      </c>
      <c r="D22" s="124">
        <v>0.54</v>
      </c>
      <c r="E22" s="240"/>
      <c r="F22" s="183" t="s">
        <v>119</v>
      </c>
      <c r="AY22" s="247"/>
    </row>
    <row r="23" spans="1:51">
      <c r="A23" s="294" t="s">
        <v>158</v>
      </c>
      <c r="B23" s="148" t="s">
        <v>125</v>
      </c>
      <c r="C23" s="150">
        <v>40.200000000000003</v>
      </c>
      <c r="D23" s="124">
        <v>1</v>
      </c>
      <c r="E23" s="240"/>
      <c r="F23" s="183" t="s">
        <v>119</v>
      </c>
      <c r="AY23" s="247"/>
    </row>
    <row r="24" spans="1:51">
      <c r="A24" s="294" t="s">
        <v>159</v>
      </c>
      <c r="B24" s="148" t="s">
        <v>131</v>
      </c>
      <c r="C24" s="176">
        <v>50</v>
      </c>
      <c r="D24" s="242"/>
      <c r="E24" s="152">
        <v>0.67</v>
      </c>
      <c r="F24" s="183" t="s">
        <v>119</v>
      </c>
      <c r="AY24" s="248" t="s">
        <v>160</v>
      </c>
    </row>
    <row r="25" spans="1:51">
      <c r="A25" s="294" t="s">
        <v>161</v>
      </c>
      <c r="B25" s="148" t="s">
        <v>125</v>
      </c>
      <c r="C25" s="150">
        <v>44.3</v>
      </c>
      <c r="D25" s="124">
        <v>0.74</v>
      </c>
      <c r="E25" s="240"/>
      <c r="F25" s="183" t="s">
        <v>119</v>
      </c>
      <c r="AY25" s="247"/>
    </row>
    <row r="26" spans="1:51">
      <c r="A26" s="294" t="s">
        <v>162</v>
      </c>
      <c r="B26" s="148" t="s">
        <v>118</v>
      </c>
      <c r="C26" s="150">
        <v>11.6</v>
      </c>
      <c r="D26" s="242"/>
      <c r="E26" s="240"/>
      <c r="F26" s="183" t="s">
        <v>123</v>
      </c>
      <c r="AY26" s="247"/>
    </row>
    <row r="27" spans="1:51">
      <c r="A27" s="295" t="s">
        <v>163</v>
      </c>
      <c r="B27" s="148" t="s">
        <v>118</v>
      </c>
      <c r="C27" s="150">
        <v>10</v>
      </c>
      <c r="D27" s="242"/>
      <c r="E27" s="240"/>
      <c r="F27" s="183" t="s">
        <v>119</v>
      </c>
      <c r="AY27" s="247"/>
    </row>
    <row r="28" spans="1:51">
      <c r="A28" s="294" t="s">
        <v>164</v>
      </c>
      <c r="B28" s="148" t="s">
        <v>125</v>
      </c>
      <c r="C28" s="150">
        <v>44.5</v>
      </c>
      <c r="D28" s="124">
        <v>0.77</v>
      </c>
      <c r="E28" s="240"/>
      <c r="F28" s="183" t="s">
        <v>119</v>
      </c>
      <c r="AY28" s="247"/>
    </row>
    <row r="29" spans="1:51">
      <c r="A29" s="294" t="s">
        <v>165</v>
      </c>
      <c r="B29" s="148" t="s">
        <v>131</v>
      </c>
      <c r="C29" s="150">
        <v>48</v>
      </c>
      <c r="D29" s="242"/>
      <c r="E29" s="152">
        <v>0.7</v>
      </c>
      <c r="F29" s="183" t="s">
        <v>119</v>
      </c>
      <c r="AY29" s="247"/>
    </row>
    <row r="30" spans="1:51">
      <c r="A30" s="294" t="s">
        <v>166</v>
      </c>
      <c r="B30" s="148" t="s">
        <v>125</v>
      </c>
      <c r="C30" s="150">
        <v>44.2</v>
      </c>
      <c r="D30" s="124">
        <v>0.47</v>
      </c>
      <c r="E30" s="240"/>
      <c r="F30" s="183" t="s">
        <v>119</v>
      </c>
      <c r="AY30" s="247"/>
    </row>
    <row r="31" spans="1:51">
      <c r="A31" s="294" t="s">
        <v>167</v>
      </c>
      <c r="B31" s="148" t="s">
        <v>125</v>
      </c>
      <c r="C31" s="150">
        <v>8.9</v>
      </c>
      <c r="D31" s="176">
        <v>0.95</v>
      </c>
      <c r="E31" s="240"/>
      <c r="F31" s="183" t="s">
        <v>119</v>
      </c>
      <c r="AY31" s="248" t="s">
        <v>168</v>
      </c>
    </row>
    <row r="32" spans="1:51">
      <c r="A32" s="294" t="s">
        <v>169</v>
      </c>
      <c r="B32" s="148" t="s">
        <v>125</v>
      </c>
      <c r="C32" s="150">
        <v>27.5</v>
      </c>
      <c r="D32" s="176">
        <v>1.1299999999999999</v>
      </c>
      <c r="E32" s="240"/>
      <c r="F32" s="183" t="s">
        <v>119</v>
      </c>
      <c r="AY32" s="248" t="s">
        <v>170</v>
      </c>
    </row>
    <row r="33" spans="1:51">
      <c r="A33" s="294" t="s">
        <v>171</v>
      </c>
      <c r="B33" s="148" t="s">
        <v>131</v>
      </c>
      <c r="C33" s="150">
        <v>7.06</v>
      </c>
      <c r="D33" s="242"/>
      <c r="E33" s="178">
        <v>1.33</v>
      </c>
      <c r="F33" s="183" t="s">
        <v>119</v>
      </c>
      <c r="AY33" s="248" t="s">
        <v>172</v>
      </c>
    </row>
    <row r="34" spans="1:51">
      <c r="A34" s="294" t="s">
        <v>173</v>
      </c>
      <c r="B34" s="148" t="s">
        <v>118</v>
      </c>
      <c r="C34" s="150">
        <v>40.200000000000003</v>
      </c>
      <c r="D34" s="242"/>
      <c r="E34" s="240"/>
      <c r="F34" s="183" t="s">
        <v>119</v>
      </c>
      <c r="AY34" s="247"/>
    </row>
    <row r="35" spans="1:51">
      <c r="A35" s="294" t="s">
        <v>174</v>
      </c>
      <c r="B35" s="148" t="s">
        <v>118</v>
      </c>
      <c r="C35" s="150">
        <v>20.7</v>
      </c>
      <c r="D35" s="242"/>
      <c r="E35" s="240"/>
      <c r="F35" s="183" t="s">
        <v>119</v>
      </c>
      <c r="AY35" s="247"/>
    </row>
    <row r="36" spans="1:51">
      <c r="A36" s="294" t="s">
        <v>175</v>
      </c>
      <c r="B36" s="148" t="s">
        <v>118</v>
      </c>
      <c r="C36" s="150">
        <v>9.76</v>
      </c>
      <c r="D36" s="242"/>
      <c r="E36" s="240"/>
      <c r="F36" s="183" t="s">
        <v>119</v>
      </c>
      <c r="AY36" s="247"/>
    </row>
    <row r="37" spans="1:51">
      <c r="A37" s="294" t="s">
        <v>176</v>
      </c>
      <c r="B37" s="148" t="s">
        <v>118</v>
      </c>
      <c r="C37" s="150">
        <v>32.5</v>
      </c>
      <c r="D37" s="242"/>
      <c r="E37" s="240"/>
      <c r="F37" s="183" t="s">
        <v>119</v>
      </c>
      <c r="AY37" s="247"/>
    </row>
    <row r="38" spans="1:51">
      <c r="A38" s="294" t="s">
        <v>177</v>
      </c>
      <c r="B38" s="148" t="s">
        <v>131</v>
      </c>
      <c r="C38" s="176">
        <v>46.32</v>
      </c>
      <c r="D38" s="242"/>
      <c r="E38" s="152">
        <v>1.9</v>
      </c>
      <c r="F38" s="183" t="s">
        <v>119</v>
      </c>
      <c r="AY38" s="248" t="s">
        <v>178</v>
      </c>
    </row>
    <row r="39" spans="1:51">
      <c r="A39" s="294" t="s">
        <v>179</v>
      </c>
      <c r="B39" s="148" t="s">
        <v>125</v>
      </c>
      <c r="C39" s="150">
        <v>43</v>
      </c>
      <c r="D39" s="176">
        <v>0.82499999999999996</v>
      </c>
      <c r="E39" s="240"/>
      <c r="F39" s="183" t="s">
        <v>119</v>
      </c>
      <c r="AY39" s="248" t="s">
        <v>180</v>
      </c>
    </row>
    <row r="40" spans="1:51">
      <c r="A40" s="294" t="s">
        <v>181</v>
      </c>
      <c r="B40" s="148" t="s">
        <v>131</v>
      </c>
      <c r="C40" s="150">
        <v>49.5</v>
      </c>
      <c r="D40" s="242"/>
      <c r="E40" s="178">
        <v>0.88</v>
      </c>
      <c r="F40" s="183" t="s">
        <v>119</v>
      </c>
      <c r="AY40" s="248" t="s">
        <v>182</v>
      </c>
    </row>
    <row r="41" spans="1:51">
      <c r="A41" s="294" t="s">
        <v>183</v>
      </c>
      <c r="B41" s="148" t="s">
        <v>125</v>
      </c>
      <c r="C41" s="150">
        <v>40.4</v>
      </c>
      <c r="D41" s="124">
        <v>0.94</v>
      </c>
      <c r="E41" s="240"/>
      <c r="F41" s="183" t="s">
        <v>119</v>
      </c>
      <c r="AY41" s="247"/>
    </row>
    <row r="42" spans="1:51">
      <c r="A42" s="294" t="s">
        <v>184</v>
      </c>
      <c r="B42" s="148" t="s">
        <v>125</v>
      </c>
      <c r="C42" s="150">
        <v>38.1</v>
      </c>
      <c r="D42" s="124">
        <v>1</v>
      </c>
      <c r="E42" s="240"/>
      <c r="F42" s="183" t="s">
        <v>119</v>
      </c>
      <c r="AY42" s="247"/>
    </row>
    <row r="43" spans="1:51">
      <c r="A43" s="294" t="s">
        <v>185</v>
      </c>
      <c r="B43" s="148" t="s">
        <v>131</v>
      </c>
      <c r="C43" s="150">
        <v>50.4</v>
      </c>
      <c r="D43" s="242"/>
      <c r="E43" s="152">
        <v>0.67</v>
      </c>
      <c r="F43" s="183" t="s">
        <v>123</v>
      </c>
      <c r="AY43" s="247"/>
    </row>
    <row r="44" spans="1:51">
      <c r="A44" s="294" t="s">
        <v>186</v>
      </c>
      <c r="B44" s="148" t="s">
        <v>118</v>
      </c>
      <c r="C44" s="150">
        <v>18.899999999999999</v>
      </c>
      <c r="D44" s="242"/>
      <c r="E44" s="240"/>
      <c r="F44" s="183" t="s">
        <v>119</v>
      </c>
      <c r="AY44" s="247"/>
    </row>
    <row r="45" spans="1:51">
      <c r="A45" s="294" t="s">
        <v>187</v>
      </c>
      <c r="B45" s="148" t="s">
        <v>125</v>
      </c>
      <c r="C45" s="150">
        <v>11.8</v>
      </c>
      <c r="D45" s="176">
        <v>1.2</v>
      </c>
      <c r="E45" s="240"/>
      <c r="F45" s="183" t="s">
        <v>123</v>
      </c>
      <c r="AY45" s="248" t="s">
        <v>188</v>
      </c>
    </row>
    <row r="46" spans="1:51">
      <c r="A46" s="294" t="s">
        <v>189</v>
      </c>
      <c r="B46" s="148" t="s">
        <v>125</v>
      </c>
      <c r="C46" s="176">
        <v>44.4</v>
      </c>
      <c r="D46" s="124">
        <v>0.87</v>
      </c>
      <c r="E46" s="240"/>
      <c r="F46" s="183" t="s">
        <v>123</v>
      </c>
      <c r="AY46" s="248" t="s">
        <v>190</v>
      </c>
    </row>
    <row r="47" spans="1:51">
      <c r="A47" s="294" t="s">
        <v>191</v>
      </c>
      <c r="B47" s="148" t="s">
        <v>125</v>
      </c>
      <c r="C47" s="176">
        <v>37.799999999999997</v>
      </c>
      <c r="D47" s="124">
        <v>0.9</v>
      </c>
      <c r="E47" s="240"/>
      <c r="F47" s="183" t="s">
        <v>119</v>
      </c>
      <c r="AY47" s="248" t="s">
        <v>192</v>
      </c>
    </row>
    <row r="48" spans="1:51">
      <c r="A48" s="294" t="s">
        <v>193</v>
      </c>
      <c r="B48" s="148" t="s">
        <v>125</v>
      </c>
      <c r="C48" s="150">
        <v>40.200000000000003</v>
      </c>
      <c r="D48" s="176">
        <v>0.8</v>
      </c>
      <c r="E48" s="240"/>
      <c r="F48" s="183" t="s">
        <v>119</v>
      </c>
      <c r="AY48" s="248" t="s">
        <v>194</v>
      </c>
    </row>
    <row r="49" spans="1:51">
      <c r="A49" s="294" t="s">
        <v>195</v>
      </c>
      <c r="B49" s="148" t="s">
        <v>131</v>
      </c>
      <c r="C49" s="176">
        <v>35</v>
      </c>
      <c r="D49" s="242"/>
      <c r="E49" s="152">
        <v>0.9</v>
      </c>
      <c r="F49" s="183" t="s">
        <v>123</v>
      </c>
      <c r="AY49" s="248" t="s">
        <v>196</v>
      </c>
    </row>
    <row r="50" spans="1:51">
      <c r="A50" s="294" t="s">
        <v>197</v>
      </c>
      <c r="B50" s="148" t="s">
        <v>125</v>
      </c>
      <c r="C50" s="150">
        <v>40.200000000000003</v>
      </c>
      <c r="D50" s="176">
        <v>0.75</v>
      </c>
      <c r="E50" s="240"/>
      <c r="F50" s="183" t="s">
        <v>119</v>
      </c>
      <c r="AY50" s="248" t="s">
        <v>198</v>
      </c>
    </row>
    <row r="51" spans="1:51">
      <c r="A51" s="296" t="s">
        <v>199</v>
      </c>
      <c r="B51" s="148" t="s">
        <v>118</v>
      </c>
      <c r="C51" s="154">
        <v>15.6</v>
      </c>
      <c r="D51" s="244"/>
      <c r="E51" s="245"/>
      <c r="F51" s="183" t="s">
        <v>123</v>
      </c>
      <c r="AY51" s="247"/>
    </row>
    <row r="52" spans="1:51">
      <c r="A52" s="155" t="s">
        <v>200</v>
      </c>
      <c r="B52" s="156"/>
      <c r="C52" s="156"/>
      <c r="D52" s="156"/>
      <c r="E52" s="179"/>
      <c r="F52" s="156"/>
      <c r="AY52" s="247"/>
    </row>
    <row r="53" spans="1:51">
      <c r="A53" s="155" t="s">
        <v>201</v>
      </c>
      <c r="B53" s="156"/>
      <c r="C53" s="156"/>
      <c r="D53" s="156"/>
      <c r="E53" s="179"/>
      <c r="F53" s="156"/>
      <c r="AY53" s="247"/>
    </row>
    <row r="54" spans="1:51">
      <c r="A54" s="155" t="s">
        <v>202</v>
      </c>
      <c r="B54" s="156"/>
      <c r="C54" s="156"/>
      <c r="D54" s="156"/>
      <c r="E54" s="179"/>
      <c r="F54" s="156"/>
      <c r="AY54" s="247"/>
    </row>
    <row r="55" spans="1:51">
      <c r="A55" s="155" t="s">
        <v>203</v>
      </c>
      <c r="B55" s="156"/>
      <c r="C55" s="156"/>
      <c r="D55" s="156"/>
      <c r="E55" s="179"/>
      <c r="F55" s="156"/>
      <c r="AY55" s="247"/>
    </row>
    <row r="56" spans="1:51">
      <c r="A56" s="155" t="s">
        <v>204</v>
      </c>
      <c r="B56" s="156"/>
      <c r="C56" s="156"/>
      <c r="D56" s="156"/>
      <c r="E56" s="179"/>
      <c r="F56" s="156"/>
      <c r="AY56" s="247"/>
    </row>
    <row r="57" spans="1:51">
      <c r="A57" s="155" t="s">
        <v>205</v>
      </c>
      <c r="B57" s="156"/>
      <c r="C57" s="156"/>
      <c r="D57" s="156"/>
      <c r="E57" s="179"/>
      <c r="F57" s="156"/>
      <c r="AY57" s="247"/>
    </row>
    <row r="58" spans="1:51">
      <c r="A58" s="155" t="s">
        <v>206</v>
      </c>
      <c r="B58" s="156"/>
      <c r="C58" s="156"/>
      <c r="D58" s="156"/>
      <c r="E58" s="179"/>
      <c r="F58" s="156"/>
      <c r="AY58" s="247"/>
    </row>
    <row r="59" spans="1:51">
      <c r="A59" s="155" t="s">
        <v>207</v>
      </c>
      <c r="B59" s="156"/>
      <c r="C59" s="156"/>
      <c r="D59" s="156"/>
      <c r="E59" s="179"/>
      <c r="F59" s="156"/>
      <c r="AY59" s="247"/>
    </row>
    <row r="60" spans="1:51">
      <c r="A60" s="155" t="s">
        <v>208</v>
      </c>
      <c r="B60" s="156"/>
      <c r="C60" s="156"/>
      <c r="D60" s="156"/>
      <c r="E60" s="179"/>
      <c r="F60" s="156"/>
      <c r="AY60" s="247"/>
    </row>
    <row r="61" spans="1:51" ht="15" thickBot="1">
      <c r="A61" s="184" t="s">
        <v>209</v>
      </c>
      <c r="B61" s="156"/>
      <c r="C61" s="185"/>
      <c r="D61" s="185"/>
      <c r="E61" s="186"/>
      <c r="F61" s="156"/>
      <c r="AY61" s="247"/>
    </row>
    <row r="62" spans="1:51">
      <c r="A62" s="1230" t="s">
        <v>210</v>
      </c>
      <c r="B62" s="1231"/>
      <c r="C62" s="1231"/>
      <c r="D62" s="1231"/>
      <c r="E62" s="1231"/>
      <c r="F62" s="1231"/>
      <c r="G62" s="1231"/>
      <c r="H62" s="1231"/>
      <c r="I62" s="1231"/>
      <c r="J62" s="1231"/>
      <c r="K62" s="1231"/>
      <c r="L62" s="1231"/>
      <c r="M62" s="1231"/>
      <c r="N62" s="1231"/>
      <c r="O62" s="1231"/>
      <c r="P62" s="1231"/>
      <c r="Q62" s="1231"/>
      <c r="R62" s="1231"/>
      <c r="S62" s="1231"/>
      <c r="T62" s="1231"/>
      <c r="U62" s="1231"/>
      <c r="V62" s="1231"/>
      <c r="W62" s="1231"/>
      <c r="X62" s="1231"/>
      <c r="Y62" s="1231"/>
      <c r="Z62" s="1231"/>
      <c r="AA62" s="1231"/>
      <c r="AB62" s="1231"/>
      <c r="AC62" s="1231"/>
      <c r="AD62" s="1231"/>
      <c r="AE62" s="1231"/>
      <c r="AF62" s="1231"/>
      <c r="AG62" s="1231"/>
      <c r="AH62" s="1231"/>
      <c r="AI62" s="1231"/>
      <c r="AJ62" s="1231"/>
      <c r="AK62" s="1231"/>
      <c r="AL62" s="1231"/>
      <c r="AM62" s="1231"/>
      <c r="AN62" s="1231"/>
      <c r="AO62" s="1231"/>
      <c r="AP62" s="1231"/>
      <c r="AQ62" s="1231"/>
      <c r="AR62" s="1231"/>
      <c r="AS62" s="1231"/>
      <c r="AT62" s="1231"/>
      <c r="AU62" s="1231"/>
      <c r="AV62" s="1231"/>
      <c r="AW62" s="1231"/>
      <c r="AX62" s="1231"/>
      <c r="AY62" s="1232"/>
    </row>
    <row r="63" spans="1:51" ht="44.1" customHeight="1">
      <c r="A63" s="1233" t="s">
        <v>211</v>
      </c>
      <c r="B63" s="1234"/>
      <c r="C63" s="1234"/>
      <c r="D63" s="1234"/>
      <c r="E63" s="1234"/>
      <c r="F63" s="1234"/>
      <c r="G63" s="1234"/>
      <c r="H63" s="1234"/>
      <c r="I63" s="1234"/>
      <c r="J63" s="1234"/>
      <c r="K63" s="1234"/>
      <c r="L63" s="1234"/>
      <c r="M63" s="1234"/>
      <c r="N63" s="1234"/>
      <c r="O63" s="1234"/>
      <c r="P63" s="1234"/>
      <c r="Q63" s="1234"/>
      <c r="R63" s="1234"/>
      <c r="S63" s="1234"/>
      <c r="T63" s="1234"/>
      <c r="U63" s="1234"/>
      <c r="V63" s="1234"/>
      <c r="W63" s="1234"/>
      <c r="X63" s="1234"/>
      <c r="Y63" s="1234"/>
      <c r="Z63" s="1234"/>
      <c r="AA63" s="1234"/>
      <c r="AB63" s="1234"/>
      <c r="AC63" s="1234"/>
      <c r="AD63" s="1234"/>
      <c r="AE63" s="1234"/>
      <c r="AF63" s="1234"/>
      <c r="AG63" s="1234"/>
      <c r="AH63" s="1234"/>
      <c r="AI63" s="1234"/>
      <c r="AJ63" s="1234"/>
      <c r="AK63" s="1234"/>
      <c r="AL63" s="1234"/>
      <c r="AM63" s="1234"/>
      <c r="AN63" s="1234"/>
      <c r="AO63" s="1234"/>
      <c r="AP63" s="1234"/>
      <c r="AQ63" s="1234"/>
      <c r="AR63" s="1234"/>
      <c r="AS63" s="1234"/>
      <c r="AT63" s="1234"/>
      <c r="AU63" s="1234"/>
      <c r="AV63" s="1234"/>
      <c r="AW63" s="1234"/>
      <c r="AX63" s="1234"/>
      <c r="AY63" s="1235"/>
    </row>
    <row r="64" spans="1:51">
      <c r="A64" s="1236" t="s">
        <v>212</v>
      </c>
      <c r="B64" s="1237"/>
      <c r="C64" s="1237"/>
      <c r="D64" s="1237"/>
      <c r="E64" s="1237"/>
      <c r="F64" s="1237"/>
      <c r="G64" s="1237"/>
      <c r="H64" s="1237"/>
      <c r="I64" s="1237"/>
      <c r="J64" s="1237"/>
      <c r="K64" s="1237"/>
      <c r="L64" s="1237"/>
      <c r="M64" s="1237"/>
      <c r="N64" s="1237"/>
      <c r="O64" s="1237"/>
      <c r="P64" s="1237"/>
      <c r="Q64" s="1237"/>
      <c r="R64" s="1237"/>
      <c r="S64" s="1237"/>
      <c r="T64" s="1237"/>
      <c r="U64" s="1237"/>
      <c r="V64" s="1237"/>
      <c r="W64" s="1237"/>
      <c r="X64" s="1237"/>
      <c r="Y64" s="1237"/>
      <c r="Z64" s="1237"/>
      <c r="AA64" s="1237"/>
      <c r="AB64" s="1237"/>
      <c r="AC64" s="1237"/>
      <c r="AD64" s="1237"/>
      <c r="AE64" s="1237"/>
      <c r="AF64" s="1237"/>
      <c r="AG64" s="1237"/>
      <c r="AH64" s="1237"/>
      <c r="AI64" s="1237"/>
      <c r="AJ64" s="1237"/>
      <c r="AK64" s="1237"/>
      <c r="AL64" s="1237"/>
      <c r="AM64" s="1237"/>
      <c r="AN64" s="1237"/>
      <c r="AO64" s="1237"/>
      <c r="AP64" s="1237"/>
      <c r="AQ64" s="1237"/>
      <c r="AR64" s="1237"/>
      <c r="AS64" s="1237"/>
      <c r="AT64" s="1237"/>
      <c r="AU64" s="1237"/>
      <c r="AV64" s="1237"/>
      <c r="AW64" s="1237"/>
      <c r="AX64" s="1237"/>
      <c r="AY64" s="1238"/>
    </row>
    <row r="65" spans="1:51">
      <c r="A65" s="1227" t="s">
        <v>213</v>
      </c>
      <c r="B65" s="1228"/>
      <c r="C65" s="1228"/>
      <c r="D65" s="1228"/>
      <c r="E65" s="1228"/>
      <c r="F65" s="1228"/>
      <c r="G65" s="1228"/>
      <c r="H65" s="1228"/>
      <c r="I65" s="1228"/>
      <c r="J65" s="1228"/>
      <c r="K65" s="1228"/>
      <c r="L65" s="1228"/>
      <c r="M65" s="1228"/>
      <c r="N65" s="1228"/>
      <c r="O65" s="1228"/>
      <c r="P65" s="1228"/>
      <c r="Q65" s="1228"/>
      <c r="R65" s="1228"/>
      <c r="S65" s="1228"/>
      <c r="T65" s="1228"/>
      <c r="U65" s="1228"/>
      <c r="V65" s="1228"/>
      <c r="W65" s="1228"/>
      <c r="X65" s="1228"/>
      <c r="Y65" s="1228"/>
      <c r="Z65" s="1228"/>
      <c r="AA65" s="1228"/>
      <c r="AB65" s="1228"/>
      <c r="AC65" s="1228"/>
      <c r="AD65" s="1228"/>
      <c r="AE65" s="1228"/>
      <c r="AF65" s="1228"/>
      <c r="AG65" s="1228"/>
      <c r="AH65" s="1228"/>
      <c r="AI65" s="1228"/>
      <c r="AJ65" s="1228"/>
      <c r="AK65" s="1228"/>
      <c r="AL65" s="1228"/>
      <c r="AM65" s="1228"/>
      <c r="AN65" s="1228"/>
      <c r="AO65" s="1228"/>
      <c r="AP65" s="1228"/>
      <c r="AQ65" s="1228"/>
      <c r="AR65" s="1228"/>
      <c r="AS65" s="1228"/>
      <c r="AT65" s="1228"/>
      <c r="AU65" s="1228"/>
      <c r="AV65" s="1228"/>
      <c r="AW65" s="1228"/>
      <c r="AX65" s="1228"/>
      <c r="AY65" s="1229"/>
    </row>
    <row r="66" spans="1:51">
      <c r="A66" s="1206" t="s">
        <v>214</v>
      </c>
      <c r="B66" s="1207"/>
      <c r="C66" s="1207"/>
      <c r="D66" s="1207"/>
      <c r="E66" s="1207"/>
      <c r="F66" s="1207"/>
      <c r="G66" s="1207"/>
      <c r="H66" s="1207"/>
      <c r="I66" s="1207"/>
      <c r="J66" s="1207"/>
      <c r="K66" s="1207"/>
      <c r="L66" s="1207"/>
      <c r="M66" s="1207"/>
      <c r="N66" s="1207"/>
      <c r="O66" s="1207"/>
      <c r="P66" s="1207"/>
      <c r="Q66" s="1207"/>
      <c r="R66" s="1207"/>
      <c r="S66" s="1207"/>
      <c r="T66" s="1207"/>
      <c r="U66" s="1207"/>
      <c r="V66" s="1207"/>
      <c r="W66" s="1207"/>
      <c r="X66" s="1207"/>
      <c r="Y66" s="1207"/>
      <c r="Z66" s="1207"/>
      <c r="AA66" s="1207"/>
      <c r="AB66" s="1207"/>
      <c r="AC66" s="1207"/>
      <c r="AD66" s="1207"/>
      <c r="AE66" s="1207"/>
      <c r="AF66" s="1207"/>
      <c r="AG66" s="1207"/>
      <c r="AH66" s="1207"/>
      <c r="AI66" s="1207"/>
      <c r="AJ66" s="1207"/>
      <c r="AK66" s="1207"/>
      <c r="AL66" s="1207"/>
      <c r="AM66" s="1207"/>
      <c r="AN66" s="1207"/>
      <c r="AO66" s="1207"/>
      <c r="AP66" s="1207"/>
      <c r="AQ66" s="1207"/>
      <c r="AR66" s="1207"/>
      <c r="AS66" s="1207"/>
      <c r="AT66" s="1207"/>
      <c r="AU66" s="1207"/>
      <c r="AV66" s="1207"/>
      <c r="AW66" s="1207"/>
      <c r="AX66" s="1207"/>
      <c r="AY66" s="1208"/>
    </row>
    <row r="67" spans="1:51">
      <c r="A67" s="1209" t="s">
        <v>215</v>
      </c>
      <c r="B67" s="1225"/>
      <c r="C67" s="1225"/>
      <c r="D67" s="1225"/>
      <c r="E67" s="1225"/>
      <c r="F67" s="1225"/>
      <c r="G67" s="1225"/>
      <c r="H67" s="1225"/>
      <c r="I67" s="1225"/>
      <c r="J67" s="1225"/>
      <c r="K67" s="1225"/>
      <c r="L67" s="1225"/>
      <c r="M67" s="1225"/>
      <c r="N67" s="1225"/>
      <c r="O67" s="1225"/>
      <c r="P67" s="1225"/>
      <c r="Q67" s="1225"/>
      <c r="R67" s="1225"/>
      <c r="S67" s="1225"/>
      <c r="T67" s="1225"/>
      <c r="U67" s="1225"/>
      <c r="V67" s="1225"/>
      <c r="W67" s="1225"/>
      <c r="X67" s="1225"/>
      <c r="Y67" s="1225"/>
      <c r="Z67" s="1225"/>
      <c r="AA67" s="1225"/>
      <c r="AB67" s="1225"/>
      <c r="AC67" s="1225"/>
      <c r="AD67" s="1225"/>
      <c r="AE67" s="1225"/>
      <c r="AF67" s="1225"/>
      <c r="AG67" s="1225"/>
      <c r="AH67" s="1225"/>
      <c r="AI67" s="1225"/>
      <c r="AJ67" s="1225"/>
      <c r="AK67" s="1225"/>
      <c r="AL67" s="1225"/>
      <c r="AM67" s="1225"/>
      <c r="AN67" s="1225"/>
      <c r="AO67" s="1225"/>
      <c r="AP67" s="1225"/>
      <c r="AQ67" s="1225"/>
      <c r="AR67" s="1225"/>
      <c r="AS67" s="1225"/>
      <c r="AT67" s="1225"/>
      <c r="AU67" s="1225"/>
      <c r="AV67" s="1225"/>
      <c r="AW67" s="1225"/>
      <c r="AX67" s="1225"/>
      <c r="AY67" s="1226"/>
    </row>
    <row r="68" spans="1:51">
      <c r="A68" s="1206" t="s">
        <v>216</v>
      </c>
      <c r="B68" s="1207"/>
      <c r="C68" s="1207"/>
      <c r="D68" s="1207"/>
      <c r="E68" s="1207"/>
      <c r="F68" s="1207"/>
      <c r="G68" s="1207"/>
      <c r="H68" s="1207"/>
      <c r="I68" s="1207"/>
      <c r="J68" s="1207"/>
      <c r="K68" s="1207"/>
      <c r="L68" s="1207"/>
      <c r="M68" s="1207"/>
      <c r="N68" s="1207"/>
      <c r="O68" s="1207"/>
      <c r="P68" s="1207"/>
      <c r="Q68" s="1207"/>
      <c r="R68" s="1207"/>
      <c r="S68" s="1207"/>
      <c r="T68" s="1207"/>
      <c r="U68" s="1207"/>
      <c r="V68" s="1207"/>
      <c r="W68" s="1207"/>
      <c r="X68" s="1207"/>
      <c r="Y68" s="1207"/>
      <c r="Z68" s="1207"/>
      <c r="AA68" s="1207"/>
      <c r="AB68" s="1207"/>
      <c r="AC68" s="1207"/>
      <c r="AD68" s="1207"/>
      <c r="AE68" s="1207"/>
      <c r="AF68" s="1207"/>
      <c r="AG68" s="1207"/>
      <c r="AH68" s="1207"/>
      <c r="AI68" s="1207"/>
      <c r="AJ68" s="1207"/>
      <c r="AK68" s="1207"/>
      <c r="AL68" s="1207"/>
      <c r="AM68" s="1207"/>
      <c r="AN68" s="1207"/>
      <c r="AO68" s="1207"/>
      <c r="AP68" s="1207"/>
      <c r="AQ68" s="1207"/>
      <c r="AR68" s="1207"/>
      <c r="AS68" s="1207"/>
      <c r="AT68" s="1207"/>
      <c r="AU68" s="1207"/>
      <c r="AV68" s="1207"/>
      <c r="AW68" s="1207"/>
      <c r="AX68" s="1207"/>
      <c r="AY68" s="1208"/>
    </row>
    <row r="69" spans="1:51">
      <c r="A69" s="1209" t="s">
        <v>217</v>
      </c>
      <c r="B69" s="1225"/>
      <c r="C69" s="1225"/>
      <c r="D69" s="1225"/>
      <c r="E69" s="1225"/>
      <c r="F69" s="1225"/>
      <c r="G69" s="1225"/>
      <c r="H69" s="1225"/>
      <c r="I69" s="1225"/>
      <c r="J69" s="1225"/>
      <c r="K69" s="1225"/>
      <c r="L69" s="1225"/>
      <c r="M69" s="1225"/>
      <c r="N69" s="1225"/>
      <c r="O69" s="1225"/>
      <c r="P69" s="1225"/>
      <c r="Q69" s="1225"/>
      <c r="R69" s="1225"/>
      <c r="S69" s="1225"/>
      <c r="T69" s="1225"/>
      <c r="U69" s="1225"/>
      <c r="V69" s="1225"/>
      <c r="W69" s="1225"/>
      <c r="X69" s="1225"/>
      <c r="Y69" s="1225"/>
      <c r="Z69" s="1225"/>
      <c r="AA69" s="1225"/>
      <c r="AB69" s="1225"/>
      <c r="AC69" s="1225"/>
      <c r="AD69" s="1225"/>
      <c r="AE69" s="1225"/>
      <c r="AF69" s="1225"/>
      <c r="AG69" s="1225"/>
      <c r="AH69" s="1225"/>
      <c r="AI69" s="1225"/>
      <c r="AJ69" s="1225"/>
      <c r="AK69" s="1225"/>
      <c r="AL69" s="1225"/>
      <c r="AM69" s="1225"/>
      <c r="AN69" s="1225"/>
      <c r="AO69" s="1225"/>
      <c r="AP69" s="1225"/>
      <c r="AQ69" s="1225"/>
      <c r="AR69" s="1225"/>
      <c r="AS69" s="1225"/>
      <c r="AT69" s="1225"/>
      <c r="AU69" s="1225"/>
      <c r="AV69" s="1225"/>
      <c r="AW69" s="1225"/>
      <c r="AX69" s="1225"/>
      <c r="AY69" s="1226"/>
    </row>
    <row r="70" spans="1:51">
      <c r="A70" s="1206" t="s">
        <v>218</v>
      </c>
      <c r="B70" s="1207"/>
      <c r="C70" s="1207"/>
      <c r="D70" s="1207"/>
      <c r="E70" s="1207"/>
      <c r="F70" s="1207"/>
      <c r="G70" s="1207"/>
      <c r="H70" s="1207"/>
      <c r="I70" s="1207"/>
      <c r="J70" s="1207"/>
      <c r="K70" s="1207"/>
      <c r="L70" s="1207"/>
      <c r="M70" s="1207"/>
      <c r="N70" s="1207"/>
      <c r="O70" s="1207"/>
      <c r="P70" s="1207"/>
      <c r="Q70" s="1207"/>
      <c r="R70" s="1207"/>
      <c r="S70" s="1207"/>
      <c r="T70" s="1207"/>
      <c r="U70" s="1207"/>
      <c r="V70" s="1207"/>
      <c r="W70" s="1207"/>
      <c r="X70" s="1207"/>
      <c r="Y70" s="1207"/>
      <c r="Z70" s="1207"/>
      <c r="AA70" s="1207"/>
      <c r="AB70" s="1207"/>
      <c r="AC70" s="1207"/>
      <c r="AD70" s="1207"/>
      <c r="AE70" s="1207"/>
      <c r="AF70" s="1207"/>
      <c r="AG70" s="1207"/>
      <c r="AH70" s="1207"/>
      <c r="AI70" s="1207"/>
      <c r="AJ70" s="1207"/>
      <c r="AK70" s="1207"/>
      <c r="AL70" s="1207"/>
      <c r="AM70" s="1207"/>
      <c r="AN70" s="1207"/>
      <c r="AO70" s="1207"/>
      <c r="AP70" s="1207"/>
      <c r="AQ70" s="1207"/>
      <c r="AR70" s="1207"/>
      <c r="AS70" s="1207"/>
      <c r="AT70" s="1207"/>
      <c r="AU70" s="1207"/>
      <c r="AV70" s="1207"/>
      <c r="AW70" s="1207"/>
      <c r="AX70" s="1207"/>
      <c r="AY70" s="1208"/>
    </row>
    <row r="71" spans="1:51">
      <c r="A71" s="1209" t="s">
        <v>219</v>
      </c>
      <c r="B71" s="1225"/>
      <c r="C71" s="1225"/>
      <c r="D71" s="1225"/>
      <c r="E71" s="1225"/>
      <c r="F71" s="1225"/>
      <c r="G71" s="1225"/>
      <c r="H71" s="1225"/>
      <c r="I71" s="1225"/>
      <c r="J71" s="1225"/>
      <c r="K71" s="1225"/>
      <c r="L71" s="1225"/>
      <c r="M71" s="1225"/>
      <c r="N71" s="1225"/>
      <c r="O71" s="1225"/>
      <c r="P71" s="1225"/>
      <c r="Q71" s="1225"/>
      <c r="R71" s="1225"/>
      <c r="S71" s="1225"/>
      <c r="T71" s="1225"/>
      <c r="U71" s="1225"/>
      <c r="V71" s="1225"/>
      <c r="W71" s="1225"/>
      <c r="X71" s="1225"/>
      <c r="Y71" s="1225"/>
      <c r="Z71" s="1225"/>
      <c r="AA71" s="1225"/>
      <c r="AB71" s="1225"/>
      <c r="AC71" s="1225"/>
      <c r="AD71" s="1225"/>
      <c r="AE71" s="1225"/>
      <c r="AF71" s="1225"/>
      <c r="AG71" s="1225"/>
      <c r="AH71" s="1225"/>
      <c r="AI71" s="1225"/>
      <c r="AJ71" s="1225"/>
      <c r="AK71" s="1225"/>
      <c r="AL71" s="1225"/>
      <c r="AM71" s="1225"/>
      <c r="AN71" s="1225"/>
      <c r="AO71" s="1225"/>
      <c r="AP71" s="1225"/>
      <c r="AQ71" s="1225"/>
      <c r="AR71" s="1225"/>
      <c r="AS71" s="1225"/>
      <c r="AT71" s="1225"/>
      <c r="AU71" s="1225"/>
      <c r="AV71" s="1225"/>
      <c r="AW71" s="1225"/>
      <c r="AX71" s="1225"/>
      <c r="AY71" s="1226"/>
    </row>
    <row r="72" spans="1:51">
      <c r="A72" s="1206" t="s">
        <v>220</v>
      </c>
      <c r="B72" s="1207"/>
      <c r="C72" s="1207"/>
      <c r="D72" s="1207"/>
      <c r="E72" s="1207"/>
      <c r="F72" s="1207"/>
      <c r="G72" s="1207"/>
      <c r="H72" s="1207"/>
      <c r="I72" s="1207"/>
      <c r="J72" s="1207"/>
      <c r="K72" s="1207"/>
      <c r="L72" s="1207"/>
      <c r="M72" s="1207"/>
      <c r="N72" s="1207"/>
      <c r="O72" s="1207"/>
      <c r="P72" s="1207"/>
      <c r="Q72" s="1207"/>
      <c r="R72" s="1207"/>
      <c r="S72" s="1207"/>
      <c r="T72" s="1207"/>
      <c r="U72" s="1207"/>
      <c r="V72" s="1207"/>
      <c r="W72" s="1207"/>
      <c r="X72" s="1207"/>
      <c r="Y72" s="1207"/>
      <c r="Z72" s="1207"/>
      <c r="AA72" s="1207"/>
      <c r="AB72" s="1207"/>
      <c r="AC72" s="1207"/>
      <c r="AD72" s="1207"/>
      <c r="AE72" s="1207"/>
      <c r="AF72" s="1207"/>
      <c r="AG72" s="1207"/>
      <c r="AH72" s="1207"/>
      <c r="AI72" s="1207"/>
      <c r="AJ72" s="1207"/>
      <c r="AK72" s="1207"/>
      <c r="AL72" s="1207"/>
      <c r="AM72" s="1207"/>
      <c r="AN72" s="1207"/>
      <c r="AO72" s="1207"/>
      <c r="AP72" s="1207"/>
      <c r="AQ72" s="1207"/>
      <c r="AR72" s="1207"/>
      <c r="AS72" s="1207"/>
      <c r="AT72" s="1207"/>
      <c r="AU72" s="1207"/>
      <c r="AV72" s="1207"/>
      <c r="AW72" s="1207"/>
      <c r="AX72" s="1207"/>
      <c r="AY72" s="1208"/>
    </row>
    <row r="73" spans="1:51">
      <c r="A73" s="1209" t="s">
        <v>221</v>
      </c>
      <c r="B73" s="1225"/>
      <c r="C73" s="1225"/>
      <c r="D73" s="1225"/>
      <c r="E73" s="1225"/>
      <c r="F73" s="1225"/>
      <c r="G73" s="1225"/>
      <c r="H73" s="1225"/>
      <c r="I73" s="1225"/>
      <c r="J73" s="1225"/>
      <c r="K73" s="1225"/>
      <c r="L73" s="1225"/>
      <c r="M73" s="1225"/>
      <c r="N73" s="1225"/>
      <c r="O73" s="1225"/>
      <c r="P73" s="1225"/>
      <c r="Q73" s="1225"/>
      <c r="R73" s="1225"/>
      <c r="S73" s="1225"/>
      <c r="T73" s="1225"/>
      <c r="U73" s="1225"/>
      <c r="V73" s="1225"/>
      <c r="W73" s="1225"/>
      <c r="X73" s="1225"/>
      <c r="Y73" s="1225"/>
      <c r="Z73" s="1225"/>
      <c r="AA73" s="1225"/>
      <c r="AB73" s="1225"/>
      <c r="AC73" s="1225"/>
      <c r="AD73" s="1225"/>
      <c r="AE73" s="1225"/>
      <c r="AF73" s="1225"/>
      <c r="AG73" s="1225"/>
      <c r="AH73" s="1225"/>
      <c r="AI73" s="1225"/>
      <c r="AJ73" s="1225"/>
      <c r="AK73" s="1225"/>
      <c r="AL73" s="1225"/>
      <c r="AM73" s="1225"/>
      <c r="AN73" s="1225"/>
      <c r="AO73" s="1225"/>
      <c r="AP73" s="1225"/>
      <c r="AQ73" s="1225"/>
      <c r="AR73" s="1225"/>
      <c r="AS73" s="1225"/>
      <c r="AT73" s="1225"/>
      <c r="AU73" s="1225"/>
      <c r="AV73" s="1225"/>
      <c r="AW73" s="1225"/>
      <c r="AX73" s="1225"/>
      <c r="AY73" s="1226"/>
    </row>
    <row r="74" spans="1:51">
      <c r="A74" s="1206" t="s">
        <v>222</v>
      </c>
      <c r="B74" s="1207"/>
      <c r="C74" s="1207"/>
      <c r="D74" s="1207"/>
      <c r="E74" s="1207"/>
      <c r="F74" s="1207"/>
      <c r="G74" s="1207"/>
      <c r="H74" s="1207"/>
      <c r="I74" s="1207"/>
      <c r="J74" s="1207"/>
      <c r="K74" s="1207"/>
      <c r="L74" s="1207"/>
      <c r="M74" s="1207"/>
      <c r="N74" s="1207"/>
      <c r="O74" s="1207"/>
      <c r="P74" s="1207"/>
      <c r="Q74" s="1207"/>
      <c r="R74" s="1207"/>
      <c r="S74" s="1207"/>
      <c r="T74" s="1207"/>
      <c r="U74" s="1207"/>
      <c r="V74" s="1207"/>
      <c r="W74" s="1207"/>
      <c r="X74" s="1207"/>
      <c r="Y74" s="1207"/>
      <c r="Z74" s="1207"/>
      <c r="AA74" s="1207"/>
      <c r="AB74" s="1207"/>
      <c r="AC74" s="1207"/>
      <c r="AD74" s="1207"/>
      <c r="AE74" s="1207"/>
      <c r="AF74" s="1207"/>
      <c r="AG74" s="1207"/>
      <c r="AH74" s="1207"/>
      <c r="AI74" s="1207"/>
      <c r="AJ74" s="1207"/>
      <c r="AK74" s="1207"/>
      <c r="AL74" s="1207"/>
      <c r="AM74" s="1207"/>
      <c r="AN74" s="1207"/>
      <c r="AO74" s="1207"/>
      <c r="AP74" s="1207"/>
      <c r="AQ74" s="1207"/>
      <c r="AR74" s="1207"/>
      <c r="AS74" s="1207"/>
      <c r="AT74" s="1207"/>
      <c r="AU74" s="1207"/>
      <c r="AV74" s="1207"/>
      <c r="AW74" s="1207"/>
      <c r="AX74" s="1207"/>
      <c r="AY74" s="1208"/>
    </row>
    <row r="75" spans="1:51">
      <c r="A75" s="1209" t="s">
        <v>223</v>
      </c>
      <c r="B75" s="1225"/>
      <c r="C75" s="1225"/>
      <c r="D75" s="1225"/>
      <c r="E75" s="1225"/>
      <c r="F75" s="1225"/>
      <c r="G75" s="1225"/>
      <c r="H75" s="1225"/>
      <c r="I75" s="1225"/>
      <c r="J75" s="1225"/>
      <c r="K75" s="1225"/>
      <c r="L75" s="1225"/>
      <c r="M75" s="1225"/>
      <c r="N75" s="1225"/>
      <c r="O75" s="1225"/>
      <c r="P75" s="1225"/>
      <c r="Q75" s="1225"/>
      <c r="R75" s="1225"/>
      <c r="S75" s="1225"/>
      <c r="T75" s="1225"/>
      <c r="U75" s="1225"/>
      <c r="V75" s="1225"/>
      <c r="W75" s="1225"/>
      <c r="X75" s="1225"/>
      <c r="Y75" s="1225"/>
      <c r="Z75" s="1225"/>
      <c r="AA75" s="1225"/>
      <c r="AB75" s="1225"/>
      <c r="AC75" s="1225"/>
      <c r="AD75" s="1225"/>
      <c r="AE75" s="1225"/>
      <c r="AF75" s="1225"/>
      <c r="AG75" s="1225"/>
      <c r="AH75" s="1225"/>
      <c r="AI75" s="1225"/>
      <c r="AJ75" s="1225"/>
      <c r="AK75" s="1225"/>
      <c r="AL75" s="1225"/>
      <c r="AM75" s="1225"/>
      <c r="AN75" s="1225"/>
      <c r="AO75" s="1225"/>
      <c r="AP75" s="1225"/>
      <c r="AQ75" s="1225"/>
      <c r="AR75" s="1225"/>
      <c r="AS75" s="1225"/>
      <c r="AT75" s="1225"/>
      <c r="AU75" s="1225"/>
      <c r="AV75" s="1225"/>
      <c r="AW75" s="1225"/>
      <c r="AX75" s="1225"/>
      <c r="AY75" s="1226"/>
    </row>
    <row r="76" spans="1:51">
      <c r="A76" s="1247" t="s">
        <v>224</v>
      </c>
      <c r="B76" s="1248"/>
      <c r="C76" s="1248"/>
      <c r="D76" s="1248"/>
      <c r="E76" s="1248"/>
      <c r="F76" s="1248"/>
      <c r="G76" s="1248"/>
      <c r="H76" s="1248"/>
      <c r="I76" s="1248"/>
      <c r="J76" s="1248"/>
      <c r="K76" s="1248"/>
      <c r="L76" s="1248"/>
      <c r="M76" s="1248"/>
      <c r="N76" s="1248"/>
      <c r="O76" s="1248"/>
      <c r="P76" s="1248"/>
      <c r="Q76" s="1248"/>
      <c r="R76" s="1248"/>
      <c r="S76" s="1248"/>
      <c r="T76" s="1248"/>
      <c r="U76" s="1248"/>
      <c r="V76" s="1248"/>
      <c r="W76" s="1248"/>
      <c r="X76" s="1248"/>
      <c r="Y76" s="1248"/>
      <c r="Z76" s="1248"/>
      <c r="AA76" s="1248"/>
      <c r="AB76" s="1248"/>
      <c r="AC76" s="1248"/>
      <c r="AD76" s="1248"/>
      <c r="AE76" s="1248"/>
      <c r="AF76" s="1248"/>
      <c r="AG76" s="1248"/>
      <c r="AH76" s="1248"/>
      <c r="AI76" s="1248"/>
      <c r="AJ76" s="1248"/>
      <c r="AK76" s="1248"/>
      <c r="AL76" s="1248"/>
      <c r="AM76" s="1248"/>
      <c r="AN76" s="1248"/>
      <c r="AO76" s="1248"/>
      <c r="AP76" s="1248"/>
      <c r="AQ76" s="1248"/>
      <c r="AR76" s="1248"/>
      <c r="AS76" s="1248"/>
      <c r="AT76" s="1248"/>
      <c r="AU76" s="1248"/>
      <c r="AV76" s="1248"/>
      <c r="AW76" s="1248"/>
      <c r="AX76" s="1248"/>
      <c r="AY76" s="1249"/>
    </row>
    <row r="77" spans="1:51">
      <c r="A77" s="1244" t="s">
        <v>225</v>
      </c>
      <c r="B77" s="1245"/>
      <c r="C77" s="1245"/>
      <c r="D77" s="1245"/>
      <c r="E77" s="1245"/>
      <c r="F77" s="1245"/>
      <c r="G77" s="1245"/>
      <c r="H77" s="1245"/>
      <c r="I77" s="1245"/>
      <c r="J77" s="1245"/>
      <c r="K77" s="1245"/>
      <c r="L77" s="1245"/>
      <c r="M77" s="1245"/>
      <c r="N77" s="1245"/>
      <c r="O77" s="1245"/>
      <c r="P77" s="1245"/>
      <c r="Q77" s="1245"/>
      <c r="R77" s="1245"/>
      <c r="S77" s="1245"/>
      <c r="T77" s="1245"/>
      <c r="U77" s="1245"/>
      <c r="V77" s="1245"/>
      <c r="W77" s="1245"/>
      <c r="X77" s="1245"/>
      <c r="Y77" s="1245"/>
      <c r="Z77" s="1245"/>
      <c r="AA77" s="1245"/>
      <c r="AB77" s="1245"/>
      <c r="AC77" s="1245"/>
      <c r="AD77" s="1245"/>
      <c r="AE77" s="1245"/>
      <c r="AF77" s="1245"/>
      <c r="AG77" s="1245"/>
      <c r="AH77" s="1245"/>
      <c r="AI77" s="1245"/>
      <c r="AJ77" s="1245"/>
      <c r="AK77" s="1245"/>
      <c r="AL77" s="1245"/>
      <c r="AM77" s="1245"/>
      <c r="AN77" s="1245"/>
      <c r="AO77" s="1245"/>
      <c r="AP77" s="1245"/>
      <c r="AQ77" s="1245"/>
      <c r="AR77" s="1245"/>
      <c r="AS77" s="1245"/>
      <c r="AT77" s="1245"/>
      <c r="AU77" s="1245"/>
      <c r="AV77" s="1245"/>
      <c r="AW77" s="1245"/>
      <c r="AX77" s="1245"/>
      <c r="AY77" s="1246"/>
    </row>
    <row r="78" spans="1:51">
      <c r="A78" s="1219" t="s">
        <v>226</v>
      </c>
      <c r="B78" s="1220"/>
      <c r="C78" s="1220"/>
      <c r="D78" s="1220"/>
      <c r="E78" s="1220"/>
      <c r="F78" s="1220"/>
      <c r="G78" s="1220"/>
      <c r="H78" s="1220"/>
      <c r="I78" s="1220"/>
      <c r="J78" s="1220"/>
      <c r="K78" s="1220"/>
      <c r="L78" s="1220"/>
      <c r="M78" s="1220"/>
      <c r="N78" s="1220"/>
      <c r="O78" s="1220"/>
      <c r="P78" s="1220"/>
      <c r="Q78" s="1220"/>
      <c r="R78" s="1220"/>
      <c r="S78" s="1220"/>
      <c r="T78" s="1220"/>
      <c r="U78" s="1220"/>
      <c r="V78" s="1220"/>
      <c r="W78" s="1220"/>
      <c r="X78" s="1220"/>
      <c r="Y78" s="1220"/>
      <c r="Z78" s="1220"/>
      <c r="AA78" s="1220"/>
      <c r="AB78" s="1220"/>
      <c r="AC78" s="1220"/>
      <c r="AD78" s="1220"/>
      <c r="AE78" s="1220"/>
      <c r="AF78" s="1220"/>
      <c r="AG78" s="1220"/>
      <c r="AH78" s="1220"/>
      <c r="AI78" s="1220"/>
      <c r="AJ78" s="1220"/>
      <c r="AK78" s="1220"/>
      <c r="AL78" s="1220"/>
      <c r="AM78" s="1220"/>
      <c r="AN78" s="1220"/>
      <c r="AO78" s="1220"/>
      <c r="AP78" s="1220"/>
      <c r="AQ78" s="1220"/>
      <c r="AR78" s="1220"/>
      <c r="AS78" s="1220"/>
      <c r="AT78" s="1220"/>
      <c r="AU78" s="1220"/>
      <c r="AV78" s="1220"/>
      <c r="AW78" s="1220"/>
      <c r="AX78" s="1220"/>
      <c r="AY78" s="1221"/>
    </row>
    <row r="79" spans="1:51">
      <c r="A79" s="1241" t="s">
        <v>227</v>
      </c>
      <c r="B79" s="1242"/>
      <c r="C79" s="1242"/>
      <c r="D79" s="1242"/>
      <c r="E79" s="1242"/>
      <c r="F79" s="1242"/>
      <c r="G79" s="1242"/>
      <c r="H79" s="1242"/>
      <c r="I79" s="1242"/>
      <c r="J79" s="1242"/>
      <c r="K79" s="1242"/>
      <c r="L79" s="1242"/>
      <c r="M79" s="1242"/>
      <c r="N79" s="1242"/>
      <c r="O79" s="1242"/>
      <c r="P79" s="1242"/>
      <c r="Q79" s="1242"/>
      <c r="R79" s="1242"/>
      <c r="S79" s="1242"/>
      <c r="T79" s="1242"/>
      <c r="U79" s="1242"/>
      <c r="V79" s="1242"/>
      <c r="W79" s="1242"/>
      <c r="X79" s="1242"/>
      <c r="Y79" s="1242"/>
      <c r="Z79" s="1242"/>
      <c r="AA79" s="1242"/>
      <c r="AB79" s="1242"/>
      <c r="AC79" s="1242"/>
      <c r="AD79" s="1242"/>
      <c r="AE79" s="1242"/>
      <c r="AF79" s="1242"/>
      <c r="AG79" s="1242"/>
      <c r="AH79" s="1242"/>
      <c r="AI79" s="1242"/>
      <c r="AJ79" s="1242"/>
      <c r="AK79" s="1242"/>
      <c r="AL79" s="1242"/>
      <c r="AM79" s="1242"/>
      <c r="AN79" s="1242"/>
      <c r="AO79" s="1242"/>
      <c r="AP79" s="1242"/>
      <c r="AQ79" s="1242"/>
      <c r="AR79" s="1242"/>
      <c r="AS79" s="1242"/>
      <c r="AT79" s="1242"/>
      <c r="AU79" s="1242"/>
      <c r="AV79" s="1242"/>
      <c r="AW79" s="1242"/>
      <c r="AX79" s="1242"/>
      <c r="AY79" s="1243"/>
    </row>
    <row r="80" spans="1:51">
      <c r="A80" s="1218" t="s">
        <v>228</v>
      </c>
      <c r="B80" s="1239"/>
      <c r="C80" s="1239"/>
      <c r="D80" s="1239"/>
      <c r="E80" s="1239"/>
      <c r="F80" s="1239"/>
      <c r="G80" s="1239"/>
      <c r="H80" s="1239"/>
      <c r="I80" s="1239"/>
      <c r="J80" s="1239"/>
      <c r="K80" s="1239"/>
      <c r="L80" s="1239"/>
      <c r="M80" s="1239"/>
      <c r="N80" s="1239"/>
      <c r="O80" s="1239"/>
      <c r="P80" s="1239"/>
      <c r="Q80" s="1239"/>
      <c r="R80" s="1239"/>
      <c r="S80" s="1239"/>
      <c r="T80" s="1239"/>
      <c r="U80" s="1239"/>
      <c r="V80" s="1239"/>
      <c r="W80" s="1239"/>
      <c r="X80" s="1239"/>
      <c r="Y80" s="1239"/>
      <c r="Z80" s="1239"/>
      <c r="AA80" s="1239"/>
      <c r="AB80" s="1239"/>
      <c r="AC80" s="1239"/>
      <c r="AD80" s="1239"/>
      <c r="AE80" s="1239"/>
      <c r="AF80" s="1239"/>
      <c r="AG80" s="1239"/>
      <c r="AH80" s="1239"/>
      <c r="AI80" s="1239"/>
      <c r="AJ80" s="1239"/>
      <c r="AK80" s="1239"/>
      <c r="AL80" s="1239"/>
      <c r="AM80" s="1239"/>
      <c r="AN80" s="1239"/>
      <c r="AO80" s="1239"/>
      <c r="AP80" s="1239"/>
      <c r="AQ80" s="1239"/>
      <c r="AR80" s="1239"/>
      <c r="AS80" s="1239"/>
      <c r="AT80" s="1239"/>
      <c r="AU80" s="1239"/>
      <c r="AV80" s="1239"/>
      <c r="AW80" s="1239"/>
      <c r="AX80" s="1239"/>
      <c r="AY80" s="1240"/>
    </row>
    <row r="81" spans="1:51">
      <c r="A81" s="1219" t="s">
        <v>229</v>
      </c>
      <c r="B81" s="1220"/>
      <c r="C81" s="1220"/>
      <c r="D81" s="1220"/>
      <c r="E81" s="1220"/>
      <c r="F81" s="1220"/>
      <c r="G81" s="1220"/>
      <c r="H81" s="1220"/>
      <c r="I81" s="1220"/>
      <c r="J81" s="1220"/>
      <c r="K81" s="1220"/>
      <c r="L81" s="1220"/>
      <c r="M81" s="1220"/>
      <c r="N81" s="1220"/>
      <c r="O81" s="1220"/>
      <c r="P81" s="1220"/>
      <c r="Q81" s="1220"/>
      <c r="R81" s="1220"/>
      <c r="S81" s="1220"/>
      <c r="T81" s="1220"/>
      <c r="U81" s="1220"/>
      <c r="V81" s="1220"/>
      <c r="W81" s="1220"/>
      <c r="X81" s="1220"/>
      <c r="Y81" s="1220"/>
      <c r="Z81" s="1220"/>
      <c r="AA81" s="1220"/>
      <c r="AB81" s="1220"/>
      <c r="AC81" s="1220"/>
      <c r="AD81" s="1220"/>
      <c r="AE81" s="1220"/>
      <c r="AF81" s="1220"/>
      <c r="AG81" s="1220"/>
      <c r="AH81" s="1220"/>
      <c r="AI81" s="1220"/>
      <c r="AJ81" s="1220"/>
      <c r="AK81" s="1220"/>
      <c r="AL81" s="1220"/>
      <c r="AM81" s="1220"/>
      <c r="AN81" s="1220"/>
      <c r="AO81" s="1220"/>
      <c r="AP81" s="1220"/>
      <c r="AQ81" s="1220"/>
      <c r="AR81" s="1220"/>
      <c r="AS81" s="1220"/>
      <c r="AT81" s="1220"/>
      <c r="AU81" s="1220"/>
      <c r="AV81" s="1220"/>
      <c r="AW81" s="1220"/>
      <c r="AX81" s="1220"/>
      <c r="AY81" s="1221"/>
    </row>
    <row r="82" spans="1:51">
      <c r="A82" s="1206" t="s">
        <v>230</v>
      </c>
      <c r="B82" s="1207"/>
      <c r="C82" s="1207"/>
      <c r="D82" s="1207"/>
      <c r="E82" s="1207"/>
      <c r="F82" s="1207"/>
      <c r="G82" s="1207"/>
      <c r="H82" s="1207"/>
      <c r="I82" s="1207"/>
      <c r="J82" s="1207"/>
      <c r="K82" s="1207"/>
      <c r="L82" s="1207"/>
      <c r="M82" s="1207"/>
      <c r="N82" s="1207"/>
      <c r="O82" s="1207"/>
      <c r="P82" s="1207"/>
      <c r="Q82" s="1207"/>
      <c r="R82" s="1207"/>
      <c r="S82" s="1207"/>
      <c r="T82" s="1207"/>
      <c r="U82" s="1207"/>
      <c r="V82" s="1207"/>
      <c r="W82" s="1207"/>
      <c r="X82" s="1207"/>
      <c r="Y82" s="1207"/>
      <c r="Z82" s="1207"/>
      <c r="AA82" s="1207"/>
      <c r="AB82" s="1207"/>
      <c r="AC82" s="1207"/>
      <c r="AD82" s="1207"/>
      <c r="AE82" s="1207"/>
      <c r="AF82" s="1207"/>
      <c r="AG82" s="1207"/>
      <c r="AH82" s="1207"/>
      <c r="AI82" s="1207"/>
      <c r="AJ82" s="1207"/>
      <c r="AK82" s="1207"/>
      <c r="AL82" s="1207"/>
      <c r="AM82" s="1207"/>
      <c r="AN82" s="1207"/>
      <c r="AO82" s="1207"/>
      <c r="AP82" s="1207"/>
      <c r="AQ82" s="1207"/>
      <c r="AR82" s="1207"/>
      <c r="AS82" s="1207"/>
      <c r="AT82" s="1207"/>
      <c r="AU82" s="1207"/>
      <c r="AV82" s="1207"/>
      <c r="AW82" s="1207"/>
      <c r="AX82" s="1207"/>
      <c r="AY82" s="1208"/>
    </row>
    <row r="83" spans="1:51">
      <c r="A83" s="1209" t="s">
        <v>231</v>
      </c>
      <c r="B83" s="1225"/>
      <c r="C83" s="1225"/>
      <c r="D83" s="1225"/>
      <c r="E83" s="1225"/>
      <c r="F83" s="1225"/>
      <c r="G83" s="1225"/>
      <c r="H83" s="1225"/>
      <c r="I83" s="1225"/>
      <c r="J83" s="1225"/>
      <c r="K83" s="1225"/>
      <c r="L83" s="1225"/>
      <c r="M83" s="1225"/>
      <c r="N83" s="1225"/>
      <c r="O83" s="1225"/>
      <c r="P83" s="1225"/>
      <c r="Q83" s="1225"/>
      <c r="R83" s="1225"/>
      <c r="S83" s="1225"/>
      <c r="T83" s="1225"/>
      <c r="U83" s="1225"/>
      <c r="V83" s="1225"/>
      <c r="W83" s="1225"/>
      <c r="X83" s="1225"/>
      <c r="Y83" s="1225"/>
      <c r="Z83" s="1225"/>
      <c r="AA83" s="1225"/>
      <c r="AB83" s="1225"/>
      <c r="AC83" s="1225"/>
      <c r="AD83" s="1225"/>
      <c r="AE83" s="1225"/>
      <c r="AF83" s="1225"/>
      <c r="AG83" s="1225"/>
      <c r="AH83" s="1225"/>
      <c r="AI83" s="1225"/>
      <c r="AJ83" s="1225"/>
      <c r="AK83" s="1225"/>
      <c r="AL83" s="1225"/>
      <c r="AM83" s="1225"/>
      <c r="AN83" s="1225"/>
      <c r="AO83" s="1225"/>
      <c r="AP83" s="1225"/>
      <c r="AQ83" s="1225"/>
      <c r="AR83" s="1225"/>
      <c r="AS83" s="1225"/>
      <c r="AT83" s="1225"/>
      <c r="AU83" s="1225"/>
      <c r="AV83" s="1225"/>
      <c r="AW83" s="1225"/>
      <c r="AX83" s="1225"/>
      <c r="AY83" s="1226"/>
    </row>
    <row r="84" spans="1:51">
      <c r="A84" s="250" t="s">
        <v>232</v>
      </c>
      <c r="B84" s="251"/>
      <c r="C84" s="251"/>
      <c r="D84" s="251"/>
      <c r="E84" s="251"/>
      <c r="F84" s="251"/>
      <c r="G84" s="251"/>
      <c r="H84" s="251"/>
      <c r="I84" s="251"/>
      <c r="J84" s="251"/>
      <c r="K84" s="251"/>
      <c r="L84" s="251"/>
      <c r="M84" s="251"/>
      <c r="N84" s="251"/>
      <c r="O84" s="251"/>
      <c r="P84" s="251"/>
      <c r="Q84" s="251"/>
      <c r="R84" s="251"/>
      <c r="S84" s="251"/>
      <c r="T84" s="251"/>
      <c r="U84" s="251"/>
      <c r="V84" s="251"/>
      <c r="W84" s="251"/>
      <c r="X84" s="251"/>
      <c r="Y84" s="251"/>
      <c r="Z84" s="251"/>
      <c r="AA84" s="251"/>
      <c r="AB84" s="251"/>
      <c r="AC84" s="251"/>
      <c r="AD84" s="251"/>
      <c r="AE84" s="251"/>
      <c r="AF84" s="251"/>
      <c r="AG84" s="251"/>
      <c r="AH84" s="251"/>
      <c r="AI84" s="251"/>
      <c r="AJ84" s="251"/>
      <c r="AK84" s="251"/>
      <c r="AL84" s="251"/>
      <c r="AM84" s="251"/>
      <c r="AN84" s="251"/>
      <c r="AO84" s="251"/>
      <c r="AP84" s="251"/>
      <c r="AQ84" s="251"/>
      <c r="AR84" s="251"/>
      <c r="AS84" s="251"/>
      <c r="AT84" s="251"/>
      <c r="AU84" s="251"/>
      <c r="AV84" s="251"/>
      <c r="AW84" s="251"/>
      <c r="AX84" s="251"/>
      <c r="AY84" s="252"/>
    </row>
    <row r="85" spans="1:51">
      <c r="A85" s="1218" t="s">
        <v>233</v>
      </c>
      <c r="B85" s="1213"/>
      <c r="C85" s="1213"/>
      <c r="D85" s="1213"/>
      <c r="E85" s="1213"/>
      <c r="F85" s="1213"/>
      <c r="G85" s="1213"/>
      <c r="H85" s="1213"/>
      <c r="I85" s="1213"/>
      <c r="J85" s="1213"/>
      <c r="K85" s="1213"/>
      <c r="L85" s="1213"/>
      <c r="M85" s="1213"/>
      <c r="N85" s="1213"/>
      <c r="O85" s="1213"/>
      <c r="P85" s="1213"/>
      <c r="Q85" s="1213"/>
      <c r="R85" s="1213"/>
      <c r="S85" s="1213"/>
      <c r="T85" s="1213"/>
      <c r="U85" s="1213"/>
      <c r="V85" s="1213"/>
      <c r="W85" s="1213"/>
      <c r="X85" s="1213"/>
      <c r="Y85" s="1213"/>
      <c r="Z85" s="1213"/>
      <c r="AA85" s="1213"/>
      <c r="AB85" s="1213"/>
      <c r="AC85" s="1213"/>
      <c r="AD85" s="1213"/>
      <c r="AE85" s="1213"/>
      <c r="AF85" s="1213"/>
      <c r="AG85" s="1213"/>
      <c r="AH85" s="1213"/>
      <c r="AI85" s="1213"/>
      <c r="AJ85" s="1213"/>
      <c r="AK85" s="1213"/>
      <c r="AL85" s="1213"/>
      <c r="AM85" s="1213"/>
      <c r="AN85" s="1213"/>
      <c r="AO85" s="1213"/>
      <c r="AP85" s="1213"/>
      <c r="AQ85" s="1213"/>
      <c r="AR85" s="1213"/>
      <c r="AS85" s="1213"/>
      <c r="AT85" s="1213"/>
      <c r="AU85" s="1213"/>
      <c r="AV85" s="1213"/>
      <c r="AW85" s="1213"/>
      <c r="AX85" s="1213"/>
      <c r="AY85" s="1214"/>
    </row>
    <row r="86" spans="1:51">
      <c r="A86" s="1219" t="s">
        <v>234</v>
      </c>
      <c r="B86" s="1220"/>
      <c r="C86" s="1220"/>
      <c r="D86" s="1220"/>
      <c r="E86" s="1220"/>
      <c r="F86" s="1220"/>
      <c r="G86" s="1220"/>
      <c r="H86" s="1220"/>
      <c r="I86" s="1220"/>
      <c r="J86" s="1220"/>
      <c r="K86" s="1220"/>
      <c r="L86" s="1220"/>
      <c r="M86" s="1220"/>
      <c r="N86" s="1220"/>
      <c r="O86" s="1220"/>
      <c r="P86" s="1220"/>
      <c r="Q86" s="1220"/>
      <c r="R86" s="1220"/>
      <c r="S86" s="1220"/>
      <c r="T86" s="1220"/>
      <c r="U86" s="1220"/>
      <c r="V86" s="1220"/>
      <c r="W86" s="1220"/>
      <c r="X86" s="1220"/>
      <c r="Y86" s="1220"/>
      <c r="Z86" s="1220"/>
      <c r="AA86" s="1220"/>
      <c r="AB86" s="1220"/>
      <c r="AC86" s="1220"/>
      <c r="AD86" s="1220"/>
      <c r="AE86" s="1220"/>
      <c r="AF86" s="1220"/>
      <c r="AG86" s="1220"/>
      <c r="AH86" s="1220"/>
      <c r="AI86" s="1220"/>
      <c r="AJ86" s="1220"/>
      <c r="AK86" s="1220"/>
      <c r="AL86" s="1220"/>
      <c r="AM86" s="1220"/>
      <c r="AN86" s="1220"/>
      <c r="AO86" s="1220"/>
      <c r="AP86" s="1220"/>
      <c r="AQ86" s="1220"/>
      <c r="AR86" s="1220"/>
      <c r="AS86" s="1220"/>
      <c r="AT86" s="1220"/>
      <c r="AU86" s="1220"/>
      <c r="AV86" s="1220"/>
      <c r="AW86" s="1220"/>
      <c r="AX86" s="1220"/>
      <c r="AY86" s="1221"/>
    </row>
    <row r="87" spans="1:51">
      <c r="A87" s="1222" t="s">
        <v>235</v>
      </c>
      <c r="B87" s="1223"/>
      <c r="C87" s="1223"/>
      <c r="D87" s="1223"/>
      <c r="E87" s="1223"/>
      <c r="F87" s="1223"/>
      <c r="G87" s="1223"/>
      <c r="H87" s="1223"/>
      <c r="I87" s="1223"/>
      <c r="J87" s="1223"/>
      <c r="K87" s="1223"/>
      <c r="L87" s="1223"/>
      <c r="M87" s="1223"/>
      <c r="N87" s="1223"/>
      <c r="O87" s="1223"/>
      <c r="P87" s="1223"/>
      <c r="Q87" s="1223"/>
      <c r="R87" s="1223"/>
      <c r="S87" s="1223"/>
      <c r="T87" s="1223"/>
      <c r="U87" s="1223"/>
      <c r="V87" s="1223"/>
      <c r="W87" s="1223"/>
      <c r="X87" s="1223"/>
      <c r="Y87" s="1223"/>
      <c r="Z87" s="1223"/>
      <c r="AA87" s="1223"/>
      <c r="AB87" s="1223"/>
      <c r="AC87" s="1223"/>
      <c r="AD87" s="1223"/>
      <c r="AE87" s="1223"/>
      <c r="AF87" s="1223"/>
      <c r="AG87" s="1223"/>
      <c r="AH87" s="1223"/>
      <c r="AI87" s="1223"/>
      <c r="AJ87" s="1223"/>
      <c r="AK87" s="1223"/>
      <c r="AL87" s="1223"/>
      <c r="AM87" s="1223"/>
      <c r="AN87" s="1223"/>
      <c r="AO87" s="1223"/>
      <c r="AP87" s="1223"/>
      <c r="AQ87" s="1223"/>
      <c r="AR87" s="1223"/>
      <c r="AS87" s="1223"/>
      <c r="AT87" s="1223"/>
      <c r="AU87" s="1223"/>
      <c r="AV87" s="1223"/>
      <c r="AW87" s="1223"/>
      <c r="AX87" s="1223"/>
      <c r="AY87" s="1224"/>
    </row>
    <row r="88" spans="1:51">
      <c r="A88" s="1209" t="s">
        <v>236</v>
      </c>
      <c r="B88" s="1210"/>
      <c r="C88" s="1210"/>
      <c r="D88" s="1210"/>
      <c r="E88" s="1210"/>
      <c r="F88" s="1210"/>
      <c r="G88" s="1210"/>
      <c r="H88" s="1210"/>
      <c r="I88" s="1210"/>
      <c r="J88" s="1210"/>
      <c r="K88" s="1210"/>
      <c r="L88" s="1210"/>
      <c r="M88" s="1210"/>
      <c r="N88" s="1210"/>
      <c r="O88" s="1210"/>
      <c r="P88" s="1210"/>
      <c r="Q88" s="1210"/>
      <c r="R88" s="1210"/>
      <c r="S88" s="1210"/>
      <c r="T88" s="1210"/>
      <c r="U88" s="1210"/>
      <c r="V88" s="1210"/>
      <c r="W88" s="1210"/>
      <c r="X88" s="1210"/>
      <c r="Y88" s="1210"/>
      <c r="Z88" s="1210"/>
      <c r="AA88" s="1210"/>
      <c r="AB88" s="1210"/>
      <c r="AC88" s="1210"/>
      <c r="AD88" s="1210"/>
      <c r="AE88" s="1210"/>
      <c r="AF88" s="1210"/>
      <c r="AG88" s="1210"/>
      <c r="AH88" s="1210"/>
      <c r="AI88" s="1210"/>
      <c r="AJ88" s="1210"/>
      <c r="AK88" s="1210"/>
      <c r="AL88" s="1210"/>
      <c r="AM88" s="1210"/>
      <c r="AN88" s="1210"/>
      <c r="AO88" s="1210"/>
      <c r="AP88" s="1210"/>
      <c r="AQ88" s="1210"/>
      <c r="AR88" s="1210"/>
      <c r="AS88" s="1210"/>
      <c r="AT88" s="1210"/>
      <c r="AU88" s="1210"/>
      <c r="AV88" s="1210"/>
      <c r="AW88" s="1210"/>
      <c r="AX88" s="1210"/>
      <c r="AY88" s="1211"/>
    </row>
    <row r="89" spans="1:51">
      <c r="A89" s="1206" t="s">
        <v>237</v>
      </c>
      <c r="B89" s="1207"/>
      <c r="C89" s="1207"/>
      <c r="D89" s="1207"/>
      <c r="E89" s="1207"/>
      <c r="F89" s="1207"/>
      <c r="G89" s="1207"/>
      <c r="H89" s="1207"/>
      <c r="I89" s="1207"/>
      <c r="J89" s="1207"/>
      <c r="K89" s="1207"/>
      <c r="L89" s="1207"/>
      <c r="M89" s="1207"/>
      <c r="N89" s="1207"/>
      <c r="O89" s="1207"/>
      <c r="P89" s="1207"/>
      <c r="Q89" s="1207"/>
      <c r="R89" s="1207"/>
      <c r="S89" s="1207"/>
      <c r="T89" s="1207"/>
      <c r="U89" s="1207"/>
      <c r="V89" s="1207"/>
      <c r="W89" s="1207"/>
      <c r="X89" s="1207"/>
      <c r="Y89" s="1207"/>
      <c r="Z89" s="1207"/>
      <c r="AA89" s="1207"/>
      <c r="AB89" s="1207"/>
      <c r="AC89" s="1207"/>
      <c r="AD89" s="1207"/>
      <c r="AE89" s="1207"/>
      <c r="AF89" s="1207"/>
      <c r="AG89" s="1207"/>
      <c r="AH89" s="1207"/>
      <c r="AI89" s="1207"/>
      <c r="AJ89" s="1207"/>
      <c r="AK89" s="1207"/>
      <c r="AL89" s="1207"/>
      <c r="AM89" s="1207"/>
      <c r="AN89" s="1207"/>
      <c r="AO89" s="1207"/>
      <c r="AP89" s="1207"/>
      <c r="AQ89" s="1207"/>
      <c r="AR89" s="1207"/>
      <c r="AS89" s="1207"/>
      <c r="AT89" s="1207"/>
      <c r="AU89" s="1207"/>
      <c r="AV89" s="1207"/>
      <c r="AW89" s="1207"/>
      <c r="AX89" s="1207"/>
      <c r="AY89" s="1208"/>
    </row>
    <row r="90" spans="1:51">
      <c r="A90" s="1209" t="s">
        <v>238</v>
      </c>
      <c r="B90" s="1210"/>
      <c r="C90" s="1210"/>
      <c r="D90" s="1210"/>
      <c r="E90" s="1210"/>
      <c r="F90" s="1210"/>
      <c r="G90" s="1210"/>
      <c r="H90" s="1210"/>
      <c r="I90" s="1210"/>
      <c r="J90" s="1210"/>
      <c r="K90" s="1210"/>
      <c r="L90" s="1210"/>
      <c r="M90" s="1210"/>
      <c r="N90" s="1210"/>
      <c r="O90" s="1210"/>
      <c r="P90" s="1210"/>
      <c r="Q90" s="1210"/>
      <c r="R90" s="1210"/>
      <c r="S90" s="1210"/>
      <c r="T90" s="1210"/>
      <c r="U90" s="1210"/>
      <c r="V90" s="1210"/>
      <c r="W90" s="1210"/>
      <c r="X90" s="1210"/>
      <c r="Y90" s="1210"/>
      <c r="Z90" s="1210"/>
      <c r="AA90" s="1210"/>
      <c r="AB90" s="1210"/>
      <c r="AC90" s="1210"/>
      <c r="AD90" s="1210"/>
      <c r="AE90" s="1210"/>
      <c r="AF90" s="1210"/>
      <c r="AG90" s="1210"/>
      <c r="AH90" s="1210"/>
      <c r="AI90" s="1210"/>
      <c r="AJ90" s="1210"/>
      <c r="AK90" s="1210"/>
      <c r="AL90" s="1210"/>
      <c r="AM90" s="1210"/>
      <c r="AN90" s="1210"/>
      <c r="AO90" s="1210"/>
      <c r="AP90" s="1210"/>
      <c r="AQ90" s="1210"/>
      <c r="AR90" s="1210"/>
      <c r="AS90" s="1210"/>
      <c r="AT90" s="1210"/>
      <c r="AU90" s="1210"/>
      <c r="AV90" s="1210"/>
      <c r="AW90" s="1210"/>
      <c r="AX90" s="1210"/>
      <c r="AY90" s="1211"/>
    </row>
    <row r="91" spans="1:51">
      <c r="A91" s="1206" t="s">
        <v>239</v>
      </c>
      <c r="B91" s="1207"/>
      <c r="C91" s="1207"/>
      <c r="D91" s="1207"/>
      <c r="E91" s="1207"/>
      <c r="F91" s="1207"/>
      <c r="G91" s="1207"/>
      <c r="H91" s="1207"/>
      <c r="I91" s="1207"/>
      <c r="J91" s="1207"/>
      <c r="K91" s="1207"/>
      <c r="L91" s="1207"/>
      <c r="M91" s="1207"/>
      <c r="N91" s="1207"/>
      <c r="O91" s="1207"/>
      <c r="P91" s="1207"/>
      <c r="Q91" s="1207"/>
      <c r="R91" s="1207"/>
      <c r="S91" s="1207"/>
      <c r="T91" s="1207"/>
      <c r="U91" s="1207"/>
      <c r="V91" s="1207"/>
      <c r="W91" s="1207"/>
      <c r="X91" s="1207"/>
      <c r="Y91" s="1207"/>
      <c r="Z91" s="1207"/>
      <c r="AA91" s="1207"/>
      <c r="AB91" s="1207"/>
      <c r="AC91" s="1207"/>
      <c r="AD91" s="1207"/>
      <c r="AE91" s="1207"/>
      <c r="AF91" s="1207"/>
      <c r="AG91" s="1207"/>
      <c r="AH91" s="1207"/>
      <c r="AI91" s="1207"/>
      <c r="AJ91" s="1207"/>
      <c r="AK91" s="1207"/>
      <c r="AL91" s="1207"/>
      <c r="AM91" s="1207"/>
      <c r="AN91" s="1207"/>
      <c r="AO91" s="1207"/>
      <c r="AP91" s="1207"/>
      <c r="AQ91" s="1207"/>
      <c r="AR91" s="1207"/>
      <c r="AS91" s="1207"/>
      <c r="AT91" s="1207"/>
      <c r="AU91" s="1207"/>
      <c r="AV91" s="1207"/>
      <c r="AW91" s="1207"/>
      <c r="AX91" s="1207"/>
      <c r="AY91" s="1208"/>
    </row>
    <row r="92" spans="1:51">
      <c r="A92" s="1209" t="s">
        <v>240</v>
      </c>
      <c r="B92" s="1210"/>
      <c r="C92" s="1210"/>
      <c r="D92" s="1210"/>
      <c r="E92" s="1210"/>
      <c r="F92" s="1210"/>
      <c r="G92" s="1210"/>
      <c r="H92" s="1210"/>
      <c r="I92" s="1210"/>
      <c r="J92" s="1210"/>
      <c r="K92" s="1210"/>
      <c r="L92" s="1210"/>
      <c r="M92" s="1210"/>
      <c r="N92" s="1210"/>
      <c r="O92" s="1210"/>
      <c r="P92" s="1210"/>
      <c r="Q92" s="1210"/>
      <c r="R92" s="1210"/>
      <c r="S92" s="1210"/>
      <c r="T92" s="1210"/>
      <c r="U92" s="1210"/>
      <c r="V92" s="1210"/>
      <c r="W92" s="1210"/>
      <c r="X92" s="1210"/>
      <c r="Y92" s="1210"/>
      <c r="Z92" s="1210"/>
      <c r="AA92" s="1210"/>
      <c r="AB92" s="1210"/>
      <c r="AC92" s="1210"/>
      <c r="AD92" s="1210"/>
      <c r="AE92" s="1210"/>
      <c r="AF92" s="1210"/>
      <c r="AG92" s="1210"/>
      <c r="AH92" s="1210"/>
      <c r="AI92" s="1210"/>
      <c r="AJ92" s="1210"/>
      <c r="AK92" s="1210"/>
      <c r="AL92" s="1210"/>
      <c r="AM92" s="1210"/>
      <c r="AN92" s="1210"/>
      <c r="AO92" s="1210"/>
      <c r="AP92" s="1210"/>
      <c r="AQ92" s="1210"/>
      <c r="AR92" s="1210"/>
      <c r="AS92" s="1210"/>
      <c r="AT92" s="1210"/>
      <c r="AU92" s="1210"/>
      <c r="AV92" s="1210"/>
      <c r="AW92" s="1210"/>
      <c r="AX92" s="1210"/>
      <c r="AY92" s="1211"/>
    </row>
    <row r="93" spans="1:51">
      <c r="A93" s="1206" t="s">
        <v>241</v>
      </c>
      <c r="B93" s="1207"/>
      <c r="C93" s="1207"/>
      <c r="D93" s="1207"/>
      <c r="E93" s="1207"/>
      <c r="F93" s="1207"/>
      <c r="G93" s="1207"/>
      <c r="H93" s="1207"/>
      <c r="I93" s="1207"/>
      <c r="J93" s="1207"/>
      <c r="K93" s="1207"/>
      <c r="L93" s="1207"/>
      <c r="M93" s="1207"/>
      <c r="N93" s="1207"/>
      <c r="O93" s="1207"/>
      <c r="P93" s="1207"/>
      <c r="Q93" s="1207"/>
      <c r="R93" s="1207"/>
      <c r="S93" s="1207"/>
      <c r="T93" s="1207"/>
      <c r="U93" s="1207"/>
      <c r="V93" s="1207"/>
      <c r="W93" s="1207"/>
      <c r="X93" s="1207"/>
      <c r="Y93" s="1207"/>
      <c r="Z93" s="1207"/>
      <c r="AA93" s="1207"/>
      <c r="AB93" s="1207"/>
      <c r="AC93" s="1207"/>
      <c r="AD93" s="1207"/>
      <c r="AE93" s="1207"/>
      <c r="AF93" s="1207"/>
      <c r="AG93" s="1207"/>
      <c r="AH93" s="1207"/>
      <c r="AI93" s="1207"/>
      <c r="AJ93" s="1207"/>
      <c r="AK93" s="1207"/>
      <c r="AL93" s="1207"/>
      <c r="AM93" s="1207"/>
      <c r="AN93" s="1207"/>
      <c r="AO93" s="1207"/>
      <c r="AP93" s="1207"/>
      <c r="AQ93" s="1207"/>
      <c r="AR93" s="1207"/>
      <c r="AS93" s="1207"/>
      <c r="AT93" s="1207"/>
      <c r="AU93" s="1207"/>
      <c r="AV93" s="1207"/>
      <c r="AW93" s="1207"/>
      <c r="AX93" s="1207"/>
      <c r="AY93" s="1208"/>
    </row>
    <row r="94" spans="1:51">
      <c r="A94" s="1209" t="s">
        <v>242</v>
      </c>
      <c r="B94" s="1210"/>
      <c r="C94" s="1210"/>
      <c r="D94" s="1210"/>
      <c r="E94" s="1210"/>
      <c r="F94" s="1210"/>
      <c r="G94" s="1210"/>
      <c r="H94" s="1210"/>
      <c r="I94" s="1210"/>
      <c r="J94" s="1210"/>
      <c r="K94" s="1210"/>
      <c r="L94" s="1210"/>
      <c r="M94" s="1210"/>
      <c r="N94" s="1210"/>
      <c r="O94" s="1210"/>
      <c r="P94" s="1210"/>
      <c r="Q94" s="1210"/>
      <c r="R94" s="1210"/>
      <c r="S94" s="1210"/>
      <c r="T94" s="1210"/>
      <c r="U94" s="1210"/>
      <c r="V94" s="1210"/>
      <c r="W94" s="1210"/>
      <c r="X94" s="1210"/>
      <c r="Y94" s="1210"/>
      <c r="Z94" s="1210"/>
      <c r="AA94" s="1210"/>
      <c r="AB94" s="1210"/>
      <c r="AC94" s="1210"/>
      <c r="AD94" s="1210"/>
      <c r="AE94" s="1210"/>
      <c r="AF94" s="1210"/>
      <c r="AG94" s="1210"/>
      <c r="AH94" s="1210"/>
      <c r="AI94" s="1210"/>
      <c r="AJ94" s="1210"/>
      <c r="AK94" s="1210"/>
      <c r="AL94" s="1210"/>
      <c r="AM94" s="1210"/>
      <c r="AN94" s="1210"/>
      <c r="AO94" s="1210"/>
      <c r="AP94" s="1210"/>
      <c r="AQ94" s="1210"/>
      <c r="AR94" s="1210"/>
      <c r="AS94" s="1210"/>
      <c r="AT94" s="1210"/>
      <c r="AU94" s="1210"/>
      <c r="AV94" s="1210"/>
      <c r="AW94" s="1210"/>
      <c r="AX94" s="1210"/>
      <c r="AY94" s="1211"/>
    </row>
    <row r="95" spans="1:51">
      <c r="A95" s="1206" t="s">
        <v>243</v>
      </c>
      <c r="B95" s="1207"/>
      <c r="C95" s="1207"/>
      <c r="D95" s="1207"/>
      <c r="E95" s="1207"/>
      <c r="F95" s="1207"/>
      <c r="G95" s="1207"/>
      <c r="H95" s="1207"/>
      <c r="I95" s="1207"/>
      <c r="J95" s="1207"/>
      <c r="K95" s="1207"/>
      <c r="L95" s="1207"/>
      <c r="M95" s="1207"/>
      <c r="N95" s="1207"/>
      <c r="O95" s="1207"/>
      <c r="P95" s="1207"/>
      <c r="Q95" s="1207"/>
      <c r="R95" s="1207"/>
      <c r="S95" s="1207"/>
      <c r="T95" s="1207"/>
      <c r="U95" s="1207"/>
      <c r="V95" s="1207"/>
      <c r="W95" s="1207"/>
      <c r="X95" s="1207"/>
      <c r="Y95" s="1207"/>
      <c r="Z95" s="1207"/>
      <c r="AA95" s="1207"/>
      <c r="AB95" s="1207"/>
      <c r="AC95" s="1207"/>
      <c r="AD95" s="1207"/>
      <c r="AE95" s="1207"/>
      <c r="AF95" s="1207"/>
      <c r="AG95" s="1207"/>
      <c r="AH95" s="1207"/>
      <c r="AI95" s="1207"/>
      <c r="AJ95" s="1207"/>
      <c r="AK95" s="1207"/>
      <c r="AL95" s="1207"/>
      <c r="AM95" s="1207"/>
      <c r="AN95" s="1207"/>
      <c r="AO95" s="1207"/>
      <c r="AP95" s="1207"/>
      <c r="AQ95" s="1207"/>
      <c r="AR95" s="1207"/>
      <c r="AS95" s="1207"/>
      <c r="AT95" s="1207"/>
      <c r="AU95" s="1207"/>
      <c r="AV95" s="1207"/>
      <c r="AW95" s="1207"/>
      <c r="AX95" s="1207"/>
      <c r="AY95" s="1208"/>
    </row>
    <row r="96" spans="1:51">
      <c r="A96" s="1209" t="s">
        <v>244</v>
      </c>
      <c r="B96" s="1210"/>
      <c r="C96" s="1210"/>
      <c r="D96" s="1210"/>
      <c r="E96" s="1210"/>
      <c r="F96" s="1210"/>
      <c r="G96" s="1210"/>
      <c r="H96" s="1210"/>
      <c r="I96" s="1210"/>
      <c r="J96" s="1210"/>
      <c r="K96" s="1210"/>
      <c r="L96" s="1210"/>
      <c r="M96" s="1210"/>
      <c r="N96" s="1210"/>
      <c r="O96" s="1210"/>
      <c r="P96" s="1210"/>
      <c r="Q96" s="1210"/>
      <c r="R96" s="1210"/>
      <c r="S96" s="1210"/>
      <c r="T96" s="1210"/>
      <c r="U96" s="1210"/>
      <c r="V96" s="1210"/>
      <c r="W96" s="1210"/>
      <c r="X96" s="1210"/>
      <c r="Y96" s="1210"/>
      <c r="Z96" s="1210"/>
      <c r="AA96" s="1210"/>
      <c r="AB96" s="1210"/>
      <c r="AC96" s="1210"/>
      <c r="AD96" s="1210"/>
      <c r="AE96" s="1210"/>
      <c r="AF96" s="1210"/>
      <c r="AG96" s="1210"/>
      <c r="AH96" s="1210"/>
      <c r="AI96" s="1210"/>
      <c r="AJ96" s="1210"/>
      <c r="AK96" s="1210"/>
      <c r="AL96" s="1210"/>
      <c r="AM96" s="1210"/>
      <c r="AN96" s="1210"/>
      <c r="AO96" s="1210"/>
      <c r="AP96" s="1210"/>
      <c r="AQ96" s="1210"/>
      <c r="AR96" s="1210"/>
      <c r="AS96" s="1210"/>
      <c r="AT96" s="1210"/>
      <c r="AU96" s="1210"/>
      <c r="AV96" s="1210"/>
      <c r="AW96" s="1210"/>
      <c r="AX96" s="1210"/>
      <c r="AY96" s="1211"/>
    </row>
    <row r="97" spans="1:51">
      <c r="A97" s="1206" t="s">
        <v>245</v>
      </c>
      <c r="B97" s="1207"/>
      <c r="C97" s="1207"/>
      <c r="D97" s="1207"/>
      <c r="E97" s="1207"/>
      <c r="F97" s="1207"/>
      <c r="G97" s="1207"/>
      <c r="H97" s="1207"/>
      <c r="I97" s="1207"/>
      <c r="J97" s="1207"/>
      <c r="K97" s="1207"/>
      <c r="L97" s="1207"/>
      <c r="M97" s="1207"/>
      <c r="N97" s="1207"/>
      <c r="O97" s="1207"/>
      <c r="P97" s="1207"/>
      <c r="Q97" s="1207"/>
      <c r="R97" s="1207"/>
      <c r="S97" s="1207"/>
      <c r="T97" s="1207"/>
      <c r="U97" s="1207"/>
      <c r="V97" s="1207"/>
      <c r="W97" s="1207"/>
      <c r="X97" s="1207"/>
      <c r="Y97" s="1207"/>
      <c r="Z97" s="1207"/>
      <c r="AA97" s="1207"/>
      <c r="AB97" s="1207"/>
      <c r="AC97" s="1207"/>
      <c r="AD97" s="1207"/>
      <c r="AE97" s="1207"/>
      <c r="AF97" s="1207"/>
      <c r="AG97" s="1207"/>
      <c r="AH97" s="1207"/>
      <c r="AI97" s="1207"/>
      <c r="AJ97" s="1207"/>
      <c r="AK97" s="1207"/>
      <c r="AL97" s="1207"/>
      <c r="AM97" s="1207"/>
      <c r="AN97" s="1207"/>
      <c r="AO97" s="1207"/>
      <c r="AP97" s="1207"/>
      <c r="AQ97" s="1207"/>
      <c r="AR97" s="1207"/>
      <c r="AS97" s="1207"/>
      <c r="AT97" s="1207"/>
      <c r="AU97" s="1207"/>
      <c r="AV97" s="1207"/>
      <c r="AW97" s="1207"/>
      <c r="AX97" s="1207"/>
      <c r="AY97" s="1208"/>
    </row>
    <row r="98" spans="1:51">
      <c r="A98" s="1209" t="s">
        <v>246</v>
      </c>
      <c r="B98" s="1210"/>
      <c r="C98" s="1210"/>
      <c r="D98" s="1210"/>
      <c r="E98" s="1210"/>
      <c r="F98" s="1210"/>
      <c r="G98" s="1210"/>
      <c r="H98" s="1210"/>
      <c r="I98" s="1210"/>
      <c r="J98" s="1210"/>
      <c r="K98" s="1210"/>
      <c r="L98" s="1210"/>
      <c r="M98" s="1210"/>
      <c r="N98" s="1210"/>
      <c r="O98" s="1210"/>
      <c r="P98" s="1210"/>
      <c r="Q98" s="1210"/>
      <c r="R98" s="1210"/>
      <c r="S98" s="1210"/>
      <c r="T98" s="1210"/>
      <c r="U98" s="1210"/>
      <c r="V98" s="1210"/>
      <c r="W98" s="1210"/>
      <c r="X98" s="1210"/>
      <c r="Y98" s="1210"/>
      <c r="Z98" s="1210"/>
      <c r="AA98" s="1210"/>
      <c r="AB98" s="1210"/>
      <c r="AC98" s="1210"/>
      <c r="AD98" s="1210"/>
      <c r="AE98" s="1210"/>
      <c r="AF98" s="1210"/>
      <c r="AG98" s="1210"/>
      <c r="AH98" s="1210"/>
      <c r="AI98" s="1210"/>
      <c r="AJ98" s="1210"/>
      <c r="AK98" s="1210"/>
      <c r="AL98" s="1210"/>
      <c r="AM98" s="1210"/>
      <c r="AN98" s="1210"/>
      <c r="AO98" s="1210"/>
      <c r="AP98" s="1210"/>
      <c r="AQ98" s="1210"/>
      <c r="AR98" s="1210"/>
      <c r="AS98" s="1210"/>
      <c r="AT98" s="1210"/>
      <c r="AU98" s="1210"/>
      <c r="AV98" s="1210"/>
      <c r="AW98" s="1210"/>
      <c r="AX98" s="1210"/>
      <c r="AY98" s="1211"/>
    </row>
    <row r="99" spans="1:51">
      <c r="A99" s="1206" t="s">
        <v>247</v>
      </c>
      <c r="B99" s="1207"/>
      <c r="C99" s="1207"/>
      <c r="D99" s="1207"/>
      <c r="E99" s="1207"/>
      <c r="F99" s="1207"/>
      <c r="G99" s="1207"/>
      <c r="H99" s="1207"/>
      <c r="I99" s="1207"/>
      <c r="J99" s="1207"/>
      <c r="K99" s="1207"/>
      <c r="L99" s="1207"/>
      <c r="M99" s="1207"/>
      <c r="N99" s="1207"/>
      <c r="O99" s="1207"/>
      <c r="P99" s="1207"/>
      <c r="Q99" s="1207"/>
      <c r="R99" s="1207"/>
      <c r="S99" s="1207"/>
      <c r="T99" s="1207"/>
      <c r="U99" s="1207"/>
      <c r="V99" s="1207"/>
      <c r="W99" s="1207"/>
      <c r="X99" s="1207"/>
      <c r="Y99" s="1207"/>
      <c r="Z99" s="1207"/>
      <c r="AA99" s="1207"/>
      <c r="AB99" s="1207"/>
      <c r="AC99" s="1207"/>
      <c r="AD99" s="1207"/>
      <c r="AE99" s="1207"/>
      <c r="AF99" s="1207"/>
      <c r="AG99" s="1207"/>
      <c r="AH99" s="1207"/>
      <c r="AI99" s="1207"/>
      <c r="AJ99" s="1207"/>
      <c r="AK99" s="1207"/>
      <c r="AL99" s="1207"/>
      <c r="AM99" s="1207"/>
      <c r="AN99" s="1207"/>
      <c r="AO99" s="1207"/>
      <c r="AP99" s="1207"/>
      <c r="AQ99" s="1207"/>
      <c r="AR99" s="1207"/>
      <c r="AS99" s="1207"/>
      <c r="AT99" s="1207"/>
      <c r="AU99" s="1207"/>
      <c r="AV99" s="1207"/>
      <c r="AW99" s="1207"/>
      <c r="AX99" s="1207"/>
      <c r="AY99" s="1208"/>
    </row>
    <row r="100" spans="1:51">
      <c r="A100" s="1209" t="s">
        <v>248</v>
      </c>
      <c r="B100" s="1210"/>
      <c r="C100" s="1210"/>
      <c r="D100" s="1210"/>
      <c r="E100" s="1210"/>
      <c r="F100" s="1210"/>
      <c r="G100" s="1210"/>
      <c r="H100" s="1210"/>
      <c r="I100" s="1210"/>
      <c r="J100" s="1210"/>
      <c r="K100" s="1210"/>
      <c r="L100" s="1210"/>
      <c r="M100" s="1210"/>
      <c r="N100" s="1210"/>
      <c r="O100" s="1210"/>
      <c r="P100" s="1210"/>
      <c r="Q100" s="1210"/>
      <c r="R100" s="1210"/>
      <c r="S100" s="1210"/>
      <c r="T100" s="1210"/>
      <c r="U100" s="1210"/>
      <c r="V100" s="1210"/>
      <c r="W100" s="1210"/>
      <c r="X100" s="1210"/>
      <c r="Y100" s="1210"/>
      <c r="Z100" s="1210"/>
      <c r="AA100" s="1210"/>
      <c r="AB100" s="1210"/>
      <c r="AC100" s="1210"/>
      <c r="AD100" s="1210"/>
      <c r="AE100" s="1210"/>
      <c r="AF100" s="1210"/>
      <c r="AG100" s="1210"/>
      <c r="AH100" s="1210"/>
      <c r="AI100" s="1210"/>
      <c r="AJ100" s="1210"/>
      <c r="AK100" s="1210"/>
      <c r="AL100" s="1210"/>
      <c r="AM100" s="1210"/>
      <c r="AN100" s="1210"/>
      <c r="AO100" s="1210"/>
      <c r="AP100" s="1210"/>
      <c r="AQ100" s="1210"/>
      <c r="AR100" s="1210"/>
      <c r="AS100" s="1210"/>
      <c r="AT100" s="1210"/>
      <c r="AU100" s="1210"/>
      <c r="AV100" s="1210"/>
      <c r="AW100" s="1210"/>
      <c r="AX100" s="1210"/>
      <c r="AY100" s="1211"/>
    </row>
    <row r="101" spans="1:51">
      <c r="A101" s="1206" t="s">
        <v>249</v>
      </c>
      <c r="B101" s="1207"/>
      <c r="C101" s="1207"/>
      <c r="D101" s="1207"/>
      <c r="E101" s="1207"/>
      <c r="F101" s="1207"/>
      <c r="G101" s="1207"/>
      <c r="H101" s="1207"/>
      <c r="I101" s="1207"/>
      <c r="J101" s="1207"/>
      <c r="K101" s="1207"/>
      <c r="L101" s="1207"/>
      <c r="M101" s="1207"/>
      <c r="N101" s="1207"/>
      <c r="O101" s="1207"/>
      <c r="P101" s="1207"/>
      <c r="Q101" s="1207"/>
      <c r="R101" s="1207"/>
      <c r="S101" s="1207"/>
      <c r="T101" s="1207"/>
      <c r="U101" s="1207"/>
      <c r="V101" s="1207"/>
      <c r="W101" s="1207"/>
      <c r="X101" s="1207"/>
      <c r="Y101" s="1207"/>
      <c r="Z101" s="1207"/>
      <c r="AA101" s="1207"/>
      <c r="AB101" s="1207"/>
      <c r="AC101" s="1207"/>
      <c r="AD101" s="1207"/>
      <c r="AE101" s="1207"/>
      <c r="AF101" s="1207"/>
      <c r="AG101" s="1207"/>
      <c r="AH101" s="1207"/>
      <c r="AI101" s="1207"/>
      <c r="AJ101" s="1207"/>
      <c r="AK101" s="1207"/>
      <c r="AL101" s="1207"/>
      <c r="AM101" s="1207"/>
      <c r="AN101" s="1207"/>
      <c r="AO101" s="1207"/>
      <c r="AP101" s="1207"/>
      <c r="AQ101" s="1207"/>
      <c r="AR101" s="1207"/>
      <c r="AS101" s="1207"/>
      <c r="AT101" s="1207"/>
      <c r="AU101" s="1207"/>
      <c r="AV101" s="1207"/>
      <c r="AW101" s="1207"/>
      <c r="AX101" s="1207"/>
      <c r="AY101" s="1208"/>
    </row>
    <row r="102" spans="1:51">
      <c r="A102" s="1209" t="s">
        <v>250</v>
      </c>
      <c r="B102" s="1210"/>
      <c r="C102" s="1210"/>
      <c r="D102" s="1210"/>
      <c r="E102" s="1210"/>
      <c r="F102" s="1210"/>
      <c r="G102" s="1210"/>
      <c r="H102" s="1210"/>
      <c r="I102" s="1210"/>
      <c r="J102" s="1210"/>
      <c r="K102" s="1210"/>
      <c r="L102" s="1210"/>
      <c r="M102" s="1210"/>
      <c r="N102" s="1210"/>
      <c r="O102" s="1210"/>
      <c r="P102" s="1210"/>
      <c r="Q102" s="1210"/>
      <c r="R102" s="1210"/>
      <c r="S102" s="1210"/>
      <c r="T102" s="1210"/>
      <c r="U102" s="1210"/>
      <c r="V102" s="1210"/>
      <c r="W102" s="1210"/>
      <c r="X102" s="1210"/>
      <c r="Y102" s="1210"/>
      <c r="Z102" s="1210"/>
      <c r="AA102" s="1210"/>
      <c r="AB102" s="1210"/>
      <c r="AC102" s="1210"/>
      <c r="AD102" s="1210"/>
      <c r="AE102" s="1210"/>
      <c r="AF102" s="1210"/>
      <c r="AG102" s="1210"/>
      <c r="AH102" s="1210"/>
      <c r="AI102" s="1210"/>
      <c r="AJ102" s="1210"/>
      <c r="AK102" s="1210"/>
      <c r="AL102" s="1210"/>
      <c r="AM102" s="1210"/>
      <c r="AN102" s="1210"/>
      <c r="AO102" s="1210"/>
      <c r="AP102" s="1210"/>
      <c r="AQ102" s="1210"/>
      <c r="AR102" s="1210"/>
      <c r="AS102" s="1210"/>
      <c r="AT102" s="1210"/>
      <c r="AU102" s="1210"/>
      <c r="AV102" s="1210"/>
      <c r="AW102" s="1210"/>
      <c r="AX102" s="1210"/>
      <c r="AY102" s="1211"/>
    </row>
    <row r="103" spans="1:51">
      <c r="A103" s="1206" t="s">
        <v>251</v>
      </c>
      <c r="B103" s="1207"/>
      <c r="C103" s="1207"/>
      <c r="D103" s="1207"/>
      <c r="E103" s="1207"/>
      <c r="F103" s="1207"/>
      <c r="G103" s="1207"/>
      <c r="H103" s="1207"/>
      <c r="I103" s="1207"/>
      <c r="J103" s="1207"/>
      <c r="K103" s="1207"/>
      <c r="L103" s="1207"/>
      <c r="M103" s="1207"/>
      <c r="N103" s="1207"/>
      <c r="O103" s="1207"/>
      <c r="P103" s="1207"/>
      <c r="Q103" s="1207"/>
      <c r="R103" s="1207"/>
      <c r="S103" s="1207"/>
      <c r="T103" s="1207"/>
      <c r="U103" s="1207"/>
      <c r="V103" s="1207"/>
      <c r="W103" s="1207"/>
      <c r="X103" s="1207"/>
      <c r="Y103" s="1207"/>
      <c r="Z103" s="1207"/>
      <c r="AA103" s="1207"/>
      <c r="AB103" s="1207"/>
      <c r="AC103" s="1207"/>
      <c r="AD103" s="1207"/>
      <c r="AE103" s="1207"/>
      <c r="AF103" s="1207"/>
      <c r="AG103" s="1207"/>
      <c r="AH103" s="1207"/>
      <c r="AI103" s="1207"/>
      <c r="AJ103" s="1207"/>
      <c r="AK103" s="1207"/>
      <c r="AL103" s="1207"/>
      <c r="AM103" s="1207"/>
      <c r="AN103" s="1207"/>
      <c r="AO103" s="1207"/>
      <c r="AP103" s="1207"/>
      <c r="AQ103" s="1207"/>
      <c r="AR103" s="1207"/>
      <c r="AS103" s="1207"/>
      <c r="AT103" s="1207"/>
      <c r="AU103" s="1207"/>
      <c r="AV103" s="1207"/>
      <c r="AW103" s="1207"/>
      <c r="AX103" s="1207"/>
      <c r="AY103" s="1208"/>
    </row>
    <row r="104" spans="1:51">
      <c r="A104" s="1209" t="s">
        <v>252</v>
      </c>
      <c r="B104" s="1210"/>
      <c r="C104" s="1210"/>
      <c r="D104" s="1210"/>
      <c r="E104" s="1210"/>
      <c r="F104" s="1210"/>
      <c r="G104" s="1210"/>
      <c r="H104" s="1210"/>
      <c r="I104" s="1210"/>
      <c r="J104" s="1210"/>
      <c r="K104" s="1210"/>
      <c r="L104" s="1210"/>
      <c r="M104" s="1210"/>
      <c r="N104" s="1210"/>
      <c r="O104" s="1210"/>
      <c r="P104" s="1210"/>
      <c r="Q104" s="1210"/>
      <c r="R104" s="1210"/>
      <c r="S104" s="1210"/>
      <c r="T104" s="1210"/>
      <c r="U104" s="1210"/>
      <c r="V104" s="1210"/>
      <c r="W104" s="1210"/>
      <c r="X104" s="1210"/>
      <c r="Y104" s="1210"/>
      <c r="Z104" s="1210"/>
      <c r="AA104" s="1210"/>
      <c r="AB104" s="1210"/>
      <c r="AC104" s="1210"/>
      <c r="AD104" s="1210"/>
      <c r="AE104" s="1210"/>
      <c r="AF104" s="1210"/>
      <c r="AG104" s="1210"/>
      <c r="AH104" s="1210"/>
      <c r="AI104" s="1210"/>
      <c r="AJ104" s="1210"/>
      <c r="AK104" s="1210"/>
      <c r="AL104" s="1210"/>
      <c r="AM104" s="1210"/>
      <c r="AN104" s="1210"/>
      <c r="AO104" s="1210"/>
      <c r="AP104" s="1210"/>
      <c r="AQ104" s="1210"/>
      <c r="AR104" s="1210"/>
      <c r="AS104" s="1210"/>
      <c r="AT104" s="1210"/>
      <c r="AU104" s="1210"/>
      <c r="AV104" s="1210"/>
      <c r="AW104" s="1210"/>
      <c r="AX104" s="1210"/>
      <c r="AY104" s="1211"/>
    </row>
    <row r="105" spans="1:51">
      <c r="A105" s="1206" t="s">
        <v>253</v>
      </c>
      <c r="B105" s="1207"/>
      <c r="C105" s="1207"/>
      <c r="D105" s="1207"/>
      <c r="E105" s="1207"/>
      <c r="F105" s="1207"/>
      <c r="G105" s="1207"/>
      <c r="H105" s="1207"/>
      <c r="I105" s="1207"/>
      <c r="J105" s="1207"/>
      <c r="K105" s="1207"/>
      <c r="L105" s="1207"/>
      <c r="M105" s="1207"/>
      <c r="N105" s="1207"/>
      <c r="O105" s="1207"/>
      <c r="P105" s="1207"/>
      <c r="Q105" s="1207"/>
      <c r="R105" s="1207"/>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7"/>
      <c r="AM105" s="1207"/>
      <c r="AN105" s="1207"/>
      <c r="AO105" s="1207"/>
      <c r="AP105" s="1207"/>
      <c r="AQ105" s="1207"/>
      <c r="AR105" s="1207"/>
      <c r="AS105" s="1207"/>
      <c r="AT105" s="1207"/>
      <c r="AU105" s="1207"/>
      <c r="AV105" s="1207"/>
      <c r="AW105" s="1207"/>
      <c r="AX105" s="1207"/>
      <c r="AY105" s="1208"/>
    </row>
    <row r="106" spans="1:51">
      <c r="A106" s="1209" t="s">
        <v>254</v>
      </c>
      <c r="B106" s="1210"/>
      <c r="C106" s="1210"/>
      <c r="D106" s="1210"/>
      <c r="E106" s="1210"/>
      <c r="F106" s="1210"/>
      <c r="G106" s="1210"/>
      <c r="H106" s="1210"/>
      <c r="I106" s="1210"/>
      <c r="J106" s="1210"/>
      <c r="K106" s="1210"/>
      <c r="L106" s="1210"/>
      <c r="M106" s="1210"/>
      <c r="N106" s="1210"/>
      <c r="O106" s="1210"/>
      <c r="P106" s="1210"/>
      <c r="Q106" s="1210"/>
      <c r="R106" s="1210"/>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10"/>
      <c r="AM106" s="1210"/>
      <c r="AN106" s="1210"/>
      <c r="AO106" s="1210"/>
      <c r="AP106" s="1210"/>
      <c r="AQ106" s="1210"/>
      <c r="AR106" s="1210"/>
      <c r="AS106" s="1210"/>
      <c r="AT106" s="1210"/>
      <c r="AU106" s="1210"/>
      <c r="AV106" s="1210"/>
      <c r="AW106" s="1210"/>
      <c r="AX106" s="1210"/>
      <c r="AY106" s="1211"/>
    </row>
    <row r="107" spans="1:51">
      <c r="A107" s="1212" t="s">
        <v>255</v>
      </c>
      <c r="B107" s="1213"/>
      <c r="C107" s="1213"/>
      <c r="D107" s="1213"/>
      <c r="E107" s="1213"/>
      <c r="F107" s="1213"/>
      <c r="G107" s="1213"/>
      <c r="H107" s="1213"/>
      <c r="I107" s="1213"/>
      <c r="J107" s="1213"/>
      <c r="K107" s="1213"/>
      <c r="L107" s="1213"/>
      <c r="M107" s="1213"/>
      <c r="N107" s="1213"/>
      <c r="O107" s="1213"/>
      <c r="P107" s="1213"/>
      <c r="Q107" s="1213"/>
      <c r="R107" s="1213"/>
      <c r="S107" s="1213"/>
      <c r="T107" s="1213"/>
      <c r="U107" s="1213"/>
      <c r="V107" s="1213"/>
      <c r="W107" s="1213"/>
      <c r="X107" s="1213"/>
      <c r="Y107" s="1213"/>
      <c r="Z107" s="1213"/>
      <c r="AA107" s="1213"/>
      <c r="AB107" s="1213"/>
      <c r="AC107" s="1213"/>
      <c r="AD107" s="1213"/>
      <c r="AE107" s="1213"/>
      <c r="AF107" s="1213"/>
      <c r="AG107" s="1213"/>
      <c r="AH107" s="1213"/>
      <c r="AI107" s="1213"/>
      <c r="AJ107" s="1213"/>
      <c r="AK107" s="1213"/>
      <c r="AL107" s="1213"/>
      <c r="AM107" s="1213"/>
      <c r="AN107" s="1213"/>
      <c r="AO107" s="1213"/>
      <c r="AP107" s="1213"/>
      <c r="AQ107" s="1213"/>
      <c r="AR107" s="1213"/>
      <c r="AS107" s="1213"/>
      <c r="AT107" s="1213"/>
      <c r="AU107" s="1213"/>
      <c r="AV107" s="1213"/>
      <c r="AW107" s="1213"/>
      <c r="AX107" s="1213"/>
      <c r="AY107" s="1214"/>
    </row>
    <row r="108" spans="1:51" ht="15" thickBot="1">
      <c r="A108" s="1215" t="s">
        <v>256</v>
      </c>
      <c r="B108" s="1216"/>
      <c r="C108" s="1216"/>
      <c r="D108" s="1216"/>
      <c r="E108" s="1216"/>
      <c r="F108" s="1216"/>
      <c r="G108" s="1216"/>
      <c r="H108" s="1216"/>
      <c r="I108" s="1216"/>
      <c r="J108" s="1216"/>
      <c r="K108" s="1216"/>
      <c r="L108" s="1216"/>
      <c r="M108" s="1216"/>
      <c r="N108" s="1216"/>
      <c r="O108" s="1216"/>
      <c r="P108" s="1216"/>
      <c r="Q108" s="1216"/>
      <c r="R108" s="1216"/>
      <c r="S108" s="1216"/>
      <c r="T108" s="1216"/>
      <c r="U108" s="1216"/>
      <c r="V108" s="1216"/>
      <c r="W108" s="1216"/>
      <c r="X108" s="1216"/>
      <c r="Y108" s="1216"/>
      <c r="Z108" s="1216"/>
      <c r="AA108" s="1216"/>
      <c r="AB108" s="1216"/>
      <c r="AC108" s="1216"/>
      <c r="AD108" s="1216"/>
      <c r="AE108" s="1216"/>
      <c r="AF108" s="1216"/>
      <c r="AG108" s="1216"/>
      <c r="AH108" s="1216"/>
      <c r="AI108" s="1216"/>
      <c r="AJ108" s="1216"/>
      <c r="AK108" s="1216"/>
      <c r="AL108" s="1216"/>
      <c r="AM108" s="1216"/>
      <c r="AN108" s="1216"/>
      <c r="AO108" s="1216"/>
      <c r="AP108" s="1216"/>
      <c r="AQ108" s="1216"/>
      <c r="AR108" s="1216"/>
      <c r="AS108" s="1216"/>
      <c r="AT108" s="1216"/>
      <c r="AU108" s="1216"/>
      <c r="AV108" s="1216"/>
      <c r="AW108" s="1216"/>
      <c r="AX108" s="1216"/>
      <c r="AY108" s="1217"/>
    </row>
  </sheetData>
  <sheetProtection algorithmName="SHA-512" hashValue="INLzfvJsGX0DKgX/fiGOUVfl7c4kM4O5Q8sMv5c/l0tBs6bnW1Bna2P1fsMyr7my5G9LXsz3ye4g53APQOd1hA==" saltValue="wdlhnDoW+FVkRQFvH+gYp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6"/>
  <sheetViews>
    <sheetView zoomScaleNormal="100" workbookViewId="0">
      <selection sqref="A1:C1"/>
    </sheetView>
  </sheetViews>
  <sheetFormatPr defaultColWidth="8.88671875" defaultRowHeight="14.4"/>
  <cols>
    <col min="1" max="1" width="12.5546875" bestFit="1" customWidth="1"/>
    <col min="2" max="2" width="19.44140625" bestFit="1" customWidth="1"/>
    <col min="3" max="3" width="10.5546875" customWidth="1"/>
    <col min="4" max="4" width="43" customWidth="1"/>
    <col min="5" max="6" width="8.5546875" style="10"/>
    <col min="7" max="7" width="115.5546875" style="10" customWidth="1"/>
    <col min="8" max="37" width="8.5546875" style="10"/>
  </cols>
  <sheetData>
    <row r="1" spans="1:7" s="10" customFormat="1" ht="15.6" thickTop="1" thickBot="1">
      <c r="A1" s="1250" t="str">
        <f>template_label_unit_of_measurement_converter</f>
        <v>UNIT OF MEASUREMENT CONVERTER</v>
      </c>
      <c r="B1" s="1251"/>
      <c r="C1" s="1252"/>
    </row>
    <row r="2" spans="1:7" s="10" customFormat="1" ht="15" thickTop="1">
      <c r="A2" s="18"/>
      <c r="B2" s="18"/>
      <c r="C2" s="18"/>
    </row>
    <row r="3" spans="1:7" ht="15" thickBot="1">
      <c r="A3" s="10"/>
      <c r="B3" s="10"/>
      <c r="C3" s="10"/>
      <c r="D3" s="10"/>
    </row>
    <row r="4" spans="1:7" ht="15" thickBot="1">
      <c r="A4" s="1253" t="str">
        <f>template_label_unit_of_measurement_of_mass_converter</f>
        <v>Unit of measurement of Mass Converter</v>
      </c>
      <c r="B4" s="1254"/>
      <c r="C4" s="1254"/>
      <c r="D4" s="1254"/>
      <c r="E4" s="43"/>
      <c r="G4" s="327" t="str">
        <f>template_label_usage_of_unit_of_measurement_converter</f>
        <v>Usage of Unit of Measurement Converter</v>
      </c>
    </row>
    <row r="5" spans="1:7">
      <c r="A5" s="1256" t="str">
        <f>template_label_from_capital_case</f>
        <v xml:space="preserve">From </v>
      </c>
      <c r="B5" s="486"/>
      <c r="C5" s="1258" t="str">
        <f>template_label_to</f>
        <v>to</v>
      </c>
      <c r="D5" s="487"/>
      <c r="G5" s="304" t="str">
        <f>template_label_steps_to_follow_for_the_mass_table</f>
        <v>Steps to follow for the Mass table:</v>
      </c>
    </row>
    <row r="6" spans="1:7" ht="15" thickBot="1">
      <c r="A6" s="1257"/>
      <c r="B6" s="488"/>
      <c r="C6" s="1259"/>
      <c r="D6" s="493"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2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c r="G7" s="326" t="str">
        <f>template_label_2_then_in_the_cell_b6_the_amount_of_mass_can_be_inserted</f>
        <v>2. Then in the cell B6 the amount of mass can be inserted.</v>
      </c>
    </row>
    <row r="8" spans="1:7" s="10" customFormat="1" ht="15" thickBot="1">
      <c r="A8" s="1253" t="str">
        <f>template_label_unit_of_measurement_of_volume_converter</f>
        <v>Unit of measurement of Volume Converter</v>
      </c>
      <c r="B8" s="1254"/>
      <c r="C8" s="1254"/>
      <c r="D8" s="1255"/>
      <c r="G8" s="326" t="str">
        <f>template_label_3_finally_in_the_cell_d5_there_should_be_the_unit_of_measurement_of_interest</f>
        <v>3. Finally in the cell D5 there should be the unit of measurement of interest.</v>
      </c>
    </row>
    <row r="9" spans="1:7" s="10" customFormat="1">
      <c r="A9" s="1256" t="str">
        <f>template_label_from_capital_case</f>
        <v xml:space="preserve">From </v>
      </c>
      <c r="B9" s="486"/>
      <c r="C9" s="1258" t="str">
        <f>template_label_to</f>
        <v>to</v>
      </c>
      <c r="D9" s="487"/>
      <c r="G9" s="326" t="str">
        <f>template_label_4_the_outcome_of_the_conversion_will_be_displayed_in_the_cell_d6</f>
        <v>4. The outcome of the conversion will be displayed in the cell D6.</v>
      </c>
    </row>
    <row r="10" spans="1:7" s="10" customFormat="1" ht="15" thickBot="1">
      <c r="A10" s="1257"/>
      <c r="B10" s="488"/>
      <c r="C10" s="1259"/>
      <c r="D10" s="49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c r="B11" s="491"/>
      <c r="D11" s="491"/>
      <c r="G11" t="str">
        <f>template_label_mass_to_volume_instruction</f>
        <v>Similar steps, with also the specification of the denisty, can be applied to the last table for the conversion from Mass to Volumer (or viceversa).</v>
      </c>
    </row>
    <row r="12" spans="1:7" s="10" customFormat="1" ht="15" customHeight="1" thickBot="1">
      <c r="A12" s="1253" t="str">
        <f>template_label_unit_of_measurement_of_energy_consumption_per_hour</f>
        <v>Unit of measurement of Energy Consumption per Hour</v>
      </c>
      <c r="B12" s="1254"/>
      <c r="C12" s="1254"/>
      <c r="D12" s="1255"/>
      <c r="G12" s="10" t="str">
        <f>template_label_below_are_specified_all_the_units_of_measurement_conversions_of_each_table</f>
        <v>Below are specified all the Units of measurement conversions of each table.</v>
      </c>
    </row>
    <row r="13" spans="1:7" s="10" customFormat="1">
      <c r="A13" s="1256" t="str">
        <f>template_label_from_capital_case</f>
        <v xml:space="preserve">From </v>
      </c>
      <c r="B13" s="486"/>
      <c r="C13" s="1258" t="str">
        <f>template_label_to</f>
        <v>to</v>
      </c>
      <c r="D13" s="487"/>
      <c r="G13" s="304" t="str">
        <f>template_label_unit_of_measurement_of_mass_converter_list</f>
        <v>▪ Unit of measurement of Mass Converter:</v>
      </c>
    </row>
    <row r="14" spans="1:7" s="10" customFormat="1" ht="15" thickBot="1">
      <c r="A14" s="1257"/>
      <c r="B14" s="488"/>
      <c r="C14" s="1259"/>
      <c r="D14" s="493" t="str">
        <f>IF(OR(B13="",B14="",D13=""),"-",
IF(AND(B13="MWh - Megawatt hours",D13="MWh - Megawatt hours"),B14*1,
IF(AND(B13="TJ - Terajoule",D13="TJ - Terajoule"),B14*1,
IF(AND(B13="TJ - Terajoule",D13="MWh - Megawatt hours"),B14*277.778,
IF(AND(B13="MWh - Megawatt hours",D13="MWh - Megawatt hours"),B14/277.778,
"")))))</f>
        <v>-</v>
      </c>
      <c r="G14" s="326" t="s">
        <v>257</v>
      </c>
    </row>
    <row r="15" spans="1:7" s="10" customFormat="1" ht="15" thickBot="1">
      <c r="G15" s="326" t="s">
        <v>258</v>
      </c>
    </row>
    <row r="16" spans="1:7" s="10" customFormat="1" ht="15" thickBot="1">
      <c r="A16" s="1253" t="str">
        <f>template_label_unit_of_measurement_of_density_converter</f>
        <v>Unit of measurement of Density Converter</v>
      </c>
      <c r="B16" s="1254"/>
      <c r="C16" s="1254"/>
      <c r="D16" s="1255"/>
      <c r="G16" s="326" t="s">
        <v>259</v>
      </c>
    </row>
    <row r="17" spans="1:7" s="10" customFormat="1">
      <c r="A17" s="1256" t="str">
        <f>template_label_from_capital_case</f>
        <v xml:space="preserve">From </v>
      </c>
      <c r="B17" s="486"/>
      <c r="C17" s="1258" t="str">
        <f>template_label_to</f>
        <v>to</v>
      </c>
      <c r="D17" s="487"/>
      <c r="G17" s="326" t="s">
        <v>260</v>
      </c>
    </row>
    <row r="18" spans="1:7" s="10" customFormat="1" ht="15" thickBot="1">
      <c r="A18" s="1257"/>
      <c r="B18" s="488"/>
      <c r="C18" s="1259"/>
      <c r="D18" s="493" t="str">
        <f>IF(OR(B17="",B18="",D17=""), "-", B18 * INDEX('Fuel Conversion Parameters'!L2:S9, MATCH(B17, 'Fuel Conversion Parameters'!K2:K9, 0), MATCH(D17, 'Fuel Conversion Parameters'!L1:S1, 0)))</f>
        <v>-</v>
      </c>
      <c r="G18" s="304" t="str">
        <f>template_label_unit_of_measurement_of_volume_converter_list</f>
        <v>▪ Unit of measurement of Volume Converter:</v>
      </c>
    </row>
    <row r="19" spans="1:7" s="10" customFormat="1" ht="15" thickBot="1">
      <c r="G19" s="326" t="s">
        <v>261</v>
      </c>
    </row>
    <row r="20" spans="1:7" s="10" customFormat="1" ht="15" customHeight="1" thickBot="1">
      <c r="A20" s="1253" t="str">
        <f>template_label_unit_of_measurement_of_ncv_converter</f>
        <v>Unit of measurement of NCV Converter</v>
      </c>
      <c r="B20" s="1254"/>
      <c r="C20" s="1254"/>
      <c r="D20" s="1255"/>
      <c r="G20" s="326" t="s">
        <v>262</v>
      </c>
    </row>
    <row r="21" spans="1:7" s="10" customFormat="1">
      <c r="A21" s="1256" t="str">
        <f>template_label_from_capital_case</f>
        <v xml:space="preserve">From </v>
      </c>
      <c r="B21" s="486"/>
      <c r="C21" s="1258" t="str">
        <f>template_label_to</f>
        <v>to</v>
      </c>
      <c r="D21" s="487"/>
      <c r="G21" s="304" t="str">
        <f>template_label_unit_of_measurement_of_energy_converter_list</f>
        <v>▪ Unit of measurement of Energy Converter:</v>
      </c>
    </row>
    <row r="22" spans="1:7" s="10" customFormat="1" ht="15" thickBot="1">
      <c r="A22" s="1257"/>
      <c r="B22" s="488"/>
      <c r="C22" s="1259"/>
      <c r="D22" s="489" t="str">
        <f>IF(OR(B21="",B22="",D21=""), "-", B22 * INDEX('Fuel Conversion Parameters'!V2:AK13, MATCH(B21, 'Fuel Conversion Parameters'!U2:U13, 0), MATCH(D21, 'Fuel Conversion Parameters'!V1:AK1, 0)))</f>
        <v>-</v>
      </c>
      <c r="G22" s="326" t="s">
        <v>263</v>
      </c>
    </row>
    <row r="23" spans="1:7" s="10" customFormat="1" ht="15" thickBot="1">
      <c r="G23" s="326" t="s">
        <v>264</v>
      </c>
    </row>
    <row r="24" spans="1:7" s="10" customFormat="1" ht="15" customHeight="1" thickBot="1">
      <c r="A24" s="1270" t="str">
        <f>template_label_mass_to_volume</f>
        <v>Mass to Volume Converter (or viceversa)</v>
      </c>
      <c r="B24" s="1254"/>
      <c r="C24" s="1271"/>
      <c r="D24" s="1272"/>
      <c r="G24" s="304" t="str">
        <f>template_label_unit_of_measurement_of_density_converter_list</f>
        <v>▪ Unit of measurement of Density Converter:</v>
      </c>
    </row>
    <row r="25" spans="1:7" s="10" customFormat="1">
      <c r="A25" s="1264" t="str">
        <f>template_label_density_kg_over_l</f>
        <v>Density (Kg/L)</v>
      </c>
      <c r="B25" s="1265"/>
      <c r="C25" s="1265"/>
      <c r="D25" s="1266"/>
      <c r="G25" s="326" t="s">
        <v>84</v>
      </c>
    </row>
    <row r="26" spans="1:7" s="10" customFormat="1" ht="15" thickBot="1">
      <c r="A26" s="1267"/>
      <c r="B26" s="1268"/>
      <c r="C26" s="1268"/>
      <c r="D26" s="1269"/>
      <c r="G26" s="326" t="s">
        <v>86</v>
      </c>
    </row>
    <row r="27" spans="1:7" s="10" customFormat="1">
      <c r="A27" s="1260" t="str">
        <f>template_label_from_capital_case</f>
        <v xml:space="preserve">From </v>
      </c>
      <c r="B27" s="494" t="str" cm="1">
        <f t="array" ref="B27">_xlfn.IFS(B28="Kg",template_label_mass,B28="L",template_label_volume,B28="",template_label_mass_volume)</f>
        <v>Mass / Volume</v>
      </c>
      <c r="C27" s="1262" t="str">
        <f>template_label_to</f>
        <v>to</v>
      </c>
      <c r="D27" s="495" t="str" cm="1">
        <f t="array" ref="D27">_xlfn.IFS(B28="L",template_label_mass,B28="Kg",template_label_volume,B28="","")</f>
        <v/>
      </c>
      <c r="G27" s="326" t="s">
        <v>88</v>
      </c>
    </row>
    <row r="28" spans="1:7" s="10" customFormat="1">
      <c r="A28" s="1261"/>
      <c r="B28" s="485"/>
      <c r="C28" s="1263"/>
      <c r="D28" s="490" t="str" cm="1">
        <f t="array" ref="D28">_xlfn.IFS(B28="L","Kg",B28="Kg","L",B28="","")</f>
        <v/>
      </c>
      <c r="G28" s="326" t="s">
        <v>89</v>
      </c>
    </row>
    <row r="29" spans="1:7" s="10" customFormat="1" ht="15" thickBot="1">
      <c r="A29" s="1257"/>
      <c r="B29" s="488"/>
      <c r="C29" s="1259"/>
      <c r="D29" s="489" t="str" cm="1">
        <f t="array" ref="D29">IFERROR(_xlfn.IFS(
  OR(A26="",B29=""),"",
  B28="Kg",B29/A26,
  B28="L",B29*A26,
  B28="",""
),"")</f>
        <v/>
      </c>
      <c r="G29" s="326" t="s">
        <v>90</v>
      </c>
    </row>
    <row r="30" spans="1:7" s="10" customFormat="1">
      <c r="G30" s="326" t="s">
        <v>91</v>
      </c>
    </row>
    <row r="31" spans="1:7" s="10" customFormat="1">
      <c r="G31" s="304" t="str">
        <f>template_label_unit_of_measurement_of_ncv_converter_list</f>
        <v>▪ Unit of measurement of NCV Converter:</v>
      </c>
    </row>
    <row r="32" spans="1:7" s="10" customFormat="1">
      <c r="G32" s="326" t="s">
        <v>92</v>
      </c>
    </row>
    <row r="33" spans="7:7" s="10" customFormat="1">
      <c r="G33" s="326" t="s">
        <v>93</v>
      </c>
    </row>
    <row r="34" spans="7:7" s="10" customFormat="1">
      <c r="G34" s="326" t="s">
        <v>94</v>
      </c>
    </row>
    <row r="35" spans="7:7" s="10" customFormat="1">
      <c r="G35" s="326" t="s">
        <v>95</v>
      </c>
    </row>
    <row r="36" spans="7:7" s="10" customFormat="1">
      <c r="G36" s="326" t="s">
        <v>96</v>
      </c>
    </row>
    <row r="37" spans="7:7" s="10" customFormat="1">
      <c r="G37" s="326" t="s">
        <v>97</v>
      </c>
    </row>
    <row r="38" spans="7:7" s="10" customFormat="1">
      <c r="G38" s="326" t="s">
        <v>98</v>
      </c>
    </row>
    <row r="39" spans="7:7" s="10" customFormat="1">
      <c r="G39" s="326" t="s">
        <v>99</v>
      </c>
    </row>
    <row r="40" spans="7:7" s="10" customFormat="1">
      <c r="G40" s="326" t="s">
        <v>100</v>
      </c>
    </row>
    <row r="41" spans="7:7" s="10" customFormat="1">
      <c r="G41" s="326" t="s">
        <v>101</v>
      </c>
    </row>
    <row r="42" spans="7:7" s="10" customFormat="1">
      <c r="G42" s="326" t="s">
        <v>102</v>
      </c>
    </row>
    <row r="43" spans="7:7" s="10" customFormat="1">
      <c r="G43" s="326" t="s">
        <v>103</v>
      </c>
    </row>
    <row r="44" spans="7:7" s="10" customFormat="1">
      <c r="G44" s="326" t="s">
        <v>104</v>
      </c>
    </row>
    <row r="45" spans="7:7" s="10" customFormat="1">
      <c r="G45" s="326" t="s">
        <v>105</v>
      </c>
    </row>
    <row r="46" spans="7:7" s="10" customFormat="1">
      <c r="G46" s="326" t="s">
        <v>106</v>
      </c>
    </row>
    <row r="47" spans="7:7" s="10" customFormat="1">
      <c r="G47" s="326" t="s">
        <v>107</v>
      </c>
    </row>
    <row r="48" spans="7:7" s="10" customFormat="1">
      <c r="G48" s="325"/>
    </row>
    <row r="49" spans="7:7" s="10" customFormat="1"/>
    <row r="50" spans="7:7" s="10" customFormat="1">
      <c r="G50" s="325"/>
    </row>
    <row r="51" spans="7:7" s="10" customFormat="1"/>
    <row r="52" spans="7:7" s="10" customFormat="1">
      <c r="G52" s="325"/>
    </row>
    <row r="53" spans="7:7" s="10" customFormat="1"/>
    <row r="54" spans="7:7" s="10" customFormat="1">
      <c r="G54" s="325"/>
    </row>
    <row r="55" spans="7:7" s="10" customFormat="1"/>
    <row r="56" spans="7:7" s="10" customFormat="1">
      <c r="G56" s="325"/>
    </row>
    <row r="57" spans="7:7" s="10" customFormat="1"/>
    <row r="58" spans="7:7" s="10" customFormat="1">
      <c r="G58" s="325"/>
    </row>
    <row r="59" spans="7:7" s="10" customFormat="1"/>
    <row r="60" spans="7:7" s="10" customFormat="1">
      <c r="G60" s="325"/>
    </row>
    <row r="61" spans="7:7" s="10" customFormat="1"/>
    <row r="62" spans="7:7" s="10" customFormat="1">
      <c r="G62" s="325"/>
    </row>
    <row r="63" spans="7:7" s="10" customFormat="1"/>
    <row r="64" spans="7:7" s="10" customFormat="1">
      <c r="G64" s="325"/>
    </row>
    <row r="65" spans="7:7" s="10" customFormat="1"/>
    <row r="66" spans="7:7" s="10" customFormat="1">
      <c r="G66" s="325"/>
    </row>
    <row r="67" spans="7:7" s="10" customFormat="1"/>
    <row r="68" spans="7:7" s="10" customFormat="1"/>
    <row r="69" spans="7:7" s="10" customFormat="1"/>
    <row r="70" spans="7:7" s="10" customFormat="1"/>
    <row r="71" spans="7:7" s="10" customFormat="1"/>
    <row r="72" spans="7:7" s="10" customFormat="1"/>
    <row r="73" spans="7:7" s="10" customFormat="1"/>
    <row r="74" spans="7:7" s="10" customFormat="1"/>
    <row r="75" spans="7:7" s="10" customFormat="1"/>
    <row r="76" spans="7:7" s="10" customFormat="1"/>
    <row r="77" spans="7:7" s="10" customFormat="1"/>
    <row r="78" spans="7:7" s="10" customFormat="1"/>
    <row r="79" spans="7:7" s="10" customFormat="1"/>
    <row r="80" spans="7:7" s="10" customFormat="1"/>
    <row r="81" s="10" customFormat="1"/>
    <row r="82" s="10" customFormat="1"/>
    <row r="83" s="10" customFormat="1"/>
    <row r="84" s="10" customFormat="1"/>
    <row r="85" s="10" customFormat="1"/>
    <row r="86" s="10" customFormat="1"/>
    <row r="87" s="10" customFormat="1"/>
    <row r="88" s="10" customFormat="1"/>
    <row r="89" s="10" customFormat="1"/>
    <row r="90" s="10" customFormat="1"/>
    <row r="91" s="10" customFormat="1"/>
    <row r="92" s="10" customFormat="1"/>
    <row r="93" s="10" customFormat="1"/>
    <row r="94" s="10" customFormat="1"/>
    <row r="95" s="10" customFormat="1"/>
    <row r="96" s="10" customFormat="1"/>
    <row r="97" s="10" customFormat="1"/>
    <row r="98" s="10" customFormat="1"/>
    <row r="99" s="10" customFormat="1"/>
    <row r="100" s="10" customFormat="1"/>
    <row r="101" s="10" customFormat="1"/>
    <row r="102" s="10" customFormat="1"/>
    <row r="103" s="10" customFormat="1"/>
    <row r="104" s="10" customFormat="1"/>
    <row r="105" s="10" customFormat="1"/>
    <row r="106" s="10" customFormat="1"/>
    <row r="107" s="10" customFormat="1"/>
    <row r="108" s="10" customFormat="1"/>
    <row r="109" s="10" customFormat="1"/>
    <row r="110" s="10" customFormat="1"/>
    <row r="111" s="10" customFormat="1"/>
    <row r="112" s="10" customFormat="1"/>
    <row r="113" s="10" customFormat="1"/>
    <row r="114" s="10" customFormat="1"/>
    <row r="115" s="10" customFormat="1"/>
    <row r="116" s="10" customFormat="1"/>
    <row r="117" s="10" customFormat="1"/>
    <row r="118" s="10" customFormat="1"/>
    <row r="119" s="10" customFormat="1"/>
    <row r="120" s="10" customFormat="1"/>
    <row r="121" s="10" customFormat="1"/>
    <row r="122" s="10" customFormat="1"/>
    <row r="123" s="10" customFormat="1"/>
    <row r="124" s="10" customFormat="1"/>
    <row r="125" s="10" customFormat="1"/>
    <row r="126" s="10" customFormat="1"/>
    <row r="127" s="10" customFormat="1"/>
    <row r="128" s="10" customFormat="1"/>
    <row r="129" spans="2:4" s="10" customFormat="1"/>
    <row r="130" spans="2:4" s="10" customFormat="1"/>
    <row r="131" spans="2:4" s="10" customFormat="1"/>
    <row r="132" spans="2:4" s="10" customFormat="1"/>
    <row r="133" spans="2:4" s="10" customFormat="1"/>
    <row r="134" spans="2:4" s="10" customFormat="1"/>
    <row r="135" spans="2:4" s="10" customFormat="1"/>
    <row r="136" spans="2:4" s="10" customFormat="1">
      <c r="B136"/>
      <c r="D136"/>
    </row>
  </sheetData>
  <sheetProtection algorithmName="SHA-512" hashValue="tQKu/U3TW7VJAlBrbEGj+oIDwTR6tip529AY0g7oeTuY3PAqBhFj0NPGv5DArd575QjYMPuU6utz3JLeGLCYRg==" saltValue="r07cz/VWTWVoNlN0zjpvJg==" spinCount="100000" sheet="1" formatColumns="0" formatRows="0"/>
  <mergeCells count="21">
    <mergeCell ref="A21:A22"/>
    <mergeCell ref="C21:C22"/>
    <mergeCell ref="A27:A29"/>
    <mergeCell ref="C27:C29"/>
    <mergeCell ref="A5:A6"/>
    <mergeCell ref="C5:C6"/>
    <mergeCell ref="C9:C10"/>
    <mergeCell ref="A9:A10"/>
    <mergeCell ref="A13:A14"/>
    <mergeCell ref="C13:C14"/>
    <mergeCell ref="C17:C18"/>
    <mergeCell ref="A17:A18"/>
    <mergeCell ref="A25:D25"/>
    <mergeCell ref="A26:D26"/>
    <mergeCell ref="A24:D24"/>
    <mergeCell ref="A20:D20"/>
    <mergeCell ref="A1:C1"/>
    <mergeCell ref="A4:D4"/>
    <mergeCell ref="A8:D8"/>
    <mergeCell ref="A12:D12"/>
    <mergeCell ref="A16:D16"/>
  </mergeCells>
  <dataValidations count="8">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B29 A26" xr:uid="{3759D409-B1C7-4A30-BB86-3C7C72B2286F}">
      <formula1>A6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 type="list" allowBlank="1" showInputMessage="1" showErrorMessage="1" sqref="B28" xr:uid="{9E418218-DEF5-43D0-80B9-B7301CAC198E}">
      <formula1>enum_list_mass_volume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E1049"/>
  <sheetViews>
    <sheetView zoomScaleNormal="100" workbookViewId="0"/>
  </sheetViews>
  <sheetFormatPr defaultColWidth="8.88671875" defaultRowHeight="14.4"/>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554687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5546875" bestFit="1" customWidth="1"/>
    <col min="19" max="19" width="46.5546875" bestFit="1" customWidth="1"/>
    <col min="20" max="20" width="100.44140625" bestFit="1" customWidth="1"/>
    <col min="21" max="21" width="12.5546875" bestFit="1" customWidth="1"/>
    <col min="23" max="23" width="31.44140625" customWidth="1"/>
    <col min="24" max="24" width="255.44140625" bestFit="1" customWidth="1"/>
    <col min="25" max="25" width="17.44140625" customWidth="1"/>
    <col min="26" max="26" width="28.5546875" customWidth="1"/>
    <col min="27" max="27" width="23.44140625" customWidth="1"/>
    <col min="28" max="28" width="17.5546875" customWidth="1"/>
    <col min="29" max="29" width="43.44140625" bestFit="1" customWidth="1"/>
  </cols>
  <sheetData>
    <row r="1" spans="1:31" ht="72">
      <c r="A1" s="255" t="s">
        <v>265</v>
      </c>
      <c r="B1" s="405" t="s">
        <v>266</v>
      </c>
      <c r="C1" s="6" t="s">
        <v>267</v>
      </c>
      <c r="D1" s="6" t="s">
        <v>268</v>
      </c>
      <c r="E1" s="6" t="s">
        <v>269</v>
      </c>
      <c r="F1" s="6" t="s">
        <v>270</v>
      </c>
      <c r="G1" s="235" t="s">
        <v>271</v>
      </c>
      <c r="H1" s="235" t="s">
        <v>272</v>
      </c>
      <c r="I1" s="235" t="s">
        <v>273</v>
      </c>
      <c r="J1" s="6" t="s">
        <v>274</v>
      </c>
      <c r="K1" s="6" t="s">
        <v>72</v>
      </c>
      <c r="L1" s="6" t="s">
        <v>275</v>
      </c>
      <c r="M1" s="6" t="s">
        <v>276</v>
      </c>
      <c r="N1" s="6" t="s">
        <v>277</v>
      </c>
      <c r="O1" s="235" t="s">
        <v>278</v>
      </c>
      <c r="P1" s="6" t="s">
        <v>279</v>
      </c>
      <c r="Q1" s="6" t="s">
        <v>280</v>
      </c>
      <c r="R1" s="6" t="s">
        <v>281</v>
      </c>
      <c r="S1" s="6" t="s">
        <v>282</v>
      </c>
      <c r="T1" s="6" t="s">
        <v>283</v>
      </c>
      <c r="U1" s="6" t="s">
        <v>284</v>
      </c>
      <c r="V1" s="6" t="s">
        <v>281</v>
      </c>
      <c r="W1" s="256" t="s">
        <v>285</v>
      </c>
      <c r="X1" s="257" t="s">
        <v>286</v>
      </c>
      <c r="Y1" s="256" t="s">
        <v>287</v>
      </c>
      <c r="Z1" s="258" t="s">
        <v>288</v>
      </c>
      <c r="AA1" s="11" t="s">
        <v>289</v>
      </c>
      <c r="AB1" s="11" t="s">
        <v>290</v>
      </c>
      <c r="AC1" s="11" t="s">
        <v>291</v>
      </c>
      <c r="AD1" s="11" t="s">
        <v>292</v>
      </c>
      <c r="AE1" s="11" t="s">
        <v>293</v>
      </c>
    </row>
    <row r="2" spans="1:31">
      <c r="A2" t="s">
        <v>294</v>
      </c>
      <c r="B2" s="259" t="s">
        <v>295</v>
      </c>
      <c r="C2" s="260" t="s">
        <v>296</v>
      </c>
      <c r="D2" t="s">
        <v>297</v>
      </c>
      <c r="E2" t="str">
        <f>RIGHT(D2,2)</f>
        <v>AD</v>
      </c>
      <c r="F2" t="s">
        <v>298</v>
      </c>
      <c r="G2" t="s">
        <v>299</v>
      </c>
      <c r="H2" t="s">
        <v>300</v>
      </c>
      <c r="I2" t="s">
        <v>301</v>
      </c>
      <c r="J2" t="s">
        <v>302</v>
      </c>
      <c r="K2" t="s">
        <v>303</v>
      </c>
      <c r="L2" t="s">
        <v>304</v>
      </c>
      <c r="M2" t="s">
        <v>305</v>
      </c>
      <c r="N2" t="s">
        <v>306</v>
      </c>
      <c r="O2" t="s">
        <v>307</v>
      </c>
      <c r="P2" t="s">
        <v>308</v>
      </c>
      <c r="Q2">
        <v>2000</v>
      </c>
      <c r="R2">
        <v>1</v>
      </c>
      <c r="S2" t="s">
        <v>309</v>
      </c>
      <c r="T2" t="str">
        <f>template_label_b1_basis_for_preparation_validation</f>
        <v>B1 - Basis for Preparation</v>
      </c>
      <c r="U2" s="261">
        <v>1</v>
      </c>
      <c r="V2" t="s">
        <v>310</v>
      </c>
      <c r="W2" t="s">
        <v>303</v>
      </c>
      <c r="X2" s="33" t="s">
        <v>311</v>
      </c>
      <c r="Y2" t="s">
        <v>6</v>
      </c>
      <c r="Z2" s="2" t="s">
        <v>22</v>
      </c>
      <c r="AA2">
        <v>1</v>
      </c>
      <c r="AB2" t="s">
        <v>5</v>
      </c>
      <c r="AC2" t="s">
        <v>312</v>
      </c>
      <c r="AD2" t="b">
        <v>1</v>
      </c>
      <c r="AE2" t="s">
        <v>111</v>
      </c>
    </row>
    <row r="3" spans="1:31" ht="28.8">
      <c r="A3" s="260" t="s">
        <v>313</v>
      </c>
      <c r="B3" s="262" t="s">
        <v>314</v>
      </c>
      <c r="C3" s="260" t="s">
        <v>315</v>
      </c>
      <c r="D3" t="s">
        <v>316</v>
      </c>
      <c r="E3" t="str">
        <f t="shared" ref="E3:E66" si="0">RIGHT(D3,2)</f>
        <v>AE</v>
      </c>
      <c r="F3" t="s">
        <v>317</v>
      </c>
      <c r="G3" t="s">
        <v>318</v>
      </c>
      <c r="H3" t="s">
        <v>319</v>
      </c>
      <c r="I3" t="s">
        <v>320</v>
      </c>
      <c r="J3" t="s">
        <v>321</v>
      </c>
      <c r="K3" t="s">
        <v>38</v>
      </c>
      <c r="L3" t="s">
        <v>322</v>
      </c>
      <c r="M3" t="s">
        <v>323</v>
      </c>
      <c r="N3" t="s">
        <v>324</v>
      </c>
      <c r="O3" t="s">
        <v>325</v>
      </c>
      <c r="P3" t="s">
        <v>326</v>
      </c>
      <c r="Q3">
        <v>2001</v>
      </c>
      <c r="R3">
        <v>2</v>
      </c>
      <c r="S3" t="s">
        <v>327</v>
      </c>
      <c r="T3" s="33" t="str">
        <f>template_label_b2_practices_policies_and_future_initiatives_for_transitioning_towards_a_more_sustainable_economy_validation</f>
        <v xml:space="preserve">B2 - Practices, policies and future initiatives for transitioning towards a more sustainable economy </v>
      </c>
      <c r="U3" s="261">
        <v>2</v>
      </c>
      <c r="V3" t="s">
        <v>328</v>
      </c>
      <c r="W3" t="s">
        <v>38</v>
      </c>
      <c r="X3" t="s">
        <v>329</v>
      </c>
      <c r="Y3" t="s">
        <v>330</v>
      </c>
      <c r="Z3" s="2" t="s">
        <v>331</v>
      </c>
      <c r="AA3">
        <v>2</v>
      </c>
      <c r="AB3" t="s">
        <v>332</v>
      </c>
      <c r="AC3" t="s">
        <v>10</v>
      </c>
      <c r="AD3" t="b">
        <v>0</v>
      </c>
      <c r="AE3" t="s">
        <v>333</v>
      </c>
    </row>
    <row r="4" spans="1:31">
      <c r="A4" s="259" t="s">
        <v>295</v>
      </c>
      <c r="B4" s="262" t="s">
        <v>334</v>
      </c>
      <c r="C4" s="260" t="s">
        <v>335</v>
      </c>
      <c r="D4" t="s">
        <v>336</v>
      </c>
      <c r="E4" t="str">
        <f t="shared" si="0"/>
        <v>AF</v>
      </c>
      <c r="F4" t="s">
        <v>337</v>
      </c>
      <c r="G4" t="s">
        <v>338</v>
      </c>
      <c r="I4" t="s">
        <v>339</v>
      </c>
      <c r="J4" t="s">
        <v>340</v>
      </c>
      <c r="K4" t="s">
        <v>341</v>
      </c>
      <c r="L4" t="s">
        <v>342</v>
      </c>
      <c r="M4" t="s">
        <v>343</v>
      </c>
      <c r="P4" t="s">
        <v>344</v>
      </c>
      <c r="Q4">
        <v>2002</v>
      </c>
      <c r="R4">
        <v>3</v>
      </c>
      <c r="T4" t="str">
        <f>template_label_b3_energy_and_greenhouse_gas_emissions_validation</f>
        <v>B3 - Energy and greenhouse gas emissions</v>
      </c>
      <c r="U4" s="261">
        <v>3</v>
      </c>
      <c r="V4" t="s">
        <v>345</v>
      </c>
      <c r="X4" t="s">
        <v>346</v>
      </c>
      <c r="Y4" t="s">
        <v>347</v>
      </c>
      <c r="AA4">
        <v>3</v>
      </c>
      <c r="AB4" t="s">
        <v>348</v>
      </c>
    </row>
    <row r="5" spans="1:31">
      <c r="A5" s="262" t="s">
        <v>314</v>
      </c>
      <c r="B5" s="262" t="s">
        <v>349</v>
      </c>
      <c r="C5" s="260" t="s">
        <v>49</v>
      </c>
      <c r="D5" t="s">
        <v>350</v>
      </c>
      <c r="E5" t="str">
        <f t="shared" si="0"/>
        <v>AG</v>
      </c>
      <c r="F5" t="s">
        <v>351</v>
      </c>
      <c r="G5" t="s">
        <v>352</v>
      </c>
      <c r="I5" t="s">
        <v>353</v>
      </c>
      <c r="J5" t="s">
        <v>14</v>
      </c>
      <c r="M5" t="s">
        <v>354</v>
      </c>
      <c r="Q5">
        <v>2003</v>
      </c>
      <c r="R5">
        <v>4</v>
      </c>
      <c r="T5" s="33" t="str">
        <f>template_label_b4_pollution_of_air_water_and_soil_validation</f>
        <v>B4 - Pollution of air, water and soil</v>
      </c>
      <c r="U5" s="261">
        <v>4</v>
      </c>
      <c r="V5" t="s">
        <v>355</v>
      </c>
      <c r="X5" t="s">
        <v>356</v>
      </c>
      <c r="Y5" t="s">
        <v>357</v>
      </c>
      <c r="AA5">
        <v>4</v>
      </c>
      <c r="AB5" t="s">
        <v>358</v>
      </c>
    </row>
    <row r="6" spans="1:31">
      <c r="A6" s="263" t="s">
        <v>359</v>
      </c>
      <c r="B6" s="262" t="s">
        <v>360</v>
      </c>
      <c r="C6" s="260" t="s">
        <v>361</v>
      </c>
      <c r="D6" t="s">
        <v>362</v>
      </c>
      <c r="E6" t="str">
        <f t="shared" si="0"/>
        <v>AI</v>
      </c>
      <c r="F6" t="s">
        <v>363</v>
      </c>
      <c r="G6" t="s">
        <v>364</v>
      </c>
      <c r="I6" t="s">
        <v>365</v>
      </c>
      <c r="J6" t="s">
        <v>366</v>
      </c>
      <c r="M6" t="s">
        <v>367</v>
      </c>
      <c r="Q6">
        <v>2004</v>
      </c>
      <c r="R6">
        <v>5</v>
      </c>
      <c r="T6" s="33" t="str">
        <f>template_label_b5_biodiversity_validation</f>
        <v>B5 - Biodiversity</v>
      </c>
      <c r="U6" s="261">
        <v>5</v>
      </c>
      <c r="V6" t="s">
        <v>368</v>
      </c>
      <c r="X6" t="s">
        <v>369</v>
      </c>
      <c r="Y6" t="s">
        <v>370</v>
      </c>
      <c r="AA6">
        <v>5</v>
      </c>
    </row>
    <row r="7" spans="1:31">
      <c r="A7" s="263" t="s">
        <v>371</v>
      </c>
      <c r="B7" s="262" t="s">
        <v>372</v>
      </c>
      <c r="C7" s="260" t="s">
        <v>24</v>
      </c>
      <c r="D7" t="s">
        <v>373</v>
      </c>
      <c r="E7" t="str">
        <f t="shared" si="0"/>
        <v>AL</v>
      </c>
      <c r="F7" t="s">
        <v>374</v>
      </c>
      <c r="G7" t="s">
        <v>375</v>
      </c>
      <c r="I7" t="s">
        <v>376</v>
      </c>
      <c r="M7" t="s">
        <v>377</v>
      </c>
      <c r="Q7">
        <v>2005</v>
      </c>
      <c r="R7">
        <v>6</v>
      </c>
      <c r="T7" s="33" t="str">
        <f>template_label_b6_water_validation</f>
        <v>B6 - Water</v>
      </c>
      <c r="U7" s="261">
        <v>6</v>
      </c>
      <c r="V7" t="s">
        <v>378</v>
      </c>
      <c r="X7" t="s">
        <v>379</v>
      </c>
      <c r="Y7" t="s">
        <v>380</v>
      </c>
      <c r="AA7">
        <v>6</v>
      </c>
    </row>
    <row r="8" spans="1:31">
      <c r="A8" s="263" t="s">
        <v>381</v>
      </c>
      <c r="B8" s="262" t="s">
        <v>382</v>
      </c>
      <c r="C8" s="260" t="s">
        <v>383</v>
      </c>
      <c r="D8" t="s">
        <v>384</v>
      </c>
      <c r="E8" t="str">
        <f t="shared" si="0"/>
        <v>AM</v>
      </c>
      <c r="F8" t="s">
        <v>385</v>
      </c>
      <c r="G8" t="s">
        <v>386</v>
      </c>
      <c r="I8" t="s">
        <v>387</v>
      </c>
      <c r="M8" t="s">
        <v>388</v>
      </c>
      <c r="Q8">
        <v>2006</v>
      </c>
      <c r="R8">
        <v>7</v>
      </c>
      <c r="T8" s="33" t="str">
        <f>template_label_b7_resource_use_circular_economy_and_waste_management_validation</f>
        <v>B7 - Resource use, circular economy and waste management</v>
      </c>
      <c r="U8" s="261">
        <v>7</v>
      </c>
      <c r="V8" t="s">
        <v>389</v>
      </c>
      <c r="X8" t="s">
        <v>390</v>
      </c>
      <c r="Y8" t="s">
        <v>391</v>
      </c>
      <c r="AA8">
        <v>7</v>
      </c>
    </row>
    <row r="9" spans="1:31">
      <c r="A9" s="263" t="s">
        <v>16</v>
      </c>
      <c r="B9" s="262" t="s">
        <v>392</v>
      </c>
      <c r="C9" s="260" t="s">
        <v>48</v>
      </c>
      <c r="D9" t="s">
        <v>393</v>
      </c>
      <c r="E9" t="str">
        <f t="shared" si="0"/>
        <v>AN</v>
      </c>
      <c r="F9" t="s">
        <v>394</v>
      </c>
      <c r="G9" t="s">
        <v>395</v>
      </c>
      <c r="I9" t="s">
        <v>396</v>
      </c>
      <c r="M9" t="s">
        <v>397</v>
      </c>
      <c r="Q9">
        <v>2007</v>
      </c>
      <c r="R9">
        <v>8</v>
      </c>
      <c r="T9" t="str">
        <f>template_label_b8_workforce_general_characteristics_validation</f>
        <v>B8 - Workforce - General characteristics</v>
      </c>
      <c r="U9" s="261">
        <v>8</v>
      </c>
      <c r="V9" t="s">
        <v>398</v>
      </c>
      <c r="X9" t="s">
        <v>399</v>
      </c>
      <c r="Y9" t="s">
        <v>400</v>
      </c>
      <c r="AA9">
        <v>8</v>
      </c>
    </row>
    <row r="10" spans="1:31">
      <c r="A10" s="263" t="s">
        <v>401</v>
      </c>
      <c r="B10" s="259" t="s">
        <v>402</v>
      </c>
      <c r="C10" s="260" t="s">
        <v>403</v>
      </c>
      <c r="D10" t="s">
        <v>404</v>
      </c>
      <c r="E10" t="str">
        <f t="shared" si="0"/>
        <v>AO</v>
      </c>
      <c r="F10" t="s">
        <v>405</v>
      </c>
      <c r="G10" t="s">
        <v>406</v>
      </c>
      <c r="I10" t="s">
        <v>407</v>
      </c>
      <c r="M10" t="s">
        <v>408</v>
      </c>
      <c r="Q10">
        <v>2008</v>
      </c>
      <c r="R10">
        <v>9</v>
      </c>
      <c r="T10" s="33" t="str">
        <f>template_label_b9_workforce_health_and_safety_validation</f>
        <v>B9 - Workforce - Health and safety</v>
      </c>
      <c r="U10" s="261">
        <v>9</v>
      </c>
      <c r="V10" t="s">
        <v>409</v>
      </c>
      <c r="X10" t="s">
        <v>410</v>
      </c>
      <c r="Y10" t="s">
        <v>411</v>
      </c>
      <c r="AA10">
        <v>9</v>
      </c>
    </row>
    <row r="11" spans="1:31">
      <c r="A11" s="263" t="s">
        <v>412</v>
      </c>
      <c r="B11" s="262" t="s">
        <v>413</v>
      </c>
      <c r="C11" s="260" t="s">
        <v>414</v>
      </c>
      <c r="D11" t="s">
        <v>415</v>
      </c>
      <c r="E11" t="str">
        <f t="shared" si="0"/>
        <v>AQ</v>
      </c>
      <c r="F11" t="s">
        <v>416</v>
      </c>
      <c r="G11" t="s">
        <v>417</v>
      </c>
      <c r="I11" t="s">
        <v>418</v>
      </c>
      <c r="M11" t="s">
        <v>419</v>
      </c>
      <c r="Q11">
        <v>2009</v>
      </c>
      <c r="R11">
        <v>10</v>
      </c>
      <c r="T11" s="33" t="str">
        <f>template_label_b10_workforce_remuneration_collective_bargaining_and_training_validation</f>
        <v>B10 - Workforce - Remuneration, collective bargaining and training</v>
      </c>
      <c r="U11" s="261">
        <v>10</v>
      </c>
      <c r="V11" t="s">
        <v>420</v>
      </c>
      <c r="X11" t="s">
        <v>421</v>
      </c>
      <c r="Y11" t="s">
        <v>422</v>
      </c>
      <c r="AA11">
        <v>10</v>
      </c>
    </row>
    <row r="12" spans="1:31">
      <c r="A12" s="263" t="s">
        <v>17</v>
      </c>
      <c r="B12" s="262" t="s">
        <v>423</v>
      </c>
      <c r="C12" s="260" t="s">
        <v>424</v>
      </c>
      <c r="D12" t="s">
        <v>425</v>
      </c>
      <c r="E12" t="str">
        <f t="shared" si="0"/>
        <v>AR</v>
      </c>
      <c r="F12" t="s">
        <v>426</v>
      </c>
      <c r="G12" t="s">
        <v>427</v>
      </c>
      <c r="I12" t="s">
        <v>428</v>
      </c>
      <c r="M12" t="s">
        <v>429</v>
      </c>
      <c r="Q12">
        <v>2010</v>
      </c>
      <c r="R12">
        <v>11</v>
      </c>
      <c r="T12" s="33" t="str">
        <f>template_label_b11_convictions_and_fines_for_corruption_and_bribery_validation</f>
        <v>B11 - Convictions and fines for corruption and bribery</v>
      </c>
      <c r="U12" s="261">
        <v>11</v>
      </c>
      <c r="V12" t="s">
        <v>430</v>
      </c>
      <c r="X12" t="s">
        <v>431</v>
      </c>
      <c r="Y12" t="s">
        <v>432</v>
      </c>
      <c r="AA12">
        <v>11</v>
      </c>
    </row>
    <row r="13" spans="1:31">
      <c r="A13" s="262" t="s">
        <v>334</v>
      </c>
      <c r="B13" s="262" t="s">
        <v>433</v>
      </c>
      <c r="C13" s="260" t="s">
        <v>434</v>
      </c>
      <c r="D13" t="s">
        <v>435</v>
      </c>
      <c r="E13" t="str">
        <f t="shared" si="0"/>
        <v>AS</v>
      </c>
      <c r="F13" t="s">
        <v>436</v>
      </c>
      <c r="G13" t="s">
        <v>437</v>
      </c>
      <c r="I13" t="s">
        <v>438</v>
      </c>
      <c r="Q13">
        <v>2011</v>
      </c>
      <c r="R13">
        <v>12</v>
      </c>
      <c r="T13" s="33" t="str">
        <f>template_label_c1_strategy_business_model_and_sustainability_related_initiatives_validation</f>
        <v>C1 - Strategy: Business Model and Sustainability - Related Initiatives</v>
      </c>
      <c r="U13" s="261">
        <v>12</v>
      </c>
      <c r="V13" t="s">
        <v>439</v>
      </c>
      <c r="X13" t="s">
        <v>440</v>
      </c>
      <c r="Y13" t="s">
        <v>441</v>
      </c>
      <c r="AA13">
        <v>12</v>
      </c>
    </row>
    <row r="14" spans="1:31">
      <c r="A14" s="263" t="s">
        <v>442</v>
      </c>
      <c r="B14" s="262" t="s">
        <v>443</v>
      </c>
      <c r="C14" s="260" t="s">
        <v>444</v>
      </c>
      <c r="D14" t="s">
        <v>445</v>
      </c>
      <c r="E14" t="str">
        <f t="shared" si="0"/>
        <v>AT</v>
      </c>
      <c r="F14" t="s">
        <v>446</v>
      </c>
      <c r="G14" t="s">
        <v>447</v>
      </c>
      <c r="I14" t="s">
        <v>448</v>
      </c>
      <c r="Q14">
        <v>2012</v>
      </c>
      <c r="T14" s="33" t="str">
        <f>template_label_c2_description_of_practices_policies_and_future_initiatives_for_transitioning_towards_a_more_sustainable_economy_validation</f>
        <v>C2 - Description of practices, policies and future initiatives for transitioning towards a more sustainable economy</v>
      </c>
      <c r="X14" t="s">
        <v>449</v>
      </c>
      <c r="Y14" t="s">
        <v>450</v>
      </c>
      <c r="AA14">
        <v>13</v>
      </c>
    </row>
    <row r="15" spans="1:31">
      <c r="A15" s="263" t="s">
        <v>451</v>
      </c>
      <c r="B15" s="259" t="s">
        <v>452</v>
      </c>
      <c r="C15" s="260" t="s">
        <v>453</v>
      </c>
      <c r="D15" t="s">
        <v>454</v>
      </c>
      <c r="E15" t="str">
        <f t="shared" si="0"/>
        <v>AU</v>
      </c>
      <c r="F15" t="s">
        <v>455</v>
      </c>
      <c r="G15" t="s">
        <v>456</v>
      </c>
      <c r="I15" t="s">
        <v>457</v>
      </c>
      <c r="Q15">
        <v>2013</v>
      </c>
      <c r="T15" t="str">
        <f>template_label_c3_ghg_reduction_targets_and_climate_transition_validation</f>
        <v>C3 - GHG reduction targets and climate transition</v>
      </c>
      <c r="X15" t="s">
        <v>458</v>
      </c>
      <c r="Y15" t="s">
        <v>459</v>
      </c>
      <c r="AA15">
        <v>14</v>
      </c>
    </row>
    <row r="16" spans="1:31">
      <c r="A16" s="263" t="s">
        <v>460</v>
      </c>
      <c r="B16" s="262" t="s">
        <v>461</v>
      </c>
      <c r="C16" s="260" t="s">
        <v>462</v>
      </c>
      <c r="D16" t="s">
        <v>463</v>
      </c>
      <c r="E16" t="str">
        <f t="shared" si="0"/>
        <v>AW</v>
      </c>
      <c r="F16" t="s">
        <v>464</v>
      </c>
      <c r="G16" t="s">
        <v>465</v>
      </c>
      <c r="I16" t="s">
        <v>466</v>
      </c>
      <c r="Q16">
        <v>2014</v>
      </c>
      <c r="T16" s="33" t="str">
        <f>template_label_c4_climate_risks_validation</f>
        <v>C4 - Climate risks</v>
      </c>
      <c r="X16" t="s">
        <v>467</v>
      </c>
      <c r="Y16" t="s">
        <v>468</v>
      </c>
      <c r="AA16">
        <v>15</v>
      </c>
    </row>
    <row r="17" spans="1:27">
      <c r="A17" s="263" t="s">
        <v>469</v>
      </c>
      <c r="B17" s="262" t="s">
        <v>470</v>
      </c>
      <c r="C17" s="260" t="s">
        <v>471</v>
      </c>
      <c r="D17" t="s">
        <v>472</v>
      </c>
      <c r="E17" t="str">
        <f t="shared" si="0"/>
        <v>AX</v>
      </c>
      <c r="F17" t="s">
        <v>473</v>
      </c>
      <c r="G17" t="s">
        <v>474</v>
      </c>
      <c r="I17" t="s">
        <v>475</v>
      </c>
      <c r="Q17">
        <v>2015</v>
      </c>
      <c r="T17" s="33" t="str">
        <f>template_label_c5_additional_general_workforce_characteristics_validation</f>
        <v>C5 - Additional (general) workforce characteristics</v>
      </c>
      <c r="X17" t="s">
        <v>476</v>
      </c>
      <c r="Y17" t="s">
        <v>477</v>
      </c>
      <c r="AA17">
        <v>16</v>
      </c>
    </row>
    <row r="18" spans="1:27">
      <c r="A18" s="263" t="s">
        <v>478</v>
      </c>
      <c r="B18" s="262" t="s">
        <v>479</v>
      </c>
      <c r="C18" s="260" t="s">
        <v>480</v>
      </c>
      <c r="D18" t="s">
        <v>481</v>
      </c>
      <c r="E18" t="str">
        <f t="shared" si="0"/>
        <v>AZ</v>
      </c>
      <c r="F18" t="s">
        <v>482</v>
      </c>
      <c r="G18" t="s">
        <v>483</v>
      </c>
      <c r="I18" t="s">
        <v>484</v>
      </c>
      <c r="Q18">
        <v>2016</v>
      </c>
      <c r="T18" s="33" t="str">
        <f>template_label_c6_additional_own_workforce_information_human_rights_policies_and_processes_validation</f>
        <v>C6 - Additional own workforce information - Human rights policies and processes</v>
      </c>
      <c r="X18" t="s">
        <v>485</v>
      </c>
      <c r="Y18" t="s">
        <v>486</v>
      </c>
      <c r="AA18">
        <v>17</v>
      </c>
    </row>
    <row r="19" spans="1:27">
      <c r="A19" s="263" t="s">
        <v>487</v>
      </c>
      <c r="B19" s="260" t="s">
        <v>313</v>
      </c>
      <c r="C19" s="260" t="s">
        <v>488</v>
      </c>
      <c r="D19" t="s">
        <v>489</v>
      </c>
      <c r="E19" t="str">
        <f t="shared" si="0"/>
        <v>BA</v>
      </c>
      <c r="F19" t="s">
        <v>490</v>
      </c>
      <c r="G19" t="s">
        <v>491</v>
      </c>
      <c r="I19" t="s">
        <v>492</v>
      </c>
      <c r="Q19">
        <v>2017</v>
      </c>
      <c r="T19" s="33" t="str">
        <f>template_label_c7_human_rights_incidents_validation</f>
        <v>C7 - Human rights incidents</v>
      </c>
      <c r="X19" t="s">
        <v>493</v>
      </c>
      <c r="Y19" t="s">
        <v>494</v>
      </c>
      <c r="AA19">
        <v>18</v>
      </c>
    </row>
    <row r="20" spans="1:27">
      <c r="A20" s="263" t="s">
        <v>495</v>
      </c>
      <c r="B20" s="259" t="s">
        <v>496</v>
      </c>
      <c r="C20" s="260" t="s">
        <v>497</v>
      </c>
      <c r="D20" t="s">
        <v>498</v>
      </c>
      <c r="E20" t="str">
        <f t="shared" si="0"/>
        <v>BB</v>
      </c>
      <c r="F20" t="s">
        <v>499</v>
      </c>
      <c r="G20" t="s">
        <v>500</v>
      </c>
      <c r="I20" t="s">
        <v>501</v>
      </c>
      <c r="Q20">
        <v>2018</v>
      </c>
      <c r="T20" t="str">
        <f>template_label_c8_revenues_from_certain_activities_validation</f>
        <v>C8 - Revenues from certain activities</v>
      </c>
      <c r="X20" t="s">
        <v>502</v>
      </c>
      <c r="Y20" t="s">
        <v>503</v>
      </c>
      <c r="AA20">
        <v>19</v>
      </c>
    </row>
    <row r="21" spans="1:27">
      <c r="A21" s="263" t="s">
        <v>504</v>
      </c>
      <c r="B21" s="262" t="s">
        <v>505</v>
      </c>
      <c r="C21" s="260" t="s">
        <v>506</v>
      </c>
      <c r="D21" t="s">
        <v>507</v>
      </c>
      <c r="E21" t="str">
        <f t="shared" si="0"/>
        <v>BD</v>
      </c>
      <c r="F21" t="s">
        <v>508</v>
      </c>
      <c r="G21" t="s">
        <v>509</v>
      </c>
      <c r="I21" t="s">
        <v>510</v>
      </c>
      <c r="Q21">
        <v>2019</v>
      </c>
      <c r="T21" t="str">
        <f>template_label_c9_gender_diversity_ratio_in_the_governance_body_validation</f>
        <v>C9 - Gender diversity ratio in the governance body</v>
      </c>
      <c r="X21" t="s">
        <v>511</v>
      </c>
      <c r="Y21" t="s">
        <v>512</v>
      </c>
      <c r="AA21">
        <v>20</v>
      </c>
    </row>
    <row r="22" spans="1:27">
      <c r="A22" s="263" t="s">
        <v>513</v>
      </c>
      <c r="B22" s="262" t="s">
        <v>514</v>
      </c>
      <c r="C22" s="260" t="s">
        <v>515</v>
      </c>
      <c r="D22" t="s">
        <v>516</v>
      </c>
      <c r="E22" t="str">
        <f t="shared" si="0"/>
        <v>BE</v>
      </c>
      <c r="F22" t="s">
        <v>517</v>
      </c>
      <c r="G22" t="s">
        <v>518</v>
      </c>
      <c r="I22" t="s">
        <v>519</v>
      </c>
      <c r="Q22">
        <v>2020</v>
      </c>
      <c r="X22" t="s">
        <v>520</v>
      </c>
      <c r="Y22" t="s">
        <v>521</v>
      </c>
      <c r="AA22">
        <v>21</v>
      </c>
    </row>
    <row r="23" spans="1:27">
      <c r="A23" s="262" t="s">
        <v>349</v>
      </c>
      <c r="B23" s="259" t="s">
        <v>522</v>
      </c>
      <c r="C23" s="260" t="s">
        <v>523</v>
      </c>
      <c r="D23" t="s">
        <v>524</v>
      </c>
      <c r="E23" t="str">
        <f t="shared" si="0"/>
        <v>BF</v>
      </c>
      <c r="F23" s="81"/>
      <c r="G23" t="s">
        <v>525</v>
      </c>
      <c r="I23" t="s">
        <v>526</v>
      </c>
      <c r="Q23">
        <v>2021</v>
      </c>
      <c r="X23" t="s">
        <v>527</v>
      </c>
      <c r="Y23" t="s">
        <v>528</v>
      </c>
      <c r="AA23">
        <v>22</v>
      </c>
    </row>
    <row r="24" spans="1:27">
      <c r="A24" s="263" t="s">
        <v>529</v>
      </c>
      <c r="B24" s="262" t="s">
        <v>530</v>
      </c>
      <c r="C24" s="260" t="s">
        <v>531</v>
      </c>
      <c r="D24" t="s">
        <v>532</v>
      </c>
      <c r="E24" t="str">
        <f t="shared" si="0"/>
        <v>BG</v>
      </c>
      <c r="F24" s="332"/>
      <c r="G24" t="s">
        <v>533</v>
      </c>
      <c r="I24" t="s">
        <v>534</v>
      </c>
      <c r="Q24">
        <v>2022</v>
      </c>
      <c r="X24" t="s">
        <v>535</v>
      </c>
      <c r="Y24" t="s">
        <v>536</v>
      </c>
      <c r="AA24">
        <v>23</v>
      </c>
    </row>
    <row r="25" spans="1:27">
      <c r="A25" s="262" t="s">
        <v>360</v>
      </c>
      <c r="B25" s="262" t="s">
        <v>537</v>
      </c>
      <c r="C25" s="260" t="s">
        <v>538</v>
      </c>
      <c r="D25" t="s">
        <v>539</v>
      </c>
      <c r="E25" t="str">
        <f t="shared" si="0"/>
        <v>BH</v>
      </c>
      <c r="F25" s="332"/>
      <c r="G25" t="s">
        <v>540</v>
      </c>
      <c r="I25" t="s">
        <v>541</v>
      </c>
      <c r="Q25">
        <v>2023</v>
      </c>
      <c r="X25" t="s">
        <v>542</v>
      </c>
      <c r="Y25" t="s">
        <v>543</v>
      </c>
      <c r="AA25">
        <v>24</v>
      </c>
    </row>
    <row r="26" spans="1:27">
      <c r="A26" s="263" t="s">
        <v>544</v>
      </c>
      <c r="B26" s="259" t="s">
        <v>545</v>
      </c>
      <c r="C26" s="260" t="s">
        <v>546</v>
      </c>
      <c r="D26" t="s">
        <v>547</v>
      </c>
      <c r="E26" t="str">
        <f t="shared" si="0"/>
        <v>BI</v>
      </c>
      <c r="F26" s="332"/>
      <c r="G26" t="s">
        <v>548</v>
      </c>
      <c r="I26" t="s">
        <v>549</v>
      </c>
      <c r="Q26">
        <v>2024</v>
      </c>
      <c r="X26" t="s">
        <v>550</v>
      </c>
      <c r="Y26" t="s">
        <v>551</v>
      </c>
      <c r="AA26">
        <v>25</v>
      </c>
    </row>
    <row r="27" spans="1:27">
      <c r="A27" s="263" t="s">
        <v>552</v>
      </c>
      <c r="B27" s="262" t="s">
        <v>553</v>
      </c>
      <c r="C27" s="260" t="s">
        <v>554</v>
      </c>
      <c r="D27" t="s">
        <v>555</v>
      </c>
      <c r="E27" t="str">
        <f t="shared" si="0"/>
        <v>BJ</v>
      </c>
      <c r="F27" s="332"/>
      <c r="G27" t="s">
        <v>556</v>
      </c>
      <c r="I27" t="s">
        <v>557</v>
      </c>
      <c r="Q27">
        <v>2025</v>
      </c>
      <c r="X27" t="s">
        <v>558</v>
      </c>
      <c r="Y27" t="s">
        <v>559</v>
      </c>
      <c r="AA27">
        <v>26</v>
      </c>
    </row>
    <row r="28" spans="1:27">
      <c r="A28" s="263" t="s">
        <v>560</v>
      </c>
      <c r="B28" s="262" t="s">
        <v>561</v>
      </c>
      <c r="C28" s="260" t="s">
        <v>562</v>
      </c>
      <c r="D28" t="s">
        <v>563</v>
      </c>
      <c r="E28" t="str">
        <f t="shared" si="0"/>
        <v>BL</v>
      </c>
      <c r="F28" s="332"/>
      <c r="G28" t="s">
        <v>564</v>
      </c>
      <c r="I28" t="s">
        <v>565</v>
      </c>
      <c r="Q28">
        <v>2026</v>
      </c>
      <c r="X28" t="s">
        <v>566</v>
      </c>
      <c r="Y28" t="s">
        <v>567</v>
      </c>
      <c r="AA28">
        <v>27</v>
      </c>
    </row>
    <row r="29" spans="1:27">
      <c r="A29" s="263" t="s">
        <v>568</v>
      </c>
      <c r="B29" s="259" t="s">
        <v>569</v>
      </c>
      <c r="C29" s="260" t="s">
        <v>570</v>
      </c>
      <c r="D29" t="s">
        <v>571</v>
      </c>
      <c r="E29" t="str">
        <f t="shared" si="0"/>
        <v>BM</v>
      </c>
      <c r="F29" s="332"/>
      <c r="G29" t="s">
        <v>572</v>
      </c>
      <c r="I29" t="s">
        <v>573</v>
      </c>
      <c r="Q29">
        <v>2027</v>
      </c>
      <c r="X29" t="s">
        <v>574</v>
      </c>
      <c r="Y29" t="s">
        <v>575</v>
      </c>
      <c r="AA29">
        <v>28</v>
      </c>
    </row>
    <row r="30" spans="1:27">
      <c r="A30" s="263" t="s">
        <v>576</v>
      </c>
      <c r="B30" s="262" t="s">
        <v>577</v>
      </c>
      <c r="C30" s="260" t="s">
        <v>578</v>
      </c>
      <c r="D30" t="s">
        <v>579</v>
      </c>
      <c r="E30" t="str">
        <f t="shared" si="0"/>
        <v>BN</v>
      </c>
      <c r="F30" s="81"/>
      <c r="G30" t="s">
        <v>580</v>
      </c>
      <c r="I30" t="s">
        <v>581</v>
      </c>
      <c r="Q30">
        <v>2028</v>
      </c>
      <c r="X30" t="s">
        <v>582</v>
      </c>
      <c r="Y30" t="s">
        <v>583</v>
      </c>
      <c r="AA30">
        <v>29</v>
      </c>
    </row>
    <row r="31" spans="1:27">
      <c r="A31" s="263" t="s">
        <v>584</v>
      </c>
      <c r="B31" s="262" t="s">
        <v>585</v>
      </c>
      <c r="C31" s="260" t="s">
        <v>586</v>
      </c>
      <c r="D31" t="s">
        <v>587</v>
      </c>
      <c r="E31" t="str">
        <f t="shared" si="0"/>
        <v>BO</v>
      </c>
      <c r="F31" s="332"/>
      <c r="G31" t="s">
        <v>588</v>
      </c>
      <c r="I31" t="s">
        <v>589</v>
      </c>
      <c r="Q31">
        <v>2029</v>
      </c>
      <c r="X31" t="s">
        <v>590</v>
      </c>
      <c r="Y31" t="s">
        <v>591</v>
      </c>
      <c r="AA31">
        <v>30</v>
      </c>
    </row>
    <row r="32" spans="1:27">
      <c r="A32" s="263" t="s">
        <v>592</v>
      </c>
      <c r="B32" s="259" t="s">
        <v>593</v>
      </c>
      <c r="C32" s="260" t="s">
        <v>594</v>
      </c>
      <c r="D32" t="s">
        <v>595</v>
      </c>
      <c r="E32" t="str">
        <f t="shared" si="0"/>
        <v>BQ</v>
      </c>
      <c r="F32" s="331"/>
      <c r="G32" t="s">
        <v>596</v>
      </c>
      <c r="I32" t="s">
        <v>597</v>
      </c>
      <c r="Q32">
        <v>2030</v>
      </c>
      <c r="X32" t="s">
        <v>598</v>
      </c>
      <c r="Y32" t="s">
        <v>599</v>
      </c>
      <c r="AA32">
        <v>31</v>
      </c>
    </row>
    <row r="33" spans="1:25">
      <c r="A33" s="263" t="s">
        <v>600</v>
      </c>
      <c r="B33" s="262" t="s">
        <v>601</v>
      </c>
      <c r="C33" s="260" t="s">
        <v>602</v>
      </c>
      <c r="D33" t="s">
        <v>603</v>
      </c>
      <c r="E33" t="str">
        <f t="shared" si="0"/>
        <v>BR</v>
      </c>
      <c r="F33" s="331"/>
      <c r="G33" t="s">
        <v>604</v>
      </c>
      <c r="I33" t="s">
        <v>605</v>
      </c>
      <c r="Q33">
        <v>2031</v>
      </c>
      <c r="X33" t="s">
        <v>606</v>
      </c>
      <c r="Y33" t="s">
        <v>607</v>
      </c>
    </row>
    <row r="34" spans="1:25">
      <c r="A34" s="262" t="s">
        <v>372</v>
      </c>
      <c r="B34" s="262" t="s">
        <v>608</v>
      </c>
      <c r="C34" s="260" t="s">
        <v>609</v>
      </c>
      <c r="D34" t="s">
        <v>610</v>
      </c>
      <c r="E34" t="str">
        <f t="shared" si="0"/>
        <v>BS</v>
      </c>
      <c r="F34" s="331"/>
      <c r="G34" t="s">
        <v>611</v>
      </c>
      <c r="I34" t="s">
        <v>612</v>
      </c>
      <c r="Q34">
        <v>2032</v>
      </c>
      <c r="X34" t="s">
        <v>613</v>
      </c>
      <c r="Y34" t="s">
        <v>614</v>
      </c>
    </row>
    <row r="35" spans="1:25">
      <c r="A35" s="263" t="s">
        <v>615</v>
      </c>
      <c r="B35" s="260" t="s">
        <v>616</v>
      </c>
      <c r="C35" s="260" t="s">
        <v>617</v>
      </c>
      <c r="D35" t="s">
        <v>618</v>
      </c>
      <c r="E35" t="str">
        <f t="shared" si="0"/>
        <v>BT</v>
      </c>
      <c r="F35" s="332"/>
      <c r="G35" t="s">
        <v>619</v>
      </c>
      <c r="I35" t="s">
        <v>620</v>
      </c>
      <c r="Q35">
        <v>2033</v>
      </c>
      <c r="X35" t="s">
        <v>621</v>
      </c>
      <c r="Y35" t="s">
        <v>622</v>
      </c>
    </row>
    <row r="36" spans="1:25">
      <c r="A36" s="262" t="s">
        <v>382</v>
      </c>
      <c r="B36" s="259" t="s">
        <v>623</v>
      </c>
      <c r="C36" s="260" t="s">
        <v>624</v>
      </c>
      <c r="D36" t="s">
        <v>625</v>
      </c>
      <c r="E36" t="str">
        <f t="shared" si="0"/>
        <v>BU</v>
      </c>
      <c r="F36" s="332"/>
      <c r="G36" t="s">
        <v>626</v>
      </c>
      <c r="I36" t="s">
        <v>627</v>
      </c>
      <c r="Q36">
        <v>2034</v>
      </c>
      <c r="X36" t="s">
        <v>628</v>
      </c>
      <c r="Y36" t="s">
        <v>629</v>
      </c>
    </row>
    <row r="37" spans="1:25">
      <c r="A37" s="263" t="s">
        <v>630</v>
      </c>
      <c r="B37" s="262" t="s">
        <v>631</v>
      </c>
      <c r="C37" s="260" t="s">
        <v>632</v>
      </c>
      <c r="D37" t="s">
        <v>633</v>
      </c>
      <c r="E37" t="str">
        <f t="shared" si="0"/>
        <v>BV</v>
      </c>
      <c r="F37" s="332"/>
      <c r="G37" t="s">
        <v>634</v>
      </c>
      <c r="I37" t="s">
        <v>635</v>
      </c>
      <c r="Q37">
        <v>2035</v>
      </c>
      <c r="X37" t="s">
        <v>636</v>
      </c>
      <c r="Y37" t="s">
        <v>637</v>
      </c>
    </row>
    <row r="38" spans="1:25">
      <c r="A38" s="263" t="s">
        <v>638</v>
      </c>
      <c r="B38" s="262" t="s">
        <v>639</v>
      </c>
      <c r="C38" s="260" t="s">
        <v>640</v>
      </c>
      <c r="D38" t="s">
        <v>641</v>
      </c>
      <c r="E38" t="str">
        <f t="shared" si="0"/>
        <v>BW</v>
      </c>
      <c r="F38" s="332"/>
      <c r="G38" t="s">
        <v>642</v>
      </c>
      <c r="I38" t="s">
        <v>643</v>
      </c>
      <c r="Q38">
        <v>2036</v>
      </c>
      <c r="X38" t="s">
        <v>644</v>
      </c>
      <c r="Y38" t="s">
        <v>645</v>
      </c>
    </row>
    <row r="39" spans="1:25">
      <c r="A39" s="263" t="s">
        <v>646</v>
      </c>
      <c r="B39" s="262" t="s">
        <v>647</v>
      </c>
      <c r="C39" s="260" t="s">
        <v>648</v>
      </c>
      <c r="D39" t="s">
        <v>649</v>
      </c>
      <c r="E39" t="str">
        <f t="shared" si="0"/>
        <v>BY</v>
      </c>
      <c r="F39" s="332"/>
      <c r="G39" t="s">
        <v>650</v>
      </c>
      <c r="I39" t="s">
        <v>651</v>
      </c>
      <c r="Q39">
        <v>2037</v>
      </c>
      <c r="X39" t="s">
        <v>652</v>
      </c>
      <c r="Y39" t="s">
        <v>653</v>
      </c>
    </row>
    <row r="40" spans="1:25">
      <c r="A40" s="262" t="s">
        <v>392</v>
      </c>
      <c r="B40" s="262" t="s">
        <v>654</v>
      </c>
      <c r="C40" s="260" t="s">
        <v>655</v>
      </c>
      <c r="D40" t="s">
        <v>656</v>
      </c>
      <c r="E40" t="str">
        <f t="shared" si="0"/>
        <v>BZ</v>
      </c>
      <c r="F40" s="332"/>
      <c r="G40" t="s">
        <v>657</v>
      </c>
      <c r="I40" t="s">
        <v>658</v>
      </c>
      <c r="Q40">
        <v>2038</v>
      </c>
      <c r="X40" t="s">
        <v>659</v>
      </c>
      <c r="Y40" t="s">
        <v>660</v>
      </c>
    </row>
    <row r="41" spans="1:25">
      <c r="A41" s="263" t="s">
        <v>661</v>
      </c>
      <c r="B41" s="262" t="s">
        <v>662</v>
      </c>
      <c r="C41" s="260" t="s">
        <v>663</v>
      </c>
      <c r="D41" t="s">
        <v>664</v>
      </c>
      <c r="E41" t="str">
        <f t="shared" si="0"/>
        <v>CA</v>
      </c>
      <c r="F41" s="332"/>
      <c r="G41" t="s">
        <v>665</v>
      </c>
      <c r="I41" t="s">
        <v>666</v>
      </c>
      <c r="Q41">
        <v>2039</v>
      </c>
      <c r="X41" t="s">
        <v>667</v>
      </c>
      <c r="Y41" t="s">
        <v>668</v>
      </c>
    </row>
    <row r="42" spans="1:25">
      <c r="A42" s="259" t="s">
        <v>402</v>
      </c>
      <c r="B42" s="262" t="s">
        <v>669</v>
      </c>
      <c r="C42" s="260" t="s">
        <v>670</v>
      </c>
      <c r="D42" t="s">
        <v>671</v>
      </c>
      <c r="E42" t="str">
        <f t="shared" si="0"/>
        <v>CC</v>
      </c>
      <c r="F42" s="332"/>
      <c r="G42" t="s">
        <v>672</v>
      </c>
      <c r="I42" t="s">
        <v>673</v>
      </c>
      <c r="Q42">
        <v>2040</v>
      </c>
      <c r="X42" t="s">
        <v>674</v>
      </c>
      <c r="Y42" t="s">
        <v>675</v>
      </c>
    </row>
    <row r="43" spans="1:25">
      <c r="A43" s="262" t="s">
        <v>413</v>
      </c>
      <c r="B43" s="262" t="s">
        <v>676</v>
      </c>
      <c r="C43" s="260" t="s">
        <v>677</v>
      </c>
      <c r="D43" t="s">
        <v>678</v>
      </c>
      <c r="E43" t="str">
        <f t="shared" si="0"/>
        <v>CD</v>
      </c>
      <c r="F43" s="332"/>
      <c r="G43" t="s">
        <v>679</v>
      </c>
      <c r="I43" t="s">
        <v>680</v>
      </c>
      <c r="Q43">
        <v>2041</v>
      </c>
      <c r="X43" t="s">
        <v>681</v>
      </c>
      <c r="Y43" t="s">
        <v>682</v>
      </c>
    </row>
    <row r="44" spans="1:25">
      <c r="A44" s="263" t="s">
        <v>683</v>
      </c>
      <c r="B44" s="262" t="s">
        <v>684</v>
      </c>
      <c r="C44" s="260" t="s">
        <v>685</v>
      </c>
      <c r="D44" t="s">
        <v>686</v>
      </c>
      <c r="E44" t="str">
        <f t="shared" si="0"/>
        <v>CF</v>
      </c>
      <c r="F44" s="332"/>
      <c r="G44" t="s">
        <v>687</v>
      </c>
      <c r="I44" t="s">
        <v>688</v>
      </c>
      <c r="Q44">
        <v>2042</v>
      </c>
      <c r="X44" t="s">
        <v>689</v>
      </c>
      <c r="Y44" t="s">
        <v>690</v>
      </c>
    </row>
    <row r="45" spans="1:25">
      <c r="A45" s="262" t="s">
        <v>423</v>
      </c>
      <c r="B45" s="262" t="s">
        <v>691</v>
      </c>
      <c r="C45" s="260" t="s">
        <v>692</v>
      </c>
      <c r="D45" t="s">
        <v>693</v>
      </c>
      <c r="E45" t="str">
        <f t="shared" si="0"/>
        <v>CG</v>
      </c>
      <c r="F45" s="332"/>
      <c r="G45" t="s">
        <v>694</v>
      </c>
      <c r="I45" t="s">
        <v>695</v>
      </c>
      <c r="Q45">
        <v>2043</v>
      </c>
      <c r="X45" t="s">
        <v>696</v>
      </c>
      <c r="Y45" t="s">
        <v>697</v>
      </c>
    </row>
    <row r="46" spans="1:25">
      <c r="A46" s="263" t="s">
        <v>698</v>
      </c>
      <c r="B46" s="259" t="s">
        <v>699</v>
      </c>
      <c r="C46" s="260" t="s">
        <v>700</v>
      </c>
      <c r="D46" t="s">
        <v>701</v>
      </c>
      <c r="E46" t="str">
        <f t="shared" si="0"/>
        <v>CH</v>
      </c>
      <c r="F46" s="332"/>
      <c r="G46" t="s">
        <v>702</v>
      </c>
      <c r="I46" t="s">
        <v>703</v>
      </c>
      <c r="Q46">
        <v>2044</v>
      </c>
      <c r="X46" t="s">
        <v>704</v>
      </c>
      <c r="Y46" t="s">
        <v>705</v>
      </c>
    </row>
    <row r="47" spans="1:25">
      <c r="A47" s="262" t="s">
        <v>433</v>
      </c>
      <c r="B47" s="262" t="s">
        <v>706</v>
      </c>
      <c r="C47" s="260" t="s">
        <v>707</v>
      </c>
      <c r="D47" t="s">
        <v>708</v>
      </c>
      <c r="E47" t="str">
        <f t="shared" si="0"/>
        <v>CI</v>
      </c>
      <c r="F47" s="81"/>
      <c r="G47" t="s">
        <v>709</v>
      </c>
      <c r="I47" t="s">
        <v>710</v>
      </c>
      <c r="Q47">
        <v>2045</v>
      </c>
      <c r="X47" t="s">
        <v>711</v>
      </c>
      <c r="Y47" t="s">
        <v>712</v>
      </c>
    </row>
    <row r="48" spans="1:25">
      <c r="A48" s="263" t="s">
        <v>713</v>
      </c>
      <c r="B48" s="259" t="s">
        <v>714</v>
      </c>
      <c r="C48" s="260" t="s">
        <v>715</v>
      </c>
      <c r="D48" t="s">
        <v>716</v>
      </c>
      <c r="E48" t="str">
        <f t="shared" si="0"/>
        <v>CK</v>
      </c>
      <c r="F48" s="332"/>
      <c r="G48" t="s">
        <v>717</v>
      </c>
      <c r="I48" t="s">
        <v>718</v>
      </c>
      <c r="Q48">
        <v>2046</v>
      </c>
      <c r="X48" t="s">
        <v>719</v>
      </c>
      <c r="Y48" t="s">
        <v>720</v>
      </c>
    </row>
    <row r="49" spans="1:25">
      <c r="A49" s="262" t="s">
        <v>443</v>
      </c>
      <c r="B49" s="262" t="s">
        <v>721</v>
      </c>
      <c r="C49" s="260" t="s">
        <v>722</v>
      </c>
      <c r="D49" t="s">
        <v>723</v>
      </c>
      <c r="E49" t="str">
        <f t="shared" si="0"/>
        <v>CL</v>
      </c>
      <c r="F49" s="331"/>
      <c r="G49" t="s">
        <v>724</v>
      </c>
      <c r="I49" t="s">
        <v>725</v>
      </c>
      <c r="Q49">
        <v>2047</v>
      </c>
      <c r="X49" t="s">
        <v>726</v>
      </c>
      <c r="Y49" t="s">
        <v>727</v>
      </c>
    </row>
    <row r="50" spans="1:25">
      <c r="A50" s="263" t="s">
        <v>728</v>
      </c>
      <c r="B50" s="259" t="s">
        <v>729</v>
      </c>
      <c r="C50" s="260" t="s">
        <v>730</v>
      </c>
      <c r="D50" t="s">
        <v>731</v>
      </c>
      <c r="E50" t="str">
        <f t="shared" si="0"/>
        <v>CM</v>
      </c>
      <c r="F50" s="332"/>
      <c r="G50" t="s">
        <v>732</v>
      </c>
      <c r="I50" t="s">
        <v>733</v>
      </c>
      <c r="Q50">
        <v>2048</v>
      </c>
      <c r="X50" t="s">
        <v>734</v>
      </c>
      <c r="Y50" t="s">
        <v>735</v>
      </c>
    </row>
    <row r="51" spans="1:25">
      <c r="A51" s="259" t="s">
        <v>452</v>
      </c>
      <c r="B51" s="262" t="s">
        <v>736</v>
      </c>
      <c r="C51" s="260" t="s">
        <v>737</v>
      </c>
      <c r="D51" t="s">
        <v>738</v>
      </c>
      <c r="E51" t="str">
        <f t="shared" si="0"/>
        <v>CN</v>
      </c>
      <c r="F51" s="332"/>
      <c r="G51" t="s">
        <v>739</v>
      </c>
      <c r="I51" t="s">
        <v>740</v>
      </c>
      <c r="Q51">
        <v>2049</v>
      </c>
      <c r="X51" t="s">
        <v>741</v>
      </c>
      <c r="Y51" t="s">
        <v>742</v>
      </c>
    </row>
    <row r="52" spans="1:25">
      <c r="A52" s="262" t="s">
        <v>461</v>
      </c>
      <c r="B52" s="262" t="s">
        <v>743</v>
      </c>
      <c r="C52" s="260" t="s">
        <v>744</v>
      </c>
      <c r="D52" t="s">
        <v>745</v>
      </c>
      <c r="E52" t="str">
        <f t="shared" si="0"/>
        <v>CO</v>
      </c>
      <c r="F52" s="332"/>
      <c r="G52" t="s">
        <v>746</v>
      </c>
      <c r="I52" t="s">
        <v>747</v>
      </c>
      <c r="Q52">
        <v>2050</v>
      </c>
      <c r="X52" t="s">
        <v>748</v>
      </c>
      <c r="Y52" t="s">
        <v>749</v>
      </c>
    </row>
    <row r="53" spans="1:25">
      <c r="A53" s="263" t="s">
        <v>750</v>
      </c>
      <c r="B53" s="262" t="s">
        <v>751</v>
      </c>
      <c r="C53" s="260" t="s">
        <v>752</v>
      </c>
      <c r="D53" t="s">
        <v>753</v>
      </c>
      <c r="E53" t="str">
        <f t="shared" si="0"/>
        <v>CR</v>
      </c>
      <c r="F53" s="81"/>
      <c r="G53" t="s">
        <v>754</v>
      </c>
      <c r="I53" t="s">
        <v>755</v>
      </c>
      <c r="Q53">
        <v>2051</v>
      </c>
      <c r="X53" t="s">
        <v>756</v>
      </c>
      <c r="Y53" t="s">
        <v>757</v>
      </c>
    </row>
    <row r="54" spans="1:25">
      <c r="A54" s="263" t="s">
        <v>758</v>
      </c>
      <c r="B54" s="262" t="s">
        <v>759</v>
      </c>
      <c r="C54" s="260" t="s">
        <v>760</v>
      </c>
      <c r="D54" t="s">
        <v>761</v>
      </c>
      <c r="E54" t="str">
        <f t="shared" si="0"/>
        <v>CS</v>
      </c>
      <c r="F54" s="332"/>
      <c r="G54" t="s">
        <v>762</v>
      </c>
      <c r="I54" t="s">
        <v>763</v>
      </c>
      <c r="Q54">
        <v>2052</v>
      </c>
      <c r="X54" t="s">
        <v>764</v>
      </c>
      <c r="Y54" t="s">
        <v>765</v>
      </c>
    </row>
    <row r="55" spans="1:25">
      <c r="A55" s="262" t="s">
        <v>470</v>
      </c>
      <c r="B55" s="259" t="s">
        <v>766</v>
      </c>
      <c r="C55" s="260" t="s">
        <v>767</v>
      </c>
      <c r="D55" t="s">
        <v>768</v>
      </c>
      <c r="E55" t="str">
        <f t="shared" si="0"/>
        <v>CU</v>
      </c>
      <c r="F55" s="332"/>
      <c r="G55" t="s">
        <v>769</v>
      </c>
      <c r="I55" t="s">
        <v>770</v>
      </c>
      <c r="Q55">
        <v>2053</v>
      </c>
      <c r="X55" t="s">
        <v>771</v>
      </c>
      <c r="Y55" t="s">
        <v>772</v>
      </c>
    </row>
    <row r="56" spans="1:25">
      <c r="A56" s="263" t="s">
        <v>773</v>
      </c>
      <c r="B56" s="262" t="s">
        <v>774</v>
      </c>
      <c r="C56" s="260" t="s">
        <v>775</v>
      </c>
      <c r="D56" t="s">
        <v>776</v>
      </c>
      <c r="E56" t="str">
        <f t="shared" si="0"/>
        <v>CV</v>
      </c>
      <c r="F56" s="332"/>
      <c r="G56" t="s">
        <v>777</v>
      </c>
      <c r="I56" t="s">
        <v>778</v>
      </c>
      <c r="Q56">
        <v>2054</v>
      </c>
      <c r="X56" t="s">
        <v>779</v>
      </c>
      <c r="Y56" t="s">
        <v>780</v>
      </c>
    </row>
    <row r="57" spans="1:25">
      <c r="A57" s="263" t="s">
        <v>781</v>
      </c>
      <c r="B57" s="262" t="s">
        <v>782</v>
      </c>
      <c r="C57" s="260" t="s">
        <v>783</v>
      </c>
      <c r="D57" t="s">
        <v>784</v>
      </c>
      <c r="E57" t="str">
        <f t="shared" si="0"/>
        <v>CW</v>
      </c>
      <c r="F57" s="332"/>
      <c r="G57" t="s">
        <v>785</v>
      </c>
      <c r="I57" t="s">
        <v>786</v>
      </c>
      <c r="Q57">
        <v>2055</v>
      </c>
      <c r="X57" t="s">
        <v>787</v>
      </c>
      <c r="Y57" t="s">
        <v>788</v>
      </c>
    </row>
    <row r="58" spans="1:25">
      <c r="A58" s="262" t="s">
        <v>479</v>
      </c>
      <c r="B58" s="259" t="s">
        <v>789</v>
      </c>
      <c r="C58" s="260" t="s">
        <v>790</v>
      </c>
      <c r="D58" t="s">
        <v>791</v>
      </c>
      <c r="E58" t="str">
        <f t="shared" si="0"/>
        <v>CX</v>
      </c>
      <c r="F58" s="332"/>
      <c r="G58" t="s">
        <v>792</v>
      </c>
      <c r="I58" t="s">
        <v>793</v>
      </c>
      <c r="Q58">
        <v>2056</v>
      </c>
      <c r="X58" t="s">
        <v>794</v>
      </c>
      <c r="Y58" t="s">
        <v>795</v>
      </c>
    </row>
    <row r="59" spans="1:25">
      <c r="A59" s="263" t="s">
        <v>796</v>
      </c>
      <c r="B59" s="262" t="s">
        <v>797</v>
      </c>
      <c r="C59" s="260" t="s">
        <v>798</v>
      </c>
      <c r="D59" t="s">
        <v>799</v>
      </c>
      <c r="E59" t="str">
        <f t="shared" si="0"/>
        <v>CY</v>
      </c>
      <c r="F59" s="332"/>
      <c r="G59" t="s">
        <v>800</v>
      </c>
      <c r="I59" t="s">
        <v>801</v>
      </c>
      <c r="Q59">
        <v>2057</v>
      </c>
      <c r="X59" t="s">
        <v>802</v>
      </c>
      <c r="Y59" t="s">
        <v>803</v>
      </c>
    </row>
    <row r="60" spans="1:25">
      <c r="A60" s="260" t="s">
        <v>616</v>
      </c>
      <c r="B60" s="262" t="s">
        <v>804</v>
      </c>
      <c r="C60" s="260" t="s">
        <v>805</v>
      </c>
      <c r="D60" t="s">
        <v>806</v>
      </c>
      <c r="E60" t="str">
        <f t="shared" si="0"/>
        <v>CZ</v>
      </c>
      <c r="F60" s="332"/>
      <c r="G60" t="s">
        <v>807</v>
      </c>
      <c r="I60" t="s">
        <v>808</v>
      </c>
      <c r="Q60">
        <v>2058</v>
      </c>
      <c r="X60" t="s">
        <v>809</v>
      </c>
      <c r="Y60" t="s">
        <v>810</v>
      </c>
    </row>
    <row r="61" spans="1:25">
      <c r="A61" s="259" t="s">
        <v>496</v>
      </c>
      <c r="B61" s="259" t="s">
        <v>811</v>
      </c>
      <c r="C61" s="260" t="s">
        <v>812</v>
      </c>
      <c r="D61" t="s">
        <v>813</v>
      </c>
      <c r="E61" t="str">
        <f t="shared" si="0"/>
        <v>DE</v>
      </c>
      <c r="F61" s="81"/>
      <c r="G61" t="s">
        <v>814</v>
      </c>
      <c r="I61" t="s">
        <v>815</v>
      </c>
      <c r="Q61">
        <v>2059</v>
      </c>
      <c r="X61" t="s">
        <v>816</v>
      </c>
      <c r="Y61" t="s">
        <v>817</v>
      </c>
    </row>
    <row r="62" spans="1:25">
      <c r="A62" s="262" t="s">
        <v>505</v>
      </c>
      <c r="B62" s="262" t="s">
        <v>818</v>
      </c>
      <c r="C62" s="260" t="s">
        <v>819</v>
      </c>
      <c r="D62" t="s">
        <v>820</v>
      </c>
      <c r="E62" t="str">
        <f t="shared" si="0"/>
        <v>DJ</v>
      </c>
      <c r="F62" s="332"/>
      <c r="G62" t="s">
        <v>821</v>
      </c>
      <c r="I62" t="s">
        <v>822</v>
      </c>
      <c r="Q62">
        <v>2060</v>
      </c>
      <c r="X62" t="s">
        <v>823</v>
      </c>
      <c r="Y62" t="s">
        <v>824</v>
      </c>
    </row>
    <row r="63" spans="1:25">
      <c r="A63" s="263" t="s">
        <v>825</v>
      </c>
      <c r="B63" s="262" t="s">
        <v>826</v>
      </c>
      <c r="C63" s="260" t="s">
        <v>827</v>
      </c>
      <c r="D63" t="s">
        <v>828</v>
      </c>
      <c r="E63" t="str">
        <f t="shared" si="0"/>
        <v>DK</v>
      </c>
      <c r="F63" s="332"/>
      <c r="G63" t="s">
        <v>829</v>
      </c>
      <c r="I63" t="s">
        <v>830</v>
      </c>
      <c r="Q63">
        <v>2061</v>
      </c>
      <c r="X63" t="s">
        <v>831</v>
      </c>
      <c r="Y63" t="s">
        <v>832</v>
      </c>
    </row>
    <row r="64" spans="1:25">
      <c r="A64" s="262" t="s">
        <v>514</v>
      </c>
      <c r="B64" s="259" t="s">
        <v>833</v>
      </c>
      <c r="C64" s="260" t="s">
        <v>834</v>
      </c>
      <c r="D64" t="s">
        <v>835</v>
      </c>
      <c r="E64" t="str">
        <f t="shared" si="0"/>
        <v>DM</v>
      </c>
      <c r="F64" s="332"/>
      <c r="G64" t="s">
        <v>836</v>
      </c>
      <c r="I64" t="s">
        <v>837</v>
      </c>
      <c r="Q64">
        <v>2062</v>
      </c>
      <c r="X64" t="s">
        <v>838</v>
      </c>
      <c r="Y64" t="s">
        <v>839</v>
      </c>
    </row>
    <row r="65" spans="1:25">
      <c r="A65" s="263" t="s">
        <v>840</v>
      </c>
      <c r="B65" s="262" t="s">
        <v>841</v>
      </c>
      <c r="C65" s="260" t="s">
        <v>842</v>
      </c>
      <c r="D65" t="s">
        <v>843</v>
      </c>
      <c r="E65" t="str">
        <f t="shared" si="0"/>
        <v>DO</v>
      </c>
      <c r="F65" s="332"/>
      <c r="G65" t="s">
        <v>844</v>
      </c>
      <c r="I65" t="s">
        <v>845</v>
      </c>
      <c r="Q65">
        <v>2063</v>
      </c>
      <c r="X65" t="s">
        <v>846</v>
      </c>
      <c r="Y65" t="s">
        <v>847</v>
      </c>
    </row>
    <row r="66" spans="1:25">
      <c r="A66" s="259" t="s">
        <v>522</v>
      </c>
      <c r="B66" s="262" t="s">
        <v>848</v>
      </c>
      <c r="C66" s="260" t="s">
        <v>849</v>
      </c>
      <c r="D66" t="s">
        <v>850</v>
      </c>
      <c r="E66" t="str">
        <f t="shared" si="0"/>
        <v>DZ</v>
      </c>
      <c r="F66" s="81"/>
      <c r="G66" t="s">
        <v>851</v>
      </c>
      <c r="I66" t="s">
        <v>852</v>
      </c>
      <c r="Q66">
        <v>2064</v>
      </c>
      <c r="X66" t="s">
        <v>853</v>
      </c>
      <c r="Y66" t="s">
        <v>854</v>
      </c>
    </row>
    <row r="67" spans="1:25">
      <c r="A67" s="262" t="s">
        <v>530</v>
      </c>
      <c r="B67" s="259" t="s">
        <v>855</v>
      </c>
      <c r="C67" s="260" t="s">
        <v>856</v>
      </c>
      <c r="D67" t="s">
        <v>857</v>
      </c>
      <c r="E67" t="str">
        <f t="shared" ref="E67:E130" si="1">RIGHT(D67,2)</f>
        <v>EC</v>
      </c>
      <c r="F67" s="332"/>
      <c r="G67" t="s">
        <v>858</v>
      </c>
      <c r="I67" t="s">
        <v>859</v>
      </c>
      <c r="Q67">
        <v>2065</v>
      </c>
      <c r="X67" t="s">
        <v>860</v>
      </c>
      <c r="Y67" t="s">
        <v>861</v>
      </c>
    </row>
    <row r="68" spans="1:25">
      <c r="A68" s="263" t="s">
        <v>862</v>
      </c>
      <c r="B68" s="262" t="s">
        <v>863</v>
      </c>
      <c r="C68" s="260" t="s">
        <v>864</v>
      </c>
      <c r="D68" t="s">
        <v>865</v>
      </c>
      <c r="E68" t="str">
        <f t="shared" si="1"/>
        <v>EE</v>
      </c>
      <c r="F68" s="332"/>
      <c r="G68" t="s">
        <v>866</v>
      </c>
      <c r="I68" t="s">
        <v>867</v>
      </c>
      <c r="Q68">
        <v>2066</v>
      </c>
      <c r="X68" t="s">
        <v>868</v>
      </c>
      <c r="Y68" t="s">
        <v>869</v>
      </c>
    </row>
    <row r="69" spans="1:25">
      <c r="A69" s="262" t="s">
        <v>537</v>
      </c>
      <c r="B69" s="262" t="s">
        <v>870</v>
      </c>
      <c r="C69" s="260" t="s">
        <v>871</v>
      </c>
      <c r="D69" t="s">
        <v>872</v>
      </c>
      <c r="E69" t="str">
        <f t="shared" si="1"/>
        <v>EG</v>
      </c>
      <c r="F69" s="331"/>
      <c r="G69" t="s">
        <v>873</v>
      </c>
      <c r="I69" t="s">
        <v>874</v>
      </c>
      <c r="Q69">
        <v>2067</v>
      </c>
      <c r="X69" t="s">
        <v>875</v>
      </c>
      <c r="Y69" t="s">
        <v>876</v>
      </c>
    </row>
    <row r="70" spans="1:25">
      <c r="A70" s="263" t="s">
        <v>877</v>
      </c>
      <c r="B70" s="259" t="s">
        <v>878</v>
      </c>
      <c r="C70" s="260" t="s">
        <v>879</v>
      </c>
      <c r="D70" t="s">
        <v>880</v>
      </c>
      <c r="E70" t="str">
        <f t="shared" si="1"/>
        <v>EH</v>
      </c>
      <c r="F70" s="331"/>
      <c r="G70" t="s">
        <v>881</v>
      </c>
      <c r="I70" t="s">
        <v>882</v>
      </c>
      <c r="Q70">
        <v>2068</v>
      </c>
      <c r="X70" t="s">
        <v>883</v>
      </c>
      <c r="Y70" t="s">
        <v>884</v>
      </c>
    </row>
    <row r="71" spans="1:25">
      <c r="A71" s="259" t="s">
        <v>545</v>
      </c>
      <c r="B71" s="262" t="s">
        <v>885</v>
      </c>
      <c r="C71" s="260" t="s">
        <v>886</v>
      </c>
      <c r="D71" t="s">
        <v>887</v>
      </c>
      <c r="E71" t="str">
        <f t="shared" si="1"/>
        <v>ER</v>
      </c>
      <c r="F71" s="331"/>
      <c r="G71" t="s">
        <v>888</v>
      </c>
      <c r="I71" t="s">
        <v>889</v>
      </c>
      <c r="Q71">
        <v>2069</v>
      </c>
      <c r="X71" t="s">
        <v>890</v>
      </c>
      <c r="Y71" t="s">
        <v>891</v>
      </c>
    </row>
    <row r="72" spans="1:25">
      <c r="A72" s="262" t="s">
        <v>553</v>
      </c>
      <c r="B72" s="262" t="s">
        <v>892</v>
      </c>
      <c r="C72" s="260" t="s">
        <v>893</v>
      </c>
      <c r="D72" t="s">
        <v>894</v>
      </c>
      <c r="E72" t="str">
        <f t="shared" si="1"/>
        <v>ES</v>
      </c>
      <c r="F72" s="331"/>
      <c r="G72" t="s">
        <v>895</v>
      </c>
      <c r="I72" t="s">
        <v>896</v>
      </c>
      <c r="Q72">
        <v>2070</v>
      </c>
      <c r="X72" t="s">
        <v>897</v>
      </c>
      <c r="Y72" t="s">
        <v>898</v>
      </c>
    </row>
    <row r="73" spans="1:25">
      <c r="A73" s="263" t="s">
        <v>899</v>
      </c>
      <c r="B73" s="259" t="s">
        <v>900</v>
      </c>
      <c r="C73" s="260" t="s">
        <v>901</v>
      </c>
      <c r="D73" t="s">
        <v>902</v>
      </c>
      <c r="E73" t="str">
        <f t="shared" si="1"/>
        <v>ET</v>
      </c>
      <c r="F73" s="331"/>
      <c r="G73" t="s">
        <v>903</v>
      </c>
      <c r="I73" t="s">
        <v>904</v>
      </c>
      <c r="Q73">
        <v>2071</v>
      </c>
      <c r="X73" t="s">
        <v>905</v>
      </c>
      <c r="Y73" t="s">
        <v>906</v>
      </c>
    </row>
    <row r="74" spans="1:25">
      <c r="A74" s="262" t="s">
        <v>561</v>
      </c>
      <c r="B74" s="262" t="s">
        <v>907</v>
      </c>
      <c r="C74" s="260" t="s">
        <v>908</v>
      </c>
      <c r="D74" t="s">
        <v>909</v>
      </c>
      <c r="E74" t="str">
        <f t="shared" si="1"/>
        <v>FI</v>
      </c>
      <c r="F74" s="331"/>
      <c r="G74" t="s">
        <v>910</v>
      </c>
      <c r="I74" t="s">
        <v>911</v>
      </c>
      <c r="Q74">
        <v>2072</v>
      </c>
      <c r="X74" t="s">
        <v>912</v>
      </c>
      <c r="Y74" t="s">
        <v>913</v>
      </c>
    </row>
    <row r="75" spans="1:25">
      <c r="A75" s="263" t="s">
        <v>914</v>
      </c>
      <c r="B75" s="262" t="s">
        <v>915</v>
      </c>
      <c r="C75" s="260" t="s">
        <v>916</v>
      </c>
      <c r="D75" t="s">
        <v>917</v>
      </c>
      <c r="E75" t="str">
        <f t="shared" si="1"/>
        <v>FJ</v>
      </c>
      <c r="F75" s="332"/>
      <c r="G75" t="s">
        <v>918</v>
      </c>
      <c r="I75" t="s">
        <v>919</v>
      </c>
      <c r="Q75">
        <v>2073</v>
      </c>
      <c r="X75" t="s">
        <v>920</v>
      </c>
      <c r="Y75" t="s">
        <v>921</v>
      </c>
    </row>
    <row r="76" spans="1:25">
      <c r="A76" s="263" t="s">
        <v>922</v>
      </c>
      <c r="B76" s="262" t="s">
        <v>923</v>
      </c>
      <c r="C76" s="260" t="s">
        <v>924</v>
      </c>
      <c r="D76" t="s">
        <v>925</v>
      </c>
      <c r="E76" t="str">
        <f t="shared" si="1"/>
        <v>FK</v>
      </c>
      <c r="F76" s="332"/>
      <c r="G76" t="s">
        <v>926</v>
      </c>
      <c r="I76" t="s">
        <v>927</v>
      </c>
      <c r="Q76">
        <v>2074</v>
      </c>
      <c r="X76" t="s">
        <v>928</v>
      </c>
      <c r="Y76" t="s">
        <v>929</v>
      </c>
    </row>
    <row r="77" spans="1:25">
      <c r="A77" s="259" t="s">
        <v>569</v>
      </c>
      <c r="B77" s="262" t="s">
        <v>930</v>
      </c>
      <c r="C77" s="260" t="s">
        <v>931</v>
      </c>
      <c r="D77" t="s">
        <v>932</v>
      </c>
      <c r="E77" t="str">
        <f t="shared" si="1"/>
        <v>FM</v>
      </c>
      <c r="F77" s="332"/>
      <c r="G77" t="s">
        <v>933</v>
      </c>
      <c r="I77" t="s">
        <v>934</v>
      </c>
      <c r="Q77">
        <v>2075</v>
      </c>
      <c r="X77" t="s">
        <v>935</v>
      </c>
      <c r="Y77" t="s">
        <v>936</v>
      </c>
    </row>
    <row r="78" spans="1:25">
      <c r="A78" s="262" t="s">
        <v>577</v>
      </c>
      <c r="B78" s="262" t="s">
        <v>937</v>
      </c>
      <c r="C78" s="260" t="s">
        <v>938</v>
      </c>
      <c r="D78" t="s">
        <v>939</v>
      </c>
      <c r="E78" t="str">
        <f t="shared" si="1"/>
        <v>FO</v>
      </c>
      <c r="F78" s="332"/>
      <c r="G78" t="s">
        <v>940</v>
      </c>
      <c r="I78" t="s">
        <v>941</v>
      </c>
      <c r="Q78">
        <v>2076</v>
      </c>
      <c r="X78" t="s">
        <v>942</v>
      </c>
      <c r="Y78" t="s">
        <v>943</v>
      </c>
    </row>
    <row r="79" spans="1:25">
      <c r="A79" s="263" t="s">
        <v>944</v>
      </c>
      <c r="B79" s="262" t="s">
        <v>945</v>
      </c>
      <c r="C79" s="260" t="s">
        <v>946</v>
      </c>
      <c r="D79" t="s">
        <v>947</v>
      </c>
      <c r="E79" t="str">
        <f t="shared" si="1"/>
        <v>FR</v>
      </c>
      <c r="F79" s="332"/>
      <c r="G79" t="s">
        <v>948</v>
      </c>
      <c r="I79" t="s">
        <v>949</v>
      </c>
      <c r="Q79">
        <v>2077</v>
      </c>
      <c r="X79" t="s">
        <v>950</v>
      </c>
      <c r="Y79" t="s">
        <v>951</v>
      </c>
    </row>
    <row r="80" spans="1:25">
      <c r="A80" s="263" t="s">
        <v>952</v>
      </c>
      <c r="B80" s="259" t="s">
        <v>953</v>
      </c>
      <c r="C80" s="260" t="s">
        <v>954</v>
      </c>
      <c r="D80" t="s">
        <v>955</v>
      </c>
      <c r="E80" t="str">
        <f t="shared" si="1"/>
        <v>GA</v>
      </c>
      <c r="F80" s="332"/>
      <c r="G80" t="s">
        <v>956</v>
      </c>
      <c r="I80" t="s">
        <v>957</v>
      </c>
      <c r="Q80">
        <v>2078</v>
      </c>
      <c r="X80" t="s">
        <v>958</v>
      </c>
      <c r="Y80" t="s">
        <v>959</v>
      </c>
    </row>
    <row r="81" spans="1:25">
      <c r="A81" s="262" t="s">
        <v>585</v>
      </c>
      <c r="B81" s="262" t="s">
        <v>960</v>
      </c>
      <c r="C81" s="260" t="s">
        <v>961</v>
      </c>
      <c r="D81" t="s">
        <v>962</v>
      </c>
      <c r="E81" t="str">
        <f t="shared" si="1"/>
        <v>GB</v>
      </c>
      <c r="F81" s="331"/>
      <c r="G81" t="s">
        <v>963</v>
      </c>
      <c r="I81" t="s">
        <v>964</v>
      </c>
      <c r="Q81">
        <v>2079</v>
      </c>
      <c r="X81" t="s">
        <v>965</v>
      </c>
      <c r="Y81" t="s">
        <v>966</v>
      </c>
    </row>
    <row r="82" spans="1:25">
      <c r="A82" s="263" t="s">
        <v>967</v>
      </c>
      <c r="B82" s="262" t="s">
        <v>968</v>
      </c>
      <c r="C82" s="260" t="s">
        <v>969</v>
      </c>
      <c r="D82" t="s">
        <v>970</v>
      </c>
      <c r="E82" t="str">
        <f t="shared" si="1"/>
        <v>GD</v>
      </c>
      <c r="F82" s="331"/>
      <c r="G82" t="s">
        <v>971</v>
      </c>
      <c r="I82" t="s">
        <v>972</v>
      </c>
      <c r="Q82">
        <v>2080</v>
      </c>
      <c r="X82" t="s">
        <v>973</v>
      </c>
      <c r="Y82" t="s">
        <v>974</v>
      </c>
    </row>
    <row r="83" spans="1:25">
      <c r="A83" s="263" t="s">
        <v>975</v>
      </c>
      <c r="B83" s="259" t="s">
        <v>976</v>
      </c>
      <c r="C83" s="260" t="s">
        <v>977</v>
      </c>
      <c r="D83" t="s">
        <v>978</v>
      </c>
      <c r="E83" t="str">
        <f t="shared" si="1"/>
        <v>GE</v>
      </c>
      <c r="F83" s="331"/>
      <c r="G83" t="s">
        <v>979</v>
      </c>
      <c r="I83" t="s">
        <v>980</v>
      </c>
      <c r="Q83">
        <v>2081</v>
      </c>
      <c r="X83" t="s">
        <v>981</v>
      </c>
      <c r="Y83" t="s">
        <v>982</v>
      </c>
    </row>
    <row r="84" spans="1:25">
      <c r="A84" s="263" t="s">
        <v>983</v>
      </c>
      <c r="B84" s="262" t="s">
        <v>984</v>
      </c>
      <c r="C84" s="260" t="s">
        <v>985</v>
      </c>
      <c r="D84" t="s">
        <v>986</v>
      </c>
      <c r="E84" t="str">
        <f t="shared" si="1"/>
        <v>GF</v>
      </c>
      <c r="F84" s="332"/>
      <c r="G84" t="s">
        <v>987</v>
      </c>
      <c r="I84" t="s">
        <v>988</v>
      </c>
      <c r="Q84">
        <v>2082</v>
      </c>
      <c r="X84" t="s">
        <v>989</v>
      </c>
      <c r="Y84" t="s">
        <v>990</v>
      </c>
    </row>
    <row r="85" spans="1:25">
      <c r="A85" s="263" t="s">
        <v>991</v>
      </c>
      <c r="B85" s="262" t="s">
        <v>992</v>
      </c>
      <c r="C85" s="260" t="s">
        <v>993</v>
      </c>
      <c r="D85" t="s">
        <v>994</v>
      </c>
      <c r="E85" t="str">
        <f t="shared" si="1"/>
        <v>GG</v>
      </c>
      <c r="F85" s="332"/>
      <c r="G85" t="s">
        <v>995</v>
      </c>
      <c r="I85" t="s">
        <v>996</v>
      </c>
      <c r="Q85">
        <v>2083</v>
      </c>
      <c r="X85" t="s">
        <v>997</v>
      </c>
      <c r="Y85" t="s">
        <v>998</v>
      </c>
    </row>
    <row r="86" spans="1:25">
      <c r="A86" s="259" t="s">
        <v>593</v>
      </c>
      <c r="B86" s="259" t="s">
        <v>999</v>
      </c>
      <c r="C86" s="260" t="s">
        <v>1000</v>
      </c>
      <c r="D86" t="s">
        <v>1001</v>
      </c>
      <c r="E86" t="str">
        <f t="shared" si="1"/>
        <v>GH</v>
      </c>
      <c r="F86" s="81"/>
      <c r="G86" t="s">
        <v>1002</v>
      </c>
      <c r="I86" t="s">
        <v>1003</v>
      </c>
      <c r="Q86">
        <v>2084</v>
      </c>
      <c r="X86" t="s">
        <v>1004</v>
      </c>
      <c r="Y86" t="s">
        <v>1005</v>
      </c>
    </row>
    <row r="87" spans="1:25">
      <c r="A87" s="262" t="s">
        <v>601</v>
      </c>
      <c r="B87" s="262" t="s">
        <v>1006</v>
      </c>
      <c r="C87" s="260" t="s">
        <v>1007</v>
      </c>
      <c r="D87" t="s">
        <v>1008</v>
      </c>
      <c r="E87" t="str">
        <f t="shared" si="1"/>
        <v>GI</v>
      </c>
      <c r="F87" s="332"/>
      <c r="G87" t="s">
        <v>1009</v>
      </c>
      <c r="I87" t="s">
        <v>1010</v>
      </c>
      <c r="Q87">
        <v>2085</v>
      </c>
      <c r="X87" t="s">
        <v>1011</v>
      </c>
      <c r="Y87" t="s">
        <v>1012</v>
      </c>
    </row>
    <row r="88" spans="1:25">
      <c r="A88" s="263" t="s">
        <v>1013</v>
      </c>
      <c r="B88" s="262" t="s">
        <v>1014</v>
      </c>
      <c r="C88" s="260" t="s">
        <v>1015</v>
      </c>
      <c r="D88" t="s">
        <v>1016</v>
      </c>
      <c r="E88" t="str">
        <f t="shared" si="1"/>
        <v>GL</v>
      </c>
      <c r="F88" s="332"/>
      <c r="G88" t="s">
        <v>1017</v>
      </c>
      <c r="I88" t="s">
        <v>1018</v>
      </c>
      <c r="Q88">
        <v>2086</v>
      </c>
      <c r="X88" t="s">
        <v>1019</v>
      </c>
      <c r="Y88" t="s">
        <v>1020</v>
      </c>
    </row>
    <row r="89" spans="1:25">
      <c r="A89" s="262" t="s">
        <v>608</v>
      </c>
      <c r="B89" s="262" t="s">
        <v>1021</v>
      </c>
      <c r="C89" s="260" t="s">
        <v>1022</v>
      </c>
      <c r="D89" t="s">
        <v>1023</v>
      </c>
      <c r="E89" t="str">
        <f t="shared" si="1"/>
        <v>GM</v>
      </c>
      <c r="F89" s="332"/>
      <c r="G89" t="s">
        <v>1024</v>
      </c>
      <c r="I89" t="s">
        <v>1025</v>
      </c>
      <c r="Q89">
        <v>2087</v>
      </c>
      <c r="X89" t="s">
        <v>1026</v>
      </c>
      <c r="Y89" t="s">
        <v>1027</v>
      </c>
    </row>
    <row r="90" spans="1:25">
      <c r="A90" s="263" t="s">
        <v>1028</v>
      </c>
      <c r="B90" s="262" t="s">
        <v>1029</v>
      </c>
      <c r="C90" s="260" t="s">
        <v>1030</v>
      </c>
      <c r="D90" t="s">
        <v>1031</v>
      </c>
      <c r="E90" t="str">
        <f t="shared" si="1"/>
        <v>GN</v>
      </c>
      <c r="F90" s="332"/>
      <c r="G90" t="s">
        <v>1032</v>
      </c>
      <c r="I90" t="s">
        <v>1033</v>
      </c>
      <c r="Q90">
        <v>2088</v>
      </c>
      <c r="X90" t="s">
        <v>1034</v>
      </c>
      <c r="Y90" t="s">
        <v>1035</v>
      </c>
    </row>
    <row r="91" spans="1:25">
      <c r="A91" s="260" t="s">
        <v>1036</v>
      </c>
      <c r="B91" s="262" t="s">
        <v>1037</v>
      </c>
      <c r="C91" s="260" t="s">
        <v>1038</v>
      </c>
      <c r="D91" t="s">
        <v>1039</v>
      </c>
      <c r="E91" t="str">
        <f t="shared" si="1"/>
        <v>GP</v>
      </c>
      <c r="F91" s="332"/>
      <c r="G91" t="s">
        <v>1040</v>
      </c>
      <c r="I91" t="s">
        <v>1041</v>
      </c>
      <c r="Q91">
        <v>2089</v>
      </c>
      <c r="X91" t="s">
        <v>1042</v>
      </c>
      <c r="Y91" t="s">
        <v>1043</v>
      </c>
    </row>
    <row r="92" spans="1:25">
      <c r="A92" s="259" t="s">
        <v>623</v>
      </c>
      <c r="B92" s="262" t="s">
        <v>1044</v>
      </c>
      <c r="C92" s="260" t="s">
        <v>1045</v>
      </c>
      <c r="D92" t="s">
        <v>1046</v>
      </c>
      <c r="E92" t="str">
        <f t="shared" si="1"/>
        <v>GQ</v>
      </c>
      <c r="F92" s="332"/>
      <c r="G92" t="s">
        <v>1047</v>
      </c>
      <c r="I92" t="s">
        <v>1048</v>
      </c>
      <c r="Q92">
        <v>2090</v>
      </c>
      <c r="X92" t="s">
        <v>1049</v>
      </c>
      <c r="Y92" t="s">
        <v>1050</v>
      </c>
    </row>
    <row r="93" spans="1:25">
      <c r="A93" s="262" t="s">
        <v>631</v>
      </c>
      <c r="B93" s="262" t="s">
        <v>1051</v>
      </c>
      <c r="C93" s="260" t="s">
        <v>1052</v>
      </c>
      <c r="D93" t="s">
        <v>1053</v>
      </c>
      <c r="E93" t="str">
        <f t="shared" si="1"/>
        <v>GR</v>
      </c>
      <c r="F93" s="332"/>
      <c r="G93" t="s">
        <v>1054</v>
      </c>
      <c r="I93" t="s">
        <v>1055</v>
      </c>
      <c r="Q93">
        <v>2091</v>
      </c>
      <c r="X93" t="s">
        <v>1056</v>
      </c>
      <c r="Y93" t="s">
        <v>1057</v>
      </c>
    </row>
    <row r="94" spans="1:25">
      <c r="A94" s="263" t="s">
        <v>1058</v>
      </c>
      <c r="B94" s="262" t="s">
        <v>1059</v>
      </c>
      <c r="C94" s="260" t="s">
        <v>1060</v>
      </c>
      <c r="D94" t="s">
        <v>1061</v>
      </c>
      <c r="E94" t="str">
        <f t="shared" si="1"/>
        <v>GS</v>
      </c>
      <c r="F94" s="332"/>
      <c r="G94" t="s">
        <v>1062</v>
      </c>
      <c r="I94" t="s">
        <v>1063</v>
      </c>
      <c r="Q94">
        <v>2092</v>
      </c>
      <c r="X94" t="s">
        <v>1064</v>
      </c>
      <c r="Y94" t="s">
        <v>1065</v>
      </c>
    </row>
    <row r="95" spans="1:25">
      <c r="A95" s="263" t="s">
        <v>1066</v>
      </c>
      <c r="B95" s="259" t="s">
        <v>1067</v>
      </c>
      <c r="C95" s="260" t="s">
        <v>1068</v>
      </c>
      <c r="D95" t="s">
        <v>1069</v>
      </c>
      <c r="E95" t="str">
        <f t="shared" si="1"/>
        <v>GT</v>
      </c>
      <c r="F95" s="81"/>
      <c r="G95" t="s">
        <v>1070</v>
      </c>
      <c r="I95" t="s">
        <v>1071</v>
      </c>
      <c r="Q95">
        <v>2093</v>
      </c>
      <c r="X95" t="s">
        <v>1072</v>
      </c>
      <c r="Y95" t="s">
        <v>1073</v>
      </c>
    </row>
    <row r="96" spans="1:25">
      <c r="A96" s="263" t="s">
        <v>1074</v>
      </c>
      <c r="B96" s="262" t="s">
        <v>1075</v>
      </c>
      <c r="C96" s="260" t="s">
        <v>1076</v>
      </c>
      <c r="D96" t="s">
        <v>1077</v>
      </c>
      <c r="E96" t="str">
        <f t="shared" si="1"/>
        <v>GU</v>
      </c>
      <c r="F96" s="332"/>
      <c r="I96" t="s">
        <v>1078</v>
      </c>
      <c r="Q96">
        <v>2094</v>
      </c>
      <c r="X96" t="s">
        <v>1079</v>
      </c>
      <c r="Y96" t="s">
        <v>1080</v>
      </c>
    </row>
    <row r="97" spans="1:25">
      <c r="A97" s="262" t="s">
        <v>639</v>
      </c>
      <c r="B97" s="262" t="s">
        <v>1081</v>
      </c>
      <c r="C97" s="260" t="s">
        <v>1082</v>
      </c>
      <c r="D97" t="s">
        <v>1083</v>
      </c>
      <c r="E97" t="str">
        <f t="shared" si="1"/>
        <v>GW</v>
      </c>
      <c r="F97" s="332"/>
      <c r="I97" t="s">
        <v>1084</v>
      </c>
      <c r="Q97">
        <v>2095</v>
      </c>
      <c r="X97" t="s">
        <v>1085</v>
      </c>
      <c r="Y97" t="s">
        <v>1086</v>
      </c>
    </row>
    <row r="98" spans="1:25">
      <c r="A98" s="263" t="s">
        <v>1087</v>
      </c>
      <c r="B98" s="262" t="s">
        <v>1088</v>
      </c>
      <c r="C98" s="260" t="s">
        <v>1089</v>
      </c>
      <c r="D98" t="s">
        <v>1090</v>
      </c>
      <c r="E98" t="str">
        <f t="shared" si="1"/>
        <v>GY</v>
      </c>
      <c r="F98" s="332"/>
      <c r="I98" t="s">
        <v>1091</v>
      </c>
      <c r="Q98">
        <v>2096</v>
      </c>
      <c r="X98" t="s">
        <v>1092</v>
      </c>
      <c r="Y98" t="s">
        <v>1093</v>
      </c>
    </row>
    <row r="99" spans="1:25">
      <c r="A99" s="262" t="s">
        <v>647</v>
      </c>
      <c r="B99" s="262" t="s">
        <v>1094</v>
      </c>
      <c r="C99" s="260" t="s">
        <v>1095</v>
      </c>
      <c r="D99" t="s">
        <v>1096</v>
      </c>
      <c r="E99" t="str">
        <f t="shared" si="1"/>
        <v>HK</v>
      </c>
      <c r="F99" s="81"/>
      <c r="I99" t="s">
        <v>1097</v>
      </c>
      <c r="Q99">
        <v>2097</v>
      </c>
      <c r="X99" t="s">
        <v>1098</v>
      </c>
      <c r="Y99" t="s">
        <v>1099</v>
      </c>
    </row>
    <row r="100" spans="1:25">
      <c r="A100" s="263" t="s">
        <v>1100</v>
      </c>
      <c r="B100" s="262" t="s">
        <v>1101</v>
      </c>
      <c r="C100" s="260" t="s">
        <v>1102</v>
      </c>
      <c r="D100" t="s">
        <v>1103</v>
      </c>
      <c r="E100" t="str">
        <f t="shared" si="1"/>
        <v>HM</v>
      </c>
      <c r="F100" s="332"/>
      <c r="I100" t="s">
        <v>1104</v>
      </c>
      <c r="Q100">
        <v>2098</v>
      </c>
      <c r="X100" t="s">
        <v>1105</v>
      </c>
      <c r="Y100" t="s">
        <v>1106</v>
      </c>
    </row>
    <row r="101" spans="1:25">
      <c r="A101" s="263" t="s">
        <v>1107</v>
      </c>
      <c r="B101" s="259" t="s">
        <v>1108</v>
      </c>
      <c r="C101" s="260" t="s">
        <v>1109</v>
      </c>
      <c r="D101" t="s">
        <v>1110</v>
      </c>
      <c r="E101" t="str">
        <f t="shared" si="1"/>
        <v>HN</v>
      </c>
      <c r="F101" s="332"/>
      <c r="I101" t="s">
        <v>1111</v>
      </c>
      <c r="Q101">
        <v>2099</v>
      </c>
      <c r="X101" t="s">
        <v>1112</v>
      </c>
      <c r="Y101" t="s">
        <v>1113</v>
      </c>
    </row>
    <row r="102" spans="1:25">
      <c r="A102" s="263" t="s">
        <v>1114</v>
      </c>
      <c r="B102" s="262" t="s">
        <v>1115</v>
      </c>
      <c r="C102" s="260" t="s">
        <v>1116</v>
      </c>
      <c r="D102" t="s">
        <v>1117</v>
      </c>
      <c r="E102" t="str">
        <f t="shared" si="1"/>
        <v>HR</v>
      </c>
      <c r="F102" s="332"/>
      <c r="I102" t="s">
        <v>1118</v>
      </c>
      <c r="Q102">
        <v>2100</v>
      </c>
      <c r="X102" t="s">
        <v>1119</v>
      </c>
      <c r="Y102" t="s">
        <v>1120</v>
      </c>
    </row>
    <row r="103" spans="1:25">
      <c r="A103" s="262" t="s">
        <v>654</v>
      </c>
      <c r="B103" s="262" t="s">
        <v>1121</v>
      </c>
      <c r="C103" s="260" t="s">
        <v>1122</v>
      </c>
      <c r="D103" t="s">
        <v>1123</v>
      </c>
      <c r="E103" t="str">
        <f t="shared" si="1"/>
        <v>HT</v>
      </c>
      <c r="F103" s="332"/>
      <c r="I103" t="s">
        <v>1124</v>
      </c>
      <c r="X103" t="s">
        <v>1125</v>
      </c>
      <c r="Y103" t="s">
        <v>1126</v>
      </c>
    </row>
    <row r="104" spans="1:25">
      <c r="A104" s="263" t="s">
        <v>1127</v>
      </c>
      <c r="B104" s="262" t="s">
        <v>1128</v>
      </c>
      <c r="C104" s="260" t="s">
        <v>1129</v>
      </c>
      <c r="D104" t="s">
        <v>1130</v>
      </c>
      <c r="E104" t="str">
        <f t="shared" si="1"/>
        <v>HU</v>
      </c>
      <c r="F104" s="332"/>
      <c r="I104" t="s">
        <v>1131</v>
      </c>
      <c r="X104" t="s">
        <v>1132</v>
      </c>
      <c r="Y104" t="s">
        <v>1133</v>
      </c>
    </row>
    <row r="105" spans="1:25">
      <c r="A105" s="263" t="s">
        <v>1134</v>
      </c>
      <c r="B105" s="262" t="s">
        <v>1135</v>
      </c>
      <c r="C105" s="260" t="s">
        <v>1136</v>
      </c>
      <c r="D105" t="s">
        <v>1137</v>
      </c>
      <c r="E105" t="str">
        <f t="shared" si="1"/>
        <v>ID</v>
      </c>
      <c r="F105" s="332"/>
      <c r="I105" t="s">
        <v>1138</v>
      </c>
      <c r="X105" t="s">
        <v>1139</v>
      </c>
      <c r="Y105" t="s">
        <v>1140</v>
      </c>
    </row>
    <row r="106" spans="1:25">
      <c r="A106" s="262" t="s">
        <v>662</v>
      </c>
      <c r="B106" s="262" t="s">
        <v>1141</v>
      </c>
      <c r="C106" s="260" t="s">
        <v>1142</v>
      </c>
      <c r="D106" t="s">
        <v>1143</v>
      </c>
      <c r="E106" t="str">
        <f t="shared" si="1"/>
        <v>IE</v>
      </c>
      <c r="F106" s="332"/>
      <c r="I106" t="s">
        <v>1144</v>
      </c>
      <c r="X106" t="s">
        <v>1145</v>
      </c>
      <c r="Y106" t="s">
        <v>1146</v>
      </c>
    </row>
    <row r="107" spans="1:25">
      <c r="A107" s="263" t="s">
        <v>1147</v>
      </c>
      <c r="B107" s="262" t="s">
        <v>1148</v>
      </c>
      <c r="C107" s="260" t="s">
        <v>1149</v>
      </c>
      <c r="D107" t="s">
        <v>1150</v>
      </c>
      <c r="E107" t="str">
        <f t="shared" si="1"/>
        <v>IL</v>
      </c>
      <c r="F107" s="81"/>
      <c r="I107" t="s">
        <v>1151</v>
      </c>
      <c r="X107" t="s">
        <v>1152</v>
      </c>
      <c r="Y107" t="s">
        <v>1153</v>
      </c>
    </row>
    <row r="108" spans="1:25">
      <c r="A108" s="263" t="s">
        <v>1154</v>
      </c>
      <c r="B108" s="262" t="s">
        <v>1155</v>
      </c>
      <c r="C108" s="260" t="s">
        <v>1156</v>
      </c>
      <c r="D108" t="s">
        <v>1157</v>
      </c>
      <c r="E108" t="str">
        <f t="shared" si="1"/>
        <v>IM</v>
      </c>
      <c r="F108" s="332"/>
      <c r="I108" t="s">
        <v>1158</v>
      </c>
      <c r="X108" t="s">
        <v>1159</v>
      </c>
      <c r="Y108" t="s">
        <v>1160</v>
      </c>
    </row>
    <row r="109" spans="1:25">
      <c r="A109" s="262" t="s">
        <v>669</v>
      </c>
      <c r="B109" s="259" t="s">
        <v>1161</v>
      </c>
      <c r="C109" s="260" t="s">
        <v>1162</v>
      </c>
      <c r="D109" t="s">
        <v>1163</v>
      </c>
      <c r="E109" t="str">
        <f t="shared" si="1"/>
        <v>IN</v>
      </c>
      <c r="F109" s="332"/>
      <c r="I109" t="s">
        <v>1164</v>
      </c>
      <c r="X109" t="s">
        <v>1165</v>
      </c>
      <c r="Y109" t="s">
        <v>1166</v>
      </c>
    </row>
    <row r="110" spans="1:25">
      <c r="A110" s="263" t="s">
        <v>1167</v>
      </c>
      <c r="B110" s="262" t="s">
        <v>1168</v>
      </c>
      <c r="C110" s="260" t="s">
        <v>1169</v>
      </c>
      <c r="D110" t="s">
        <v>1170</v>
      </c>
      <c r="E110" t="str">
        <f t="shared" si="1"/>
        <v>IO</v>
      </c>
      <c r="F110" s="81"/>
      <c r="I110" t="s">
        <v>1171</v>
      </c>
      <c r="X110" t="s">
        <v>1172</v>
      </c>
      <c r="Y110" t="s">
        <v>1173</v>
      </c>
    </row>
    <row r="111" spans="1:25">
      <c r="A111" s="263" t="s">
        <v>1174</v>
      </c>
      <c r="B111" s="262" t="s">
        <v>1175</v>
      </c>
      <c r="C111" s="260" t="s">
        <v>1176</v>
      </c>
      <c r="D111" t="s">
        <v>1177</v>
      </c>
      <c r="E111" t="str">
        <f t="shared" si="1"/>
        <v>IQ</v>
      </c>
      <c r="F111" s="332"/>
      <c r="I111" t="s">
        <v>1178</v>
      </c>
      <c r="X111" t="s">
        <v>1179</v>
      </c>
      <c r="Y111" t="s">
        <v>1180</v>
      </c>
    </row>
    <row r="112" spans="1:25">
      <c r="A112" s="262" t="s">
        <v>676</v>
      </c>
      <c r="B112" s="262" t="s">
        <v>1181</v>
      </c>
      <c r="C112" s="260" t="s">
        <v>1182</v>
      </c>
      <c r="D112" t="s">
        <v>1183</v>
      </c>
      <c r="E112" t="str">
        <f t="shared" si="1"/>
        <v>IR</v>
      </c>
      <c r="F112" s="332"/>
      <c r="I112" t="s">
        <v>1184</v>
      </c>
      <c r="X112" t="s">
        <v>1185</v>
      </c>
      <c r="Y112" t="s">
        <v>1186</v>
      </c>
    </row>
    <row r="113" spans="1:25">
      <c r="A113" s="263" t="s">
        <v>1187</v>
      </c>
      <c r="B113" s="262" t="s">
        <v>1188</v>
      </c>
      <c r="C113" s="260" t="s">
        <v>1189</v>
      </c>
      <c r="D113" t="s">
        <v>1190</v>
      </c>
      <c r="E113" t="str">
        <f t="shared" si="1"/>
        <v>IS</v>
      </c>
      <c r="F113" s="332"/>
      <c r="I113" t="s">
        <v>1191</v>
      </c>
      <c r="X113" t="s">
        <v>1192</v>
      </c>
      <c r="Y113" t="s">
        <v>1193</v>
      </c>
    </row>
    <row r="114" spans="1:25">
      <c r="A114" s="263" t="s">
        <v>1194</v>
      </c>
      <c r="B114" s="262" t="s">
        <v>1195</v>
      </c>
      <c r="C114" s="260" t="s">
        <v>1196</v>
      </c>
      <c r="D114" t="s">
        <v>1197</v>
      </c>
      <c r="E114" t="str">
        <f t="shared" si="1"/>
        <v>IT</v>
      </c>
      <c r="F114" s="332"/>
      <c r="I114" t="s">
        <v>1198</v>
      </c>
      <c r="X114" t="s">
        <v>1199</v>
      </c>
      <c r="Y114" t="s">
        <v>1200</v>
      </c>
    </row>
    <row r="115" spans="1:25">
      <c r="A115" s="263" t="s">
        <v>1201</v>
      </c>
      <c r="B115" s="262" t="s">
        <v>1202</v>
      </c>
      <c r="C115" s="260" t="s">
        <v>1203</v>
      </c>
      <c r="D115" t="s">
        <v>1204</v>
      </c>
      <c r="E115" t="str">
        <f t="shared" si="1"/>
        <v>JE</v>
      </c>
      <c r="F115" s="81"/>
      <c r="I115" t="s">
        <v>1205</v>
      </c>
      <c r="X115" t="s">
        <v>1206</v>
      </c>
      <c r="Y115" t="s">
        <v>1207</v>
      </c>
    </row>
    <row r="116" spans="1:25">
      <c r="A116" s="262" t="s">
        <v>684</v>
      </c>
      <c r="B116" s="262" t="s">
        <v>1208</v>
      </c>
      <c r="C116" s="260" t="s">
        <v>1209</v>
      </c>
      <c r="D116" t="s">
        <v>1210</v>
      </c>
      <c r="E116" t="str">
        <f t="shared" si="1"/>
        <v>JM</v>
      </c>
      <c r="F116" s="332"/>
      <c r="I116" t="s">
        <v>1211</v>
      </c>
      <c r="X116" t="s">
        <v>1212</v>
      </c>
      <c r="Y116" t="s">
        <v>1213</v>
      </c>
    </row>
    <row r="117" spans="1:25">
      <c r="A117" s="263" t="s">
        <v>18</v>
      </c>
      <c r="B117" s="259" t="s">
        <v>1214</v>
      </c>
      <c r="C117" s="260" t="s">
        <v>1215</v>
      </c>
      <c r="D117" t="s">
        <v>1216</v>
      </c>
      <c r="E117" t="str">
        <f t="shared" si="1"/>
        <v>JO</v>
      </c>
      <c r="F117" s="332"/>
      <c r="I117" t="s">
        <v>1217</v>
      </c>
      <c r="X117" t="s">
        <v>1218</v>
      </c>
      <c r="Y117" t="s">
        <v>1219</v>
      </c>
    </row>
    <row r="118" spans="1:25">
      <c r="A118" s="263" t="s">
        <v>1220</v>
      </c>
      <c r="B118" s="262" t="s">
        <v>1221</v>
      </c>
      <c r="C118" s="260" t="s">
        <v>1222</v>
      </c>
      <c r="D118" t="s">
        <v>1223</v>
      </c>
      <c r="E118" t="str">
        <f t="shared" si="1"/>
        <v>JP</v>
      </c>
      <c r="F118" s="332"/>
      <c r="I118" t="s">
        <v>1224</v>
      </c>
      <c r="X118" t="s">
        <v>1225</v>
      </c>
      <c r="Y118" t="s">
        <v>1226</v>
      </c>
    </row>
    <row r="119" spans="1:25">
      <c r="A119" s="263" t="s">
        <v>1227</v>
      </c>
      <c r="B119" s="262" t="s">
        <v>1228</v>
      </c>
      <c r="C119" s="260" t="s">
        <v>1229</v>
      </c>
      <c r="D119" t="s">
        <v>1230</v>
      </c>
      <c r="E119" t="str">
        <f t="shared" si="1"/>
        <v>KE</v>
      </c>
      <c r="F119" s="81"/>
      <c r="I119" t="s">
        <v>1231</v>
      </c>
      <c r="X119" t="s">
        <v>1232</v>
      </c>
      <c r="Y119" t="s">
        <v>1233</v>
      </c>
    </row>
    <row r="120" spans="1:25">
      <c r="A120" s="263" t="s">
        <v>1234</v>
      </c>
      <c r="B120" s="262" t="s">
        <v>1235</v>
      </c>
      <c r="C120" s="260" t="s">
        <v>1236</v>
      </c>
      <c r="D120" t="s">
        <v>1237</v>
      </c>
      <c r="E120" t="str">
        <f t="shared" si="1"/>
        <v>KG</v>
      </c>
      <c r="F120" s="332"/>
      <c r="I120" t="s">
        <v>1238</v>
      </c>
      <c r="X120" t="s">
        <v>1239</v>
      </c>
      <c r="Y120" t="s">
        <v>1240</v>
      </c>
    </row>
    <row r="121" spans="1:25">
      <c r="A121" s="263" t="s">
        <v>1241</v>
      </c>
      <c r="B121" s="262" t="s">
        <v>1242</v>
      </c>
      <c r="C121" s="260" t="s">
        <v>1243</v>
      </c>
      <c r="D121" t="s">
        <v>1244</v>
      </c>
      <c r="E121" t="str">
        <f t="shared" si="1"/>
        <v>KH</v>
      </c>
      <c r="F121" s="332"/>
      <c r="I121" t="s">
        <v>1245</v>
      </c>
      <c r="X121" t="s">
        <v>1246</v>
      </c>
      <c r="Y121" t="s">
        <v>1247</v>
      </c>
    </row>
    <row r="122" spans="1:25">
      <c r="A122" s="263" t="s">
        <v>1248</v>
      </c>
      <c r="B122" s="262" t="s">
        <v>1249</v>
      </c>
      <c r="C122" s="260" t="s">
        <v>1250</v>
      </c>
      <c r="D122" t="s">
        <v>1251</v>
      </c>
      <c r="E122" t="str">
        <f t="shared" si="1"/>
        <v>KI</v>
      </c>
      <c r="F122" s="332"/>
      <c r="I122" t="s">
        <v>1252</v>
      </c>
      <c r="X122" t="s">
        <v>1253</v>
      </c>
      <c r="Y122" t="s">
        <v>1254</v>
      </c>
    </row>
    <row r="123" spans="1:25">
      <c r="A123" s="263" t="s">
        <v>1255</v>
      </c>
      <c r="B123" s="262" t="s">
        <v>1256</v>
      </c>
      <c r="C123" s="260" t="s">
        <v>1257</v>
      </c>
      <c r="D123" t="s">
        <v>1258</v>
      </c>
      <c r="E123" t="str">
        <f t="shared" si="1"/>
        <v>KM</v>
      </c>
      <c r="F123" s="332"/>
      <c r="I123" t="s">
        <v>1259</v>
      </c>
      <c r="X123" t="s">
        <v>1260</v>
      </c>
      <c r="Y123" t="s">
        <v>1261</v>
      </c>
    </row>
    <row r="124" spans="1:25">
      <c r="A124" s="262" t="s">
        <v>691</v>
      </c>
      <c r="B124" s="259" t="s">
        <v>1262</v>
      </c>
      <c r="C124" s="260" t="s">
        <v>1263</v>
      </c>
      <c r="D124" t="s">
        <v>1264</v>
      </c>
      <c r="E124" t="str">
        <f t="shared" si="1"/>
        <v>KN</v>
      </c>
      <c r="F124" s="332"/>
      <c r="I124" t="s">
        <v>1265</v>
      </c>
      <c r="X124" t="s">
        <v>1266</v>
      </c>
      <c r="Y124" t="s">
        <v>1267</v>
      </c>
    </row>
    <row r="125" spans="1:25">
      <c r="A125" s="263" t="s">
        <v>1268</v>
      </c>
      <c r="B125" s="262" t="s">
        <v>1269</v>
      </c>
      <c r="C125" s="260" t="s">
        <v>1270</v>
      </c>
      <c r="D125" t="s">
        <v>1271</v>
      </c>
      <c r="E125" t="str">
        <f t="shared" si="1"/>
        <v>KP</v>
      </c>
      <c r="F125" s="81"/>
      <c r="I125" t="s">
        <v>1272</v>
      </c>
      <c r="X125" t="s">
        <v>1273</v>
      </c>
      <c r="Y125" t="s">
        <v>1274</v>
      </c>
    </row>
    <row r="126" spans="1:25">
      <c r="A126" s="263" t="s">
        <v>1275</v>
      </c>
      <c r="B126" s="262" t="s">
        <v>1276</v>
      </c>
      <c r="C126" s="260" t="s">
        <v>1277</v>
      </c>
      <c r="D126" t="s">
        <v>1278</v>
      </c>
      <c r="E126" t="str">
        <f t="shared" si="1"/>
        <v>KR</v>
      </c>
      <c r="F126" s="332"/>
      <c r="I126" t="s">
        <v>1279</v>
      </c>
      <c r="X126" t="s">
        <v>1280</v>
      </c>
      <c r="Y126" t="s">
        <v>1281</v>
      </c>
    </row>
    <row r="127" spans="1:25">
      <c r="A127" s="259" t="s">
        <v>699</v>
      </c>
      <c r="B127" s="262" t="s">
        <v>1282</v>
      </c>
      <c r="C127" s="260" t="s">
        <v>1283</v>
      </c>
      <c r="D127" t="s">
        <v>1284</v>
      </c>
      <c r="E127" t="str">
        <f t="shared" si="1"/>
        <v>KW</v>
      </c>
      <c r="F127" s="332"/>
      <c r="I127" t="s">
        <v>1285</v>
      </c>
      <c r="X127" t="s">
        <v>1286</v>
      </c>
      <c r="Y127" t="s">
        <v>1287</v>
      </c>
    </row>
    <row r="128" spans="1:25">
      <c r="A128" s="262" t="s">
        <v>706</v>
      </c>
      <c r="B128" s="262" t="s">
        <v>1288</v>
      </c>
      <c r="C128" s="260" t="s">
        <v>1289</v>
      </c>
      <c r="D128" t="s">
        <v>1290</v>
      </c>
      <c r="E128" t="str">
        <f t="shared" si="1"/>
        <v>KY</v>
      </c>
      <c r="F128" s="332"/>
      <c r="I128" t="s">
        <v>1291</v>
      </c>
      <c r="X128" t="s">
        <v>1292</v>
      </c>
      <c r="Y128" t="s">
        <v>1293</v>
      </c>
    </row>
    <row r="129" spans="1:25">
      <c r="A129" s="263" t="s">
        <v>1294</v>
      </c>
      <c r="B129" s="262" t="s">
        <v>1295</v>
      </c>
      <c r="C129" s="260" t="s">
        <v>1296</v>
      </c>
      <c r="D129" t="s">
        <v>1297</v>
      </c>
      <c r="E129" t="str">
        <f t="shared" si="1"/>
        <v>KZ</v>
      </c>
      <c r="F129" s="332"/>
      <c r="I129" t="s">
        <v>1298</v>
      </c>
      <c r="X129" t="s">
        <v>1299</v>
      </c>
      <c r="Y129" t="s">
        <v>1300</v>
      </c>
    </row>
    <row r="130" spans="1:25">
      <c r="A130" s="263" t="s">
        <v>1301</v>
      </c>
      <c r="B130" s="259" t="s">
        <v>1302</v>
      </c>
      <c r="C130" s="260" t="s">
        <v>1303</v>
      </c>
      <c r="D130" t="s">
        <v>1304</v>
      </c>
      <c r="E130" t="str">
        <f t="shared" si="1"/>
        <v>LA</v>
      </c>
      <c r="F130" s="332"/>
      <c r="I130" t="s">
        <v>1305</v>
      </c>
      <c r="X130" t="s">
        <v>1306</v>
      </c>
      <c r="Y130" t="s">
        <v>1307</v>
      </c>
    </row>
    <row r="131" spans="1:25">
      <c r="A131" s="263" t="s">
        <v>1308</v>
      </c>
      <c r="B131" s="262" t="s">
        <v>1309</v>
      </c>
      <c r="C131" s="260" t="s">
        <v>1310</v>
      </c>
      <c r="D131" t="s">
        <v>1311</v>
      </c>
      <c r="E131" t="str">
        <f t="shared" ref="E131:E194" si="2">RIGHT(D131,2)</f>
        <v>LB</v>
      </c>
      <c r="F131" s="81"/>
      <c r="I131" t="s">
        <v>1312</v>
      </c>
      <c r="X131" t="s">
        <v>1313</v>
      </c>
      <c r="Y131" t="s">
        <v>1314</v>
      </c>
    </row>
    <row r="132" spans="1:25">
      <c r="A132" s="263" t="s">
        <v>1315</v>
      </c>
      <c r="B132" s="262" t="s">
        <v>1316</v>
      </c>
      <c r="C132" s="260" t="s">
        <v>1317</v>
      </c>
      <c r="D132" t="s">
        <v>1318</v>
      </c>
      <c r="E132" t="str">
        <f t="shared" si="2"/>
        <v>LC</v>
      </c>
      <c r="F132" s="332"/>
      <c r="I132" t="s">
        <v>1319</v>
      </c>
      <c r="X132" t="s">
        <v>1320</v>
      </c>
      <c r="Y132" t="s">
        <v>1321</v>
      </c>
    </row>
    <row r="133" spans="1:25">
      <c r="A133" s="263" t="s">
        <v>1322</v>
      </c>
      <c r="B133" s="262" t="s">
        <v>1323</v>
      </c>
      <c r="C133" s="260" t="s">
        <v>1324</v>
      </c>
      <c r="D133" t="s">
        <v>1325</v>
      </c>
      <c r="E133" t="str">
        <f t="shared" si="2"/>
        <v>LI</v>
      </c>
      <c r="F133" s="332"/>
      <c r="I133" t="s">
        <v>1326</v>
      </c>
      <c r="X133" t="s">
        <v>1327</v>
      </c>
      <c r="Y133" t="s">
        <v>1328</v>
      </c>
    </row>
    <row r="134" spans="1:25">
      <c r="A134" s="263" t="s">
        <v>1329</v>
      </c>
      <c r="B134" s="259" t="s">
        <v>1330</v>
      </c>
      <c r="C134" s="260" t="s">
        <v>1331</v>
      </c>
      <c r="D134" t="s">
        <v>1332</v>
      </c>
      <c r="E134" t="str">
        <f t="shared" si="2"/>
        <v>LK</v>
      </c>
      <c r="F134" s="332"/>
      <c r="I134" t="s">
        <v>1333</v>
      </c>
      <c r="Y134" t="s">
        <v>1334</v>
      </c>
    </row>
    <row r="135" spans="1:25">
      <c r="A135" s="263" t="s">
        <v>1335</v>
      </c>
      <c r="B135" s="262" t="s">
        <v>1336</v>
      </c>
      <c r="C135" s="260" t="s">
        <v>1337</v>
      </c>
      <c r="D135" t="s">
        <v>1338</v>
      </c>
      <c r="E135" t="str">
        <f t="shared" si="2"/>
        <v>LR</v>
      </c>
      <c r="F135" s="81"/>
      <c r="I135" t="s">
        <v>1339</v>
      </c>
      <c r="Y135" t="s">
        <v>1340</v>
      </c>
    </row>
    <row r="136" spans="1:25">
      <c r="A136" s="259" t="s">
        <v>714</v>
      </c>
      <c r="B136" s="262" t="s">
        <v>1341</v>
      </c>
      <c r="C136" s="260" t="s">
        <v>1342</v>
      </c>
      <c r="D136" t="s">
        <v>1343</v>
      </c>
      <c r="E136" t="str">
        <f t="shared" si="2"/>
        <v>LS</v>
      </c>
      <c r="F136" s="332"/>
      <c r="I136" t="s">
        <v>1344</v>
      </c>
      <c r="Y136" t="s">
        <v>1345</v>
      </c>
    </row>
    <row r="137" spans="1:25">
      <c r="A137" s="262" t="s">
        <v>721</v>
      </c>
      <c r="B137" s="262" t="s">
        <v>1346</v>
      </c>
      <c r="C137" s="260" t="s">
        <v>1347</v>
      </c>
      <c r="D137" t="s">
        <v>1348</v>
      </c>
      <c r="E137" t="str">
        <f t="shared" si="2"/>
        <v>LT</v>
      </c>
      <c r="F137" s="332"/>
      <c r="I137" t="s">
        <v>1349</v>
      </c>
      <c r="Y137" t="s">
        <v>1350</v>
      </c>
    </row>
    <row r="138" spans="1:25">
      <c r="A138" s="263" t="s">
        <v>1351</v>
      </c>
      <c r="B138" s="262" t="s">
        <v>1352</v>
      </c>
      <c r="C138" s="260" t="s">
        <v>1353</v>
      </c>
      <c r="D138" t="s">
        <v>1354</v>
      </c>
      <c r="E138" t="str">
        <f t="shared" si="2"/>
        <v>LU</v>
      </c>
      <c r="F138" s="331"/>
      <c r="I138" t="s">
        <v>1355</v>
      </c>
      <c r="Y138" t="s">
        <v>1356</v>
      </c>
    </row>
    <row r="139" spans="1:25">
      <c r="A139" s="259" t="s">
        <v>729</v>
      </c>
      <c r="B139" s="262" t="s">
        <v>1357</v>
      </c>
      <c r="C139" s="260" t="s">
        <v>1358</v>
      </c>
      <c r="D139" t="s">
        <v>1359</v>
      </c>
      <c r="E139" t="str">
        <f t="shared" si="2"/>
        <v>LV</v>
      </c>
      <c r="F139" s="332"/>
      <c r="I139" t="s">
        <v>1360</v>
      </c>
      <c r="Y139" t="s">
        <v>1361</v>
      </c>
    </row>
    <row r="140" spans="1:25">
      <c r="A140" s="262" t="s">
        <v>736</v>
      </c>
      <c r="B140" s="259" t="s">
        <v>1362</v>
      </c>
      <c r="C140" s="260" t="s">
        <v>1363</v>
      </c>
      <c r="D140" t="s">
        <v>1364</v>
      </c>
      <c r="E140" t="str">
        <f t="shared" si="2"/>
        <v>LY</v>
      </c>
      <c r="F140" s="81"/>
      <c r="I140" t="s">
        <v>1365</v>
      </c>
      <c r="Y140" t="s">
        <v>1366</v>
      </c>
    </row>
    <row r="141" spans="1:25">
      <c r="A141" s="263" t="s">
        <v>1367</v>
      </c>
      <c r="B141" s="262" t="s">
        <v>1368</v>
      </c>
      <c r="C141" s="260" t="s">
        <v>1369</v>
      </c>
      <c r="D141" t="s">
        <v>1370</v>
      </c>
      <c r="E141" t="str">
        <f t="shared" si="2"/>
        <v>MA</v>
      </c>
      <c r="F141" s="332"/>
      <c r="I141" t="s">
        <v>1371</v>
      </c>
      <c r="Y141" t="s">
        <v>1372</v>
      </c>
    </row>
    <row r="142" spans="1:25">
      <c r="A142" s="262" t="s">
        <v>743</v>
      </c>
      <c r="B142" s="259" t="s">
        <v>1373</v>
      </c>
      <c r="C142" s="260" t="s">
        <v>1374</v>
      </c>
      <c r="D142" t="s">
        <v>1375</v>
      </c>
      <c r="E142" t="str">
        <f t="shared" si="2"/>
        <v>MC</v>
      </c>
      <c r="F142" s="332"/>
      <c r="I142" t="s">
        <v>1376</v>
      </c>
      <c r="Y142" t="s">
        <v>1377</v>
      </c>
    </row>
    <row r="143" spans="1:25">
      <c r="A143" s="263" t="s">
        <v>1378</v>
      </c>
      <c r="B143" s="262" t="s">
        <v>1379</v>
      </c>
      <c r="C143" s="260" t="s">
        <v>1380</v>
      </c>
      <c r="D143" t="s">
        <v>1381</v>
      </c>
      <c r="E143" t="str">
        <f t="shared" si="2"/>
        <v>MD</v>
      </c>
      <c r="F143" s="331"/>
      <c r="I143" t="s">
        <v>1382</v>
      </c>
      <c r="Y143" t="s">
        <v>1383</v>
      </c>
    </row>
    <row r="144" spans="1:25">
      <c r="A144" s="262" t="s">
        <v>751</v>
      </c>
      <c r="B144" s="262" t="s">
        <v>1384</v>
      </c>
      <c r="C144" s="260" t="s">
        <v>1385</v>
      </c>
      <c r="D144" t="s">
        <v>1386</v>
      </c>
      <c r="E144" t="str">
        <f t="shared" si="2"/>
        <v>ME</v>
      </c>
      <c r="F144" s="332"/>
      <c r="I144" t="s">
        <v>1387</v>
      </c>
      <c r="Y144" t="s">
        <v>1388</v>
      </c>
    </row>
    <row r="145" spans="1:25">
      <c r="A145" s="263" t="s">
        <v>1389</v>
      </c>
      <c r="B145" s="262" t="s">
        <v>1390</v>
      </c>
      <c r="C145" s="260" t="s">
        <v>1391</v>
      </c>
      <c r="D145" t="s">
        <v>1392</v>
      </c>
      <c r="E145" t="str">
        <f t="shared" si="2"/>
        <v>MF</v>
      </c>
      <c r="F145" s="332"/>
      <c r="I145" t="s">
        <v>1393</v>
      </c>
      <c r="Y145" t="s">
        <v>1394</v>
      </c>
    </row>
    <row r="146" spans="1:25">
      <c r="A146" s="262" t="s">
        <v>759</v>
      </c>
      <c r="B146" s="262" t="s">
        <v>1395</v>
      </c>
      <c r="C146" s="260" t="s">
        <v>1396</v>
      </c>
      <c r="D146" t="s">
        <v>1397</v>
      </c>
      <c r="E146" t="str">
        <f t="shared" si="2"/>
        <v>MG</v>
      </c>
      <c r="F146" s="331"/>
      <c r="I146" t="s">
        <v>1398</v>
      </c>
      <c r="Y146" t="s">
        <v>1399</v>
      </c>
    </row>
    <row r="147" spans="1:25">
      <c r="A147" s="263" t="s">
        <v>1400</v>
      </c>
      <c r="B147" s="262" t="s">
        <v>1401</v>
      </c>
      <c r="C147" s="260" t="s">
        <v>1402</v>
      </c>
      <c r="D147" t="s">
        <v>1403</v>
      </c>
      <c r="E147" t="str">
        <f t="shared" si="2"/>
        <v>MH</v>
      </c>
      <c r="F147" s="81"/>
      <c r="I147" t="s">
        <v>1404</v>
      </c>
      <c r="Y147" t="s">
        <v>1405</v>
      </c>
    </row>
    <row r="148" spans="1:25">
      <c r="A148" s="263" t="s">
        <v>1406</v>
      </c>
      <c r="B148" s="262" t="s">
        <v>1407</v>
      </c>
      <c r="C148" s="260" t="s">
        <v>1408</v>
      </c>
      <c r="D148" t="s">
        <v>1409</v>
      </c>
      <c r="E148" t="str">
        <f t="shared" si="2"/>
        <v>MK</v>
      </c>
      <c r="F148" s="332"/>
      <c r="I148" t="s">
        <v>1410</v>
      </c>
      <c r="Y148" t="s">
        <v>1411</v>
      </c>
    </row>
    <row r="149" spans="1:25">
      <c r="A149" s="263" t="s">
        <v>1412</v>
      </c>
      <c r="B149" s="259" t="s">
        <v>1413</v>
      </c>
      <c r="C149" s="260" t="s">
        <v>1414</v>
      </c>
      <c r="D149" t="s">
        <v>1415</v>
      </c>
      <c r="E149" t="str">
        <f t="shared" si="2"/>
        <v>ML</v>
      </c>
      <c r="F149" s="332"/>
      <c r="I149" t="s">
        <v>1416</v>
      </c>
      <c r="Y149" t="s">
        <v>1417</v>
      </c>
    </row>
    <row r="150" spans="1:25">
      <c r="A150" s="263" t="s">
        <v>1418</v>
      </c>
      <c r="B150" s="262" t="s">
        <v>1419</v>
      </c>
      <c r="C150" s="260" t="s">
        <v>1420</v>
      </c>
      <c r="D150" t="s">
        <v>1421</v>
      </c>
      <c r="E150" t="str">
        <f t="shared" si="2"/>
        <v>MM</v>
      </c>
      <c r="F150" s="332"/>
      <c r="I150" t="s">
        <v>1422</v>
      </c>
      <c r="Y150" t="s">
        <v>1423</v>
      </c>
    </row>
    <row r="151" spans="1:25">
      <c r="A151" s="263" t="s">
        <v>1424</v>
      </c>
      <c r="B151" s="262" t="s">
        <v>1425</v>
      </c>
      <c r="C151" s="260" t="s">
        <v>1426</v>
      </c>
      <c r="D151" t="s">
        <v>1427</v>
      </c>
      <c r="E151" t="str">
        <f t="shared" si="2"/>
        <v>MN</v>
      </c>
      <c r="F151" s="331"/>
      <c r="I151" t="s">
        <v>1428</v>
      </c>
      <c r="Y151" t="s">
        <v>1429</v>
      </c>
    </row>
    <row r="152" spans="1:25">
      <c r="A152" s="263" t="s">
        <v>1430</v>
      </c>
      <c r="B152" s="260" t="s">
        <v>1036</v>
      </c>
      <c r="C152" s="260" t="s">
        <v>1431</v>
      </c>
      <c r="D152" t="s">
        <v>1432</v>
      </c>
      <c r="E152" t="str">
        <f t="shared" si="2"/>
        <v>MO</v>
      </c>
      <c r="F152" s="331"/>
      <c r="I152" t="s">
        <v>1433</v>
      </c>
      <c r="Y152" t="s">
        <v>1434</v>
      </c>
    </row>
    <row r="153" spans="1:25">
      <c r="A153" s="263" t="s">
        <v>1435</v>
      </c>
      <c r="B153" s="259" t="s">
        <v>1436</v>
      </c>
      <c r="C153" s="260" t="s">
        <v>1437</v>
      </c>
      <c r="D153" t="s">
        <v>1438</v>
      </c>
      <c r="E153" t="str">
        <f t="shared" si="2"/>
        <v>MP</v>
      </c>
      <c r="F153" s="331"/>
      <c r="I153" t="s">
        <v>1439</v>
      </c>
      <c r="Y153" t="s">
        <v>1440</v>
      </c>
    </row>
    <row r="154" spans="1:25">
      <c r="A154" s="259" t="s">
        <v>766</v>
      </c>
      <c r="B154" s="262" t="s">
        <v>1441</v>
      </c>
      <c r="C154" s="260" t="s">
        <v>1442</v>
      </c>
      <c r="D154" t="s">
        <v>1443</v>
      </c>
      <c r="E154" t="str">
        <f t="shared" si="2"/>
        <v>MQ</v>
      </c>
      <c r="F154" s="332"/>
      <c r="I154" t="s">
        <v>1444</v>
      </c>
      <c r="Y154" t="s">
        <v>1445</v>
      </c>
    </row>
    <row r="155" spans="1:25">
      <c r="A155" s="262" t="s">
        <v>774</v>
      </c>
      <c r="B155" s="262" t="s">
        <v>1446</v>
      </c>
      <c r="C155" s="260" t="s">
        <v>1447</v>
      </c>
      <c r="D155" t="s">
        <v>1448</v>
      </c>
      <c r="E155" t="str">
        <f t="shared" si="2"/>
        <v>MR</v>
      </c>
      <c r="F155" s="332"/>
      <c r="I155" t="s">
        <v>1449</v>
      </c>
      <c r="Y155" t="s">
        <v>1450</v>
      </c>
    </row>
    <row r="156" spans="1:25">
      <c r="A156" s="263" t="s">
        <v>1451</v>
      </c>
      <c r="B156" s="262" t="s">
        <v>1452</v>
      </c>
      <c r="C156" s="260" t="s">
        <v>1453</v>
      </c>
      <c r="D156" t="s">
        <v>1454</v>
      </c>
      <c r="E156" t="str">
        <f t="shared" si="2"/>
        <v>MS</v>
      </c>
      <c r="F156" s="81"/>
      <c r="I156" t="s">
        <v>1455</v>
      </c>
      <c r="Y156" t="s">
        <v>1456</v>
      </c>
    </row>
    <row r="157" spans="1:25">
      <c r="A157" s="262" t="s">
        <v>782</v>
      </c>
      <c r="B157" s="262" t="s">
        <v>1457</v>
      </c>
      <c r="C157" s="260" t="s">
        <v>1458</v>
      </c>
      <c r="D157" t="s">
        <v>1459</v>
      </c>
      <c r="E157" t="str">
        <f t="shared" si="2"/>
        <v>MT</v>
      </c>
      <c r="F157" s="332"/>
      <c r="I157" t="s">
        <v>1460</v>
      </c>
      <c r="Y157" t="s">
        <v>1461</v>
      </c>
    </row>
    <row r="158" spans="1:25">
      <c r="A158" s="263" t="s">
        <v>1462</v>
      </c>
      <c r="B158" s="260" t="s">
        <v>1463</v>
      </c>
      <c r="C158" s="260" t="s">
        <v>1464</v>
      </c>
      <c r="D158" t="s">
        <v>1465</v>
      </c>
      <c r="E158" t="str">
        <f t="shared" si="2"/>
        <v>MU</v>
      </c>
      <c r="F158" s="81"/>
      <c r="I158" t="s">
        <v>1466</v>
      </c>
      <c r="Y158" t="s">
        <v>1467</v>
      </c>
    </row>
    <row r="159" spans="1:25">
      <c r="A159" s="263" t="s">
        <v>1468</v>
      </c>
      <c r="B159" s="259" t="s">
        <v>1469</v>
      </c>
      <c r="C159" s="260" t="s">
        <v>1470</v>
      </c>
      <c r="D159" t="s">
        <v>1471</v>
      </c>
      <c r="E159" t="str">
        <f t="shared" si="2"/>
        <v>MV</v>
      </c>
      <c r="F159" s="81"/>
      <c r="I159" t="s">
        <v>1472</v>
      </c>
      <c r="Y159" t="s">
        <v>1473</v>
      </c>
    </row>
    <row r="160" spans="1:25">
      <c r="A160" s="263" t="s">
        <v>1474</v>
      </c>
      <c r="B160" s="262" t="s">
        <v>1475</v>
      </c>
      <c r="C160" s="260" t="s">
        <v>1476</v>
      </c>
      <c r="D160" t="s">
        <v>1477</v>
      </c>
      <c r="E160" t="str">
        <f t="shared" si="2"/>
        <v>MW</v>
      </c>
      <c r="F160" s="81"/>
      <c r="I160" t="s">
        <v>1478</v>
      </c>
      <c r="Y160" t="s">
        <v>1479</v>
      </c>
    </row>
    <row r="161" spans="1:25">
      <c r="A161" s="263" t="s">
        <v>1480</v>
      </c>
      <c r="B161" s="259" t="s">
        <v>1481</v>
      </c>
      <c r="C161" s="260" t="s">
        <v>1482</v>
      </c>
      <c r="D161" t="s">
        <v>1483</v>
      </c>
      <c r="E161" t="str">
        <f t="shared" si="2"/>
        <v>MX</v>
      </c>
      <c r="F161" s="81"/>
      <c r="I161" t="s">
        <v>1484</v>
      </c>
      <c r="Y161" t="s">
        <v>1485</v>
      </c>
    </row>
    <row r="162" spans="1:25">
      <c r="A162" s="263" t="s">
        <v>1486</v>
      </c>
      <c r="B162" s="262" t="s">
        <v>1487</v>
      </c>
      <c r="C162" s="260" t="s">
        <v>1488</v>
      </c>
      <c r="D162" t="s">
        <v>1489</v>
      </c>
      <c r="E162" t="str">
        <f t="shared" si="2"/>
        <v>MY</v>
      </c>
      <c r="I162" t="s">
        <v>1490</v>
      </c>
      <c r="Y162" t="s">
        <v>1491</v>
      </c>
    </row>
    <row r="163" spans="1:25">
      <c r="A163" s="259" t="s">
        <v>789</v>
      </c>
      <c r="B163" s="259" t="s">
        <v>1492</v>
      </c>
      <c r="C163" s="260" t="s">
        <v>1493</v>
      </c>
      <c r="D163" t="s">
        <v>1494</v>
      </c>
      <c r="E163" t="str">
        <f t="shared" si="2"/>
        <v>MZ</v>
      </c>
      <c r="I163" t="s">
        <v>1495</v>
      </c>
      <c r="Y163" t="s">
        <v>1496</v>
      </c>
    </row>
    <row r="164" spans="1:25">
      <c r="A164" s="262" t="s">
        <v>797</v>
      </c>
      <c r="B164" s="262" t="s">
        <v>1497</v>
      </c>
      <c r="C164" s="260" t="s">
        <v>1498</v>
      </c>
      <c r="D164" t="s">
        <v>1499</v>
      </c>
      <c r="E164" t="str">
        <f t="shared" si="2"/>
        <v>NA</v>
      </c>
      <c r="I164" t="s">
        <v>1500</v>
      </c>
      <c r="Y164" t="s">
        <v>1501</v>
      </c>
    </row>
    <row r="165" spans="1:25">
      <c r="A165" s="263" t="s">
        <v>1502</v>
      </c>
      <c r="B165" s="262" t="s">
        <v>1503</v>
      </c>
      <c r="C165" s="260" t="s">
        <v>1504</v>
      </c>
      <c r="D165" t="s">
        <v>1505</v>
      </c>
      <c r="E165" t="str">
        <f t="shared" si="2"/>
        <v>NC</v>
      </c>
      <c r="I165" t="s">
        <v>1506</v>
      </c>
      <c r="Y165" t="s">
        <v>1507</v>
      </c>
    </row>
    <row r="166" spans="1:25">
      <c r="A166" s="263" t="s">
        <v>1508</v>
      </c>
      <c r="B166" s="262" t="s">
        <v>1509</v>
      </c>
      <c r="C166" s="260" t="s">
        <v>1510</v>
      </c>
      <c r="D166" t="s">
        <v>1511</v>
      </c>
      <c r="E166" t="str">
        <f t="shared" si="2"/>
        <v>NE</v>
      </c>
      <c r="I166" t="s">
        <v>1512</v>
      </c>
      <c r="Y166" t="s">
        <v>1513</v>
      </c>
    </row>
    <row r="167" spans="1:25">
      <c r="A167" s="262" t="s">
        <v>804</v>
      </c>
      <c r="B167" s="259" t="s">
        <v>1514</v>
      </c>
      <c r="C167" s="260" t="s">
        <v>1515</v>
      </c>
      <c r="D167" t="s">
        <v>1516</v>
      </c>
      <c r="E167" t="str">
        <f t="shared" si="2"/>
        <v>NF</v>
      </c>
      <c r="I167" t="s">
        <v>1517</v>
      </c>
      <c r="Y167" t="s">
        <v>1518</v>
      </c>
    </row>
    <row r="168" spans="1:25">
      <c r="A168" s="263" t="s">
        <v>1519</v>
      </c>
      <c r="B168" s="262" t="s">
        <v>1520</v>
      </c>
      <c r="C168" s="260" t="s">
        <v>1521</v>
      </c>
      <c r="D168" t="s">
        <v>1522</v>
      </c>
      <c r="E168" t="str">
        <f t="shared" si="2"/>
        <v>NG</v>
      </c>
      <c r="I168" t="s">
        <v>1523</v>
      </c>
      <c r="Y168" t="s">
        <v>1524</v>
      </c>
    </row>
    <row r="169" spans="1:25">
      <c r="A169" s="259" t="s">
        <v>811</v>
      </c>
      <c r="B169" s="260" t="s">
        <v>1525</v>
      </c>
      <c r="C169" s="260" t="s">
        <v>1526</v>
      </c>
      <c r="D169" t="s">
        <v>1527</v>
      </c>
      <c r="E169" t="str">
        <f t="shared" si="2"/>
        <v>NI</v>
      </c>
      <c r="I169" t="s">
        <v>1528</v>
      </c>
      <c r="Y169" t="s">
        <v>1529</v>
      </c>
    </row>
    <row r="170" spans="1:25">
      <c r="A170" s="262" t="s">
        <v>818</v>
      </c>
      <c r="B170" s="259" t="s">
        <v>1530</v>
      </c>
      <c r="C170" s="260" t="s">
        <v>1531</v>
      </c>
      <c r="D170" t="s">
        <v>1532</v>
      </c>
      <c r="E170" t="str">
        <f t="shared" si="2"/>
        <v>NL</v>
      </c>
      <c r="I170" t="s">
        <v>1533</v>
      </c>
      <c r="Y170" t="s">
        <v>1534</v>
      </c>
    </row>
    <row r="171" spans="1:25">
      <c r="A171" s="263" t="s">
        <v>1535</v>
      </c>
      <c r="B171" s="262" t="s">
        <v>1536</v>
      </c>
      <c r="C171" s="260" t="s">
        <v>1537</v>
      </c>
      <c r="D171" t="s">
        <v>1538</v>
      </c>
      <c r="E171" t="str">
        <f t="shared" si="2"/>
        <v>NO</v>
      </c>
      <c r="I171" t="s">
        <v>1539</v>
      </c>
    </row>
    <row r="172" spans="1:25">
      <c r="A172" s="263" t="s">
        <v>1540</v>
      </c>
      <c r="B172" s="259" t="s">
        <v>1541</v>
      </c>
      <c r="C172" s="260" t="s">
        <v>1542</v>
      </c>
      <c r="D172" t="s">
        <v>1543</v>
      </c>
      <c r="E172" t="str">
        <f t="shared" si="2"/>
        <v>NP</v>
      </c>
      <c r="I172" t="s">
        <v>1544</v>
      </c>
    </row>
    <row r="173" spans="1:25">
      <c r="A173" s="262" t="s">
        <v>826</v>
      </c>
      <c r="B173" s="262" t="s">
        <v>1545</v>
      </c>
      <c r="C173" s="260" t="s">
        <v>1546</v>
      </c>
      <c r="D173" t="s">
        <v>1547</v>
      </c>
      <c r="E173" t="str">
        <f t="shared" si="2"/>
        <v>NR</v>
      </c>
      <c r="I173" t="s">
        <v>1548</v>
      </c>
    </row>
    <row r="174" spans="1:25">
      <c r="A174" s="263" t="s">
        <v>1549</v>
      </c>
      <c r="B174" s="262" t="s">
        <v>1550</v>
      </c>
      <c r="C174" s="260" t="s">
        <v>1551</v>
      </c>
      <c r="D174" t="s">
        <v>1552</v>
      </c>
      <c r="E174" t="str">
        <f t="shared" si="2"/>
        <v>NT</v>
      </c>
      <c r="I174" t="s">
        <v>1553</v>
      </c>
    </row>
    <row r="175" spans="1:25">
      <c r="A175" s="263" t="s">
        <v>1554</v>
      </c>
      <c r="B175" s="262" t="s">
        <v>1555</v>
      </c>
      <c r="C175" s="260" t="s">
        <v>1556</v>
      </c>
      <c r="D175" t="s">
        <v>1557</v>
      </c>
      <c r="E175" t="str">
        <f t="shared" si="2"/>
        <v>NU</v>
      </c>
      <c r="I175" t="s">
        <v>1558</v>
      </c>
    </row>
    <row r="176" spans="1:25">
      <c r="A176" s="263" t="s">
        <v>1559</v>
      </c>
      <c r="B176" s="259" t="s">
        <v>1560</v>
      </c>
      <c r="C176" s="260" t="s">
        <v>1561</v>
      </c>
      <c r="D176" t="s">
        <v>1562</v>
      </c>
      <c r="E176" t="str">
        <f t="shared" si="2"/>
        <v>NZ</v>
      </c>
      <c r="I176" t="s">
        <v>1563</v>
      </c>
    </row>
    <row r="177" spans="1:9">
      <c r="A177" s="263" t="s">
        <v>1564</v>
      </c>
      <c r="B177" s="262" t="s">
        <v>1565</v>
      </c>
      <c r="C177" s="260" t="s">
        <v>1566</v>
      </c>
      <c r="D177" t="s">
        <v>1567</v>
      </c>
      <c r="E177" t="str">
        <f t="shared" si="2"/>
        <v>OM</v>
      </c>
      <c r="I177" t="s">
        <v>1568</v>
      </c>
    </row>
    <row r="178" spans="1:9">
      <c r="A178" s="263" t="s">
        <v>1569</v>
      </c>
      <c r="B178" s="262" t="s">
        <v>1570</v>
      </c>
      <c r="C178" s="260" t="s">
        <v>1571</v>
      </c>
      <c r="D178" t="s">
        <v>1572</v>
      </c>
      <c r="E178" t="str">
        <f t="shared" si="2"/>
        <v>PA</v>
      </c>
      <c r="I178" t="s">
        <v>1573</v>
      </c>
    </row>
    <row r="179" spans="1:9">
      <c r="A179" s="263" t="s">
        <v>1574</v>
      </c>
      <c r="B179" s="262" t="s">
        <v>1575</v>
      </c>
      <c r="C179" s="260" t="s">
        <v>1576</v>
      </c>
      <c r="D179" t="s">
        <v>1577</v>
      </c>
      <c r="E179" t="str">
        <f t="shared" si="2"/>
        <v>PE</v>
      </c>
      <c r="I179" t="s">
        <v>1578</v>
      </c>
    </row>
    <row r="180" spans="1:9">
      <c r="A180" s="263" t="s">
        <v>1579</v>
      </c>
      <c r="B180" s="262" t="s">
        <v>1580</v>
      </c>
      <c r="C180" s="260" t="s">
        <v>1581</v>
      </c>
      <c r="D180" t="s">
        <v>1582</v>
      </c>
      <c r="E180" t="str">
        <f t="shared" si="2"/>
        <v>PF</v>
      </c>
      <c r="I180" t="s">
        <v>1583</v>
      </c>
    </row>
    <row r="181" spans="1:9">
      <c r="A181" s="263" t="s">
        <v>1584</v>
      </c>
      <c r="B181" s="262" t="s">
        <v>1585</v>
      </c>
      <c r="C181" s="260" t="s">
        <v>1586</v>
      </c>
      <c r="D181" t="s">
        <v>1587</v>
      </c>
      <c r="E181" t="str">
        <f t="shared" si="2"/>
        <v>PG</v>
      </c>
      <c r="I181" t="s">
        <v>1588</v>
      </c>
    </row>
    <row r="182" spans="1:9">
      <c r="A182" s="259" t="s">
        <v>833</v>
      </c>
      <c r="B182" s="262" t="s">
        <v>1589</v>
      </c>
      <c r="C182" s="260" t="s">
        <v>1590</v>
      </c>
      <c r="D182" t="s">
        <v>1591</v>
      </c>
      <c r="E182" t="str">
        <f t="shared" si="2"/>
        <v>PH</v>
      </c>
      <c r="I182" t="s">
        <v>1592</v>
      </c>
    </row>
    <row r="183" spans="1:9">
      <c r="A183" s="262" t="s">
        <v>841</v>
      </c>
      <c r="B183" s="262" t="s">
        <v>1593</v>
      </c>
      <c r="C183" s="260" t="s">
        <v>1594</v>
      </c>
      <c r="D183" t="s">
        <v>1595</v>
      </c>
      <c r="E183" t="str">
        <f t="shared" si="2"/>
        <v>PK</v>
      </c>
      <c r="I183" t="s">
        <v>1596</v>
      </c>
    </row>
    <row r="184" spans="1:9">
      <c r="A184" s="263" t="s">
        <v>1597</v>
      </c>
      <c r="B184" s="260" t="s">
        <v>1598</v>
      </c>
      <c r="C184" s="260" t="s">
        <v>1599</v>
      </c>
      <c r="D184" t="s">
        <v>1600</v>
      </c>
      <c r="E184" t="str">
        <f t="shared" si="2"/>
        <v>PL</v>
      </c>
      <c r="I184" t="s">
        <v>1601</v>
      </c>
    </row>
    <row r="185" spans="1:9">
      <c r="A185" s="263" t="s">
        <v>1602</v>
      </c>
      <c r="B185" s="259" t="s">
        <v>1603</v>
      </c>
      <c r="C185" s="260" t="s">
        <v>1604</v>
      </c>
      <c r="D185" t="s">
        <v>1605</v>
      </c>
      <c r="E185" t="str">
        <f t="shared" si="2"/>
        <v>PM</v>
      </c>
      <c r="I185" t="s">
        <v>1606</v>
      </c>
    </row>
    <row r="186" spans="1:9">
      <c r="A186" s="262" t="s">
        <v>848</v>
      </c>
      <c r="B186" s="262" t="s">
        <v>1607</v>
      </c>
      <c r="C186" s="260" t="s">
        <v>1608</v>
      </c>
      <c r="D186" t="s">
        <v>1609</v>
      </c>
      <c r="E186" t="str">
        <f t="shared" si="2"/>
        <v>PN</v>
      </c>
      <c r="I186" t="s">
        <v>1610</v>
      </c>
    </row>
    <row r="187" spans="1:9">
      <c r="A187" s="263" t="s">
        <v>1611</v>
      </c>
      <c r="B187" s="262" t="s">
        <v>1612</v>
      </c>
      <c r="C187" s="260" t="s">
        <v>1613</v>
      </c>
      <c r="D187" t="s">
        <v>1614</v>
      </c>
      <c r="E187" t="str">
        <f t="shared" si="2"/>
        <v>PR</v>
      </c>
      <c r="I187" t="s">
        <v>1615</v>
      </c>
    </row>
    <row r="188" spans="1:9">
      <c r="A188" s="263" t="s">
        <v>1616</v>
      </c>
      <c r="B188" s="262" t="s">
        <v>1617</v>
      </c>
      <c r="C188" s="260" t="s">
        <v>1618</v>
      </c>
      <c r="D188" t="s">
        <v>1619</v>
      </c>
      <c r="E188" t="str">
        <f t="shared" si="2"/>
        <v>PS</v>
      </c>
      <c r="I188" t="s">
        <v>1620</v>
      </c>
    </row>
    <row r="189" spans="1:9">
      <c r="A189" s="263" t="s">
        <v>1621</v>
      </c>
      <c r="B189" s="262" t="s">
        <v>1622</v>
      </c>
      <c r="C189" s="260" t="s">
        <v>1623</v>
      </c>
      <c r="D189" t="s">
        <v>1624</v>
      </c>
      <c r="E189" t="str">
        <f t="shared" si="2"/>
        <v>PT</v>
      </c>
      <c r="I189" t="s">
        <v>1625</v>
      </c>
    </row>
    <row r="190" spans="1:9">
      <c r="A190" s="263" t="s">
        <v>1626</v>
      </c>
      <c r="B190" s="262" t="s">
        <v>1627</v>
      </c>
      <c r="C190" s="260" t="s">
        <v>1628</v>
      </c>
      <c r="D190" t="s">
        <v>1629</v>
      </c>
      <c r="E190" t="str">
        <f t="shared" si="2"/>
        <v>PW</v>
      </c>
      <c r="I190" t="s">
        <v>1630</v>
      </c>
    </row>
    <row r="191" spans="1:9">
      <c r="A191" s="263" t="s">
        <v>1631</v>
      </c>
      <c r="B191" s="262" t="s">
        <v>1632</v>
      </c>
      <c r="C191" s="260" t="s">
        <v>1633</v>
      </c>
      <c r="D191" t="s">
        <v>1634</v>
      </c>
      <c r="E191" t="str">
        <f t="shared" si="2"/>
        <v>PY</v>
      </c>
      <c r="I191" t="s">
        <v>1635</v>
      </c>
    </row>
    <row r="192" spans="1:9">
      <c r="A192" s="259" t="s">
        <v>855</v>
      </c>
      <c r="B192" s="262" t="s">
        <v>1636</v>
      </c>
      <c r="C192" s="260" t="s">
        <v>1637</v>
      </c>
      <c r="D192" t="s">
        <v>1638</v>
      </c>
      <c r="E192" t="str">
        <f t="shared" si="2"/>
        <v>QA</v>
      </c>
      <c r="I192" t="s">
        <v>1639</v>
      </c>
    </row>
    <row r="193" spans="1:9">
      <c r="A193" s="262" t="s">
        <v>863</v>
      </c>
      <c r="B193" s="262" t="s">
        <v>1640</v>
      </c>
      <c r="C193" s="260" t="s">
        <v>1641</v>
      </c>
      <c r="D193" t="s">
        <v>1642</v>
      </c>
      <c r="E193" t="str">
        <f t="shared" si="2"/>
        <v>RE</v>
      </c>
      <c r="I193" t="s">
        <v>1643</v>
      </c>
    </row>
    <row r="194" spans="1:9">
      <c r="A194" s="263" t="s">
        <v>1644</v>
      </c>
      <c r="B194" s="262" t="s">
        <v>1645</v>
      </c>
      <c r="C194" s="260" t="s">
        <v>1646</v>
      </c>
      <c r="D194" t="s">
        <v>1647</v>
      </c>
      <c r="E194" t="str">
        <f t="shared" si="2"/>
        <v>RO</v>
      </c>
      <c r="I194" t="s">
        <v>1648</v>
      </c>
    </row>
    <row r="195" spans="1:9">
      <c r="A195" s="263" t="s">
        <v>1649</v>
      </c>
      <c r="B195" s="259" t="s">
        <v>1650</v>
      </c>
      <c r="C195" s="260" t="s">
        <v>1651</v>
      </c>
      <c r="D195" t="s">
        <v>1652</v>
      </c>
      <c r="E195" t="str">
        <f t="shared" ref="E195:E257" si="3">RIGHT(D195,2)</f>
        <v>RS</v>
      </c>
      <c r="I195" t="s">
        <v>1653</v>
      </c>
    </row>
    <row r="196" spans="1:9">
      <c r="A196" s="263" t="s">
        <v>1654</v>
      </c>
      <c r="B196" s="262" t="s">
        <v>1655</v>
      </c>
      <c r="C196" s="260" t="s">
        <v>1656</v>
      </c>
      <c r="D196" t="s">
        <v>1657</v>
      </c>
      <c r="E196" t="str">
        <f t="shared" si="3"/>
        <v>RU</v>
      </c>
      <c r="I196" t="s">
        <v>1658</v>
      </c>
    </row>
    <row r="197" spans="1:9">
      <c r="A197" s="263" t="s">
        <v>1659</v>
      </c>
      <c r="B197" s="262" t="s">
        <v>1660</v>
      </c>
      <c r="C197" s="260" t="s">
        <v>1661</v>
      </c>
      <c r="D197" t="s">
        <v>1662</v>
      </c>
      <c r="E197" t="str">
        <f t="shared" si="3"/>
        <v>RW</v>
      </c>
      <c r="I197" t="s">
        <v>1663</v>
      </c>
    </row>
    <row r="198" spans="1:9">
      <c r="A198" s="262" t="s">
        <v>870</v>
      </c>
      <c r="B198" s="262" t="s">
        <v>1664</v>
      </c>
      <c r="C198" s="260" t="s">
        <v>1665</v>
      </c>
      <c r="D198" t="s">
        <v>1666</v>
      </c>
      <c r="E198" t="str">
        <f t="shared" si="3"/>
        <v>SA</v>
      </c>
      <c r="I198" t="s">
        <v>1667</v>
      </c>
    </row>
    <row r="199" spans="1:9">
      <c r="A199" s="263" t="s">
        <v>1668</v>
      </c>
      <c r="B199" s="262" t="s">
        <v>1669</v>
      </c>
      <c r="C199" s="260" t="s">
        <v>1670</v>
      </c>
      <c r="D199" t="s">
        <v>1671</v>
      </c>
      <c r="E199" t="str">
        <f t="shared" si="3"/>
        <v>SB</v>
      </c>
      <c r="I199" t="s">
        <v>1672</v>
      </c>
    </row>
    <row r="200" spans="1:9">
      <c r="A200" s="259" t="s">
        <v>878</v>
      </c>
      <c r="B200" s="262" t="s">
        <v>1673</v>
      </c>
      <c r="C200" s="260" t="s">
        <v>1674</v>
      </c>
      <c r="D200" t="s">
        <v>1675</v>
      </c>
      <c r="E200" t="str">
        <f t="shared" si="3"/>
        <v>SC</v>
      </c>
      <c r="I200" t="s">
        <v>1676</v>
      </c>
    </row>
    <row r="201" spans="1:9">
      <c r="A201" s="262" t="s">
        <v>885</v>
      </c>
      <c r="B201" s="262" t="s">
        <v>1677</v>
      </c>
      <c r="C201" s="260" t="s">
        <v>1678</v>
      </c>
      <c r="D201" t="s">
        <v>1679</v>
      </c>
      <c r="E201" t="str">
        <f t="shared" si="3"/>
        <v>SD</v>
      </c>
      <c r="I201" t="s">
        <v>1680</v>
      </c>
    </row>
    <row r="202" spans="1:9">
      <c r="A202" s="263" t="s">
        <v>1681</v>
      </c>
      <c r="B202" s="262" t="s">
        <v>1682</v>
      </c>
      <c r="C202" s="260" t="s">
        <v>1683</v>
      </c>
      <c r="D202" t="s">
        <v>1684</v>
      </c>
      <c r="E202" t="str">
        <f t="shared" si="3"/>
        <v>SE</v>
      </c>
      <c r="I202" t="s">
        <v>1685</v>
      </c>
    </row>
    <row r="203" spans="1:9">
      <c r="A203" s="262" t="s">
        <v>892</v>
      </c>
      <c r="B203" s="262" t="s">
        <v>1686</v>
      </c>
      <c r="C203" s="260" t="s">
        <v>1687</v>
      </c>
      <c r="D203" t="s">
        <v>1688</v>
      </c>
      <c r="E203" t="str">
        <f t="shared" si="3"/>
        <v>SG</v>
      </c>
      <c r="I203" t="s">
        <v>1689</v>
      </c>
    </row>
    <row r="204" spans="1:9">
      <c r="A204" s="263" t="s">
        <v>1690</v>
      </c>
      <c r="B204" s="262" t="s">
        <v>1691</v>
      </c>
      <c r="C204" s="260" t="s">
        <v>1692</v>
      </c>
      <c r="D204" t="s">
        <v>1693</v>
      </c>
      <c r="E204" t="str">
        <f t="shared" si="3"/>
        <v>SH</v>
      </c>
      <c r="I204" t="s">
        <v>1694</v>
      </c>
    </row>
    <row r="205" spans="1:9">
      <c r="A205" s="259" t="s">
        <v>900</v>
      </c>
      <c r="B205" s="260" t="s">
        <v>1695</v>
      </c>
      <c r="C205" s="260" t="s">
        <v>1696</v>
      </c>
      <c r="D205" t="s">
        <v>1697</v>
      </c>
      <c r="E205" t="str">
        <f t="shared" si="3"/>
        <v>SI</v>
      </c>
      <c r="I205" t="s">
        <v>1698</v>
      </c>
    </row>
    <row r="206" spans="1:9">
      <c r="A206" s="262" t="s">
        <v>907</v>
      </c>
      <c r="B206" s="259" t="s">
        <v>1699</v>
      </c>
      <c r="C206" s="260" t="s">
        <v>1700</v>
      </c>
      <c r="D206" t="s">
        <v>1701</v>
      </c>
      <c r="E206" t="str">
        <f t="shared" si="3"/>
        <v>SJ</v>
      </c>
      <c r="I206" t="s">
        <v>1702</v>
      </c>
    </row>
    <row r="207" spans="1:9">
      <c r="A207" s="263" t="s">
        <v>1703</v>
      </c>
      <c r="B207" s="262" t="s">
        <v>1704</v>
      </c>
      <c r="C207" s="260" t="s">
        <v>1705</v>
      </c>
      <c r="D207" t="s">
        <v>1706</v>
      </c>
      <c r="E207" t="str">
        <f t="shared" si="3"/>
        <v>SK</v>
      </c>
      <c r="I207" t="s">
        <v>1707</v>
      </c>
    </row>
    <row r="208" spans="1:9">
      <c r="A208" s="263" t="s">
        <v>1708</v>
      </c>
      <c r="B208" s="262" t="s">
        <v>1709</v>
      </c>
      <c r="C208" s="260" t="s">
        <v>1710</v>
      </c>
      <c r="D208" t="s">
        <v>1711</v>
      </c>
      <c r="E208" t="str">
        <f t="shared" si="3"/>
        <v>SL</v>
      </c>
      <c r="I208" t="s">
        <v>1712</v>
      </c>
    </row>
    <row r="209" spans="1:9">
      <c r="A209" s="263" t="s">
        <v>1713</v>
      </c>
      <c r="B209" s="262" t="s">
        <v>1714</v>
      </c>
      <c r="C209" s="260" t="s">
        <v>1715</v>
      </c>
      <c r="D209" t="s">
        <v>1716</v>
      </c>
      <c r="E209" t="str">
        <f t="shared" si="3"/>
        <v>SM</v>
      </c>
      <c r="I209" t="s">
        <v>1717</v>
      </c>
    </row>
    <row r="210" spans="1:9">
      <c r="A210" s="263" t="s">
        <v>1718</v>
      </c>
      <c r="B210" s="262" t="s">
        <v>1719</v>
      </c>
      <c r="C210" s="260" t="s">
        <v>1720</v>
      </c>
      <c r="D210" t="s">
        <v>1721</v>
      </c>
      <c r="E210" t="str">
        <f t="shared" si="3"/>
        <v>SN</v>
      </c>
      <c r="I210" t="s">
        <v>1722</v>
      </c>
    </row>
    <row r="211" spans="1:9">
      <c r="A211" s="263" t="s">
        <v>1723</v>
      </c>
      <c r="B211" s="262" t="s">
        <v>1724</v>
      </c>
      <c r="C211" s="260" t="s">
        <v>1725</v>
      </c>
      <c r="D211" t="s">
        <v>1726</v>
      </c>
      <c r="E211" t="str">
        <f t="shared" si="3"/>
        <v>SO</v>
      </c>
      <c r="I211" t="s">
        <v>1727</v>
      </c>
    </row>
    <row r="212" spans="1:9">
      <c r="A212" s="263" t="s">
        <v>1728</v>
      </c>
      <c r="B212" s="259" t="s">
        <v>1729</v>
      </c>
      <c r="C212" s="260" t="s">
        <v>1730</v>
      </c>
      <c r="D212" t="s">
        <v>1731</v>
      </c>
      <c r="E212" t="str">
        <f t="shared" si="3"/>
        <v>SR</v>
      </c>
      <c r="I212" t="s">
        <v>1732</v>
      </c>
    </row>
    <row r="213" spans="1:9">
      <c r="A213" s="263" t="s">
        <v>1733</v>
      </c>
      <c r="B213" s="262" t="s">
        <v>1734</v>
      </c>
      <c r="C213" s="260" t="s">
        <v>1735</v>
      </c>
      <c r="D213" t="s">
        <v>1736</v>
      </c>
      <c r="E213" t="str">
        <f t="shared" si="3"/>
        <v>SS</v>
      </c>
      <c r="I213" t="s">
        <v>1737</v>
      </c>
    </row>
    <row r="214" spans="1:9">
      <c r="A214" s="262" t="s">
        <v>915</v>
      </c>
      <c r="B214" s="262" t="s">
        <v>1738</v>
      </c>
      <c r="C214" s="260" t="s">
        <v>1739</v>
      </c>
      <c r="D214" t="s">
        <v>1740</v>
      </c>
      <c r="E214" t="str">
        <f t="shared" si="3"/>
        <v>ST</v>
      </c>
      <c r="I214" t="s">
        <v>1741</v>
      </c>
    </row>
    <row r="215" spans="1:9">
      <c r="A215" s="263" t="s">
        <v>1742</v>
      </c>
      <c r="B215" s="262" t="s">
        <v>1743</v>
      </c>
      <c r="C215" s="260" t="s">
        <v>1744</v>
      </c>
      <c r="D215" t="s">
        <v>1745</v>
      </c>
      <c r="E215" t="str">
        <f t="shared" si="3"/>
        <v>SV</v>
      </c>
      <c r="I215" t="s">
        <v>1746</v>
      </c>
    </row>
    <row r="216" spans="1:9">
      <c r="A216" s="262" t="s">
        <v>923</v>
      </c>
      <c r="B216" s="262" t="s">
        <v>1747</v>
      </c>
      <c r="C216" s="260" t="s">
        <v>1748</v>
      </c>
      <c r="D216" t="s">
        <v>1749</v>
      </c>
      <c r="E216" t="str">
        <f t="shared" si="3"/>
        <v>SX</v>
      </c>
      <c r="I216" t="s">
        <v>1750</v>
      </c>
    </row>
    <row r="217" spans="1:9">
      <c r="A217" s="263" t="s">
        <v>1751</v>
      </c>
      <c r="B217" s="259" t="s">
        <v>1752</v>
      </c>
      <c r="C217" s="260" t="s">
        <v>1753</v>
      </c>
      <c r="D217" t="s">
        <v>1754</v>
      </c>
      <c r="E217" t="str">
        <f t="shared" si="3"/>
        <v>SY</v>
      </c>
      <c r="I217" t="s">
        <v>1755</v>
      </c>
    </row>
    <row r="218" spans="1:9">
      <c r="A218" s="262" t="s">
        <v>930</v>
      </c>
      <c r="B218" s="262" t="s">
        <v>1756</v>
      </c>
      <c r="C218" s="260" t="s">
        <v>1757</v>
      </c>
      <c r="D218" t="s">
        <v>1758</v>
      </c>
      <c r="E218" t="str">
        <f t="shared" si="3"/>
        <v>SZ</v>
      </c>
      <c r="I218" t="s">
        <v>1759</v>
      </c>
    </row>
    <row r="219" spans="1:9">
      <c r="A219" s="263" t="s">
        <v>1760</v>
      </c>
      <c r="B219" s="262" t="s">
        <v>1761</v>
      </c>
      <c r="C219" s="260" t="s">
        <v>1762</v>
      </c>
      <c r="D219" t="s">
        <v>1763</v>
      </c>
      <c r="E219" t="str">
        <f t="shared" si="3"/>
        <v>TC</v>
      </c>
      <c r="I219" t="s">
        <v>1764</v>
      </c>
    </row>
    <row r="220" spans="1:9">
      <c r="A220" s="263" t="s">
        <v>1765</v>
      </c>
      <c r="B220" s="259" t="s">
        <v>1766</v>
      </c>
      <c r="C220" s="260" t="s">
        <v>1767</v>
      </c>
      <c r="D220" t="s">
        <v>1768</v>
      </c>
      <c r="E220" t="str">
        <f t="shared" si="3"/>
        <v>TD</v>
      </c>
      <c r="I220" t="s">
        <v>1769</v>
      </c>
    </row>
    <row r="221" spans="1:9">
      <c r="A221" s="262" t="s">
        <v>937</v>
      </c>
      <c r="B221" s="262" t="s">
        <v>1770</v>
      </c>
      <c r="C221" s="260" t="s">
        <v>1771</v>
      </c>
      <c r="D221" t="s">
        <v>1772</v>
      </c>
      <c r="E221" t="str">
        <f t="shared" si="3"/>
        <v>TF</v>
      </c>
      <c r="I221" t="s">
        <v>1773</v>
      </c>
    </row>
    <row r="222" spans="1:9">
      <c r="A222" s="263" t="s">
        <v>1774</v>
      </c>
      <c r="B222" s="262" t="s">
        <v>1775</v>
      </c>
      <c r="C222" s="260" t="s">
        <v>1776</v>
      </c>
      <c r="D222" t="s">
        <v>1777</v>
      </c>
      <c r="E222" t="str">
        <f t="shared" si="3"/>
        <v>TG</v>
      </c>
      <c r="I222" t="s">
        <v>1778</v>
      </c>
    </row>
    <row r="223" spans="1:9">
      <c r="A223" s="263" t="s">
        <v>1779</v>
      </c>
      <c r="B223" s="262" t="s">
        <v>1780</v>
      </c>
      <c r="C223" s="260" t="s">
        <v>1781</v>
      </c>
      <c r="D223" t="s">
        <v>1782</v>
      </c>
      <c r="E223" t="str">
        <f t="shared" si="3"/>
        <v>TH</v>
      </c>
      <c r="I223" t="s">
        <v>1783</v>
      </c>
    </row>
    <row r="224" spans="1:9">
      <c r="A224" s="262" t="s">
        <v>945</v>
      </c>
      <c r="B224" s="259" t="s">
        <v>1784</v>
      </c>
      <c r="C224" s="260" t="s">
        <v>1785</v>
      </c>
      <c r="D224" t="s">
        <v>1786</v>
      </c>
      <c r="E224" t="str">
        <f t="shared" si="3"/>
        <v>TJ</v>
      </c>
      <c r="I224" t="s">
        <v>1787</v>
      </c>
    </row>
    <row r="225" spans="1:9">
      <c r="A225" s="263" t="s">
        <v>1788</v>
      </c>
      <c r="B225" s="262" t="s">
        <v>1789</v>
      </c>
      <c r="C225" s="260" t="s">
        <v>1790</v>
      </c>
      <c r="D225" t="s">
        <v>1791</v>
      </c>
      <c r="E225" t="str">
        <f t="shared" si="3"/>
        <v>TK</v>
      </c>
      <c r="I225" t="s">
        <v>1792</v>
      </c>
    </row>
    <row r="226" spans="1:9">
      <c r="A226" s="259" t="s">
        <v>953</v>
      </c>
      <c r="B226" s="262" t="s">
        <v>1793</v>
      </c>
      <c r="C226" s="260" t="s">
        <v>1794</v>
      </c>
      <c r="D226" t="s">
        <v>1795</v>
      </c>
      <c r="E226" t="str">
        <f t="shared" si="3"/>
        <v>TL</v>
      </c>
      <c r="I226" t="s">
        <v>1796</v>
      </c>
    </row>
    <row r="227" spans="1:9">
      <c r="A227" s="262" t="s">
        <v>960</v>
      </c>
      <c r="B227" s="262" t="s">
        <v>1797</v>
      </c>
      <c r="C227" s="260" t="s">
        <v>1798</v>
      </c>
      <c r="D227" t="s">
        <v>1799</v>
      </c>
      <c r="E227" t="str">
        <f t="shared" si="3"/>
        <v>TM</v>
      </c>
      <c r="I227" t="s">
        <v>1800</v>
      </c>
    </row>
    <row r="228" spans="1:9">
      <c r="A228" s="263" t="s">
        <v>1801</v>
      </c>
      <c r="B228" s="260" t="s">
        <v>1802</v>
      </c>
      <c r="C228" s="260" t="s">
        <v>1803</v>
      </c>
      <c r="D228" t="s">
        <v>1804</v>
      </c>
      <c r="E228" t="str">
        <f t="shared" si="3"/>
        <v>TN</v>
      </c>
      <c r="I228" t="s">
        <v>1805</v>
      </c>
    </row>
    <row r="229" spans="1:9">
      <c r="A229" s="262" t="s">
        <v>968</v>
      </c>
      <c r="B229" s="259" t="s">
        <v>1806</v>
      </c>
      <c r="C229" s="260" t="s">
        <v>1807</v>
      </c>
      <c r="D229" t="s">
        <v>1808</v>
      </c>
      <c r="E229" t="str">
        <f t="shared" si="3"/>
        <v>TO</v>
      </c>
      <c r="I229" t="s">
        <v>1809</v>
      </c>
    </row>
    <row r="230" spans="1:9">
      <c r="A230" s="263" t="s">
        <v>1810</v>
      </c>
      <c r="B230" s="262" t="s">
        <v>1811</v>
      </c>
      <c r="C230" s="260" t="s">
        <v>1812</v>
      </c>
      <c r="D230" t="s">
        <v>1813</v>
      </c>
      <c r="E230" t="str">
        <f t="shared" si="3"/>
        <v>TP</v>
      </c>
      <c r="I230" t="s">
        <v>1814</v>
      </c>
    </row>
    <row r="231" spans="1:9">
      <c r="A231" s="259" t="s">
        <v>976</v>
      </c>
      <c r="B231" s="262" t="s">
        <v>1815</v>
      </c>
      <c r="C231" s="260" t="s">
        <v>1816</v>
      </c>
      <c r="D231" t="s">
        <v>1817</v>
      </c>
      <c r="E231" t="str">
        <f t="shared" si="3"/>
        <v>TR</v>
      </c>
      <c r="I231" t="s">
        <v>1818</v>
      </c>
    </row>
    <row r="232" spans="1:9">
      <c r="A232" s="262" t="s">
        <v>984</v>
      </c>
      <c r="B232" s="262" t="s">
        <v>1819</v>
      </c>
      <c r="C232" s="260" t="s">
        <v>1820</v>
      </c>
      <c r="D232" t="s">
        <v>1821</v>
      </c>
      <c r="E232" t="str">
        <f t="shared" si="3"/>
        <v>TT</v>
      </c>
      <c r="I232" t="s">
        <v>1822</v>
      </c>
    </row>
    <row r="233" spans="1:9">
      <c r="A233" s="263" t="s">
        <v>1823</v>
      </c>
      <c r="B233" s="262" t="s">
        <v>1824</v>
      </c>
      <c r="C233" s="260" t="s">
        <v>1825</v>
      </c>
      <c r="D233" t="s">
        <v>1826</v>
      </c>
      <c r="E233" t="str">
        <f t="shared" si="3"/>
        <v>TV</v>
      </c>
      <c r="I233" t="s">
        <v>1827</v>
      </c>
    </row>
    <row r="234" spans="1:9">
      <c r="A234" s="263" t="s">
        <v>1828</v>
      </c>
      <c r="B234" s="262" t="s">
        <v>1829</v>
      </c>
      <c r="C234" s="260" t="s">
        <v>1830</v>
      </c>
      <c r="D234" t="s">
        <v>1831</v>
      </c>
      <c r="E234" t="str">
        <f t="shared" si="3"/>
        <v>TW</v>
      </c>
      <c r="I234" t="s">
        <v>1832</v>
      </c>
    </row>
    <row r="235" spans="1:9">
      <c r="A235" s="262" t="s">
        <v>992</v>
      </c>
      <c r="B235" s="259" t="s">
        <v>1833</v>
      </c>
      <c r="C235" s="260" t="s">
        <v>1834</v>
      </c>
      <c r="D235" t="s">
        <v>1835</v>
      </c>
      <c r="E235" t="str">
        <f t="shared" si="3"/>
        <v>TZ</v>
      </c>
      <c r="I235" t="s">
        <v>1836</v>
      </c>
    </row>
    <row r="236" spans="1:9">
      <c r="A236" s="263" t="s">
        <v>1837</v>
      </c>
      <c r="B236" s="262" t="s">
        <v>1838</v>
      </c>
      <c r="C236" s="260" t="s">
        <v>1839</v>
      </c>
      <c r="D236" t="s">
        <v>1840</v>
      </c>
      <c r="E236" t="str">
        <f t="shared" si="3"/>
        <v>UA</v>
      </c>
      <c r="I236" t="s">
        <v>1841</v>
      </c>
    </row>
    <row r="237" spans="1:9">
      <c r="A237" s="263" t="s">
        <v>1842</v>
      </c>
      <c r="B237" s="262" t="s">
        <v>1843</v>
      </c>
      <c r="C237" s="260" t="s">
        <v>1844</v>
      </c>
      <c r="D237" t="s">
        <v>1845</v>
      </c>
      <c r="E237" t="str">
        <f t="shared" si="3"/>
        <v>UG</v>
      </c>
      <c r="I237" t="s">
        <v>1846</v>
      </c>
    </row>
    <row r="238" spans="1:9">
      <c r="A238" s="263" t="s">
        <v>1847</v>
      </c>
      <c r="B238" s="263" t="s">
        <v>1848</v>
      </c>
      <c r="C238" s="260" t="s">
        <v>1849</v>
      </c>
      <c r="D238" t="s">
        <v>1850</v>
      </c>
      <c r="E238" t="str">
        <f t="shared" si="3"/>
        <v>UM</v>
      </c>
      <c r="I238" t="s">
        <v>1851</v>
      </c>
    </row>
    <row r="239" spans="1:9">
      <c r="A239" s="263" t="s">
        <v>1852</v>
      </c>
      <c r="B239" s="262" t="s">
        <v>1853</v>
      </c>
      <c r="C239" s="260" t="s">
        <v>1854</v>
      </c>
      <c r="D239" t="s">
        <v>1855</v>
      </c>
      <c r="E239" t="str">
        <f t="shared" si="3"/>
        <v>US</v>
      </c>
      <c r="I239" t="s">
        <v>1856</v>
      </c>
    </row>
    <row r="240" spans="1:9">
      <c r="A240" s="263" t="s">
        <v>1857</v>
      </c>
      <c r="B240" s="262" t="s">
        <v>1858</v>
      </c>
      <c r="C240" s="260" t="s">
        <v>1859</v>
      </c>
      <c r="D240" t="s">
        <v>1860</v>
      </c>
      <c r="E240" t="str">
        <f t="shared" si="3"/>
        <v>UY</v>
      </c>
      <c r="I240" t="s">
        <v>1861</v>
      </c>
    </row>
    <row r="241" spans="1:9">
      <c r="A241" s="263" t="s">
        <v>1862</v>
      </c>
      <c r="B241" s="260" t="s">
        <v>1863</v>
      </c>
      <c r="C241" s="260" t="s">
        <v>1864</v>
      </c>
      <c r="D241" t="s">
        <v>1865</v>
      </c>
      <c r="E241" t="str">
        <f t="shared" si="3"/>
        <v>UZ</v>
      </c>
      <c r="I241" t="s">
        <v>1866</v>
      </c>
    </row>
    <row r="242" spans="1:9">
      <c r="A242" s="259" t="s">
        <v>999</v>
      </c>
      <c r="B242" s="259" t="s">
        <v>1867</v>
      </c>
      <c r="C242" s="260" t="s">
        <v>1868</v>
      </c>
      <c r="D242" t="s">
        <v>1869</v>
      </c>
      <c r="E242" t="str">
        <f t="shared" si="3"/>
        <v>VA</v>
      </c>
      <c r="I242" t="s">
        <v>1870</v>
      </c>
    </row>
    <row r="243" spans="1:9">
      <c r="A243" s="262" t="s">
        <v>1006</v>
      </c>
      <c r="B243" s="262" t="s">
        <v>1871</v>
      </c>
      <c r="C243" s="260" t="s">
        <v>1872</v>
      </c>
      <c r="D243" t="s">
        <v>1873</v>
      </c>
      <c r="E243" t="str">
        <f t="shared" si="3"/>
        <v>VC</v>
      </c>
      <c r="I243" t="s">
        <v>1874</v>
      </c>
    </row>
    <row r="244" spans="1:9">
      <c r="A244" s="263" t="s">
        <v>1875</v>
      </c>
      <c r="B244" s="262" t="s">
        <v>1876</v>
      </c>
      <c r="C244" s="260" t="s">
        <v>1877</v>
      </c>
      <c r="D244" t="s">
        <v>1878</v>
      </c>
      <c r="E244" t="str">
        <f t="shared" si="3"/>
        <v>VE</v>
      </c>
      <c r="I244" t="s">
        <v>1879</v>
      </c>
    </row>
    <row r="245" spans="1:9">
      <c r="A245" s="263" t="s">
        <v>1880</v>
      </c>
      <c r="B245" s="259" t="s">
        <v>1881</v>
      </c>
      <c r="C245" s="260" t="s">
        <v>1882</v>
      </c>
      <c r="D245" t="s">
        <v>1883</v>
      </c>
      <c r="E245" t="str">
        <f t="shared" si="3"/>
        <v>VG</v>
      </c>
      <c r="I245" t="s">
        <v>1884</v>
      </c>
    </row>
    <row r="246" spans="1:9">
      <c r="A246" s="263" t="s">
        <v>1885</v>
      </c>
      <c r="B246" s="262" t="s">
        <v>1886</v>
      </c>
      <c r="C246" s="260" t="s">
        <v>1887</v>
      </c>
      <c r="D246" t="s">
        <v>1888</v>
      </c>
      <c r="E246" t="str">
        <f t="shared" si="3"/>
        <v>VI</v>
      </c>
      <c r="I246" t="s">
        <v>1889</v>
      </c>
    </row>
    <row r="247" spans="1:9">
      <c r="A247" s="263" t="s">
        <v>1890</v>
      </c>
      <c r="B247" s="262" t="s">
        <v>1891</v>
      </c>
      <c r="C247" s="260" t="s">
        <v>1892</v>
      </c>
      <c r="D247" t="s">
        <v>1893</v>
      </c>
      <c r="E247" t="str">
        <f t="shared" si="3"/>
        <v>VN</v>
      </c>
      <c r="I247" t="s">
        <v>1894</v>
      </c>
    </row>
    <row r="248" spans="1:9">
      <c r="A248" s="263" t="s">
        <v>1895</v>
      </c>
      <c r="B248" s="259" t="s">
        <v>1896</v>
      </c>
      <c r="C248" s="260" t="s">
        <v>1897</v>
      </c>
      <c r="D248" t="s">
        <v>1898</v>
      </c>
      <c r="E248" t="str">
        <f t="shared" si="3"/>
        <v>VU</v>
      </c>
      <c r="I248" t="s">
        <v>1899</v>
      </c>
    </row>
    <row r="249" spans="1:9">
      <c r="A249" s="262" t="s">
        <v>1014</v>
      </c>
      <c r="B249" s="262" t="s">
        <v>1900</v>
      </c>
      <c r="C249" s="260" t="s">
        <v>1901</v>
      </c>
      <c r="D249" t="s">
        <v>1902</v>
      </c>
      <c r="E249" t="str">
        <f t="shared" si="3"/>
        <v>WF</v>
      </c>
      <c r="I249" t="s">
        <v>1903</v>
      </c>
    </row>
    <row r="250" spans="1:9">
      <c r="A250" s="263" t="s">
        <v>1904</v>
      </c>
      <c r="B250" s="262" t="s">
        <v>1905</v>
      </c>
      <c r="C250" s="260" t="s">
        <v>1906</v>
      </c>
      <c r="D250" t="s">
        <v>1907</v>
      </c>
      <c r="E250" t="str">
        <f t="shared" si="3"/>
        <v>WS</v>
      </c>
      <c r="I250" t="s">
        <v>1908</v>
      </c>
    </row>
    <row r="251" spans="1:9">
      <c r="A251" s="262" t="s">
        <v>1021</v>
      </c>
      <c r="B251" s="262" t="s">
        <v>1909</v>
      </c>
      <c r="C251" s="260" t="s">
        <v>1910</v>
      </c>
      <c r="D251" t="s">
        <v>1911</v>
      </c>
      <c r="E251" t="str">
        <f t="shared" si="3"/>
        <v>YE</v>
      </c>
      <c r="I251" t="s">
        <v>1912</v>
      </c>
    </row>
    <row r="252" spans="1:9">
      <c r="A252" s="263" t="s">
        <v>1913</v>
      </c>
      <c r="B252" s="260" t="s">
        <v>1914</v>
      </c>
      <c r="C252" s="260" t="s">
        <v>1915</v>
      </c>
      <c r="D252" t="s">
        <v>1916</v>
      </c>
      <c r="E252" t="str">
        <f t="shared" si="3"/>
        <v>YT</v>
      </c>
      <c r="I252" t="s">
        <v>1917</v>
      </c>
    </row>
    <row r="253" spans="1:9">
      <c r="A253" s="263" t="s">
        <v>1918</v>
      </c>
      <c r="B253" s="259" t="s">
        <v>1919</v>
      </c>
      <c r="C253" s="260" t="s">
        <v>1920</v>
      </c>
      <c r="D253" t="s">
        <v>1921</v>
      </c>
      <c r="E253" t="str">
        <f t="shared" si="3"/>
        <v>YU</v>
      </c>
      <c r="I253" t="s">
        <v>1922</v>
      </c>
    </row>
    <row r="254" spans="1:9">
      <c r="A254" s="262" t="s">
        <v>1029</v>
      </c>
      <c r="B254" s="262" t="s">
        <v>1923</v>
      </c>
      <c r="C254" s="260" t="s">
        <v>1924</v>
      </c>
      <c r="D254" t="s">
        <v>1925</v>
      </c>
      <c r="E254" t="str">
        <f t="shared" si="3"/>
        <v>ZA</v>
      </c>
      <c r="I254" t="s">
        <v>1926</v>
      </c>
    </row>
    <row r="255" spans="1:9">
      <c r="A255" s="263" t="s">
        <v>1927</v>
      </c>
      <c r="B255" s="262" t="s">
        <v>1928</v>
      </c>
      <c r="C255" s="260" t="s">
        <v>1929</v>
      </c>
      <c r="D255" t="s">
        <v>1930</v>
      </c>
      <c r="E255" t="str">
        <f t="shared" si="3"/>
        <v>ZM</v>
      </c>
      <c r="I255" t="s">
        <v>1931</v>
      </c>
    </row>
    <row r="256" spans="1:9">
      <c r="A256" s="263" t="s">
        <v>1932</v>
      </c>
      <c r="B256" s="262" t="s">
        <v>1933</v>
      </c>
      <c r="C256" s="260" t="s">
        <v>1934</v>
      </c>
      <c r="D256" t="s">
        <v>1935</v>
      </c>
      <c r="E256" t="str">
        <f t="shared" si="3"/>
        <v>ZR</v>
      </c>
      <c r="I256" t="s">
        <v>1936</v>
      </c>
    </row>
    <row r="257" spans="1:9">
      <c r="A257" s="263" t="s">
        <v>1937</v>
      </c>
      <c r="B257" s="259" t="s">
        <v>1938</v>
      </c>
      <c r="C257" s="260" t="s">
        <v>1939</v>
      </c>
      <c r="D257" t="s">
        <v>1940</v>
      </c>
      <c r="E257" t="str">
        <f t="shared" si="3"/>
        <v>ZW</v>
      </c>
      <c r="I257" t="s">
        <v>1941</v>
      </c>
    </row>
    <row r="258" spans="1:9">
      <c r="A258" s="263" t="s">
        <v>1942</v>
      </c>
      <c r="B258" s="262" t="s">
        <v>1943</v>
      </c>
      <c r="I258" t="s">
        <v>1944</v>
      </c>
    </row>
    <row r="259" spans="1:9">
      <c r="A259" s="263" t="s">
        <v>1945</v>
      </c>
      <c r="B259" s="262" t="s">
        <v>1946</v>
      </c>
      <c r="I259" t="s">
        <v>1947</v>
      </c>
    </row>
    <row r="260" spans="1:9">
      <c r="A260" s="262" t="s">
        <v>1037</v>
      </c>
      <c r="B260" s="262" t="s">
        <v>1948</v>
      </c>
      <c r="I260" t="s">
        <v>1949</v>
      </c>
    </row>
    <row r="261" spans="1:9">
      <c r="A261" s="263" t="s">
        <v>1950</v>
      </c>
      <c r="B261" s="259" t="s">
        <v>1951</v>
      </c>
      <c r="I261" t="s">
        <v>1952</v>
      </c>
    </row>
    <row r="262" spans="1:9">
      <c r="A262" s="263" t="s">
        <v>1953</v>
      </c>
      <c r="B262" s="262" t="s">
        <v>1954</v>
      </c>
      <c r="I262" t="s">
        <v>1955</v>
      </c>
    </row>
    <row r="263" spans="1:9">
      <c r="A263" s="262" t="s">
        <v>1044</v>
      </c>
      <c r="B263" s="262" t="s">
        <v>1956</v>
      </c>
      <c r="I263" t="s">
        <v>1957</v>
      </c>
    </row>
    <row r="264" spans="1:9">
      <c r="A264" s="263" t="s">
        <v>1958</v>
      </c>
      <c r="B264" s="260" t="s">
        <v>1959</v>
      </c>
      <c r="I264" t="s">
        <v>1960</v>
      </c>
    </row>
    <row r="265" spans="1:9">
      <c r="A265" s="263" t="s">
        <v>1961</v>
      </c>
      <c r="B265" s="259" t="s">
        <v>1962</v>
      </c>
      <c r="I265" t="s">
        <v>1963</v>
      </c>
    </row>
    <row r="266" spans="1:9">
      <c r="A266" s="263" t="s">
        <v>1964</v>
      </c>
      <c r="B266" s="262" t="s">
        <v>1965</v>
      </c>
      <c r="I266" t="s">
        <v>1966</v>
      </c>
    </row>
    <row r="267" spans="1:9">
      <c r="A267" s="263" t="s">
        <v>1967</v>
      </c>
      <c r="B267" s="262" t="s">
        <v>1968</v>
      </c>
      <c r="I267" t="s">
        <v>1969</v>
      </c>
    </row>
    <row r="268" spans="1:9">
      <c r="A268" s="263" t="s">
        <v>1970</v>
      </c>
      <c r="B268" s="262" t="s">
        <v>1971</v>
      </c>
      <c r="I268" t="s">
        <v>1972</v>
      </c>
    </row>
    <row r="269" spans="1:9">
      <c r="A269" s="263" t="s">
        <v>1973</v>
      </c>
      <c r="B269" s="262" t="s">
        <v>1974</v>
      </c>
      <c r="I269" t="s">
        <v>1975</v>
      </c>
    </row>
    <row r="270" spans="1:9">
      <c r="A270" s="262" t="s">
        <v>1051</v>
      </c>
      <c r="B270" s="259" t="s">
        <v>1976</v>
      </c>
      <c r="I270" t="s">
        <v>1977</v>
      </c>
    </row>
    <row r="271" spans="1:9">
      <c r="A271" s="263" t="s">
        <v>1978</v>
      </c>
      <c r="B271" s="262" t="s">
        <v>1979</v>
      </c>
      <c r="I271" t="s">
        <v>1980</v>
      </c>
    </row>
    <row r="272" spans="1:9">
      <c r="A272" s="262" t="s">
        <v>1059</v>
      </c>
      <c r="B272" s="262" t="s">
        <v>1981</v>
      </c>
      <c r="I272" t="s">
        <v>1982</v>
      </c>
    </row>
    <row r="273" spans="1:9">
      <c r="A273" s="263" t="s">
        <v>1983</v>
      </c>
      <c r="B273" s="262" t="s">
        <v>1984</v>
      </c>
      <c r="I273" t="s">
        <v>1985</v>
      </c>
    </row>
    <row r="274" spans="1:9">
      <c r="A274" s="263" t="s">
        <v>1986</v>
      </c>
      <c r="B274" s="259" t="s">
        <v>1987</v>
      </c>
      <c r="I274" t="s">
        <v>1988</v>
      </c>
    </row>
    <row r="275" spans="1:9">
      <c r="A275" s="259" t="s">
        <v>1067</v>
      </c>
      <c r="B275" s="262" t="s">
        <v>1989</v>
      </c>
      <c r="I275" t="s">
        <v>1990</v>
      </c>
    </row>
    <row r="276" spans="1:9">
      <c r="A276" s="262" t="s">
        <v>1075</v>
      </c>
      <c r="B276" s="262" t="s">
        <v>1991</v>
      </c>
      <c r="I276" t="s">
        <v>1992</v>
      </c>
    </row>
    <row r="277" spans="1:9">
      <c r="A277" s="263" t="s">
        <v>1993</v>
      </c>
      <c r="B277" s="262" t="s">
        <v>1994</v>
      </c>
      <c r="I277" t="s">
        <v>1995</v>
      </c>
    </row>
    <row r="278" spans="1:9">
      <c r="A278" s="262" t="s">
        <v>1081</v>
      </c>
      <c r="B278" s="260" t="s">
        <v>1996</v>
      </c>
      <c r="I278" t="s">
        <v>1997</v>
      </c>
    </row>
    <row r="279" spans="1:9">
      <c r="A279" s="263" t="s">
        <v>1998</v>
      </c>
      <c r="B279" s="259" t="s">
        <v>1999</v>
      </c>
      <c r="I279" t="s">
        <v>2000</v>
      </c>
    </row>
    <row r="280" spans="1:9">
      <c r="A280" s="262" t="s">
        <v>1088</v>
      </c>
      <c r="B280" s="262" t="s">
        <v>2001</v>
      </c>
      <c r="I280" t="s">
        <v>2002</v>
      </c>
    </row>
    <row r="281" spans="1:9">
      <c r="A281" s="263" t="s">
        <v>2003</v>
      </c>
      <c r="B281" s="262" t="s">
        <v>2004</v>
      </c>
      <c r="I281" t="s">
        <v>2005</v>
      </c>
    </row>
    <row r="282" spans="1:9">
      <c r="A282" s="263" t="s">
        <v>2006</v>
      </c>
      <c r="B282" s="262" t="s">
        <v>2007</v>
      </c>
      <c r="I282" t="s">
        <v>2008</v>
      </c>
    </row>
    <row r="283" spans="1:9">
      <c r="A283" s="263" t="s">
        <v>2009</v>
      </c>
      <c r="B283" s="260" t="s">
        <v>2010</v>
      </c>
      <c r="I283" t="s">
        <v>2011</v>
      </c>
    </row>
    <row r="284" spans="1:9">
      <c r="A284" s="263" t="s">
        <v>2012</v>
      </c>
      <c r="B284" s="259" t="s">
        <v>2013</v>
      </c>
      <c r="I284" t="s">
        <v>2014</v>
      </c>
    </row>
    <row r="285" spans="1:9">
      <c r="A285" s="262" t="s">
        <v>1094</v>
      </c>
      <c r="B285" s="262" t="s">
        <v>2015</v>
      </c>
      <c r="I285" t="s">
        <v>2016</v>
      </c>
    </row>
    <row r="286" spans="1:9">
      <c r="A286" s="263" t="s">
        <v>2017</v>
      </c>
      <c r="B286" s="262" t="s">
        <v>2018</v>
      </c>
      <c r="I286" t="s">
        <v>2019</v>
      </c>
    </row>
    <row r="287" spans="1:9">
      <c r="A287" s="263" t="s">
        <v>2020</v>
      </c>
      <c r="B287" s="259" t="s">
        <v>2021</v>
      </c>
      <c r="I287" t="s">
        <v>2022</v>
      </c>
    </row>
    <row r="288" spans="1:9">
      <c r="A288" s="263" t="s">
        <v>2023</v>
      </c>
      <c r="B288" s="262" t="s">
        <v>2024</v>
      </c>
      <c r="I288" t="s">
        <v>2025</v>
      </c>
    </row>
    <row r="289" spans="1:9">
      <c r="A289" s="263" t="s">
        <v>2026</v>
      </c>
      <c r="B289" s="262" t="s">
        <v>2027</v>
      </c>
      <c r="I289" t="s">
        <v>2028</v>
      </c>
    </row>
    <row r="290" spans="1:9">
      <c r="A290" s="263" t="s">
        <v>2029</v>
      </c>
      <c r="B290" s="259" t="s">
        <v>2030</v>
      </c>
      <c r="I290" t="s">
        <v>2031</v>
      </c>
    </row>
    <row r="291" spans="1:9">
      <c r="A291" s="263" t="s">
        <v>2032</v>
      </c>
      <c r="B291" s="262" t="s">
        <v>2033</v>
      </c>
      <c r="I291" t="s">
        <v>2034</v>
      </c>
    </row>
    <row r="292" spans="1:9">
      <c r="A292" s="262" t="s">
        <v>1101</v>
      </c>
      <c r="B292" s="262" t="s">
        <v>2035</v>
      </c>
      <c r="I292" t="s">
        <v>2036</v>
      </c>
    </row>
    <row r="293" spans="1:9">
      <c r="A293" s="263" t="s">
        <v>2037</v>
      </c>
      <c r="B293" s="259" t="s">
        <v>2038</v>
      </c>
      <c r="I293" t="s">
        <v>2039</v>
      </c>
    </row>
    <row r="294" spans="1:9">
      <c r="A294" s="263" t="s">
        <v>2040</v>
      </c>
      <c r="B294" s="262" t="s">
        <v>2041</v>
      </c>
      <c r="I294" t="s">
        <v>2042</v>
      </c>
    </row>
    <row r="295" spans="1:9">
      <c r="A295" s="263" t="s">
        <v>2043</v>
      </c>
      <c r="B295" s="262" t="s">
        <v>2044</v>
      </c>
      <c r="I295" t="s">
        <v>2045</v>
      </c>
    </row>
    <row r="296" spans="1:9">
      <c r="A296" s="263" t="s">
        <v>2046</v>
      </c>
      <c r="B296" s="259" t="s">
        <v>2047</v>
      </c>
      <c r="I296" t="s">
        <v>2048</v>
      </c>
    </row>
    <row r="297" spans="1:9">
      <c r="A297" s="259" t="s">
        <v>1108</v>
      </c>
      <c r="B297" s="262" t="s">
        <v>2049</v>
      </c>
      <c r="I297" t="s">
        <v>2050</v>
      </c>
    </row>
    <row r="298" spans="1:9">
      <c r="A298" s="262" t="s">
        <v>1115</v>
      </c>
      <c r="B298" s="262" t="s">
        <v>2051</v>
      </c>
      <c r="I298" t="s">
        <v>2052</v>
      </c>
    </row>
    <row r="299" spans="1:9">
      <c r="A299" s="263" t="s">
        <v>2053</v>
      </c>
      <c r="B299" s="262" t="s">
        <v>2054</v>
      </c>
      <c r="I299" t="s">
        <v>2055</v>
      </c>
    </row>
    <row r="300" spans="1:9">
      <c r="A300" s="263" t="s">
        <v>2056</v>
      </c>
      <c r="B300" s="259" t="s">
        <v>2057</v>
      </c>
      <c r="I300" t="s">
        <v>2058</v>
      </c>
    </row>
    <row r="301" spans="1:9">
      <c r="A301" s="262" t="s">
        <v>1121</v>
      </c>
      <c r="B301" s="262" t="s">
        <v>2059</v>
      </c>
      <c r="I301" t="s">
        <v>2060</v>
      </c>
    </row>
    <row r="302" spans="1:9">
      <c r="A302" s="263" t="s">
        <v>2061</v>
      </c>
      <c r="B302" s="262" t="s">
        <v>2062</v>
      </c>
      <c r="I302" t="s">
        <v>2063</v>
      </c>
    </row>
    <row r="303" spans="1:9">
      <c r="A303" s="263" t="s">
        <v>2064</v>
      </c>
      <c r="B303" s="262" t="s">
        <v>2065</v>
      </c>
      <c r="I303" t="s">
        <v>2066</v>
      </c>
    </row>
    <row r="304" spans="1:9">
      <c r="A304" s="262" t="s">
        <v>1128</v>
      </c>
      <c r="B304" s="262" t="s">
        <v>2067</v>
      </c>
      <c r="I304" t="s">
        <v>2068</v>
      </c>
    </row>
    <row r="305" spans="1:9">
      <c r="A305" s="263" t="s">
        <v>2069</v>
      </c>
      <c r="B305" s="259" t="s">
        <v>2070</v>
      </c>
      <c r="I305" t="s">
        <v>2071</v>
      </c>
    </row>
    <row r="306" spans="1:9">
      <c r="A306" s="262" t="s">
        <v>1135</v>
      </c>
      <c r="B306" s="262" t="s">
        <v>2072</v>
      </c>
      <c r="I306" t="s">
        <v>2073</v>
      </c>
    </row>
    <row r="307" spans="1:9">
      <c r="A307" s="263" t="s">
        <v>2074</v>
      </c>
      <c r="B307" s="260" t="s">
        <v>2075</v>
      </c>
      <c r="I307" t="s">
        <v>2076</v>
      </c>
    </row>
    <row r="308" spans="1:9">
      <c r="A308" s="262" t="s">
        <v>1141</v>
      </c>
      <c r="B308" s="259" t="s">
        <v>2077</v>
      </c>
      <c r="I308" t="s">
        <v>2078</v>
      </c>
    </row>
    <row r="309" spans="1:9">
      <c r="A309" s="263" t="s">
        <v>2079</v>
      </c>
      <c r="B309" s="262" t="s">
        <v>2080</v>
      </c>
      <c r="I309" t="s">
        <v>2081</v>
      </c>
    </row>
    <row r="310" spans="1:9">
      <c r="A310" s="263" t="s">
        <v>2082</v>
      </c>
      <c r="B310" s="262" t="s">
        <v>2083</v>
      </c>
      <c r="I310" t="s">
        <v>2084</v>
      </c>
    </row>
    <row r="311" spans="1:9">
      <c r="A311" s="263" t="s">
        <v>2085</v>
      </c>
      <c r="B311" s="262" t="s">
        <v>2086</v>
      </c>
      <c r="I311" t="s">
        <v>2087</v>
      </c>
    </row>
    <row r="312" spans="1:9">
      <c r="A312" s="262" t="s">
        <v>1148</v>
      </c>
      <c r="B312" s="262" t="s">
        <v>2088</v>
      </c>
      <c r="I312" t="s">
        <v>2089</v>
      </c>
    </row>
    <row r="313" spans="1:9">
      <c r="A313" s="263" t="s">
        <v>2090</v>
      </c>
      <c r="B313" s="262" t="s">
        <v>2091</v>
      </c>
      <c r="I313" t="s">
        <v>2092</v>
      </c>
    </row>
    <row r="314" spans="1:9">
      <c r="A314" s="263" t="s">
        <v>2093</v>
      </c>
      <c r="B314" s="259" t="s">
        <v>2094</v>
      </c>
      <c r="I314" t="s">
        <v>2095</v>
      </c>
    </row>
    <row r="315" spans="1:9">
      <c r="A315" s="263" t="s">
        <v>2096</v>
      </c>
      <c r="B315" s="262" t="s">
        <v>2097</v>
      </c>
      <c r="I315" t="s">
        <v>2098</v>
      </c>
    </row>
    <row r="316" spans="1:9">
      <c r="A316" s="262" t="s">
        <v>1155</v>
      </c>
      <c r="B316" s="262" t="s">
        <v>2099</v>
      </c>
      <c r="I316" t="s">
        <v>2100</v>
      </c>
    </row>
    <row r="317" spans="1:9">
      <c r="A317" s="263" t="s">
        <v>2101</v>
      </c>
      <c r="B317" s="259" t="s">
        <v>2102</v>
      </c>
      <c r="I317" t="s">
        <v>2103</v>
      </c>
    </row>
    <row r="318" spans="1:9">
      <c r="A318" s="263" t="s">
        <v>2104</v>
      </c>
      <c r="B318" s="262" t="s">
        <v>2105</v>
      </c>
      <c r="I318" t="s">
        <v>2106</v>
      </c>
    </row>
    <row r="319" spans="1:9">
      <c r="A319" s="263" t="s">
        <v>2107</v>
      </c>
      <c r="B319" s="262" t="s">
        <v>2108</v>
      </c>
      <c r="I319" t="s">
        <v>2109</v>
      </c>
    </row>
    <row r="320" spans="1:9">
      <c r="A320" s="263" t="s">
        <v>2110</v>
      </c>
      <c r="B320" s="259" t="s">
        <v>2111</v>
      </c>
      <c r="I320" t="s">
        <v>2112</v>
      </c>
    </row>
    <row r="321" spans="1:9">
      <c r="A321" s="263" t="s">
        <v>2113</v>
      </c>
      <c r="B321" s="262" t="s">
        <v>2114</v>
      </c>
      <c r="I321" t="s">
        <v>2115</v>
      </c>
    </row>
    <row r="322" spans="1:9">
      <c r="A322" s="259" t="s">
        <v>1161</v>
      </c>
      <c r="B322" s="259" t="s">
        <v>2116</v>
      </c>
      <c r="I322" t="s">
        <v>2117</v>
      </c>
    </row>
    <row r="323" spans="1:9">
      <c r="A323" s="262" t="s">
        <v>1168</v>
      </c>
      <c r="B323" s="262" t="s">
        <v>2118</v>
      </c>
      <c r="I323" t="s">
        <v>2119</v>
      </c>
    </row>
    <row r="324" spans="1:9">
      <c r="A324" s="263" t="s">
        <v>2120</v>
      </c>
      <c r="B324" s="262" t="s">
        <v>2121</v>
      </c>
      <c r="I324" t="s">
        <v>2122</v>
      </c>
    </row>
    <row r="325" spans="1:9">
      <c r="A325" s="263" t="s">
        <v>2123</v>
      </c>
      <c r="B325" s="262" t="s">
        <v>2124</v>
      </c>
      <c r="I325" t="s">
        <v>2125</v>
      </c>
    </row>
    <row r="326" spans="1:9">
      <c r="A326" s="262" t="s">
        <v>1175</v>
      </c>
      <c r="B326" s="259" t="s">
        <v>2126</v>
      </c>
      <c r="I326" t="s">
        <v>2127</v>
      </c>
    </row>
    <row r="327" spans="1:9">
      <c r="A327" s="263" t="s">
        <v>2128</v>
      </c>
      <c r="B327" s="262" t="s">
        <v>2129</v>
      </c>
      <c r="I327" t="s">
        <v>2130</v>
      </c>
    </row>
    <row r="328" spans="1:9">
      <c r="A328" s="262" t="s">
        <v>1181</v>
      </c>
      <c r="B328" s="262" t="s">
        <v>2131</v>
      </c>
      <c r="I328" t="s">
        <v>2132</v>
      </c>
    </row>
    <row r="329" spans="1:9">
      <c r="A329" s="263" t="s">
        <v>2133</v>
      </c>
      <c r="B329" s="262" t="s">
        <v>2134</v>
      </c>
      <c r="I329" t="s">
        <v>2135</v>
      </c>
    </row>
    <row r="330" spans="1:9">
      <c r="A330" s="262" t="s">
        <v>1188</v>
      </c>
      <c r="B330" s="262" t="s">
        <v>2136</v>
      </c>
      <c r="I330" t="s">
        <v>2137</v>
      </c>
    </row>
    <row r="331" spans="1:9">
      <c r="A331" s="263" t="s">
        <v>2138</v>
      </c>
      <c r="B331" s="262" t="s">
        <v>2139</v>
      </c>
      <c r="I331" t="s">
        <v>2140</v>
      </c>
    </row>
    <row r="332" spans="1:9">
      <c r="A332" s="262" t="s">
        <v>1195</v>
      </c>
      <c r="B332" s="260" t="s">
        <v>2141</v>
      </c>
      <c r="I332" t="s">
        <v>2142</v>
      </c>
    </row>
    <row r="333" spans="1:9">
      <c r="A333" s="263" t="s">
        <v>2143</v>
      </c>
      <c r="B333" s="259" t="s">
        <v>2144</v>
      </c>
      <c r="I333" t="s">
        <v>2145</v>
      </c>
    </row>
    <row r="334" spans="1:9">
      <c r="A334" s="263" t="s">
        <v>2146</v>
      </c>
      <c r="B334" s="262" t="s">
        <v>2147</v>
      </c>
      <c r="I334" t="s">
        <v>2148</v>
      </c>
    </row>
    <row r="335" spans="1:9">
      <c r="A335" s="262" t="s">
        <v>1202</v>
      </c>
      <c r="B335" s="262" t="s">
        <v>2149</v>
      </c>
      <c r="I335" t="s">
        <v>2150</v>
      </c>
    </row>
    <row r="336" spans="1:9">
      <c r="A336" s="263" t="s">
        <v>2151</v>
      </c>
      <c r="B336" s="262" t="s">
        <v>2152</v>
      </c>
      <c r="I336" t="s">
        <v>2153</v>
      </c>
    </row>
    <row r="337" spans="1:9">
      <c r="A337" s="262" t="s">
        <v>1208</v>
      </c>
      <c r="B337" s="260" t="s">
        <v>2154</v>
      </c>
      <c r="I337" t="s">
        <v>2155</v>
      </c>
    </row>
    <row r="338" spans="1:9">
      <c r="A338" s="263" t="s">
        <v>2156</v>
      </c>
      <c r="B338" s="259" t="s">
        <v>2157</v>
      </c>
      <c r="I338" t="s">
        <v>2158</v>
      </c>
    </row>
    <row r="339" spans="1:9">
      <c r="A339" s="259" t="s">
        <v>1214</v>
      </c>
      <c r="B339" s="262" t="s">
        <v>2159</v>
      </c>
      <c r="I339" t="s">
        <v>2160</v>
      </c>
    </row>
    <row r="340" spans="1:9">
      <c r="A340" s="262" t="s">
        <v>1221</v>
      </c>
      <c r="B340" s="262" t="s">
        <v>2161</v>
      </c>
      <c r="I340" t="s">
        <v>2162</v>
      </c>
    </row>
    <row r="341" spans="1:9">
      <c r="A341" s="263" t="s">
        <v>2163</v>
      </c>
      <c r="B341" s="262" t="s">
        <v>2164</v>
      </c>
      <c r="I341" t="s">
        <v>2165</v>
      </c>
    </row>
    <row r="342" spans="1:9">
      <c r="A342" s="263" t="s">
        <v>2166</v>
      </c>
      <c r="B342" s="262" t="s">
        <v>2167</v>
      </c>
      <c r="I342" t="s">
        <v>2168</v>
      </c>
    </row>
    <row r="343" spans="1:9">
      <c r="A343" s="262" t="s">
        <v>1228</v>
      </c>
      <c r="B343" s="262" t="s">
        <v>2169</v>
      </c>
      <c r="I343" t="s">
        <v>2170</v>
      </c>
    </row>
    <row r="344" spans="1:9">
      <c r="A344" s="263" t="s">
        <v>2171</v>
      </c>
      <c r="B344" s="262" t="s">
        <v>2172</v>
      </c>
      <c r="I344" t="s">
        <v>2173</v>
      </c>
    </row>
    <row r="345" spans="1:9">
      <c r="A345" s="262" t="s">
        <v>1235</v>
      </c>
      <c r="B345" s="260" t="s">
        <v>2174</v>
      </c>
      <c r="I345" t="s">
        <v>2175</v>
      </c>
    </row>
    <row r="346" spans="1:9">
      <c r="A346" s="263" t="s">
        <v>2176</v>
      </c>
      <c r="B346" s="259" t="s">
        <v>2177</v>
      </c>
      <c r="I346" t="s">
        <v>2178</v>
      </c>
    </row>
    <row r="347" spans="1:9">
      <c r="A347" s="263" t="s">
        <v>2179</v>
      </c>
      <c r="B347" s="262" t="s">
        <v>2180</v>
      </c>
      <c r="I347" t="s">
        <v>2181</v>
      </c>
    </row>
    <row r="348" spans="1:9">
      <c r="A348" s="263" t="s">
        <v>2182</v>
      </c>
      <c r="B348" s="262" t="s">
        <v>2183</v>
      </c>
      <c r="I348" t="s">
        <v>2184</v>
      </c>
    </row>
    <row r="349" spans="1:9">
      <c r="A349" s="262" t="s">
        <v>1242</v>
      </c>
      <c r="B349" s="262" t="s">
        <v>2185</v>
      </c>
      <c r="I349" t="s">
        <v>2186</v>
      </c>
    </row>
    <row r="350" spans="1:9">
      <c r="A350" s="263" t="s">
        <v>2187</v>
      </c>
      <c r="B350" s="259" t="s">
        <v>2188</v>
      </c>
      <c r="I350" t="s">
        <v>2189</v>
      </c>
    </row>
    <row r="351" spans="1:9">
      <c r="A351" s="262" t="s">
        <v>1249</v>
      </c>
      <c r="B351" s="262" t="s">
        <v>2190</v>
      </c>
      <c r="I351" t="s">
        <v>2191</v>
      </c>
    </row>
    <row r="352" spans="1:9">
      <c r="A352" s="263" t="s">
        <v>2192</v>
      </c>
      <c r="B352" s="262" t="s">
        <v>2193</v>
      </c>
      <c r="I352" t="s">
        <v>2194</v>
      </c>
    </row>
    <row r="353" spans="1:9">
      <c r="A353" s="263" t="s">
        <v>2195</v>
      </c>
      <c r="B353" s="262" t="s">
        <v>2196</v>
      </c>
      <c r="I353" t="s">
        <v>2197</v>
      </c>
    </row>
    <row r="354" spans="1:9">
      <c r="A354" s="262" t="s">
        <v>1256</v>
      </c>
      <c r="B354" s="262" t="s">
        <v>2198</v>
      </c>
      <c r="I354" t="s">
        <v>2199</v>
      </c>
    </row>
    <row r="355" spans="1:9">
      <c r="A355" s="263" t="s">
        <v>2200</v>
      </c>
      <c r="B355" s="259" t="s">
        <v>2201</v>
      </c>
      <c r="I355" t="s">
        <v>2202</v>
      </c>
    </row>
    <row r="356" spans="1:9">
      <c r="A356" s="259" t="s">
        <v>1262</v>
      </c>
      <c r="B356" s="262" t="s">
        <v>2203</v>
      </c>
      <c r="I356" t="s">
        <v>2204</v>
      </c>
    </row>
    <row r="357" spans="1:9">
      <c r="A357" s="262" t="s">
        <v>1269</v>
      </c>
      <c r="B357" s="262" t="s">
        <v>2205</v>
      </c>
      <c r="I357" t="s">
        <v>2206</v>
      </c>
    </row>
    <row r="358" spans="1:9">
      <c r="A358" s="263" t="s">
        <v>2207</v>
      </c>
      <c r="B358" s="260" t="s">
        <v>2208</v>
      </c>
      <c r="I358" t="s">
        <v>2209</v>
      </c>
    </row>
    <row r="359" spans="1:9">
      <c r="A359" s="263" t="s">
        <v>2210</v>
      </c>
      <c r="B359" s="259" t="s">
        <v>2211</v>
      </c>
      <c r="I359" t="s">
        <v>2212</v>
      </c>
    </row>
    <row r="360" spans="1:9">
      <c r="A360" s="263" t="s">
        <v>2213</v>
      </c>
      <c r="B360" s="262" t="s">
        <v>2214</v>
      </c>
      <c r="I360" t="s">
        <v>2215</v>
      </c>
    </row>
    <row r="361" spans="1:9">
      <c r="A361" s="263" t="s">
        <v>2216</v>
      </c>
      <c r="B361" s="262" t="s">
        <v>2217</v>
      </c>
      <c r="I361" t="s">
        <v>2218</v>
      </c>
    </row>
    <row r="362" spans="1:9">
      <c r="A362" s="263" t="s">
        <v>2219</v>
      </c>
      <c r="B362" s="262" t="s">
        <v>2220</v>
      </c>
      <c r="I362" t="s">
        <v>2221</v>
      </c>
    </row>
    <row r="363" spans="1:9">
      <c r="A363" s="262" t="s">
        <v>1276</v>
      </c>
      <c r="B363" s="259" t="s">
        <v>2222</v>
      </c>
      <c r="I363" t="s">
        <v>2223</v>
      </c>
    </row>
    <row r="364" spans="1:9">
      <c r="A364" s="263" t="s">
        <v>2224</v>
      </c>
      <c r="B364" s="262" t="s">
        <v>2225</v>
      </c>
      <c r="I364" t="s">
        <v>2226</v>
      </c>
    </row>
    <row r="365" spans="1:9">
      <c r="A365" s="263" t="s">
        <v>2227</v>
      </c>
      <c r="B365" s="262" t="s">
        <v>2228</v>
      </c>
      <c r="I365" t="s">
        <v>2229</v>
      </c>
    </row>
    <row r="366" spans="1:9">
      <c r="A366" s="263" t="s">
        <v>2230</v>
      </c>
      <c r="B366" s="262" t="s">
        <v>2231</v>
      </c>
      <c r="I366" t="s">
        <v>2232</v>
      </c>
    </row>
    <row r="367" spans="1:9">
      <c r="A367" s="263" t="s">
        <v>2233</v>
      </c>
      <c r="B367" s="262" t="s">
        <v>2234</v>
      </c>
      <c r="I367" t="s">
        <v>2235</v>
      </c>
    </row>
    <row r="368" spans="1:9">
      <c r="A368" s="263" t="s">
        <v>2236</v>
      </c>
      <c r="B368" s="259" t="s">
        <v>2237</v>
      </c>
      <c r="I368" t="s">
        <v>2238</v>
      </c>
    </row>
    <row r="369" spans="1:9">
      <c r="A369" s="263" t="s">
        <v>2239</v>
      </c>
      <c r="B369" s="262" t="s">
        <v>2240</v>
      </c>
      <c r="I369" t="s">
        <v>2241</v>
      </c>
    </row>
    <row r="370" spans="1:9">
      <c r="A370" s="262" t="s">
        <v>1282</v>
      </c>
      <c r="B370" s="259" t="s">
        <v>2242</v>
      </c>
      <c r="I370" t="s">
        <v>2243</v>
      </c>
    </row>
    <row r="371" spans="1:9">
      <c r="A371" s="263" t="s">
        <v>2244</v>
      </c>
      <c r="B371" s="262" t="s">
        <v>2245</v>
      </c>
      <c r="I371" t="s">
        <v>2246</v>
      </c>
    </row>
    <row r="372" spans="1:9">
      <c r="A372" s="262" t="s">
        <v>1288</v>
      </c>
      <c r="B372" s="262" t="s">
        <v>2247</v>
      </c>
      <c r="I372" t="s">
        <v>2248</v>
      </c>
    </row>
    <row r="373" spans="1:9">
      <c r="A373" s="263" t="s">
        <v>2249</v>
      </c>
      <c r="B373" s="260" t="s">
        <v>2250</v>
      </c>
      <c r="I373" t="s">
        <v>2251</v>
      </c>
    </row>
    <row r="374" spans="1:9">
      <c r="A374" s="263" t="s">
        <v>2252</v>
      </c>
      <c r="B374" s="259" t="s">
        <v>2253</v>
      </c>
      <c r="I374" t="s">
        <v>2254</v>
      </c>
    </row>
    <row r="375" spans="1:9">
      <c r="A375" s="262" t="s">
        <v>1295</v>
      </c>
      <c r="B375" s="262" t="s">
        <v>2255</v>
      </c>
      <c r="I375" t="s">
        <v>2256</v>
      </c>
    </row>
    <row r="376" spans="1:9">
      <c r="A376" s="263" t="s">
        <v>2257</v>
      </c>
      <c r="B376" s="262" t="s">
        <v>2258</v>
      </c>
      <c r="I376" t="s">
        <v>2259</v>
      </c>
    </row>
    <row r="377" spans="1:9">
      <c r="A377" s="263" t="s">
        <v>2260</v>
      </c>
      <c r="B377" s="262" t="s">
        <v>2261</v>
      </c>
      <c r="I377" t="s">
        <v>2262</v>
      </c>
    </row>
    <row r="378" spans="1:9">
      <c r="A378" s="263" t="s">
        <v>2263</v>
      </c>
      <c r="B378" s="259" t="s">
        <v>2264</v>
      </c>
      <c r="I378" t="s">
        <v>2265</v>
      </c>
    </row>
    <row r="379" spans="1:9">
      <c r="A379" s="263" t="s">
        <v>2266</v>
      </c>
      <c r="B379" s="262" t="s">
        <v>2267</v>
      </c>
      <c r="I379" t="s">
        <v>2268</v>
      </c>
    </row>
    <row r="380" spans="1:9">
      <c r="A380" s="263" t="s">
        <v>2269</v>
      </c>
      <c r="B380" s="262" t="s">
        <v>2270</v>
      </c>
      <c r="I380" t="s">
        <v>2271</v>
      </c>
    </row>
    <row r="381" spans="1:9">
      <c r="A381" s="263" t="s">
        <v>2272</v>
      </c>
      <c r="B381" s="262" t="s">
        <v>2273</v>
      </c>
      <c r="I381" t="s">
        <v>2274</v>
      </c>
    </row>
    <row r="382" spans="1:9">
      <c r="A382" s="263" t="s">
        <v>2275</v>
      </c>
      <c r="B382" s="262" t="s">
        <v>2276</v>
      </c>
      <c r="I382" t="s">
        <v>2277</v>
      </c>
    </row>
    <row r="383" spans="1:9">
      <c r="A383" s="263" t="s">
        <v>2278</v>
      </c>
      <c r="B383" s="259" t="s">
        <v>2279</v>
      </c>
      <c r="I383" t="s">
        <v>2280</v>
      </c>
    </row>
    <row r="384" spans="1:9">
      <c r="A384" s="259" t="s">
        <v>1302</v>
      </c>
      <c r="B384" s="262" t="s">
        <v>2281</v>
      </c>
      <c r="I384" t="s">
        <v>2282</v>
      </c>
    </row>
    <row r="385" spans="1:9">
      <c r="A385" s="262" t="s">
        <v>1309</v>
      </c>
      <c r="B385" s="262" t="s">
        <v>2283</v>
      </c>
      <c r="I385" t="s">
        <v>2284</v>
      </c>
    </row>
    <row r="386" spans="1:9">
      <c r="A386" s="263" t="s">
        <v>2285</v>
      </c>
      <c r="B386" s="262" t="s">
        <v>2286</v>
      </c>
      <c r="I386" t="s">
        <v>2287</v>
      </c>
    </row>
    <row r="387" spans="1:9">
      <c r="A387" s="262" t="s">
        <v>1316</v>
      </c>
      <c r="B387" s="262" t="s">
        <v>2288</v>
      </c>
      <c r="I387" t="s">
        <v>2289</v>
      </c>
    </row>
    <row r="388" spans="1:9">
      <c r="A388" s="263" t="s">
        <v>2290</v>
      </c>
      <c r="B388" s="262" t="s">
        <v>2291</v>
      </c>
      <c r="I388" t="s">
        <v>2292</v>
      </c>
    </row>
    <row r="389" spans="1:9">
      <c r="A389" s="262" t="s">
        <v>1323</v>
      </c>
      <c r="B389" s="260" t="s">
        <v>2293</v>
      </c>
      <c r="I389" t="s">
        <v>2294</v>
      </c>
    </row>
    <row r="390" spans="1:9">
      <c r="A390" s="263" t="s">
        <v>2295</v>
      </c>
      <c r="B390" s="259" t="s">
        <v>2296</v>
      </c>
      <c r="I390" t="s">
        <v>2297</v>
      </c>
    </row>
    <row r="391" spans="1:9">
      <c r="A391" s="263" t="s">
        <v>2298</v>
      </c>
      <c r="B391" s="262" t="s">
        <v>2299</v>
      </c>
      <c r="I391" t="s">
        <v>2300</v>
      </c>
    </row>
    <row r="392" spans="1:9">
      <c r="A392" s="259" t="s">
        <v>1330</v>
      </c>
      <c r="B392" s="259" t="s">
        <v>2301</v>
      </c>
      <c r="I392" t="s">
        <v>2302</v>
      </c>
    </row>
    <row r="393" spans="1:9">
      <c r="A393" s="262" t="s">
        <v>1336</v>
      </c>
      <c r="B393" s="262" t="s">
        <v>2303</v>
      </c>
      <c r="I393" t="s">
        <v>2304</v>
      </c>
    </row>
    <row r="394" spans="1:9">
      <c r="A394" s="263" t="s">
        <v>2305</v>
      </c>
      <c r="B394" s="262" t="s">
        <v>2306</v>
      </c>
      <c r="I394" t="s">
        <v>2307</v>
      </c>
    </row>
    <row r="395" spans="1:9">
      <c r="A395" s="263" t="s">
        <v>2308</v>
      </c>
      <c r="B395" s="260" t="s">
        <v>2309</v>
      </c>
      <c r="I395" t="s">
        <v>2310</v>
      </c>
    </row>
    <row r="396" spans="1:9">
      <c r="A396" s="263" t="s">
        <v>2311</v>
      </c>
      <c r="B396" s="259" t="s">
        <v>2312</v>
      </c>
      <c r="I396" t="s">
        <v>2313</v>
      </c>
    </row>
    <row r="397" spans="1:9">
      <c r="A397" s="262" t="s">
        <v>1341</v>
      </c>
      <c r="B397" s="262" t="s">
        <v>2314</v>
      </c>
      <c r="I397" t="s">
        <v>2315</v>
      </c>
    </row>
    <row r="398" spans="1:9">
      <c r="A398" s="263" t="s">
        <v>2316</v>
      </c>
      <c r="B398" s="260" t="s">
        <v>2317</v>
      </c>
      <c r="I398" t="s">
        <v>2318</v>
      </c>
    </row>
    <row r="399" spans="1:9">
      <c r="A399" s="262" t="s">
        <v>1346</v>
      </c>
      <c r="I399" t="s">
        <v>2319</v>
      </c>
    </row>
    <row r="400" spans="1:9">
      <c r="A400" s="263" t="s">
        <v>2320</v>
      </c>
      <c r="B400" s="263"/>
      <c r="I400" t="s">
        <v>2321</v>
      </c>
    </row>
    <row r="401" spans="1:9">
      <c r="A401" s="263" t="s">
        <v>2322</v>
      </c>
      <c r="B401" s="263"/>
      <c r="I401" t="s">
        <v>2323</v>
      </c>
    </row>
    <row r="402" spans="1:9">
      <c r="A402" s="262" t="s">
        <v>1352</v>
      </c>
      <c r="B402" s="263"/>
      <c r="I402" t="s">
        <v>2324</v>
      </c>
    </row>
    <row r="403" spans="1:9">
      <c r="A403" s="263" t="s">
        <v>2325</v>
      </c>
      <c r="B403" s="263"/>
      <c r="I403" t="s">
        <v>2326</v>
      </c>
    </row>
    <row r="404" spans="1:9">
      <c r="A404" s="262" t="s">
        <v>1357</v>
      </c>
      <c r="B404" s="263"/>
      <c r="I404" t="s">
        <v>2327</v>
      </c>
    </row>
    <row r="405" spans="1:9">
      <c r="A405" s="263" t="s">
        <v>2328</v>
      </c>
      <c r="B405" s="263"/>
      <c r="I405" t="s">
        <v>2329</v>
      </c>
    </row>
    <row r="406" spans="1:9">
      <c r="A406" s="263" t="s">
        <v>2330</v>
      </c>
      <c r="B406" s="263"/>
      <c r="I406" t="s">
        <v>2331</v>
      </c>
    </row>
    <row r="407" spans="1:9">
      <c r="A407" s="263" t="s">
        <v>2332</v>
      </c>
      <c r="B407" s="263"/>
      <c r="I407" t="s">
        <v>2333</v>
      </c>
    </row>
    <row r="408" spans="1:9">
      <c r="A408" s="259" t="s">
        <v>1362</v>
      </c>
      <c r="B408" s="263"/>
      <c r="I408" t="s">
        <v>2334</v>
      </c>
    </row>
    <row r="409" spans="1:9">
      <c r="A409" s="262" t="s">
        <v>1368</v>
      </c>
      <c r="B409" s="263"/>
      <c r="I409" t="s">
        <v>2335</v>
      </c>
    </row>
    <row r="410" spans="1:9">
      <c r="A410" s="263" t="s">
        <v>2336</v>
      </c>
      <c r="B410" s="263"/>
      <c r="I410" t="s">
        <v>2337</v>
      </c>
    </row>
    <row r="411" spans="1:9">
      <c r="A411" s="259" t="s">
        <v>1373</v>
      </c>
      <c r="B411" s="263"/>
      <c r="I411" t="s">
        <v>2338</v>
      </c>
    </row>
    <row r="412" spans="1:9">
      <c r="A412" s="262" t="s">
        <v>1379</v>
      </c>
      <c r="B412" s="263"/>
      <c r="I412" t="s">
        <v>2339</v>
      </c>
    </row>
    <row r="413" spans="1:9">
      <c r="A413" s="263" t="s">
        <v>2340</v>
      </c>
      <c r="B413" s="263"/>
      <c r="I413" t="s">
        <v>2341</v>
      </c>
    </row>
    <row r="414" spans="1:9">
      <c r="A414" s="263" t="s">
        <v>2342</v>
      </c>
      <c r="B414" s="263"/>
      <c r="I414" t="s">
        <v>2343</v>
      </c>
    </row>
    <row r="415" spans="1:9">
      <c r="A415" s="263" t="s">
        <v>2344</v>
      </c>
      <c r="B415" s="263"/>
      <c r="I415" t="s">
        <v>2345</v>
      </c>
    </row>
    <row r="416" spans="1:9">
      <c r="A416" s="262" t="s">
        <v>1384</v>
      </c>
      <c r="B416" s="263"/>
      <c r="I416" t="s">
        <v>2346</v>
      </c>
    </row>
    <row r="417" spans="1:9">
      <c r="A417" s="263" t="s">
        <v>2347</v>
      </c>
      <c r="B417" s="263"/>
      <c r="I417" t="s">
        <v>2348</v>
      </c>
    </row>
    <row r="418" spans="1:9">
      <c r="A418" s="262" t="s">
        <v>1390</v>
      </c>
      <c r="B418" s="263"/>
      <c r="I418" t="s">
        <v>2349</v>
      </c>
    </row>
    <row r="419" spans="1:9">
      <c r="A419" s="263" t="s">
        <v>2350</v>
      </c>
      <c r="B419" s="263"/>
      <c r="I419" t="s">
        <v>2351</v>
      </c>
    </row>
    <row r="420" spans="1:9">
      <c r="A420" s="262" t="s">
        <v>1395</v>
      </c>
      <c r="B420" s="263"/>
      <c r="I420" t="s">
        <v>2352</v>
      </c>
    </row>
    <row r="421" spans="1:9">
      <c r="A421" s="263" t="s">
        <v>2353</v>
      </c>
      <c r="B421" s="263"/>
      <c r="I421" t="s">
        <v>2354</v>
      </c>
    </row>
    <row r="422" spans="1:9">
      <c r="A422" s="262" t="s">
        <v>1401</v>
      </c>
      <c r="B422" s="263"/>
      <c r="I422" t="s">
        <v>2355</v>
      </c>
    </row>
    <row r="423" spans="1:9">
      <c r="A423" s="263" t="s">
        <v>2356</v>
      </c>
      <c r="B423" s="263"/>
      <c r="I423" t="s">
        <v>2357</v>
      </c>
    </row>
    <row r="424" spans="1:9">
      <c r="A424" s="262" t="s">
        <v>1407</v>
      </c>
      <c r="B424" s="263"/>
      <c r="I424" t="s">
        <v>2358</v>
      </c>
    </row>
    <row r="425" spans="1:9">
      <c r="A425" s="263" t="s">
        <v>2359</v>
      </c>
      <c r="B425" s="263"/>
      <c r="I425" t="s">
        <v>2360</v>
      </c>
    </row>
    <row r="426" spans="1:9">
      <c r="A426" s="263" t="s">
        <v>2361</v>
      </c>
      <c r="B426" s="263"/>
      <c r="I426" t="s">
        <v>2362</v>
      </c>
    </row>
    <row r="427" spans="1:9">
      <c r="A427" s="259" t="s">
        <v>1413</v>
      </c>
      <c r="B427" s="263"/>
      <c r="I427" t="s">
        <v>2363</v>
      </c>
    </row>
    <row r="428" spans="1:9">
      <c r="A428" s="262" t="s">
        <v>1419</v>
      </c>
      <c r="B428" s="263"/>
      <c r="I428" t="s">
        <v>2364</v>
      </c>
    </row>
    <row r="429" spans="1:9">
      <c r="A429" s="263" t="s">
        <v>2365</v>
      </c>
      <c r="B429" s="263"/>
      <c r="I429" t="s">
        <v>2366</v>
      </c>
    </row>
    <row r="430" spans="1:9">
      <c r="A430" s="263" t="s">
        <v>2367</v>
      </c>
      <c r="B430" s="263"/>
      <c r="I430" t="s">
        <v>2368</v>
      </c>
    </row>
    <row r="431" spans="1:9">
      <c r="A431" s="263" t="s">
        <v>2369</v>
      </c>
      <c r="B431" s="263"/>
      <c r="I431" t="s">
        <v>2370</v>
      </c>
    </row>
    <row r="432" spans="1:9">
      <c r="A432" s="263" t="s">
        <v>2371</v>
      </c>
      <c r="B432" s="263"/>
      <c r="I432" t="s">
        <v>2372</v>
      </c>
    </row>
    <row r="433" spans="1:9">
      <c r="A433" s="263" t="s">
        <v>2373</v>
      </c>
      <c r="B433" s="263"/>
      <c r="I433" t="s">
        <v>2374</v>
      </c>
    </row>
    <row r="434" spans="1:9">
      <c r="A434" s="263" t="s">
        <v>2375</v>
      </c>
      <c r="B434" s="263"/>
      <c r="I434" t="s">
        <v>2376</v>
      </c>
    </row>
    <row r="435" spans="1:9">
      <c r="A435" s="263" t="s">
        <v>2377</v>
      </c>
      <c r="B435" s="263"/>
      <c r="I435" t="s">
        <v>2378</v>
      </c>
    </row>
    <row r="436" spans="1:9">
      <c r="A436" s="263" t="s">
        <v>2379</v>
      </c>
      <c r="B436" s="263"/>
      <c r="I436" t="s">
        <v>2380</v>
      </c>
    </row>
    <row r="437" spans="1:9">
      <c r="A437" s="263" t="s">
        <v>2381</v>
      </c>
      <c r="B437" s="263"/>
      <c r="I437" t="s">
        <v>2382</v>
      </c>
    </row>
    <row r="438" spans="1:9">
      <c r="A438" s="262" t="s">
        <v>1425</v>
      </c>
      <c r="B438" s="263"/>
      <c r="I438" t="s">
        <v>2383</v>
      </c>
    </row>
    <row r="439" spans="1:9">
      <c r="A439" s="263" t="s">
        <v>2384</v>
      </c>
      <c r="B439" s="263"/>
      <c r="I439" t="s">
        <v>2385</v>
      </c>
    </row>
    <row r="440" spans="1:9">
      <c r="A440" s="260" t="s">
        <v>1463</v>
      </c>
      <c r="B440" s="263"/>
      <c r="I440" t="s">
        <v>2386</v>
      </c>
    </row>
    <row r="441" spans="1:9">
      <c r="A441" s="259" t="s">
        <v>1436</v>
      </c>
      <c r="B441" s="263"/>
      <c r="I441" t="s">
        <v>2387</v>
      </c>
    </row>
    <row r="442" spans="1:9">
      <c r="A442" s="262" t="s">
        <v>1441</v>
      </c>
      <c r="B442" s="263"/>
      <c r="I442" t="s">
        <v>2388</v>
      </c>
    </row>
    <row r="443" spans="1:9">
      <c r="A443" s="263" t="s">
        <v>2389</v>
      </c>
      <c r="B443" s="263"/>
      <c r="I443" t="s">
        <v>2390</v>
      </c>
    </row>
    <row r="444" spans="1:9">
      <c r="A444" s="263" t="s">
        <v>2391</v>
      </c>
      <c r="B444" s="263"/>
      <c r="I444" t="s">
        <v>2392</v>
      </c>
    </row>
    <row r="445" spans="1:9">
      <c r="A445" s="263" t="s">
        <v>2393</v>
      </c>
      <c r="B445" s="263"/>
      <c r="I445" t="s">
        <v>2394</v>
      </c>
    </row>
    <row r="446" spans="1:9">
      <c r="A446" s="263" t="s">
        <v>2395</v>
      </c>
      <c r="B446" s="263"/>
      <c r="I446" t="s">
        <v>2396</v>
      </c>
    </row>
    <row r="447" spans="1:9">
      <c r="A447" s="263" t="s">
        <v>2397</v>
      </c>
      <c r="B447" s="263"/>
      <c r="I447" t="s">
        <v>2398</v>
      </c>
    </row>
    <row r="448" spans="1:9">
      <c r="A448" s="263" t="s">
        <v>2399</v>
      </c>
      <c r="B448" s="263"/>
      <c r="I448" t="s">
        <v>2400</v>
      </c>
    </row>
    <row r="449" spans="1:9">
      <c r="A449" s="262" t="s">
        <v>1446</v>
      </c>
      <c r="B449" s="263"/>
      <c r="I449" t="s">
        <v>2401</v>
      </c>
    </row>
    <row r="450" spans="1:9">
      <c r="A450" s="263" t="s">
        <v>2402</v>
      </c>
      <c r="B450" s="263"/>
      <c r="I450" t="s">
        <v>2403</v>
      </c>
    </row>
    <row r="451" spans="1:9">
      <c r="A451" s="263" t="s">
        <v>2404</v>
      </c>
      <c r="B451" s="263"/>
      <c r="I451" t="s">
        <v>2405</v>
      </c>
    </row>
    <row r="452" spans="1:9">
      <c r="A452" s="263" t="s">
        <v>2406</v>
      </c>
      <c r="B452" s="263"/>
      <c r="I452" t="s">
        <v>2407</v>
      </c>
    </row>
    <row r="453" spans="1:9">
      <c r="A453" s="263" t="s">
        <v>2408</v>
      </c>
      <c r="B453" s="263"/>
      <c r="I453" t="s">
        <v>2409</v>
      </c>
    </row>
    <row r="454" spans="1:9">
      <c r="A454" s="262" t="s">
        <v>1452</v>
      </c>
      <c r="B454" s="263"/>
      <c r="I454" t="s">
        <v>2410</v>
      </c>
    </row>
    <row r="455" spans="1:9">
      <c r="A455" s="263" t="s">
        <v>2411</v>
      </c>
      <c r="B455" s="263"/>
      <c r="I455" t="s">
        <v>2412</v>
      </c>
    </row>
    <row r="456" spans="1:9">
      <c r="A456" s="262" t="s">
        <v>1457</v>
      </c>
      <c r="B456" s="263"/>
      <c r="I456" t="s">
        <v>2413</v>
      </c>
    </row>
    <row r="457" spans="1:9">
      <c r="A457" s="263" t="s">
        <v>2414</v>
      </c>
      <c r="B457" s="263"/>
      <c r="I457" t="s">
        <v>2415</v>
      </c>
    </row>
    <row r="458" spans="1:9">
      <c r="A458" s="260" t="s">
        <v>1525</v>
      </c>
      <c r="B458" s="263"/>
      <c r="I458" t="s">
        <v>2416</v>
      </c>
    </row>
    <row r="459" spans="1:9">
      <c r="A459" s="259" t="s">
        <v>1469</v>
      </c>
      <c r="B459" s="263"/>
      <c r="I459" t="s">
        <v>2417</v>
      </c>
    </row>
    <row r="460" spans="1:9">
      <c r="A460" s="262" t="s">
        <v>1475</v>
      </c>
      <c r="B460" s="263"/>
      <c r="I460" t="s">
        <v>2418</v>
      </c>
    </row>
    <row r="461" spans="1:9">
      <c r="A461" s="263" t="s">
        <v>2419</v>
      </c>
      <c r="B461" s="263"/>
      <c r="I461" t="s">
        <v>2420</v>
      </c>
    </row>
    <row r="462" spans="1:9">
      <c r="A462" s="259" t="s">
        <v>1481</v>
      </c>
      <c r="B462" s="263"/>
      <c r="I462" t="s">
        <v>2421</v>
      </c>
    </row>
    <row r="463" spans="1:9">
      <c r="A463" s="262" t="s">
        <v>1487</v>
      </c>
      <c r="B463" s="263"/>
      <c r="I463" t="s">
        <v>2422</v>
      </c>
    </row>
    <row r="464" spans="1:9">
      <c r="A464" s="263" t="s">
        <v>2423</v>
      </c>
      <c r="B464" s="263"/>
      <c r="I464" t="s">
        <v>2424</v>
      </c>
    </row>
    <row r="465" spans="1:9">
      <c r="A465" s="259" t="s">
        <v>1492</v>
      </c>
      <c r="B465" s="263"/>
      <c r="I465" t="s">
        <v>2425</v>
      </c>
    </row>
    <row r="466" spans="1:9">
      <c r="A466" s="262" t="s">
        <v>1497</v>
      </c>
      <c r="B466" s="263"/>
      <c r="I466" t="s">
        <v>2426</v>
      </c>
    </row>
    <row r="467" spans="1:9">
      <c r="A467" s="263" t="s">
        <v>2427</v>
      </c>
      <c r="B467" s="263"/>
      <c r="I467" t="s">
        <v>2428</v>
      </c>
    </row>
    <row r="468" spans="1:9">
      <c r="A468" s="263" t="s">
        <v>2429</v>
      </c>
      <c r="B468" s="263"/>
      <c r="I468" t="s">
        <v>2430</v>
      </c>
    </row>
    <row r="469" spans="1:9">
      <c r="A469" s="262" t="s">
        <v>1503</v>
      </c>
      <c r="B469" s="263"/>
      <c r="I469" t="s">
        <v>2431</v>
      </c>
    </row>
    <row r="470" spans="1:9">
      <c r="A470" s="263" t="s">
        <v>2432</v>
      </c>
      <c r="B470" s="263"/>
      <c r="I470" t="s">
        <v>2433</v>
      </c>
    </row>
    <row r="471" spans="1:9">
      <c r="A471" s="263" t="s">
        <v>2434</v>
      </c>
      <c r="B471" s="263"/>
      <c r="I471" t="s">
        <v>2435</v>
      </c>
    </row>
    <row r="472" spans="1:9">
      <c r="A472" s="263" t="s">
        <v>2436</v>
      </c>
      <c r="B472" s="263"/>
      <c r="I472" t="s">
        <v>2437</v>
      </c>
    </row>
    <row r="473" spans="1:9">
      <c r="A473" s="262" t="s">
        <v>1509</v>
      </c>
      <c r="B473" s="263"/>
      <c r="I473" t="s">
        <v>2438</v>
      </c>
    </row>
    <row r="474" spans="1:9">
      <c r="A474" s="263" t="s">
        <v>2439</v>
      </c>
      <c r="B474" s="263"/>
      <c r="I474" t="s">
        <v>2440</v>
      </c>
    </row>
    <row r="475" spans="1:9">
      <c r="A475" s="263" t="s">
        <v>2441</v>
      </c>
      <c r="B475" s="263"/>
      <c r="I475" t="s">
        <v>2442</v>
      </c>
    </row>
    <row r="476" spans="1:9">
      <c r="A476" s="263" t="s">
        <v>2443</v>
      </c>
      <c r="B476" s="263"/>
      <c r="I476" t="s">
        <v>2444</v>
      </c>
    </row>
    <row r="477" spans="1:9">
      <c r="A477" s="259" t="s">
        <v>1514</v>
      </c>
      <c r="B477" s="263"/>
      <c r="I477" t="s">
        <v>2445</v>
      </c>
    </row>
    <row r="478" spans="1:9">
      <c r="A478" s="262" t="s">
        <v>1520</v>
      </c>
      <c r="B478" s="263"/>
      <c r="I478" t="s">
        <v>2446</v>
      </c>
    </row>
    <row r="479" spans="1:9">
      <c r="A479" s="263" t="s">
        <v>2447</v>
      </c>
      <c r="B479" s="263"/>
      <c r="I479" t="s">
        <v>2448</v>
      </c>
    </row>
    <row r="480" spans="1:9">
      <c r="A480" s="260" t="s">
        <v>1598</v>
      </c>
      <c r="B480" s="263"/>
      <c r="I480" t="s">
        <v>2449</v>
      </c>
    </row>
    <row r="481" spans="1:9">
      <c r="A481" s="259" t="s">
        <v>1530</v>
      </c>
      <c r="B481" s="263"/>
      <c r="I481" t="s">
        <v>2450</v>
      </c>
    </row>
    <row r="482" spans="1:9">
      <c r="A482" s="262" t="s">
        <v>1536</v>
      </c>
      <c r="B482" s="263"/>
      <c r="I482" t="s">
        <v>2451</v>
      </c>
    </row>
    <row r="483" spans="1:9">
      <c r="A483" s="263" t="s">
        <v>2452</v>
      </c>
      <c r="B483" s="263"/>
      <c r="I483" t="s">
        <v>2453</v>
      </c>
    </row>
    <row r="484" spans="1:9">
      <c r="A484" s="259" t="s">
        <v>1541</v>
      </c>
      <c r="B484" s="263"/>
      <c r="I484" t="s">
        <v>2454</v>
      </c>
    </row>
    <row r="485" spans="1:9">
      <c r="A485" s="262" t="s">
        <v>1545</v>
      </c>
      <c r="B485" s="263"/>
      <c r="I485" t="s">
        <v>2455</v>
      </c>
    </row>
    <row r="486" spans="1:9">
      <c r="A486" s="263" t="s">
        <v>2456</v>
      </c>
      <c r="B486" s="263"/>
      <c r="I486" t="s">
        <v>2457</v>
      </c>
    </row>
    <row r="487" spans="1:9">
      <c r="A487" s="263" t="s">
        <v>2458</v>
      </c>
      <c r="B487" s="263"/>
      <c r="I487" t="s">
        <v>2459</v>
      </c>
    </row>
    <row r="488" spans="1:9">
      <c r="A488" s="263" t="s">
        <v>2460</v>
      </c>
      <c r="B488" s="263"/>
      <c r="I488" t="s">
        <v>2461</v>
      </c>
    </row>
    <row r="489" spans="1:9">
      <c r="A489" s="262" t="s">
        <v>1550</v>
      </c>
      <c r="B489" s="263"/>
      <c r="I489" t="s">
        <v>2462</v>
      </c>
    </row>
    <row r="490" spans="1:9">
      <c r="A490" s="263" t="s">
        <v>2463</v>
      </c>
      <c r="B490" s="263"/>
      <c r="I490" t="s">
        <v>2464</v>
      </c>
    </row>
    <row r="491" spans="1:9">
      <c r="A491" s="263" t="s">
        <v>2465</v>
      </c>
      <c r="B491" s="263"/>
      <c r="I491" t="s">
        <v>2466</v>
      </c>
    </row>
    <row r="492" spans="1:9">
      <c r="A492" s="262" t="s">
        <v>1555</v>
      </c>
      <c r="B492" s="263"/>
      <c r="I492" t="s">
        <v>2467</v>
      </c>
    </row>
    <row r="493" spans="1:9">
      <c r="A493" s="263" t="s">
        <v>2468</v>
      </c>
      <c r="B493" s="263"/>
      <c r="I493" t="s">
        <v>2469</v>
      </c>
    </row>
    <row r="494" spans="1:9">
      <c r="A494" s="263" t="s">
        <v>2470</v>
      </c>
      <c r="B494" s="263"/>
      <c r="I494" t="s">
        <v>2471</v>
      </c>
    </row>
    <row r="495" spans="1:9">
      <c r="A495" s="259" t="s">
        <v>1560</v>
      </c>
      <c r="B495" s="263"/>
      <c r="I495" t="s">
        <v>2472</v>
      </c>
    </row>
    <row r="496" spans="1:9">
      <c r="A496" s="262" t="s">
        <v>1565</v>
      </c>
      <c r="B496" s="263"/>
      <c r="I496" t="s">
        <v>2473</v>
      </c>
    </row>
    <row r="497" spans="1:9">
      <c r="A497" s="263" t="s">
        <v>2474</v>
      </c>
      <c r="B497" s="263"/>
      <c r="I497" t="s">
        <v>2475</v>
      </c>
    </row>
    <row r="498" spans="1:9">
      <c r="A498" s="263" t="s">
        <v>2476</v>
      </c>
      <c r="B498" s="263"/>
      <c r="I498" t="s">
        <v>2477</v>
      </c>
    </row>
    <row r="499" spans="1:9">
      <c r="A499" s="263" t="s">
        <v>2478</v>
      </c>
      <c r="B499" s="263"/>
      <c r="I499" t="s">
        <v>2479</v>
      </c>
    </row>
    <row r="500" spans="1:9">
      <c r="A500" s="262" t="s">
        <v>1570</v>
      </c>
      <c r="B500" s="263"/>
      <c r="I500" t="s">
        <v>2480</v>
      </c>
    </row>
    <row r="501" spans="1:9">
      <c r="A501" s="263" t="s">
        <v>2481</v>
      </c>
      <c r="B501" s="263"/>
      <c r="I501" t="s">
        <v>2482</v>
      </c>
    </row>
    <row r="502" spans="1:9">
      <c r="A502" s="263" t="s">
        <v>2483</v>
      </c>
      <c r="B502" s="263"/>
      <c r="I502" t="s">
        <v>2484</v>
      </c>
    </row>
    <row r="503" spans="1:9">
      <c r="A503" s="263" t="s">
        <v>2485</v>
      </c>
      <c r="B503" s="263"/>
      <c r="I503" t="s">
        <v>2486</v>
      </c>
    </row>
    <row r="504" spans="1:9">
      <c r="A504" s="263" t="s">
        <v>2487</v>
      </c>
      <c r="B504" s="263"/>
      <c r="I504" t="s">
        <v>2488</v>
      </c>
    </row>
    <row r="505" spans="1:9">
      <c r="A505" s="262" t="s">
        <v>1575</v>
      </c>
      <c r="B505" s="263"/>
      <c r="I505" t="s">
        <v>2489</v>
      </c>
    </row>
    <row r="506" spans="1:9">
      <c r="A506" s="263" t="s">
        <v>2490</v>
      </c>
      <c r="B506" s="263"/>
      <c r="I506" t="s">
        <v>2491</v>
      </c>
    </row>
    <row r="507" spans="1:9">
      <c r="A507" s="263" t="s">
        <v>2492</v>
      </c>
      <c r="B507" s="263"/>
      <c r="I507" t="s">
        <v>2493</v>
      </c>
    </row>
    <row r="508" spans="1:9">
      <c r="A508" s="263" t="s">
        <v>2494</v>
      </c>
      <c r="B508" s="263"/>
      <c r="I508" t="s">
        <v>2495</v>
      </c>
    </row>
    <row r="509" spans="1:9">
      <c r="A509" s="263" t="s">
        <v>2496</v>
      </c>
      <c r="B509" s="263"/>
      <c r="I509" t="s">
        <v>2497</v>
      </c>
    </row>
    <row r="510" spans="1:9">
      <c r="A510" s="263" t="s">
        <v>2498</v>
      </c>
      <c r="B510" s="263"/>
      <c r="I510" t="s">
        <v>2499</v>
      </c>
    </row>
    <row r="511" spans="1:9">
      <c r="A511" s="262" t="s">
        <v>1580</v>
      </c>
      <c r="B511" s="263"/>
      <c r="I511" t="s">
        <v>2500</v>
      </c>
    </row>
    <row r="512" spans="1:9">
      <c r="A512" s="263" t="s">
        <v>2501</v>
      </c>
      <c r="B512" s="263"/>
      <c r="I512" t="s">
        <v>2502</v>
      </c>
    </row>
    <row r="513" spans="1:9">
      <c r="A513" s="263" t="s">
        <v>2503</v>
      </c>
      <c r="B513" s="263"/>
      <c r="I513" t="s">
        <v>2504</v>
      </c>
    </row>
    <row r="514" spans="1:9">
      <c r="A514" s="262" t="s">
        <v>1585</v>
      </c>
      <c r="B514" s="263"/>
      <c r="I514" t="s">
        <v>2505</v>
      </c>
    </row>
    <row r="515" spans="1:9">
      <c r="A515" s="263" t="s">
        <v>2506</v>
      </c>
      <c r="B515" s="263"/>
      <c r="I515" t="s">
        <v>2507</v>
      </c>
    </row>
    <row r="516" spans="1:9">
      <c r="A516" s="262" t="s">
        <v>1589</v>
      </c>
      <c r="B516" s="263"/>
      <c r="I516" t="s">
        <v>2508</v>
      </c>
    </row>
    <row r="517" spans="1:9">
      <c r="A517" s="263" t="s">
        <v>2509</v>
      </c>
      <c r="B517" s="263"/>
      <c r="I517" t="s">
        <v>2510</v>
      </c>
    </row>
    <row r="518" spans="1:9">
      <c r="A518" s="262" t="s">
        <v>1593</v>
      </c>
      <c r="B518" s="263"/>
      <c r="I518" t="s">
        <v>2511</v>
      </c>
    </row>
    <row r="519" spans="1:9">
      <c r="A519" s="263" t="s">
        <v>2512</v>
      </c>
      <c r="B519" s="263"/>
      <c r="I519" t="s">
        <v>2513</v>
      </c>
    </row>
    <row r="520" spans="1:9">
      <c r="A520" s="263" t="s">
        <v>2514</v>
      </c>
      <c r="B520" s="263"/>
      <c r="I520" t="s">
        <v>2515</v>
      </c>
    </row>
    <row r="521" spans="1:9">
      <c r="A521" s="260" t="s">
        <v>1695</v>
      </c>
      <c r="B521" s="263"/>
      <c r="I521" t="s">
        <v>2516</v>
      </c>
    </row>
    <row r="522" spans="1:9">
      <c r="A522" s="259" t="s">
        <v>1603</v>
      </c>
      <c r="B522" s="263"/>
      <c r="I522" t="s">
        <v>2517</v>
      </c>
    </row>
    <row r="523" spans="1:9">
      <c r="A523" s="262" t="s">
        <v>1607</v>
      </c>
      <c r="B523" s="263"/>
      <c r="I523" t="s">
        <v>2518</v>
      </c>
    </row>
    <row r="524" spans="1:9">
      <c r="A524" s="263" t="s">
        <v>2519</v>
      </c>
      <c r="B524" s="263"/>
      <c r="I524" t="s">
        <v>2520</v>
      </c>
    </row>
    <row r="525" spans="1:9">
      <c r="A525" s="263" t="s">
        <v>2521</v>
      </c>
      <c r="B525" s="263"/>
      <c r="I525" t="s">
        <v>2522</v>
      </c>
    </row>
    <row r="526" spans="1:9">
      <c r="A526" s="263" t="s">
        <v>2523</v>
      </c>
      <c r="B526" s="263"/>
      <c r="I526" t="s">
        <v>2524</v>
      </c>
    </row>
    <row r="527" spans="1:9">
      <c r="A527" s="263" t="s">
        <v>2525</v>
      </c>
      <c r="B527" s="263"/>
      <c r="I527" t="s">
        <v>2526</v>
      </c>
    </row>
    <row r="528" spans="1:9">
      <c r="A528" s="263" t="s">
        <v>2527</v>
      </c>
      <c r="B528" s="263"/>
      <c r="I528" t="s">
        <v>2528</v>
      </c>
    </row>
    <row r="529" spans="1:9">
      <c r="A529" s="263" t="s">
        <v>2529</v>
      </c>
      <c r="B529" s="263"/>
      <c r="I529" t="s">
        <v>2530</v>
      </c>
    </row>
    <row r="530" spans="1:9">
      <c r="A530" s="263" t="s">
        <v>2531</v>
      </c>
      <c r="B530" s="263"/>
      <c r="I530" t="s">
        <v>2532</v>
      </c>
    </row>
    <row r="531" spans="1:9">
      <c r="A531" s="263" t="s">
        <v>2533</v>
      </c>
      <c r="B531" s="263"/>
      <c r="I531" t="s">
        <v>2534</v>
      </c>
    </row>
    <row r="532" spans="1:9">
      <c r="A532" s="263" t="s">
        <v>2535</v>
      </c>
      <c r="B532" s="263"/>
      <c r="I532" t="s">
        <v>2536</v>
      </c>
    </row>
    <row r="533" spans="1:9">
      <c r="A533" s="262" t="s">
        <v>1612</v>
      </c>
      <c r="B533" s="263"/>
      <c r="I533" t="s">
        <v>2537</v>
      </c>
    </row>
    <row r="534" spans="1:9">
      <c r="A534" s="263" t="s">
        <v>2538</v>
      </c>
      <c r="B534" s="263"/>
      <c r="I534" t="s">
        <v>2539</v>
      </c>
    </row>
    <row r="535" spans="1:9">
      <c r="A535" s="263" t="s">
        <v>2540</v>
      </c>
      <c r="B535" s="263"/>
      <c r="I535" t="s">
        <v>2541</v>
      </c>
    </row>
    <row r="536" spans="1:9">
      <c r="A536" s="263" t="s">
        <v>2542</v>
      </c>
      <c r="B536" s="263"/>
      <c r="I536" t="s">
        <v>2543</v>
      </c>
    </row>
    <row r="537" spans="1:9">
      <c r="A537" s="263" t="s">
        <v>2544</v>
      </c>
      <c r="B537" s="263"/>
      <c r="I537" t="s">
        <v>2545</v>
      </c>
    </row>
    <row r="538" spans="1:9">
      <c r="A538" s="262" t="s">
        <v>1617</v>
      </c>
      <c r="B538" s="263"/>
      <c r="I538" t="s">
        <v>2546</v>
      </c>
    </row>
    <row r="539" spans="1:9">
      <c r="A539" s="263" t="s">
        <v>2547</v>
      </c>
      <c r="B539" s="263"/>
      <c r="I539" t="s">
        <v>2548</v>
      </c>
    </row>
    <row r="540" spans="1:9">
      <c r="A540" s="263" t="s">
        <v>2549</v>
      </c>
      <c r="B540" s="263"/>
      <c r="I540" t="s">
        <v>2550</v>
      </c>
    </row>
    <row r="541" spans="1:9">
      <c r="A541" s="263" t="s">
        <v>2551</v>
      </c>
      <c r="B541" s="263"/>
      <c r="I541" t="s">
        <v>2552</v>
      </c>
    </row>
    <row r="542" spans="1:9">
      <c r="A542" s="263" t="s">
        <v>2553</v>
      </c>
      <c r="B542" s="263"/>
      <c r="I542" t="s">
        <v>2554</v>
      </c>
    </row>
    <row r="543" spans="1:9">
      <c r="A543" s="263" t="s">
        <v>2555</v>
      </c>
      <c r="B543" s="263"/>
      <c r="I543" t="s">
        <v>2556</v>
      </c>
    </row>
    <row r="544" spans="1:9">
      <c r="A544" s="263" t="s">
        <v>2557</v>
      </c>
      <c r="B544" s="263"/>
      <c r="I544" t="s">
        <v>2558</v>
      </c>
    </row>
    <row r="545" spans="1:9">
      <c r="A545" s="263" t="s">
        <v>2559</v>
      </c>
      <c r="B545" s="263"/>
      <c r="I545" t="s">
        <v>2560</v>
      </c>
    </row>
    <row r="546" spans="1:9">
      <c r="A546" s="263" t="s">
        <v>2561</v>
      </c>
      <c r="B546" s="263"/>
      <c r="I546" t="s">
        <v>2562</v>
      </c>
    </row>
    <row r="547" spans="1:9">
      <c r="A547" s="263" t="s">
        <v>2563</v>
      </c>
      <c r="B547" s="263"/>
      <c r="I547" t="s">
        <v>2564</v>
      </c>
    </row>
    <row r="548" spans="1:9">
      <c r="A548" s="262" t="s">
        <v>1622</v>
      </c>
      <c r="B548" s="263"/>
      <c r="I548" t="s">
        <v>2565</v>
      </c>
    </row>
    <row r="549" spans="1:9">
      <c r="A549" s="263" t="s">
        <v>2566</v>
      </c>
      <c r="B549" s="263"/>
      <c r="I549" t="s">
        <v>2567</v>
      </c>
    </row>
    <row r="550" spans="1:9">
      <c r="A550" s="263" t="s">
        <v>2568</v>
      </c>
      <c r="B550" s="263"/>
      <c r="I550" t="s">
        <v>2569</v>
      </c>
    </row>
    <row r="551" spans="1:9">
      <c r="A551" s="263" t="s">
        <v>2570</v>
      </c>
      <c r="B551" s="263"/>
      <c r="I551" t="s">
        <v>2571</v>
      </c>
    </row>
    <row r="552" spans="1:9">
      <c r="A552" s="263" t="s">
        <v>2572</v>
      </c>
      <c r="B552" s="263"/>
      <c r="I552" t="s">
        <v>2573</v>
      </c>
    </row>
    <row r="553" spans="1:9">
      <c r="A553" s="263" t="s">
        <v>2574</v>
      </c>
      <c r="B553" s="263"/>
      <c r="I553" t="s">
        <v>2575</v>
      </c>
    </row>
    <row r="554" spans="1:9">
      <c r="A554" s="263" t="s">
        <v>2576</v>
      </c>
      <c r="B554" s="263"/>
      <c r="I554" t="s">
        <v>2577</v>
      </c>
    </row>
    <row r="555" spans="1:9">
      <c r="A555" s="263" t="s">
        <v>2578</v>
      </c>
      <c r="B555" s="263"/>
      <c r="I555" t="s">
        <v>2579</v>
      </c>
    </row>
    <row r="556" spans="1:9">
      <c r="A556" s="263" t="s">
        <v>2580</v>
      </c>
      <c r="B556" s="263"/>
      <c r="I556" t="s">
        <v>2581</v>
      </c>
    </row>
    <row r="557" spans="1:9">
      <c r="A557" s="263" t="s">
        <v>2582</v>
      </c>
      <c r="B557" s="263"/>
      <c r="I557" t="s">
        <v>2583</v>
      </c>
    </row>
    <row r="558" spans="1:9">
      <c r="A558" s="262" t="s">
        <v>1627</v>
      </c>
      <c r="B558" s="263"/>
      <c r="I558" t="s">
        <v>2584</v>
      </c>
    </row>
    <row r="559" spans="1:9">
      <c r="A559" s="263" t="s">
        <v>2585</v>
      </c>
      <c r="B559" s="263"/>
      <c r="I559" t="s">
        <v>2586</v>
      </c>
    </row>
    <row r="560" spans="1:9">
      <c r="A560" s="262" t="s">
        <v>1632</v>
      </c>
      <c r="B560" s="263"/>
      <c r="I560" t="s">
        <v>2587</v>
      </c>
    </row>
    <row r="561" spans="1:9">
      <c r="A561" s="263" t="s">
        <v>2588</v>
      </c>
      <c r="B561" s="263"/>
      <c r="I561" t="s">
        <v>2589</v>
      </c>
    </row>
    <row r="562" spans="1:9">
      <c r="A562" s="263" t="s">
        <v>2590</v>
      </c>
      <c r="B562" s="263"/>
      <c r="I562" t="s">
        <v>2591</v>
      </c>
    </row>
    <row r="563" spans="1:9">
      <c r="A563" s="263" t="s">
        <v>2592</v>
      </c>
      <c r="B563" s="263"/>
      <c r="I563" t="s">
        <v>2593</v>
      </c>
    </row>
    <row r="564" spans="1:9">
      <c r="A564" s="263" t="s">
        <v>2594</v>
      </c>
      <c r="B564" s="263"/>
      <c r="I564" t="s">
        <v>2595</v>
      </c>
    </row>
    <row r="565" spans="1:9">
      <c r="A565" s="262" t="s">
        <v>1636</v>
      </c>
      <c r="B565" s="263"/>
      <c r="I565" t="s">
        <v>2596</v>
      </c>
    </row>
    <row r="566" spans="1:9">
      <c r="A566" s="263" t="s">
        <v>2597</v>
      </c>
      <c r="B566" s="263"/>
      <c r="I566" t="s">
        <v>2598</v>
      </c>
    </row>
    <row r="567" spans="1:9">
      <c r="A567" s="263" t="s">
        <v>2599</v>
      </c>
      <c r="B567" s="263"/>
      <c r="I567" t="s">
        <v>2600</v>
      </c>
    </row>
    <row r="568" spans="1:9">
      <c r="A568" s="263" t="s">
        <v>2601</v>
      </c>
      <c r="B568" s="263"/>
      <c r="I568" t="s">
        <v>2602</v>
      </c>
    </row>
    <row r="569" spans="1:9">
      <c r="A569" s="262" t="s">
        <v>1640</v>
      </c>
      <c r="B569" s="263"/>
      <c r="I569" t="s">
        <v>2603</v>
      </c>
    </row>
    <row r="570" spans="1:9">
      <c r="A570" s="263" t="s">
        <v>2604</v>
      </c>
      <c r="B570" s="263"/>
      <c r="I570" t="s">
        <v>2605</v>
      </c>
    </row>
    <row r="571" spans="1:9">
      <c r="A571" s="263" t="s">
        <v>2606</v>
      </c>
      <c r="B571" s="263"/>
      <c r="I571" t="s">
        <v>2607</v>
      </c>
    </row>
    <row r="572" spans="1:9">
      <c r="A572" s="263" t="s">
        <v>2608</v>
      </c>
      <c r="B572" s="263"/>
      <c r="I572" t="s">
        <v>2609</v>
      </c>
    </row>
    <row r="573" spans="1:9">
      <c r="A573" s="263" t="s">
        <v>2610</v>
      </c>
      <c r="B573" s="263"/>
      <c r="I573" t="s">
        <v>2611</v>
      </c>
    </row>
    <row r="574" spans="1:9">
      <c r="A574" s="263" t="s">
        <v>2612</v>
      </c>
      <c r="B574" s="263"/>
      <c r="I574" t="s">
        <v>2613</v>
      </c>
    </row>
    <row r="575" spans="1:9">
      <c r="A575" s="263" t="s">
        <v>2614</v>
      </c>
      <c r="B575" s="263"/>
      <c r="I575" t="s">
        <v>2615</v>
      </c>
    </row>
    <row r="576" spans="1:9">
      <c r="A576" s="263" t="s">
        <v>2616</v>
      </c>
      <c r="B576" s="263"/>
      <c r="I576" t="s">
        <v>2617</v>
      </c>
    </row>
    <row r="577" spans="1:9">
      <c r="A577" s="263" t="s">
        <v>2618</v>
      </c>
      <c r="B577" s="263"/>
      <c r="I577" t="s">
        <v>2619</v>
      </c>
    </row>
    <row r="578" spans="1:9">
      <c r="A578" s="262" t="s">
        <v>1645</v>
      </c>
      <c r="B578" s="263"/>
      <c r="I578" t="s">
        <v>2620</v>
      </c>
    </row>
    <row r="579" spans="1:9">
      <c r="A579" s="263" t="s">
        <v>2621</v>
      </c>
      <c r="B579" s="263"/>
      <c r="I579" t="s">
        <v>2622</v>
      </c>
    </row>
    <row r="580" spans="1:9">
      <c r="A580" s="259" t="s">
        <v>1650</v>
      </c>
      <c r="B580" s="263"/>
      <c r="I580" t="s">
        <v>2623</v>
      </c>
    </row>
    <row r="581" spans="1:9">
      <c r="A581" s="262" t="s">
        <v>1655</v>
      </c>
      <c r="B581" s="263"/>
      <c r="I581" t="s">
        <v>2624</v>
      </c>
    </row>
    <row r="582" spans="1:9">
      <c r="A582" s="263" t="s">
        <v>2625</v>
      </c>
      <c r="B582" s="263"/>
      <c r="I582" t="s">
        <v>2626</v>
      </c>
    </row>
    <row r="583" spans="1:9">
      <c r="A583" s="263" t="s">
        <v>2627</v>
      </c>
      <c r="B583" s="263"/>
      <c r="I583" t="s">
        <v>2628</v>
      </c>
    </row>
    <row r="584" spans="1:9">
      <c r="A584" s="262" t="s">
        <v>1660</v>
      </c>
      <c r="B584" s="263"/>
      <c r="I584" t="s">
        <v>2629</v>
      </c>
    </row>
    <row r="585" spans="1:9">
      <c r="A585" s="263" t="s">
        <v>2630</v>
      </c>
      <c r="B585" s="263"/>
      <c r="I585" t="s">
        <v>2631</v>
      </c>
    </row>
    <row r="586" spans="1:9">
      <c r="A586" s="263" t="s">
        <v>2632</v>
      </c>
      <c r="B586" s="263"/>
      <c r="I586" t="s">
        <v>2633</v>
      </c>
    </row>
    <row r="587" spans="1:9">
      <c r="A587" s="263" t="s">
        <v>2634</v>
      </c>
      <c r="B587" s="263"/>
      <c r="I587" t="s">
        <v>2635</v>
      </c>
    </row>
    <row r="588" spans="1:9">
      <c r="A588" s="263" t="s">
        <v>2636</v>
      </c>
      <c r="B588" s="263"/>
      <c r="I588" t="s">
        <v>2637</v>
      </c>
    </row>
    <row r="589" spans="1:9">
      <c r="A589" s="263" t="s">
        <v>2638</v>
      </c>
      <c r="B589" s="263"/>
      <c r="I589" t="s">
        <v>2639</v>
      </c>
    </row>
    <row r="590" spans="1:9">
      <c r="A590" s="263" t="s">
        <v>2640</v>
      </c>
      <c r="B590" s="263"/>
      <c r="I590" t="s">
        <v>2641</v>
      </c>
    </row>
    <row r="591" spans="1:9">
      <c r="A591" s="263" t="s">
        <v>2642</v>
      </c>
      <c r="B591" s="263"/>
      <c r="I591" t="s">
        <v>2643</v>
      </c>
    </row>
    <row r="592" spans="1:9">
      <c r="A592" s="262" t="s">
        <v>1664</v>
      </c>
      <c r="B592" s="263"/>
      <c r="I592" t="s">
        <v>2644</v>
      </c>
    </row>
    <row r="593" spans="1:9">
      <c r="A593" s="263" t="s">
        <v>2645</v>
      </c>
      <c r="B593" s="263"/>
      <c r="I593" t="s">
        <v>2646</v>
      </c>
    </row>
    <row r="594" spans="1:9">
      <c r="A594" s="262" t="s">
        <v>1669</v>
      </c>
      <c r="B594" s="263"/>
      <c r="I594" t="s">
        <v>2647</v>
      </c>
    </row>
    <row r="595" spans="1:9">
      <c r="A595" s="263" t="s">
        <v>2648</v>
      </c>
      <c r="B595" s="263"/>
      <c r="I595" t="s">
        <v>2649</v>
      </c>
    </row>
    <row r="596" spans="1:9">
      <c r="A596" s="262" t="s">
        <v>1673</v>
      </c>
      <c r="B596" s="263"/>
      <c r="I596" t="s">
        <v>2650</v>
      </c>
    </row>
    <row r="597" spans="1:9">
      <c r="A597" s="263" t="s">
        <v>2651</v>
      </c>
      <c r="B597" s="263"/>
      <c r="I597" t="s">
        <v>2652</v>
      </c>
    </row>
    <row r="598" spans="1:9">
      <c r="A598" s="263" t="s">
        <v>2653</v>
      </c>
      <c r="B598" s="263"/>
      <c r="I598" t="s">
        <v>2654</v>
      </c>
    </row>
    <row r="599" spans="1:9">
      <c r="A599" s="263" t="s">
        <v>2655</v>
      </c>
      <c r="B599" s="263"/>
      <c r="I599" t="s">
        <v>2656</v>
      </c>
    </row>
    <row r="600" spans="1:9">
      <c r="A600" s="263" t="s">
        <v>2657</v>
      </c>
      <c r="B600" s="263"/>
      <c r="I600" t="s">
        <v>2658</v>
      </c>
    </row>
    <row r="601" spans="1:9">
      <c r="A601" s="263" t="s">
        <v>2659</v>
      </c>
      <c r="B601" s="263"/>
      <c r="I601" t="s">
        <v>2660</v>
      </c>
    </row>
    <row r="602" spans="1:9">
      <c r="A602" s="262" t="s">
        <v>1677</v>
      </c>
      <c r="B602" s="263"/>
      <c r="I602" t="s">
        <v>2661</v>
      </c>
    </row>
    <row r="603" spans="1:9">
      <c r="A603" s="263" t="s">
        <v>2662</v>
      </c>
      <c r="B603" s="263"/>
      <c r="I603" t="s">
        <v>2663</v>
      </c>
    </row>
    <row r="604" spans="1:9">
      <c r="A604" s="263" t="s">
        <v>2664</v>
      </c>
      <c r="B604" s="263"/>
      <c r="I604" t="s">
        <v>2665</v>
      </c>
    </row>
    <row r="605" spans="1:9">
      <c r="A605" s="263" t="s">
        <v>2666</v>
      </c>
      <c r="B605" s="263"/>
      <c r="I605" t="s">
        <v>2667</v>
      </c>
    </row>
    <row r="606" spans="1:9">
      <c r="A606" s="263" t="s">
        <v>2668</v>
      </c>
      <c r="B606" s="263"/>
      <c r="I606" t="s">
        <v>2669</v>
      </c>
    </row>
    <row r="607" spans="1:9">
      <c r="A607" s="263" t="s">
        <v>2670</v>
      </c>
      <c r="B607" s="263"/>
      <c r="I607" t="s">
        <v>2671</v>
      </c>
    </row>
    <row r="608" spans="1:9">
      <c r="A608" s="262" t="s">
        <v>1682</v>
      </c>
      <c r="B608" s="263"/>
      <c r="I608" t="s">
        <v>2672</v>
      </c>
    </row>
    <row r="609" spans="1:9">
      <c r="A609" s="263" t="s">
        <v>2673</v>
      </c>
      <c r="B609" s="263"/>
      <c r="I609" t="s">
        <v>2674</v>
      </c>
    </row>
    <row r="610" spans="1:9">
      <c r="A610" s="263" t="s">
        <v>2675</v>
      </c>
      <c r="B610" s="263"/>
      <c r="I610" t="s">
        <v>2676</v>
      </c>
    </row>
    <row r="611" spans="1:9">
      <c r="A611" s="263" t="s">
        <v>2677</v>
      </c>
      <c r="B611" s="263"/>
      <c r="I611" t="s">
        <v>2678</v>
      </c>
    </row>
    <row r="612" spans="1:9">
      <c r="A612" s="263" t="s">
        <v>2679</v>
      </c>
      <c r="B612" s="263"/>
      <c r="I612" t="s">
        <v>2680</v>
      </c>
    </row>
    <row r="613" spans="1:9">
      <c r="A613" s="263" t="s">
        <v>2681</v>
      </c>
      <c r="B613" s="263"/>
      <c r="I613" t="s">
        <v>2682</v>
      </c>
    </row>
    <row r="614" spans="1:9">
      <c r="A614" s="263" t="s">
        <v>2683</v>
      </c>
      <c r="B614" s="263"/>
      <c r="I614" t="s">
        <v>2684</v>
      </c>
    </row>
    <row r="615" spans="1:9">
      <c r="A615" s="263" t="s">
        <v>2685</v>
      </c>
      <c r="B615" s="263"/>
      <c r="I615" t="s">
        <v>2686</v>
      </c>
    </row>
    <row r="616" spans="1:9">
      <c r="A616" s="263" t="s">
        <v>2687</v>
      </c>
      <c r="B616" s="263"/>
      <c r="I616" t="s">
        <v>2688</v>
      </c>
    </row>
    <row r="617" spans="1:9">
      <c r="A617" s="263" t="s">
        <v>2689</v>
      </c>
      <c r="B617" s="263"/>
      <c r="I617" t="s">
        <v>2690</v>
      </c>
    </row>
    <row r="618" spans="1:9">
      <c r="A618" s="262" t="s">
        <v>1686</v>
      </c>
      <c r="B618" s="263"/>
      <c r="I618" t="s">
        <v>2691</v>
      </c>
    </row>
    <row r="619" spans="1:9">
      <c r="A619" s="263" t="s">
        <v>2692</v>
      </c>
      <c r="B619" s="263"/>
      <c r="I619" t="s">
        <v>2693</v>
      </c>
    </row>
    <row r="620" spans="1:9">
      <c r="A620" s="263" t="s">
        <v>2694</v>
      </c>
      <c r="B620" s="263"/>
      <c r="I620" t="s">
        <v>2695</v>
      </c>
    </row>
    <row r="621" spans="1:9">
      <c r="A621" s="263" t="s">
        <v>2696</v>
      </c>
      <c r="B621" s="263"/>
      <c r="I621" t="s">
        <v>2697</v>
      </c>
    </row>
    <row r="622" spans="1:9">
      <c r="A622" s="262" t="s">
        <v>1691</v>
      </c>
      <c r="B622" s="263"/>
      <c r="I622" t="s">
        <v>2698</v>
      </c>
    </row>
    <row r="623" spans="1:9">
      <c r="A623" s="263" t="s">
        <v>2699</v>
      </c>
      <c r="B623" s="263"/>
      <c r="I623" t="s">
        <v>2700</v>
      </c>
    </row>
    <row r="624" spans="1:9">
      <c r="A624" s="263" t="s">
        <v>2701</v>
      </c>
      <c r="B624" s="263"/>
      <c r="I624" t="s">
        <v>2702</v>
      </c>
    </row>
    <row r="625" spans="1:9">
      <c r="A625" s="260" t="s">
        <v>1802</v>
      </c>
      <c r="B625" s="263"/>
      <c r="I625" t="s">
        <v>2703</v>
      </c>
    </row>
    <row r="626" spans="1:9">
      <c r="A626" s="259" t="s">
        <v>1699</v>
      </c>
      <c r="B626" s="263"/>
      <c r="I626" t="s">
        <v>2704</v>
      </c>
    </row>
    <row r="627" spans="1:9">
      <c r="A627" s="262" t="s">
        <v>1704</v>
      </c>
      <c r="B627" s="263"/>
      <c r="I627" t="s">
        <v>2705</v>
      </c>
    </row>
    <row r="628" spans="1:9">
      <c r="A628" s="263" t="s">
        <v>2706</v>
      </c>
      <c r="B628" s="263"/>
      <c r="I628" t="s">
        <v>2707</v>
      </c>
    </row>
    <row r="629" spans="1:9">
      <c r="A629" s="263" t="s">
        <v>2708</v>
      </c>
      <c r="B629" s="263"/>
      <c r="I629" t="s">
        <v>2709</v>
      </c>
    </row>
    <row r="630" spans="1:9">
      <c r="A630" s="262" t="s">
        <v>1709</v>
      </c>
      <c r="B630" s="263"/>
      <c r="I630" t="s">
        <v>2710</v>
      </c>
    </row>
    <row r="631" spans="1:9">
      <c r="A631" s="263" t="s">
        <v>2711</v>
      </c>
      <c r="B631" s="263"/>
      <c r="I631" t="s">
        <v>2712</v>
      </c>
    </row>
    <row r="632" spans="1:9">
      <c r="A632" s="262" t="s">
        <v>1714</v>
      </c>
      <c r="B632" s="263"/>
      <c r="I632" t="s">
        <v>2713</v>
      </c>
    </row>
    <row r="633" spans="1:9">
      <c r="A633" s="263" t="s">
        <v>2714</v>
      </c>
      <c r="B633" s="263"/>
      <c r="I633" t="s">
        <v>2715</v>
      </c>
    </row>
    <row r="634" spans="1:9">
      <c r="A634" s="263" t="s">
        <v>2716</v>
      </c>
      <c r="B634" s="263"/>
      <c r="I634" t="s">
        <v>2717</v>
      </c>
    </row>
    <row r="635" spans="1:9">
      <c r="A635" s="263" t="s">
        <v>2718</v>
      </c>
      <c r="B635" s="263"/>
      <c r="I635" t="s">
        <v>2719</v>
      </c>
    </row>
    <row r="636" spans="1:9">
      <c r="A636" s="263" t="s">
        <v>2720</v>
      </c>
      <c r="B636" s="263"/>
      <c r="I636" t="s">
        <v>2721</v>
      </c>
    </row>
    <row r="637" spans="1:9">
      <c r="A637" s="263" t="s">
        <v>2722</v>
      </c>
      <c r="B637" s="263"/>
      <c r="I637" t="s">
        <v>2723</v>
      </c>
    </row>
    <row r="638" spans="1:9">
      <c r="A638" s="262" t="s">
        <v>1719</v>
      </c>
      <c r="B638" s="263"/>
      <c r="I638" t="s">
        <v>2724</v>
      </c>
    </row>
    <row r="639" spans="1:9">
      <c r="A639" s="263" t="s">
        <v>2725</v>
      </c>
      <c r="B639" s="263"/>
      <c r="I639" t="s">
        <v>2726</v>
      </c>
    </row>
    <row r="640" spans="1:9">
      <c r="A640" s="263" t="s">
        <v>2727</v>
      </c>
      <c r="B640" s="263"/>
      <c r="I640" t="s">
        <v>2728</v>
      </c>
    </row>
    <row r="641" spans="1:9">
      <c r="A641" s="262" t="s">
        <v>1724</v>
      </c>
      <c r="B641" s="263"/>
      <c r="I641" t="s">
        <v>2729</v>
      </c>
    </row>
    <row r="642" spans="1:9">
      <c r="A642" s="263" t="s">
        <v>2730</v>
      </c>
      <c r="B642" s="263"/>
      <c r="I642" t="s">
        <v>2731</v>
      </c>
    </row>
    <row r="643" spans="1:9">
      <c r="A643" s="259" t="s">
        <v>1729</v>
      </c>
      <c r="B643" s="263"/>
      <c r="I643" t="s">
        <v>2732</v>
      </c>
    </row>
    <row r="644" spans="1:9">
      <c r="A644" s="262" t="s">
        <v>1734</v>
      </c>
      <c r="B644" s="263"/>
      <c r="I644" t="s">
        <v>2733</v>
      </c>
    </row>
    <row r="645" spans="1:9">
      <c r="A645" s="263" t="s">
        <v>2734</v>
      </c>
      <c r="B645" s="263"/>
      <c r="I645" t="s">
        <v>2735</v>
      </c>
    </row>
    <row r="646" spans="1:9">
      <c r="A646" s="262" t="s">
        <v>1738</v>
      </c>
      <c r="B646" s="263"/>
      <c r="I646" t="s">
        <v>2736</v>
      </c>
    </row>
    <row r="647" spans="1:9">
      <c r="A647" s="263" t="s">
        <v>2737</v>
      </c>
      <c r="B647" s="263"/>
      <c r="I647" t="s">
        <v>2738</v>
      </c>
    </row>
    <row r="648" spans="1:9">
      <c r="A648" s="262" t="s">
        <v>1743</v>
      </c>
      <c r="B648" s="263"/>
      <c r="I648" t="s">
        <v>2739</v>
      </c>
    </row>
    <row r="649" spans="1:9">
      <c r="A649" s="263" t="s">
        <v>2740</v>
      </c>
      <c r="B649" s="263"/>
      <c r="I649" t="s">
        <v>2741</v>
      </c>
    </row>
    <row r="650" spans="1:9">
      <c r="A650" s="262" t="s">
        <v>1747</v>
      </c>
      <c r="B650" s="263"/>
      <c r="I650" t="s">
        <v>2742</v>
      </c>
    </row>
    <row r="651" spans="1:9">
      <c r="A651" s="263" t="s">
        <v>2743</v>
      </c>
      <c r="B651" s="263"/>
      <c r="I651" t="s">
        <v>2744</v>
      </c>
    </row>
    <row r="652" spans="1:9">
      <c r="A652" s="259" t="s">
        <v>1752</v>
      </c>
      <c r="B652" s="263"/>
      <c r="I652" t="s">
        <v>2745</v>
      </c>
    </row>
    <row r="653" spans="1:9">
      <c r="A653" s="262" t="s">
        <v>1756</v>
      </c>
      <c r="B653" s="263"/>
      <c r="I653" t="s">
        <v>2746</v>
      </c>
    </row>
    <row r="654" spans="1:9">
      <c r="A654" s="263" t="s">
        <v>2747</v>
      </c>
      <c r="B654" s="263"/>
      <c r="I654" t="s">
        <v>2748</v>
      </c>
    </row>
    <row r="655" spans="1:9">
      <c r="A655" s="262" t="s">
        <v>1761</v>
      </c>
      <c r="B655" s="263"/>
      <c r="I655" t="s">
        <v>2749</v>
      </c>
    </row>
    <row r="656" spans="1:9">
      <c r="A656" s="263" t="s">
        <v>2750</v>
      </c>
      <c r="B656" s="263"/>
      <c r="I656" t="s">
        <v>2751</v>
      </c>
    </row>
    <row r="657" spans="1:9">
      <c r="A657" s="263" t="s">
        <v>2752</v>
      </c>
      <c r="B657" s="263"/>
      <c r="I657" t="s">
        <v>2753</v>
      </c>
    </row>
    <row r="658" spans="1:9">
      <c r="A658" s="259" t="s">
        <v>1766</v>
      </c>
      <c r="B658" s="263"/>
      <c r="I658" t="s">
        <v>2754</v>
      </c>
    </row>
    <row r="659" spans="1:9">
      <c r="A659" s="262" t="s">
        <v>1770</v>
      </c>
      <c r="B659" s="263"/>
      <c r="I659" t="s">
        <v>2755</v>
      </c>
    </row>
    <row r="660" spans="1:9">
      <c r="A660" s="263" t="s">
        <v>2756</v>
      </c>
      <c r="B660" s="263"/>
      <c r="I660" t="s">
        <v>2757</v>
      </c>
    </row>
    <row r="661" spans="1:9">
      <c r="A661" s="262" t="s">
        <v>1775</v>
      </c>
      <c r="B661" s="263"/>
      <c r="I661" t="s">
        <v>2758</v>
      </c>
    </row>
    <row r="662" spans="1:9">
      <c r="A662" s="263" t="s">
        <v>2759</v>
      </c>
      <c r="B662" s="263"/>
      <c r="I662" t="s">
        <v>2760</v>
      </c>
    </row>
    <row r="663" spans="1:9">
      <c r="A663" s="263" t="s">
        <v>2761</v>
      </c>
      <c r="B663" s="263"/>
      <c r="I663" t="s">
        <v>2762</v>
      </c>
    </row>
    <row r="664" spans="1:9">
      <c r="A664" s="263" t="s">
        <v>2763</v>
      </c>
      <c r="B664" s="263"/>
      <c r="I664" t="s">
        <v>2764</v>
      </c>
    </row>
    <row r="665" spans="1:9">
      <c r="A665" s="263" t="s">
        <v>2765</v>
      </c>
      <c r="B665" s="263"/>
      <c r="I665" t="s">
        <v>2766</v>
      </c>
    </row>
    <row r="666" spans="1:9">
      <c r="A666" s="263" t="s">
        <v>2767</v>
      </c>
      <c r="B666" s="263"/>
      <c r="I666" t="s">
        <v>2768</v>
      </c>
    </row>
    <row r="667" spans="1:9">
      <c r="A667" s="263" t="s">
        <v>2769</v>
      </c>
      <c r="B667" s="263"/>
      <c r="I667" t="s">
        <v>2770</v>
      </c>
    </row>
    <row r="668" spans="1:9">
      <c r="A668" s="262" t="s">
        <v>1780</v>
      </c>
      <c r="B668" s="263"/>
      <c r="I668" t="s">
        <v>2771</v>
      </c>
    </row>
    <row r="669" spans="1:9">
      <c r="A669" s="263" t="s">
        <v>2772</v>
      </c>
      <c r="B669" s="263"/>
      <c r="I669" t="s">
        <v>2773</v>
      </c>
    </row>
    <row r="670" spans="1:9">
      <c r="A670" s="263" t="s">
        <v>2774</v>
      </c>
      <c r="B670" s="263"/>
      <c r="I670" t="s">
        <v>2775</v>
      </c>
    </row>
    <row r="671" spans="1:9">
      <c r="A671" s="259" t="s">
        <v>1784</v>
      </c>
      <c r="B671" s="263"/>
      <c r="I671" t="s">
        <v>2776</v>
      </c>
    </row>
    <row r="672" spans="1:9">
      <c r="A672" s="262" t="s">
        <v>1789</v>
      </c>
      <c r="B672" s="263"/>
      <c r="I672" t="s">
        <v>2777</v>
      </c>
    </row>
    <row r="673" spans="1:9">
      <c r="A673" s="263" t="s">
        <v>2778</v>
      </c>
      <c r="B673" s="263"/>
      <c r="I673" t="s">
        <v>2779</v>
      </c>
    </row>
    <row r="674" spans="1:9">
      <c r="A674" s="262" t="s">
        <v>1793</v>
      </c>
      <c r="B674" s="263"/>
      <c r="I674" t="s">
        <v>2780</v>
      </c>
    </row>
    <row r="675" spans="1:9">
      <c r="A675" s="263" t="s">
        <v>2781</v>
      </c>
      <c r="B675" s="263"/>
      <c r="I675" t="s">
        <v>2782</v>
      </c>
    </row>
    <row r="676" spans="1:9">
      <c r="A676" s="262" t="s">
        <v>1797</v>
      </c>
      <c r="B676" s="263"/>
      <c r="I676" t="s">
        <v>2783</v>
      </c>
    </row>
    <row r="677" spans="1:9">
      <c r="A677" s="263" t="s">
        <v>2784</v>
      </c>
      <c r="B677" s="263"/>
      <c r="I677" t="s">
        <v>2785</v>
      </c>
    </row>
    <row r="678" spans="1:9">
      <c r="A678" s="260" t="s">
        <v>1863</v>
      </c>
      <c r="B678" s="263"/>
      <c r="I678" t="s">
        <v>2786</v>
      </c>
    </row>
    <row r="679" spans="1:9">
      <c r="A679" s="259" t="s">
        <v>1806</v>
      </c>
      <c r="B679" s="263"/>
      <c r="I679" t="s">
        <v>2787</v>
      </c>
    </row>
    <row r="680" spans="1:9">
      <c r="A680" s="262" t="s">
        <v>1811</v>
      </c>
      <c r="B680" s="263"/>
      <c r="I680" t="s">
        <v>2788</v>
      </c>
    </row>
    <row r="681" spans="1:9">
      <c r="A681" s="263" t="s">
        <v>2789</v>
      </c>
      <c r="B681" s="263"/>
      <c r="I681" t="s">
        <v>2790</v>
      </c>
    </row>
    <row r="682" spans="1:9">
      <c r="A682" s="262" t="s">
        <v>1815</v>
      </c>
      <c r="B682" s="263"/>
      <c r="I682" t="s">
        <v>2791</v>
      </c>
    </row>
    <row r="683" spans="1:9">
      <c r="A683" s="263" t="s">
        <v>2792</v>
      </c>
      <c r="B683" s="263"/>
      <c r="I683" t="s">
        <v>2793</v>
      </c>
    </row>
    <row r="684" spans="1:9">
      <c r="A684" s="262" t="s">
        <v>1819</v>
      </c>
      <c r="B684" s="263"/>
      <c r="I684" t="s">
        <v>2794</v>
      </c>
    </row>
    <row r="685" spans="1:9">
      <c r="A685" s="263" t="s">
        <v>2795</v>
      </c>
      <c r="B685" s="263"/>
      <c r="I685" t="s">
        <v>2796</v>
      </c>
    </row>
    <row r="686" spans="1:9">
      <c r="A686" s="262" t="s">
        <v>1824</v>
      </c>
      <c r="B686" s="263"/>
      <c r="I686" t="s">
        <v>2797</v>
      </c>
    </row>
    <row r="687" spans="1:9">
      <c r="A687" s="263" t="s">
        <v>2798</v>
      </c>
      <c r="B687" s="263"/>
      <c r="I687" t="s">
        <v>2799</v>
      </c>
    </row>
    <row r="688" spans="1:9">
      <c r="A688" s="262" t="s">
        <v>1829</v>
      </c>
      <c r="B688" s="263"/>
      <c r="I688" t="s">
        <v>2800</v>
      </c>
    </row>
    <row r="689" spans="1:9">
      <c r="A689" s="263" t="s">
        <v>2801</v>
      </c>
      <c r="B689" s="263"/>
      <c r="I689" t="s">
        <v>2802</v>
      </c>
    </row>
    <row r="690" spans="1:9">
      <c r="A690" s="259" t="s">
        <v>1833</v>
      </c>
      <c r="B690" s="263"/>
      <c r="I690" t="s">
        <v>2803</v>
      </c>
    </row>
    <row r="691" spans="1:9">
      <c r="A691" s="262" t="s">
        <v>1838</v>
      </c>
      <c r="B691" s="263"/>
      <c r="I691" t="s">
        <v>2804</v>
      </c>
    </row>
    <row r="692" spans="1:9">
      <c r="A692" s="263" t="s">
        <v>2805</v>
      </c>
      <c r="B692" s="263"/>
      <c r="I692" t="s">
        <v>2806</v>
      </c>
    </row>
    <row r="693" spans="1:9">
      <c r="A693" s="263" t="s">
        <v>2807</v>
      </c>
      <c r="B693" s="263"/>
      <c r="I693" t="s">
        <v>2808</v>
      </c>
    </row>
    <row r="694" spans="1:9">
      <c r="A694" s="262" t="s">
        <v>1843</v>
      </c>
      <c r="B694" s="263"/>
      <c r="I694" t="s">
        <v>2809</v>
      </c>
    </row>
    <row r="695" spans="1:9">
      <c r="A695" s="263" t="s">
        <v>1848</v>
      </c>
      <c r="B695" s="263"/>
      <c r="I695" t="s">
        <v>2810</v>
      </c>
    </row>
    <row r="696" spans="1:9">
      <c r="A696" s="263" t="s">
        <v>2811</v>
      </c>
      <c r="B696" s="263"/>
      <c r="I696" t="s">
        <v>2812</v>
      </c>
    </row>
    <row r="697" spans="1:9">
      <c r="A697" s="262" t="s">
        <v>1853</v>
      </c>
      <c r="B697" s="263"/>
      <c r="I697" t="s">
        <v>2813</v>
      </c>
    </row>
    <row r="698" spans="1:9">
      <c r="A698" s="263" t="s">
        <v>2814</v>
      </c>
      <c r="B698" s="263"/>
      <c r="I698" t="s">
        <v>2815</v>
      </c>
    </row>
    <row r="699" spans="1:9">
      <c r="A699" s="262" t="s">
        <v>1858</v>
      </c>
      <c r="B699" s="263"/>
      <c r="I699" t="s">
        <v>2816</v>
      </c>
    </row>
    <row r="700" spans="1:9">
      <c r="A700" s="263" t="s">
        <v>2817</v>
      </c>
      <c r="B700" s="263"/>
      <c r="I700" t="s">
        <v>2818</v>
      </c>
    </row>
    <row r="701" spans="1:9">
      <c r="A701" s="260" t="s">
        <v>1914</v>
      </c>
      <c r="B701" s="263"/>
      <c r="I701" t="s">
        <v>2819</v>
      </c>
    </row>
    <row r="702" spans="1:9">
      <c r="A702" s="259" t="s">
        <v>1867</v>
      </c>
      <c r="B702" s="263"/>
      <c r="I702" t="s">
        <v>2820</v>
      </c>
    </row>
    <row r="703" spans="1:9">
      <c r="A703" s="262" t="s">
        <v>1871</v>
      </c>
      <c r="B703" s="263"/>
      <c r="I703" t="s">
        <v>2821</v>
      </c>
    </row>
    <row r="704" spans="1:9">
      <c r="A704" s="263" t="s">
        <v>2822</v>
      </c>
      <c r="B704" s="263"/>
      <c r="I704" t="s">
        <v>2823</v>
      </c>
    </row>
    <row r="705" spans="1:9">
      <c r="A705" s="263" t="s">
        <v>2824</v>
      </c>
      <c r="B705" s="263"/>
      <c r="I705" t="s">
        <v>2825</v>
      </c>
    </row>
    <row r="706" spans="1:9">
      <c r="A706" s="263" t="s">
        <v>2826</v>
      </c>
      <c r="B706" s="263"/>
      <c r="I706" t="s">
        <v>2827</v>
      </c>
    </row>
    <row r="707" spans="1:9">
      <c r="A707" s="263" t="s">
        <v>2828</v>
      </c>
      <c r="B707" s="263"/>
      <c r="I707" t="s">
        <v>2829</v>
      </c>
    </row>
    <row r="708" spans="1:9">
      <c r="A708" s="262" t="s">
        <v>1876</v>
      </c>
      <c r="B708" s="263"/>
      <c r="I708" t="s">
        <v>2830</v>
      </c>
    </row>
    <row r="709" spans="1:9">
      <c r="A709" s="263" t="s">
        <v>2831</v>
      </c>
      <c r="B709" s="263"/>
      <c r="I709" t="s">
        <v>2832</v>
      </c>
    </row>
    <row r="710" spans="1:9">
      <c r="A710" s="263" t="s">
        <v>2833</v>
      </c>
      <c r="B710" s="263"/>
      <c r="I710" t="s">
        <v>2834</v>
      </c>
    </row>
    <row r="711" spans="1:9">
      <c r="A711" s="259" t="s">
        <v>1881</v>
      </c>
      <c r="B711" s="263"/>
      <c r="I711" t="s">
        <v>2835</v>
      </c>
    </row>
    <row r="712" spans="1:9">
      <c r="A712" s="262" t="s">
        <v>1886</v>
      </c>
      <c r="B712" s="263"/>
      <c r="I712" t="s">
        <v>2836</v>
      </c>
    </row>
    <row r="713" spans="1:9">
      <c r="A713" s="263" t="s">
        <v>2837</v>
      </c>
      <c r="B713" s="263"/>
      <c r="I713" t="s">
        <v>2838</v>
      </c>
    </row>
    <row r="714" spans="1:9">
      <c r="A714" s="263" t="s">
        <v>2839</v>
      </c>
      <c r="B714" s="263"/>
      <c r="I714" t="s">
        <v>2840</v>
      </c>
    </row>
    <row r="715" spans="1:9">
      <c r="A715" s="263" t="s">
        <v>2841</v>
      </c>
      <c r="B715" s="263"/>
      <c r="I715" t="s">
        <v>2842</v>
      </c>
    </row>
    <row r="716" spans="1:9">
      <c r="A716" s="263" t="s">
        <v>2843</v>
      </c>
      <c r="B716" s="263"/>
      <c r="I716" t="s">
        <v>2844</v>
      </c>
    </row>
    <row r="717" spans="1:9">
      <c r="A717" s="262" t="s">
        <v>1891</v>
      </c>
      <c r="B717" s="263"/>
      <c r="I717" t="s">
        <v>2845</v>
      </c>
    </row>
    <row r="718" spans="1:9">
      <c r="A718" s="263" t="s">
        <v>2846</v>
      </c>
      <c r="B718" s="263"/>
      <c r="I718" t="s">
        <v>2847</v>
      </c>
    </row>
    <row r="719" spans="1:9">
      <c r="A719" s="259" t="s">
        <v>1896</v>
      </c>
      <c r="B719" s="263"/>
      <c r="I719" t="s">
        <v>2848</v>
      </c>
    </row>
    <row r="720" spans="1:9">
      <c r="A720" s="262" t="s">
        <v>1900</v>
      </c>
      <c r="B720" s="263"/>
      <c r="I720" t="s">
        <v>2849</v>
      </c>
    </row>
    <row r="721" spans="1:9">
      <c r="A721" s="263" t="s">
        <v>2850</v>
      </c>
      <c r="B721" s="263"/>
      <c r="I721" t="s">
        <v>2851</v>
      </c>
    </row>
    <row r="722" spans="1:9">
      <c r="A722" s="262" t="s">
        <v>1905</v>
      </c>
      <c r="B722" s="263"/>
      <c r="I722" t="s">
        <v>2852</v>
      </c>
    </row>
    <row r="723" spans="1:9">
      <c r="A723" s="263" t="s">
        <v>2853</v>
      </c>
      <c r="B723" s="263"/>
      <c r="I723" t="s">
        <v>2854</v>
      </c>
    </row>
    <row r="724" spans="1:9">
      <c r="A724" s="262" t="s">
        <v>1909</v>
      </c>
      <c r="B724" s="263"/>
      <c r="I724" t="s">
        <v>2855</v>
      </c>
    </row>
    <row r="725" spans="1:9">
      <c r="A725" s="263" t="s">
        <v>2856</v>
      </c>
      <c r="B725" s="263"/>
      <c r="I725" t="s">
        <v>2857</v>
      </c>
    </row>
    <row r="726" spans="1:9">
      <c r="A726" s="263" t="s">
        <v>2858</v>
      </c>
      <c r="B726" s="263"/>
      <c r="I726" t="s">
        <v>2859</v>
      </c>
    </row>
    <row r="727" spans="1:9">
      <c r="A727" s="260" t="s">
        <v>1959</v>
      </c>
      <c r="B727" s="263"/>
      <c r="I727" t="s">
        <v>2860</v>
      </c>
    </row>
    <row r="728" spans="1:9">
      <c r="A728" s="259" t="s">
        <v>1919</v>
      </c>
      <c r="B728" s="263"/>
      <c r="I728" t="s">
        <v>2861</v>
      </c>
    </row>
    <row r="729" spans="1:9">
      <c r="A729" s="262" t="s">
        <v>1923</v>
      </c>
      <c r="B729" s="263"/>
      <c r="I729" t="s">
        <v>2862</v>
      </c>
    </row>
    <row r="730" spans="1:9">
      <c r="A730" s="263" t="s">
        <v>2863</v>
      </c>
      <c r="B730" s="263"/>
      <c r="I730" t="s">
        <v>2864</v>
      </c>
    </row>
    <row r="731" spans="1:9">
      <c r="A731" s="262" t="s">
        <v>1928</v>
      </c>
      <c r="B731" s="263"/>
      <c r="I731" t="s">
        <v>2865</v>
      </c>
    </row>
    <row r="732" spans="1:9">
      <c r="A732" s="263" t="s">
        <v>2866</v>
      </c>
      <c r="B732" s="263"/>
      <c r="I732" t="s">
        <v>2867</v>
      </c>
    </row>
    <row r="733" spans="1:9">
      <c r="A733" s="262" t="s">
        <v>1933</v>
      </c>
      <c r="B733" s="263"/>
      <c r="I733" t="s">
        <v>2868</v>
      </c>
    </row>
    <row r="734" spans="1:9">
      <c r="A734" s="263" t="s">
        <v>2869</v>
      </c>
      <c r="B734" s="263"/>
      <c r="I734" t="s">
        <v>2870</v>
      </c>
    </row>
    <row r="735" spans="1:9">
      <c r="A735" s="259" t="s">
        <v>1938</v>
      </c>
      <c r="B735" s="263"/>
      <c r="I735" t="s">
        <v>2871</v>
      </c>
    </row>
    <row r="736" spans="1:9">
      <c r="A736" s="262" t="s">
        <v>1943</v>
      </c>
      <c r="B736" s="263"/>
      <c r="I736" t="s">
        <v>2872</v>
      </c>
    </row>
    <row r="737" spans="1:9">
      <c r="A737" s="263" t="s">
        <v>2873</v>
      </c>
      <c r="B737" s="263"/>
      <c r="I737" t="s">
        <v>2874</v>
      </c>
    </row>
    <row r="738" spans="1:9">
      <c r="A738" s="262" t="s">
        <v>1946</v>
      </c>
      <c r="B738" s="263"/>
      <c r="I738" t="s">
        <v>2875</v>
      </c>
    </row>
    <row r="739" spans="1:9">
      <c r="A739" s="263" t="s">
        <v>2876</v>
      </c>
      <c r="B739" s="263"/>
      <c r="I739" t="s">
        <v>2877</v>
      </c>
    </row>
    <row r="740" spans="1:9">
      <c r="A740" s="262" t="s">
        <v>1948</v>
      </c>
      <c r="B740" s="263"/>
      <c r="I740" t="s">
        <v>2878</v>
      </c>
    </row>
    <row r="741" spans="1:9">
      <c r="A741" s="263" t="s">
        <v>2879</v>
      </c>
      <c r="B741" s="263"/>
      <c r="I741" t="s">
        <v>2880</v>
      </c>
    </row>
    <row r="742" spans="1:9">
      <c r="A742" s="259" t="s">
        <v>1951</v>
      </c>
      <c r="B742" s="263"/>
      <c r="I742" t="s">
        <v>2881</v>
      </c>
    </row>
    <row r="743" spans="1:9">
      <c r="A743" s="262" t="s">
        <v>1954</v>
      </c>
      <c r="B743" s="263"/>
      <c r="I743" t="s">
        <v>2882</v>
      </c>
    </row>
    <row r="744" spans="1:9">
      <c r="A744" s="263" t="s">
        <v>2883</v>
      </c>
      <c r="B744" s="263"/>
      <c r="I744" t="s">
        <v>2884</v>
      </c>
    </row>
    <row r="745" spans="1:9">
      <c r="A745" s="262" t="s">
        <v>1956</v>
      </c>
      <c r="B745" s="263"/>
      <c r="I745" t="s">
        <v>2885</v>
      </c>
    </row>
    <row r="746" spans="1:9">
      <c r="A746" s="263" t="s">
        <v>2886</v>
      </c>
      <c r="B746" s="263"/>
      <c r="I746" t="s">
        <v>2887</v>
      </c>
    </row>
    <row r="747" spans="1:9">
      <c r="A747" s="263" t="s">
        <v>2888</v>
      </c>
      <c r="B747" s="263"/>
      <c r="I747" t="s">
        <v>2889</v>
      </c>
    </row>
    <row r="748" spans="1:9">
      <c r="A748" s="260" t="s">
        <v>1996</v>
      </c>
      <c r="B748" s="263"/>
      <c r="I748" t="s">
        <v>2890</v>
      </c>
    </row>
    <row r="749" spans="1:9">
      <c r="A749" s="259" t="s">
        <v>1962</v>
      </c>
      <c r="B749" s="263"/>
      <c r="I749" t="s">
        <v>2891</v>
      </c>
    </row>
    <row r="750" spans="1:9">
      <c r="A750" s="262" t="s">
        <v>1965</v>
      </c>
      <c r="B750" s="263"/>
      <c r="I750" t="s">
        <v>2892</v>
      </c>
    </row>
    <row r="751" spans="1:9">
      <c r="A751" s="263" t="s">
        <v>2893</v>
      </c>
      <c r="B751" s="263"/>
      <c r="I751" t="s">
        <v>2894</v>
      </c>
    </row>
    <row r="752" spans="1:9">
      <c r="A752" s="263" t="s">
        <v>2895</v>
      </c>
      <c r="B752" s="263"/>
      <c r="I752" t="s">
        <v>2896</v>
      </c>
    </row>
    <row r="753" spans="1:9">
      <c r="A753" s="262" t="s">
        <v>1968</v>
      </c>
      <c r="B753" s="263"/>
      <c r="I753" t="s">
        <v>2897</v>
      </c>
    </row>
    <row r="754" spans="1:9">
      <c r="A754" s="263" t="s">
        <v>2898</v>
      </c>
      <c r="B754" s="263"/>
      <c r="I754" t="s">
        <v>2899</v>
      </c>
    </row>
    <row r="755" spans="1:9">
      <c r="A755" s="263" t="s">
        <v>2900</v>
      </c>
      <c r="B755" s="263"/>
      <c r="I755" t="s">
        <v>2901</v>
      </c>
    </row>
    <row r="756" spans="1:9">
      <c r="A756" s="262" t="s">
        <v>1971</v>
      </c>
      <c r="B756" s="263"/>
      <c r="I756" t="s">
        <v>2902</v>
      </c>
    </row>
    <row r="757" spans="1:9">
      <c r="A757" s="263" t="s">
        <v>2903</v>
      </c>
      <c r="B757" s="263"/>
      <c r="I757" t="s">
        <v>2904</v>
      </c>
    </row>
    <row r="758" spans="1:9">
      <c r="A758" s="263" t="s">
        <v>2905</v>
      </c>
      <c r="B758" s="263"/>
      <c r="I758" t="s">
        <v>2906</v>
      </c>
    </row>
    <row r="759" spans="1:9">
      <c r="A759" s="262" t="s">
        <v>1974</v>
      </c>
      <c r="B759" s="263"/>
      <c r="I759" t="s">
        <v>2907</v>
      </c>
    </row>
    <row r="760" spans="1:9">
      <c r="A760" s="263" t="s">
        <v>2908</v>
      </c>
      <c r="B760" s="263"/>
      <c r="I760" t="s">
        <v>2909</v>
      </c>
    </row>
    <row r="761" spans="1:9">
      <c r="A761" s="263" t="s">
        <v>2910</v>
      </c>
      <c r="B761" s="263"/>
      <c r="I761" t="s">
        <v>2911</v>
      </c>
    </row>
    <row r="762" spans="1:9">
      <c r="A762" s="263" t="s">
        <v>2912</v>
      </c>
      <c r="B762" s="263"/>
      <c r="I762" t="s">
        <v>2913</v>
      </c>
    </row>
    <row r="763" spans="1:9">
      <c r="A763" s="259" t="s">
        <v>1976</v>
      </c>
      <c r="B763" s="263"/>
      <c r="I763" t="s">
        <v>2914</v>
      </c>
    </row>
    <row r="764" spans="1:9">
      <c r="A764" s="262" t="s">
        <v>1979</v>
      </c>
      <c r="B764" s="263"/>
      <c r="I764" t="s">
        <v>2915</v>
      </c>
    </row>
    <row r="765" spans="1:9">
      <c r="A765" s="263" t="s">
        <v>2916</v>
      </c>
      <c r="B765" s="263"/>
      <c r="I765" t="s">
        <v>2917</v>
      </c>
    </row>
    <row r="766" spans="1:9">
      <c r="A766" s="263" t="s">
        <v>2918</v>
      </c>
      <c r="B766" s="263"/>
      <c r="I766" t="s">
        <v>2919</v>
      </c>
    </row>
    <row r="767" spans="1:9">
      <c r="A767" s="262" t="s">
        <v>1981</v>
      </c>
      <c r="B767" s="263"/>
      <c r="I767" t="s">
        <v>2920</v>
      </c>
    </row>
    <row r="768" spans="1:9">
      <c r="A768" s="263" t="s">
        <v>2921</v>
      </c>
      <c r="B768" s="263"/>
      <c r="I768" t="s">
        <v>2922</v>
      </c>
    </row>
    <row r="769" spans="1:9">
      <c r="A769" s="262" t="s">
        <v>1984</v>
      </c>
      <c r="B769" s="263"/>
      <c r="I769" t="s">
        <v>2923</v>
      </c>
    </row>
    <row r="770" spans="1:9">
      <c r="A770" s="263" t="s">
        <v>2924</v>
      </c>
      <c r="B770" s="263"/>
      <c r="I770" t="s">
        <v>2925</v>
      </c>
    </row>
    <row r="771" spans="1:9">
      <c r="A771" s="259" t="s">
        <v>1987</v>
      </c>
      <c r="B771" s="263"/>
      <c r="I771" t="s">
        <v>2926</v>
      </c>
    </row>
    <row r="772" spans="1:9">
      <c r="A772" s="262" t="s">
        <v>1989</v>
      </c>
      <c r="B772" s="263"/>
      <c r="I772" t="s">
        <v>2927</v>
      </c>
    </row>
    <row r="773" spans="1:9">
      <c r="A773" s="263" t="s">
        <v>2928</v>
      </c>
      <c r="B773" s="263"/>
      <c r="I773" t="s">
        <v>2929</v>
      </c>
    </row>
    <row r="774" spans="1:9">
      <c r="A774" s="263" t="s">
        <v>2930</v>
      </c>
      <c r="B774" s="263"/>
      <c r="I774" t="s">
        <v>2931</v>
      </c>
    </row>
    <row r="775" spans="1:9">
      <c r="A775" s="263" t="s">
        <v>2932</v>
      </c>
      <c r="B775" s="263"/>
      <c r="I775" t="s">
        <v>2933</v>
      </c>
    </row>
    <row r="776" spans="1:9">
      <c r="A776" s="262" t="s">
        <v>1991</v>
      </c>
      <c r="B776" s="263"/>
      <c r="I776" t="s">
        <v>2934</v>
      </c>
    </row>
    <row r="777" spans="1:9">
      <c r="A777" s="263" t="s">
        <v>2935</v>
      </c>
      <c r="B777" s="263"/>
      <c r="I777" t="s">
        <v>2936</v>
      </c>
    </row>
    <row r="778" spans="1:9">
      <c r="A778" s="263" t="s">
        <v>2937</v>
      </c>
      <c r="B778" s="263"/>
      <c r="I778" t="s">
        <v>2938</v>
      </c>
    </row>
    <row r="779" spans="1:9">
      <c r="A779" s="263" t="s">
        <v>2939</v>
      </c>
      <c r="B779" s="263"/>
      <c r="I779" t="s">
        <v>2940</v>
      </c>
    </row>
    <row r="780" spans="1:9">
      <c r="A780" s="262" t="s">
        <v>1994</v>
      </c>
      <c r="B780" s="263"/>
      <c r="I780" t="s">
        <v>2941</v>
      </c>
    </row>
    <row r="781" spans="1:9">
      <c r="A781" s="263" t="s">
        <v>2942</v>
      </c>
      <c r="B781" s="263"/>
      <c r="I781" t="s">
        <v>2943</v>
      </c>
    </row>
    <row r="782" spans="1:9">
      <c r="A782" s="260" t="s">
        <v>2010</v>
      </c>
      <c r="B782" s="263"/>
      <c r="I782" t="s">
        <v>2944</v>
      </c>
    </row>
    <row r="783" spans="1:9">
      <c r="A783" s="259" t="s">
        <v>1999</v>
      </c>
      <c r="B783" s="263"/>
      <c r="I783" t="s">
        <v>2945</v>
      </c>
    </row>
    <row r="784" spans="1:9">
      <c r="A784" s="262" t="s">
        <v>2001</v>
      </c>
      <c r="B784" s="263"/>
      <c r="I784" t="s">
        <v>2946</v>
      </c>
    </row>
    <row r="785" spans="1:9">
      <c r="A785" s="263" t="s">
        <v>2947</v>
      </c>
      <c r="B785" s="263"/>
      <c r="I785" t="s">
        <v>2948</v>
      </c>
    </row>
    <row r="786" spans="1:9">
      <c r="A786" s="263" t="s">
        <v>2949</v>
      </c>
      <c r="B786" s="263"/>
      <c r="I786" t="s">
        <v>2950</v>
      </c>
    </row>
    <row r="787" spans="1:9">
      <c r="A787" s="262" t="s">
        <v>2004</v>
      </c>
      <c r="B787" s="263"/>
      <c r="I787" t="s">
        <v>2951</v>
      </c>
    </row>
    <row r="788" spans="1:9">
      <c r="A788" s="263" t="s">
        <v>2952</v>
      </c>
      <c r="B788" s="263"/>
      <c r="I788" t="s">
        <v>2953</v>
      </c>
    </row>
    <row r="789" spans="1:9">
      <c r="A789" s="262" t="s">
        <v>2007</v>
      </c>
      <c r="B789" s="263"/>
      <c r="I789" t="s">
        <v>2954</v>
      </c>
    </row>
    <row r="790" spans="1:9">
      <c r="A790" s="263" t="s">
        <v>2955</v>
      </c>
      <c r="B790" s="263"/>
      <c r="I790" t="s">
        <v>2956</v>
      </c>
    </row>
    <row r="791" spans="1:9">
      <c r="A791" s="263" t="s">
        <v>2957</v>
      </c>
      <c r="B791" s="263"/>
      <c r="I791" t="s">
        <v>2958</v>
      </c>
    </row>
    <row r="792" spans="1:9">
      <c r="A792" s="260" t="s">
        <v>2075</v>
      </c>
      <c r="B792" s="263"/>
      <c r="I792" t="s">
        <v>2959</v>
      </c>
    </row>
    <row r="793" spans="1:9">
      <c r="A793" s="259" t="s">
        <v>2013</v>
      </c>
      <c r="B793" s="263"/>
      <c r="I793" t="s">
        <v>2960</v>
      </c>
    </row>
    <row r="794" spans="1:9">
      <c r="A794" s="262" t="s">
        <v>2015</v>
      </c>
      <c r="B794" s="263"/>
      <c r="I794" t="s">
        <v>2961</v>
      </c>
    </row>
    <row r="795" spans="1:9">
      <c r="A795" s="263" t="s">
        <v>2962</v>
      </c>
      <c r="B795" s="263"/>
      <c r="I795" t="s">
        <v>2963</v>
      </c>
    </row>
    <row r="796" spans="1:9">
      <c r="A796" s="262" t="s">
        <v>2018</v>
      </c>
      <c r="B796" s="263"/>
      <c r="I796" t="s">
        <v>2964</v>
      </c>
    </row>
    <row r="797" spans="1:9">
      <c r="A797" s="263" t="s">
        <v>2965</v>
      </c>
      <c r="B797" s="263"/>
      <c r="I797" t="s">
        <v>2966</v>
      </c>
    </row>
    <row r="798" spans="1:9">
      <c r="A798" s="259" t="s">
        <v>2021</v>
      </c>
      <c r="B798" s="263"/>
      <c r="I798" t="s">
        <v>2967</v>
      </c>
    </row>
    <row r="799" spans="1:9">
      <c r="A799" s="262" t="s">
        <v>2024</v>
      </c>
      <c r="B799" s="263"/>
      <c r="I799" t="s">
        <v>2968</v>
      </c>
    </row>
    <row r="800" spans="1:9">
      <c r="A800" s="263" t="s">
        <v>2969</v>
      </c>
      <c r="B800" s="263"/>
      <c r="I800" t="s">
        <v>2970</v>
      </c>
    </row>
    <row r="801" spans="1:9">
      <c r="A801" s="262" t="s">
        <v>2027</v>
      </c>
      <c r="B801" s="263"/>
      <c r="I801" t="s">
        <v>2971</v>
      </c>
    </row>
    <row r="802" spans="1:9">
      <c r="A802" s="263" t="s">
        <v>2972</v>
      </c>
      <c r="B802" s="263"/>
      <c r="I802" t="s">
        <v>2973</v>
      </c>
    </row>
    <row r="803" spans="1:9">
      <c r="A803" s="259" t="s">
        <v>2030</v>
      </c>
      <c r="B803" s="263"/>
      <c r="I803" t="s">
        <v>2974</v>
      </c>
    </row>
    <row r="804" spans="1:9">
      <c r="A804" s="262" t="s">
        <v>2033</v>
      </c>
      <c r="B804" s="263"/>
      <c r="I804" t="s">
        <v>2975</v>
      </c>
    </row>
    <row r="805" spans="1:9">
      <c r="A805" s="263" t="s">
        <v>2976</v>
      </c>
      <c r="B805" s="263"/>
      <c r="I805" t="s">
        <v>2977</v>
      </c>
    </row>
    <row r="806" spans="1:9">
      <c r="A806" s="263" t="s">
        <v>2978</v>
      </c>
      <c r="B806" s="263"/>
      <c r="I806" t="s">
        <v>2979</v>
      </c>
    </row>
    <row r="807" spans="1:9">
      <c r="A807" s="262" t="s">
        <v>2035</v>
      </c>
      <c r="B807" s="263"/>
      <c r="I807" t="s">
        <v>2980</v>
      </c>
    </row>
    <row r="808" spans="1:9">
      <c r="A808" s="263" t="s">
        <v>2981</v>
      </c>
      <c r="B808" s="263"/>
      <c r="I808" t="s">
        <v>2982</v>
      </c>
    </row>
    <row r="809" spans="1:9">
      <c r="A809" s="259" t="s">
        <v>2038</v>
      </c>
      <c r="B809" s="263"/>
      <c r="I809" t="s">
        <v>2983</v>
      </c>
    </row>
    <row r="810" spans="1:9">
      <c r="A810" s="262" t="s">
        <v>2041</v>
      </c>
      <c r="B810" s="263"/>
      <c r="I810" t="s">
        <v>2984</v>
      </c>
    </row>
    <row r="811" spans="1:9">
      <c r="A811" s="263" t="s">
        <v>2985</v>
      </c>
      <c r="B811" s="263"/>
      <c r="I811" t="s">
        <v>2986</v>
      </c>
    </row>
    <row r="812" spans="1:9">
      <c r="A812" s="262" t="s">
        <v>2044</v>
      </c>
      <c r="B812" s="263"/>
      <c r="I812" t="s">
        <v>2987</v>
      </c>
    </row>
    <row r="813" spans="1:9">
      <c r="A813" s="263" t="s">
        <v>2988</v>
      </c>
      <c r="B813" s="263"/>
      <c r="I813" t="s">
        <v>2989</v>
      </c>
    </row>
    <row r="814" spans="1:9">
      <c r="A814" s="259" t="s">
        <v>2047</v>
      </c>
      <c r="B814" s="263"/>
      <c r="I814" t="s">
        <v>2990</v>
      </c>
    </row>
    <row r="815" spans="1:9">
      <c r="A815" s="262" t="s">
        <v>2049</v>
      </c>
      <c r="B815" s="263"/>
      <c r="I815" t="s">
        <v>2991</v>
      </c>
    </row>
    <row r="816" spans="1:9">
      <c r="A816" s="263" t="s">
        <v>2992</v>
      </c>
      <c r="B816" s="263"/>
      <c r="I816" t="s">
        <v>2993</v>
      </c>
    </row>
    <row r="817" spans="1:9">
      <c r="A817" s="263" t="s">
        <v>2994</v>
      </c>
      <c r="B817" s="263"/>
      <c r="I817" t="s">
        <v>2995</v>
      </c>
    </row>
    <row r="818" spans="1:9">
      <c r="A818" s="262" t="s">
        <v>2051</v>
      </c>
      <c r="B818" s="263"/>
      <c r="I818" t="s">
        <v>2996</v>
      </c>
    </row>
    <row r="819" spans="1:9">
      <c r="A819" s="263" t="s">
        <v>2997</v>
      </c>
      <c r="B819" s="263"/>
      <c r="I819" t="s">
        <v>2998</v>
      </c>
    </row>
    <row r="820" spans="1:9">
      <c r="A820" s="262" t="s">
        <v>2054</v>
      </c>
      <c r="B820" s="263"/>
      <c r="I820" t="s">
        <v>2999</v>
      </c>
    </row>
    <row r="821" spans="1:9">
      <c r="A821" s="263" t="s">
        <v>3000</v>
      </c>
      <c r="B821" s="263"/>
      <c r="I821" t="s">
        <v>3001</v>
      </c>
    </row>
    <row r="822" spans="1:9">
      <c r="A822" s="259" t="s">
        <v>2057</v>
      </c>
      <c r="B822" s="263"/>
      <c r="I822" t="s">
        <v>3002</v>
      </c>
    </row>
    <row r="823" spans="1:9">
      <c r="A823" s="262" t="s">
        <v>2059</v>
      </c>
      <c r="B823" s="263"/>
      <c r="I823" t="s">
        <v>3003</v>
      </c>
    </row>
    <row r="824" spans="1:9">
      <c r="A824" s="263" t="s">
        <v>3004</v>
      </c>
      <c r="B824" s="263"/>
      <c r="I824" t="s">
        <v>3005</v>
      </c>
    </row>
    <row r="825" spans="1:9">
      <c r="A825" s="263" t="s">
        <v>3006</v>
      </c>
      <c r="B825" s="263"/>
      <c r="I825" t="s">
        <v>3007</v>
      </c>
    </row>
    <row r="826" spans="1:9">
      <c r="A826" s="263" t="s">
        <v>3008</v>
      </c>
      <c r="B826" s="263"/>
      <c r="I826" t="s">
        <v>3009</v>
      </c>
    </row>
    <row r="827" spans="1:9">
      <c r="A827" s="263" t="s">
        <v>3010</v>
      </c>
      <c r="B827" s="263"/>
      <c r="I827" t="s">
        <v>3011</v>
      </c>
    </row>
    <row r="828" spans="1:9">
      <c r="A828" s="262" t="s">
        <v>2062</v>
      </c>
      <c r="B828" s="263"/>
      <c r="I828" t="s">
        <v>3012</v>
      </c>
    </row>
    <row r="829" spans="1:9">
      <c r="A829" s="263" t="s">
        <v>3013</v>
      </c>
      <c r="B829" s="263"/>
      <c r="I829" t="s">
        <v>3014</v>
      </c>
    </row>
    <row r="830" spans="1:9">
      <c r="A830" s="262" t="s">
        <v>2065</v>
      </c>
      <c r="B830" s="263"/>
      <c r="I830" t="s">
        <v>3015</v>
      </c>
    </row>
    <row r="831" spans="1:9">
      <c r="A831" s="263" t="s">
        <v>3016</v>
      </c>
      <c r="B831" s="263"/>
      <c r="I831" t="s">
        <v>3017</v>
      </c>
    </row>
    <row r="832" spans="1:9">
      <c r="A832" s="262" t="s">
        <v>2067</v>
      </c>
      <c r="B832" s="263"/>
      <c r="I832" t="s">
        <v>3018</v>
      </c>
    </row>
    <row r="833" spans="1:9">
      <c r="A833" s="263" t="s">
        <v>3019</v>
      </c>
      <c r="B833" s="263"/>
      <c r="I833" t="s">
        <v>3020</v>
      </c>
    </row>
    <row r="834" spans="1:9">
      <c r="A834" s="263" t="s">
        <v>3021</v>
      </c>
      <c r="B834" s="263"/>
      <c r="I834" t="s">
        <v>3022</v>
      </c>
    </row>
    <row r="835" spans="1:9">
      <c r="A835" s="259" t="s">
        <v>2070</v>
      </c>
      <c r="B835" s="263"/>
      <c r="I835" t="s">
        <v>3023</v>
      </c>
    </row>
    <row r="836" spans="1:9">
      <c r="A836" s="262" t="s">
        <v>2072</v>
      </c>
      <c r="B836" s="263"/>
      <c r="I836" t="s">
        <v>3024</v>
      </c>
    </row>
    <row r="837" spans="1:9">
      <c r="A837" s="263" t="s">
        <v>3025</v>
      </c>
      <c r="B837" s="263"/>
      <c r="I837" t="s">
        <v>3026</v>
      </c>
    </row>
    <row r="838" spans="1:9">
      <c r="A838" s="260" t="s">
        <v>2141</v>
      </c>
      <c r="B838" s="263"/>
      <c r="I838" t="s">
        <v>3027</v>
      </c>
    </row>
    <row r="839" spans="1:9">
      <c r="A839" s="259" t="s">
        <v>2077</v>
      </c>
      <c r="B839" s="263"/>
      <c r="I839" t="s">
        <v>3028</v>
      </c>
    </row>
    <row r="840" spans="1:9">
      <c r="A840" s="262" t="s">
        <v>2080</v>
      </c>
      <c r="B840" s="263"/>
      <c r="I840" t="s">
        <v>3029</v>
      </c>
    </row>
    <row r="841" spans="1:9">
      <c r="A841" s="263" t="s">
        <v>3030</v>
      </c>
      <c r="B841" s="263"/>
      <c r="I841" t="s">
        <v>3031</v>
      </c>
    </row>
    <row r="842" spans="1:9">
      <c r="A842" s="263" t="s">
        <v>3032</v>
      </c>
      <c r="B842" s="263"/>
      <c r="I842" t="s">
        <v>3033</v>
      </c>
    </row>
    <row r="843" spans="1:9">
      <c r="A843" s="262" t="s">
        <v>2083</v>
      </c>
      <c r="B843" s="263"/>
      <c r="I843" t="s">
        <v>3034</v>
      </c>
    </row>
    <row r="844" spans="1:9">
      <c r="A844" s="263" t="s">
        <v>3035</v>
      </c>
      <c r="B844" s="263"/>
      <c r="I844" t="s">
        <v>3036</v>
      </c>
    </row>
    <row r="845" spans="1:9">
      <c r="A845" s="263" t="s">
        <v>3037</v>
      </c>
      <c r="B845" s="263"/>
      <c r="I845" t="s">
        <v>3038</v>
      </c>
    </row>
    <row r="846" spans="1:9">
      <c r="A846" s="262" t="s">
        <v>2086</v>
      </c>
      <c r="B846" s="263"/>
      <c r="I846" t="s">
        <v>3039</v>
      </c>
    </row>
    <row r="847" spans="1:9">
      <c r="A847" s="263" t="s">
        <v>3040</v>
      </c>
      <c r="B847" s="263"/>
      <c r="I847" t="s">
        <v>3041</v>
      </c>
    </row>
    <row r="848" spans="1:9">
      <c r="A848" s="263" t="s">
        <v>3042</v>
      </c>
      <c r="B848" s="263"/>
      <c r="I848" t="s">
        <v>3043</v>
      </c>
    </row>
    <row r="849" spans="1:9">
      <c r="A849" s="263" t="s">
        <v>3044</v>
      </c>
      <c r="B849" s="263"/>
      <c r="I849" t="s">
        <v>3045</v>
      </c>
    </row>
    <row r="850" spans="1:9">
      <c r="A850" s="263" t="s">
        <v>3046</v>
      </c>
      <c r="B850" s="263"/>
      <c r="I850" t="s">
        <v>3047</v>
      </c>
    </row>
    <row r="851" spans="1:9">
      <c r="A851" s="263" t="s">
        <v>3048</v>
      </c>
      <c r="B851" s="263"/>
      <c r="I851" t="s">
        <v>3049</v>
      </c>
    </row>
    <row r="852" spans="1:9">
      <c r="A852" s="263" t="s">
        <v>3050</v>
      </c>
      <c r="B852" s="263"/>
      <c r="I852" t="s">
        <v>3051</v>
      </c>
    </row>
    <row r="853" spans="1:9">
      <c r="A853" s="262" t="s">
        <v>2088</v>
      </c>
      <c r="B853" s="263"/>
      <c r="I853" t="s">
        <v>3052</v>
      </c>
    </row>
    <row r="854" spans="1:9">
      <c r="A854" s="263" t="s">
        <v>3053</v>
      </c>
      <c r="B854" s="263"/>
      <c r="I854" t="s">
        <v>3054</v>
      </c>
    </row>
    <row r="855" spans="1:9">
      <c r="A855" s="262" t="s">
        <v>2091</v>
      </c>
      <c r="B855" s="263"/>
      <c r="I855" t="s">
        <v>3055</v>
      </c>
    </row>
    <row r="856" spans="1:9">
      <c r="A856" s="263" t="s">
        <v>3056</v>
      </c>
      <c r="B856" s="263"/>
      <c r="I856" t="s">
        <v>3057</v>
      </c>
    </row>
    <row r="857" spans="1:9">
      <c r="A857" s="263" t="s">
        <v>3058</v>
      </c>
      <c r="B857" s="263"/>
      <c r="I857" t="s">
        <v>3059</v>
      </c>
    </row>
    <row r="858" spans="1:9">
      <c r="A858" s="259" t="s">
        <v>2094</v>
      </c>
      <c r="B858" s="263"/>
      <c r="I858" t="s">
        <v>3060</v>
      </c>
    </row>
    <row r="859" spans="1:9">
      <c r="A859" s="262" t="s">
        <v>2097</v>
      </c>
      <c r="B859" s="263"/>
      <c r="I859" t="s">
        <v>3061</v>
      </c>
    </row>
    <row r="860" spans="1:9">
      <c r="A860" s="263" t="s">
        <v>3062</v>
      </c>
      <c r="B860" s="263"/>
      <c r="I860" t="s">
        <v>3063</v>
      </c>
    </row>
    <row r="861" spans="1:9">
      <c r="A861" s="262" t="s">
        <v>2099</v>
      </c>
      <c r="B861" s="263"/>
      <c r="I861" t="s">
        <v>3064</v>
      </c>
    </row>
    <row r="862" spans="1:9">
      <c r="A862" s="263" t="s">
        <v>3065</v>
      </c>
      <c r="B862" s="263"/>
      <c r="I862" t="s">
        <v>3066</v>
      </c>
    </row>
    <row r="863" spans="1:9">
      <c r="A863" s="259" t="s">
        <v>2102</v>
      </c>
      <c r="B863" s="263"/>
      <c r="I863" t="s">
        <v>3067</v>
      </c>
    </row>
    <row r="864" spans="1:9">
      <c r="A864" s="262" t="s">
        <v>2105</v>
      </c>
      <c r="B864" s="263"/>
      <c r="I864" t="s">
        <v>3068</v>
      </c>
    </row>
    <row r="865" spans="1:9">
      <c r="A865" s="263" t="s">
        <v>3069</v>
      </c>
      <c r="B865" s="263"/>
      <c r="I865" t="s">
        <v>3070</v>
      </c>
    </row>
    <row r="866" spans="1:9">
      <c r="A866" s="263" t="s">
        <v>3071</v>
      </c>
      <c r="B866" s="263"/>
      <c r="I866" t="s">
        <v>3072</v>
      </c>
    </row>
    <row r="867" spans="1:9">
      <c r="A867" s="262" t="s">
        <v>2108</v>
      </c>
      <c r="B867" s="263"/>
      <c r="I867" t="s">
        <v>3073</v>
      </c>
    </row>
    <row r="868" spans="1:9">
      <c r="A868" s="263" t="s">
        <v>3074</v>
      </c>
      <c r="B868" s="263"/>
      <c r="I868" t="s">
        <v>3075</v>
      </c>
    </row>
    <row r="869" spans="1:9">
      <c r="A869" s="259" t="s">
        <v>2111</v>
      </c>
      <c r="B869" s="263"/>
      <c r="I869" t="s">
        <v>3076</v>
      </c>
    </row>
    <row r="870" spans="1:9">
      <c r="A870" s="262" t="s">
        <v>2114</v>
      </c>
      <c r="B870" s="263"/>
      <c r="I870" t="s">
        <v>3077</v>
      </c>
    </row>
    <row r="871" spans="1:9">
      <c r="A871" s="263" t="s">
        <v>3078</v>
      </c>
      <c r="B871" s="263"/>
      <c r="I871" t="s">
        <v>3079</v>
      </c>
    </row>
    <row r="872" spans="1:9">
      <c r="A872" s="263" t="s">
        <v>3080</v>
      </c>
      <c r="B872" s="263"/>
      <c r="I872" t="s">
        <v>3081</v>
      </c>
    </row>
    <row r="873" spans="1:9">
      <c r="A873" s="259" t="s">
        <v>2116</v>
      </c>
      <c r="B873" s="263"/>
      <c r="I873" t="s">
        <v>3082</v>
      </c>
    </row>
    <row r="874" spans="1:9">
      <c r="A874" s="262" t="s">
        <v>2118</v>
      </c>
      <c r="B874" s="263"/>
      <c r="I874" t="s">
        <v>3083</v>
      </c>
    </row>
    <row r="875" spans="1:9">
      <c r="A875" s="263" t="s">
        <v>3084</v>
      </c>
      <c r="B875" s="263"/>
      <c r="I875" t="s">
        <v>3085</v>
      </c>
    </row>
    <row r="876" spans="1:9">
      <c r="A876" s="262" t="s">
        <v>2121</v>
      </c>
      <c r="B876" s="263"/>
      <c r="I876" t="s">
        <v>3086</v>
      </c>
    </row>
    <row r="877" spans="1:9">
      <c r="A877" s="263" t="s">
        <v>3087</v>
      </c>
      <c r="B877" s="263"/>
      <c r="I877" t="s">
        <v>3088</v>
      </c>
    </row>
    <row r="878" spans="1:9">
      <c r="A878" s="263" t="s">
        <v>3089</v>
      </c>
      <c r="B878" s="263"/>
      <c r="I878" t="s">
        <v>3090</v>
      </c>
    </row>
    <row r="879" spans="1:9">
      <c r="A879" s="263" t="s">
        <v>3091</v>
      </c>
      <c r="B879" s="263"/>
      <c r="I879" t="s">
        <v>3092</v>
      </c>
    </row>
    <row r="880" spans="1:9">
      <c r="A880" s="262" t="s">
        <v>2124</v>
      </c>
      <c r="B880" s="263"/>
      <c r="I880" t="s">
        <v>3093</v>
      </c>
    </row>
    <row r="881" spans="1:9">
      <c r="A881" s="263" t="s">
        <v>3094</v>
      </c>
      <c r="B881" s="263"/>
      <c r="I881" t="s">
        <v>3095</v>
      </c>
    </row>
    <row r="882" spans="1:9">
      <c r="A882" s="259" t="s">
        <v>2126</v>
      </c>
      <c r="B882" s="263"/>
      <c r="I882" t="s">
        <v>3096</v>
      </c>
    </row>
    <row r="883" spans="1:9">
      <c r="A883" s="262" t="s">
        <v>2129</v>
      </c>
      <c r="B883" s="263"/>
      <c r="I883" t="s">
        <v>3097</v>
      </c>
    </row>
    <row r="884" spans="1:9">
      <c r="A884" s="263" t="s">
        <v>3098</v>
      </c>
      <c r="B884" s="263"/>
      <c r="I884" t="s">
        <v>3099</v>
      </c>
    </row>
    <row r="885" spans="1:9">
      <c r="A885" s="262" t="s">
        <v>2131</v>
      </c>
      <c r="B885" s="263"/>
      <c r="I885" t="s">
        <v>3100</v>
      </c>
    </row>
    <row r="886" spans="1:9">
      <c r="A886" s="263" t="s">
        <v>3101</v>
      </c>
      <c r="B886" s="263"/>
      <c r="I886" t="s">
        <v>3102</v>
      </c>
    </row>
    <row r="887" spans="1:9">
      <c r="A887" s="262" t="s">
        <v>2134</v>
      </c>
      <c r="B887" s="263"/>
      <c r="I887" t="s">
        <v>3103</v>
      </c>
    </row>
    <row r="888" spans="1:9">
      <c r="A888" s="263" t="s">
        <v>3104</v>
      </c>
      <c r="B888" s="263"/>
      <c r="I888" t="s">
        <v>3105</v>
      </c>
    </row>
    <row r="889" spans="1:9">
      <c r="A889" s="262" t="s">
        <v>2136</v>
      </c>
      <c r="B889" s="263"/>
      <c r="I889" t="s">
        <v>3106</v>
      </c>
    </row>
    <row r="890" spans="1:9">
      <c r="A890" s="263" t="s">
        <v>3107</v>
      </c>
      <c r="B890" s="263"/>
      <c r="I890" t="s">
        <v>3108</v>
      </c>
    </row>
    <row r="891" spans="1:9">
      <c r="A891" s="262" t="s">
        <v>2139</v>
      </c>
      <c r="B891" s="263"/>
      <c r="I891" t="s">
        <v>3109</v>
      </c>
    </row>
    <row r="892" spans="1:9">
      <c r="A892" s="263" t="s">
        <v>3110</v>
      </c>
      <c r="B892" s="263"/>
      <c r="I892" t="s">
        <v>3111</v>
      </c>
    </row>
    <row r="893" spans="1:9">
      <c r="A893" s="263" t="s">
        <v>3112</v>
      </c>
      <c r="B893" s="263"/>
      <c r="I893" t="s">
        <v>3113</v>
      </c>
    </row>
    <row r="894" spans="1:9">
      <c r="A894" s="263" t="s">
        <v>3114</v>
      </c>
      <c r="B894" s="263"/>
      <c r="I894" t="s">
        <v>3115</v>
      </c>
    </row>
    <row r="895" spans="1:9">
      <c r="A895" s="260" t="s">
        <v>2154</v>
      </c>
      <c r="B895" s="263"/>
      <c r="I895" t="s">
        <v>3116</v>
      </c>
    </row>
    <row r="896" spans="1:9">
      <c r="A896" s="259" t="s">
        <v>2144</v>
      </c>
      <c r="B896" s="263"/>
      <c r="I896" t="s">
        <v>3117</v>
      </c>
    </row>
    <row r="897" spans="1:9">
      <c r="A897" s="262" t="s">
        <v>2147</v>
      </c>
      <c r="B897" s="263"/>
      <c r="I897" t="s">
        <v>3118</v>
      </c>
    </row>
    <row r="898" spans="1:9">
      <c r="A898" s="263" t="s">
        <v>3119</v>
      </c>
      <c r="B898" s="263"/>
      <c r="I898" t="s">
        <v>3120</v>
      </c>
    </row>
    <row r="899" spans="1:9">
      <c r="A899" s="263" t="s">
        <v>3121</v>
      </c>
      <c r="B899" s="263"/>
      <c r="I899" t="s">
        <v>3122</v>
      </c>
    </row>
    <row r="900" spans="1:9">
      <c r="A900" s="263" t="s">
        <v>3123</v>
      </c>
      <c r="B900" s="263"/>
      <c r="I900" t="s">
        <v>3124</v>
      </c>
    </row>
    <row r="901" spans="1:9">
      <c r="A901" s="262" t="s">
        <v>2149</v>
      </c>
      <c r="B901" s="263"/>
      <c r="I901" t="s">
        <v>3125</v>
      </c>
    </row>
    <row r="902" spans="1:9">
      <c r="A902" s="263" t="s">
        <v>3126</v>
      </c>
      <c r="B902" s="263"/>
      <c r="I902" t="s">
        <v>3127</v>
      </c>
    </row>
    <row r="903" spans="1:9">
      <c r="A903" s="263" t="s">
        <v>3128</v>
      </c>
      <c r="B903" s="263"/>
      <c r="I903" t="s">
        <v>3129</v>
      </c>
    </row>
    <row r="904" spans="1:9">
      <c r="A904" s="263" t="s">
        <v>3130</v>
      </c>
      <c r="B904" s="263"/>
      <c r="I904" t="s">
        <v>3131</v>
      </c>
    </row>
    <row r="905" spans="1:9">
      <c r="A905" s="263" t="s">
        <v>3132</v>
      </c>
      <c r="B905" s="263"/>
      <c r="I905" t="s">
        <v>3133</v>
      </c>
    </row>
    <row r="906" spans="1:9">
      <c r="A906" s="263" t="s">
        <v>3134</v>
      </c>
      <c r="B906" s="263"/>
      <c r="I906" t="s">
        <v>3135</v>
      </c>
    </row>
    <row r="907" spans="1:9">
      <c r="A907" s="262" t="s">
        <v>2152</v>
      </c>
      <c r="B907" s="263"/>
      <c r="I907" t="s">
        <v>3136</v>
      </c>
    </row>
    <row r="908" spans="1:9">
      <c r="A908" s="263" t="s">
        <v>3137</v>
      </c>
      <c r="B908" s="263"/>
      <c r="I908" t="s">
        <v>3138</v>
      </c>
    </row>
    <row r="909" spans="1:9">
      <c r="A909" s="260" t="s">
        <v>2174</v>
      </c>
      <c r="B909" s="263"/>
      <c r="I909" t="s">
        <v>3139</v>
      </c>
    </row>
    <row r="910" spans="1:9">
      <c r="A910" s="259" t="s">
        <v>2157</v>
      </c>
      <c r="B910" s="263"/>
      <c r="I910" t="s">
        <v>3140</v>
      </c>
    </row>
    <row r="911" spans="1:9">
      <c r="A911" s="262" t="s">
        <v>2159</v>
      </c>
      <c r="B911" s="263"/>
      <c r="I911" t="s">
        <v>3141</v>
      </c>
    </row>
    <row r="912" spans="1:9">
      <c r="A912" s="263" t="s">
        <v>3142</v>
      </c>
      <c r="B912" s="263"/>
      <c r="I912" t="s">
        <v>3143</v>
      </c>
    </row>
    <row r="913" spans="1:9">
      <c r="A913" s="262" t="s">
        <v>2161</v>
      </c>
      <c r="B913" s="263"/>
      <c r="I913" t="s">
        <v>3144</v>
      </c>
    </row>
    <row r="914" spans="1:9">
      <c r="A914" s="263" t="s">
        <v>3145</v>
      </c>
      <c r="B914" s="263"/>
      <c r="I914" t="s">
        <v>3146</v>
      </c>
    </row>
    <row r="915" spans="1:9">
      <c r="A915" s="262" t="s">
        <v>2164</v>
      </c>
      <c r="B915" s="263"/>
      <c r="I915" t="s">
        <v>3147</v>
      </c>
    </row>
    <row r="916" spans="1:9">
      <c r="A916" s="263" t="s">
        <v>3148</v>
      </c>
      <c r="B916" s="263"/>
      <c r="I916" t="s">
        <v>3149</v>
      </c>
    </row>
    <row r="917" spans="1:9">
      <c r="A917" s="263" t="s">
        <v>3150</v>
      </c>
      <c r="B917" s="263"/>
      <c r="I917" t="s">
        <v>3151</v>
      </c>
    </row>
    <row r="918" spans="1:9">
      <c r="A918" s="263" t="s">
        <v>3152</v>
      </c>
      <c r="B918" s="263"/>
      <c r="I918" t="s">
        <v>3153</v>
      </c>
    </row>
    <row r="919" spans="1:9">
      <c r="A919" s="262" t="s">
        <v>2167</v>
      </c>
      <c r="B919" s="263"/>
      <c r="I919" t="s">
        <v>3154</v>
      </c>
    </row>
    <row r="920" spans="1:9">
      <c r="A920" s="263" t="s">
        <v>3155</v>
      </c>
      <c r="B920" s="263"/>
      <c r="I920" t="s">
        <v>3156</v>
      </c>
    </row>
    <row r="921" spans="1:9">
      <c r="A921" s="262" t="s">
        <v>2169</v>
      </c>
      <c r="B921" s="263"/>
      <c r="I921" t="s">
        <v>3157</v>
      </c>
    </row>
    <row r="922" spans="1:9">
      <c r="A922" s="263" t="s">
        <v>3158</v>
      </c>
      <c r="B922" s="263"/>
      <c r="I922" t="s">
        <v>3159</v>
      </c>
    </row>
    <row r="923" spans="1:9">
      <c r="A923" s="263" t="s">
        <v>3160</v>
      </c>
      <c r="B923" s="263"/>
      <c r="I923" t="s">
        <v>3161</v>
      </c>
    </row>
    <row r="924" spans="1:9">
      <c r="A924" s="263" t="s">
        <v>3162</v>
      </c>
      <c r="B924" s="263"/>
      <c r="I924" t="s">
        <v>3163</v>
      </c>
    </row>
    <row r="925" spans="1:9">
      <c r="A925" s="263" t="s">
        <v>3164</v>
      </c>
      <c r="B925" s="263"/>
      <c r="I925" t="s">
        <v>3165</v>
      </c>
    </row>
    <row r="926" spans="1:9">
      <c r="A926" s="262" t="s">
        <v>2172</v>
      </c>
      <c r="B926" s="263"/>
      <c r="I926" t="s">
        <v>3166</v>
      </c>
    </row>
    <row r="927" spans="1:9">
      <c r="A927" s="263" t="s">
        <v>3167</v>
      </c>
      <c r="B927" s="263"/>
      <c r="I927" t="s">
        <v>3168</v>
      </c>
    </row>
    <row r="928" spans="1:9">
      <c r="A928" s="263" t="s">
        <v>3169</v>
      </c>
      <c r="B928" s="263"/>
      <c r="I928" t="s">
        <v>3170</v>
      </c>
    </row>
    <row r="929" spans="1:9">
      <c r="A929" s="260" t="s">
        <v>2208</v>
      </c>
      <c r="B929" s="263"/>
      <c r="I929" t="s">
        <v>3171</v>
      </c>
    </row>
    <row r="930" spans="1:9">
      <c r="A930" s="259" t="s">
        <v>2177</v>
      </c>
      <c r="B930" s="263"/>
      <c r="I930" t="s">
        <v>3172</v>
      </c>
    </row>
    <row r="931" spans="1:9">
      <c r="A931" s="262" t="s">
        <v>2180</v>
      </c>
      <c r="B931" s="263"/>
      <c r="I931" t="s">
        <v>3173</v>
      </c>
    </row>
    <row r="932" spans="1:9">
      <c r="A932" s="263" t="s">
        <v>3174</v>
      </c>
      <c r="B932" s="263"/>
      <c r="I932" t="s">
        <v>3175</v>
      </c>
    </row>
    <row r="933" spans="1:9">
      <c r="A933" s="262" t="s">
        <v>2183</v>
      </c>
      <c r="B933" s="263"/>
      <c r="I933" t="s">
        <v>3176</v>
      </c>
    </row>
    <row r="934" spans="1:9">
      <c r="A934" s="263" t="s">
        <v>3177</v>
      </c>
      <c r="B934" s="263"/>
      <c r="I934" t="s">
        <v>3178</v>
      </c>
    </row>
    <row r="935" spans="1:9">
      <c r="A935" s="263" t="s">
        <v>3179</v>
      </c>
      <c r="B935" s="263"/>
      <c r="I935" t="s">
        <v>3180</v>
      </c>
    </row>
    <row r="936" spans="1:9">
      <c r="A936" s="263" t="s">
        <v>3181</v>
      </c>
      <c r="B936" s="263"/>
      <c r="I936" t="s">
        <v>3182</v>
      </c>
    </row>
    <row r="937" spans="1:9">
      <c r="A937" s="262" t="s">
        <v>2185</v>
      </c>
      <c r="B937" s="263"/>
      <c r="I937" t="s">
        <v>3183</v>
      </c>
    </row>
    <row r="938" spans="1:9">
      <c r="A938" s="263" t="s">
        <v>3184</v>
      </c>
      <c r="B938" s="263"/>
      <c r="I938" t="s">
        <v>3185</v>
      </c>
    </row>
    <row r="939" spans="1:9">
      <c r="A939" s="263" t="s">
        <v>3186</v>
      </c>
      <c r="B939" s="263"/>
      <c r="I939" t="s">
        <v>3187</v>
      </c>
    </row>
    <row r="940" spans="1:9">
      <c r="A940" s="263" t="s">
        <v>3188</v>
      </c>
      <c r="B940" s="263"/>
      <c r="I940" t="s">
        <v>3189</v>
      </c>
    </row>
    <row r="941" spans="1:9">
      <c r="A941" s="263" t="s">
        <v>3190</v>
      </c>
      <c r="B941" s="263"/>
      <c r="I941" t="s">
        <v>3191</v>
      </c>
    </row>
    <row r="942" spans="1:9">
      <c r="A942" s="263" t="s">
        <v>3192</v>
      </c>
      <c r="B942" s="263"/>
      <c r="I942" t="s">
        <v>3193</v>
      </c>
    </row>
    <row r="943" spans="1:9">
      <c r="A943" s="263" t="s">
        <v>3194</v>
      </c>
      <c r="B943" s="263"/>
      <c r="I943" t="s">
        <v>3195</v>
      </c>
    </row>
    <row r="944" spans="1:9">
      <c r="A944" s="263" t="s">
        <v>3196</v>
      </c>
      <c r="B944" s="263"/>
      <c r="I944" t="s">
        <v>3197</v>
      </c>
    </row>
    <row r="945" spans="1:9">
      <c r="A945" s="263" t="s">
        <v>3198</v>
      </c>
      <c r="B945" s="263"/>
      <c r="I945" t="s">
        <v>3199</v>
      </c>
    </row>
    <row r="946" spans="1:9">
      <c r="A946" s="259" t="s">
        <v>2188</v>
      </c>
      <c r="B946" s="263"/>
      <c r="I946" t="s">
        <v>3200</v>
      </c>
    </row>
    <row r="947" spans="1:9">
      <c r="A947" s="262" t="s">
        <v>2190</v>
      </c>
      <c r="B947" s="263"/>
      <c r="I947" t="s">
        <v>3201</v>
      </c>
    </row>
    <row r="948" spans="1:9">
      <c r="A948" s="263" t="s">
        <v>3202</v>
      </c>
      <c r="B948" s="263"/>
      <c r="I948" t="s">
        <v>3203</v>
      </c>
    </row>
    <row r="949" spans="1:9">
      <c r="A949" s="262" t="s">
        <v>2193</v>
      </c>
      <c r="B949" s="263"/>
      <c r="I949" t="s">
        <v>3204</v>
      </c>
    </row>
    <row r="950" spans="1:9">
      <c r="A950" s="263" t="s">
        <v>3205</v>
      </c>
      <c r="B950" s="263"/>
      <c r="I950" t="s">
        <v>3206</v>
      </c>
    </row>
    <row r="951" spans="1:9">
      <c r="A951" s="262" t="s">
        <v>2196</v>
      </c>
      <c r="B951" s="263"/>
      <c r="I951" t="s">
        <v>3207</v>
      </c>
    </row>
    <row r="952" spans="1:9">
      <c r="A952" s="263" t="s">
        <v>3208</v>
      </c>
      <c r="B952" s="263"/>
      <c r="I952" t="s">
        <v>3209</v>
      </c>
    </row>
    <row r="953" spans="1:9">
      <c r="A953" s="262" t="s">
        <v>2198</v>
      </c>
      <c r="B953" s="263"/>
      <c r="I953" t="s">
        <v>3210</v>
      </c>
    </row>
    <row r="954" spans="1:9">
      <c r="A954" s="263" t="s">
        <v>3211</v>
      </c>
      <c r="B954" s="263"/>
      <c r="I954" t="s">
        <v>3212</v>
      </c>
    </row>
    <row r="955" spans="1:9">
      <c r="A955" s="263" t="s">
        <v>3213</v>
      </c>
      <c r="B955" s="263"/>
      <c r="I955" t="s">
        <v>3214</v>
      </c>
    </row>
    <row r="956" spans="1:9">
      <c r="A956" s="259" t="s">
        <v>2201</v>
      </c>
      <c r="B956" s="263"/>
      <c r="I956" t="s">
        <v>3215</v>
      </c>
    </row>
    <row r="957" spans="1:9">
      <c r="A957" s="262" t="s">
        <v>2203</v>
      </c>
      <c r="B957" s="263"/>
      <c r="I957" t="s">
        <v>3216</v>
      </c>
    </row>
    <row r="958" spans="1:9">
      <c r="A958" s="263" t="s">
        <v>3217</v>
      </c>
      <c r="B958" s="263"/>
      <c r="I958" t="s">
        <v>3218</v>
      </c>
    </row>
    <row r="959" spans="1:9">
      <c r="A959" s="262" t="s">
        <v>2205</v>
      </c>
      <c r="B959" s="263"/>
      <c r="I959" t="s">
        <v>3219</v>
      </c>
    </row>
    <row r="960" spans="1:9">
      <c r="A960" s="263" t="s">
        <v>3220</v>
      </c>
      <c r="B960" s="263"/>
      <c r="I960" t="s">
        <v>3221</v>
      </c>
    </row>
    <row r="961" spans="1:9">
      <c r="A961" s="263" t="s">
        <v>3222</v>
      </c>
      <c r="B961" s="263"/>
      <c r="I961" t="s">
        <v>3223</v>
      </c>
    </row>
    <row r="962" spans="1:9">
      <c r="A962" s="260" t="s">
        <v>2250</v>
      </c>
      <c r="B962" s="263"/>
      <c r="I962" t="s">
        <v>3224</v>
      </c>
    </row>
    <row r="963" spans="1:9">
      <c r="A963" s="259" t="s">
        <v>2211</v>
      </c>
      <c r="B963" s="263"/>
      <c r="I963" t="s">
        <v>3225</v>
      </c>
    </row>
    <row r="964" spans="1:9">
      <c r="A964" s="262" t="s">
        <v>2214</v>
      </c>
      <c r="B964" s="263"/>
      <c r="I964" t="s">
        <v>3226</v>
      </c>
    </row>
    <row r="965" spans="1:9">
      <c r="A965" s="263" t="s">
        <v>3227</v>
      </c>
      <c r="B965" s="263"/>
      <c r="I965" t="s">
        <v>3228</v>
      </c>
    </row>
    <row r="966" spans="1:9">
      <c r="A966" s="263" t="s">
        <v>3229</v>
      </c>
      <c r="B966" s="263"/>
      <c r="I966" t="s">
        <v>3230</v>
      </c>
    </row>
    <row r="967" spans="1:9">
      <c r="A967" s="263" t="s">
        <v>3231</v>
      </c>
      <c r="B967" s="263"/>
      <c r="I967" t="s">
        <v>3232</v>
      </c>
    </row>
    <row r="968" spans="1:9">
      <c r="A968" s="262" t="s">
        <v>2217</v>
      </c>
      <c r="B968" s="263"/>
      <c r="I968" t="s">
        <v>3233</v>
      </c>
    </row>
    <row r="969" spans="1:9">
      <c r="A969" s="263" t="s">
        <v>3234</v>
      </c>
      <c r="B969" s="263"/>
      <c r="I969" t="s">
        <v>3235</v>
      </c>
    </row>
    <row r="970" spans="1:9">
      <c r="A970" s="262" t="s">
        <v>2220</v>
      </c>
      <c r="B970" s="263"/>
      <c r="I970" t="s">
        <v>3236</v>
      </c>
    </row>
    <row r="971" spans="1:9">
      <c r="A971" s="263" t="s">
        <v>3237</v>
      </c>
      <c r="B971" s="263"/>
      <c r="I971" t="s">
        <v>3238</v>
      </c>
    </row>
    <row r="972" spans="1:9">
      <c r="A972" s="263" t="s">
        <v>3239</v>
      </c>
      <c r="B972" s="263"/>
      <c r="I972" t="s">
        <v>3240</v>
      </c>
    </row>
    <row r="973" spans="1:9">
      <c r="A973" s="259" t="s">
        <v>2222</v>
      </c>
      <c r="B973" s="263"/>
      <c r="I973" t="s">
        <v>3241</v>
      </c>
    </row>
    <row r="974" spans="1:9">
      <c r="A974" s="262" t="s">
        <v>2225</v>
      </c>
      <c r="B974" s="263"/>
      <c r="I974" t="s">
        <v>3242</v>
      </c>
    </row>
    <row r="975" spans="1:9">
      <c r="A975" s="263" t="s">
        <v>3243</v>
      </c>
      <c r="B975" s="263"/>
    </row>
    <row r="976" spans="1:9">
      <c r="A976" s="263" t="s">
        <v>3244</v>
      </c>
      <c r="B976" s="263"/>
    </row>
    <row r="977" spans="1:2">
      <c r="A977" s="262" t="s">
        <v>2228</v>
      </c>
      <c r="B977" s="263"/>
    </row>
    <row r="978" spans="1:2">
      <c r="A978" s="263" t="s">
        <v>3245</v>
      </c>
      <c r="B978" s="263"/>
    </row>
    <row r="979" spans="1:2">
      <c r="A979" s="263" t="s">
        <v>3246</v>
      </c>
      <c r="B979" s="263"/>
    </row>
    <row r="980" spans="1:2">
      <c r="A980" s="262" t="s">
        <v>2231</v>
      </c>
      <c r="B980" s="263"/>
    </row>
    <row r="981" spans="1:2">
      <c r="A981" s="263" t="s">
        <v>3247</v>
      </c>
      <c r="B981" s="263"/>
    </row>
    <row r="982" spans="1:2">
      <c r="A982" s="262" t="s">
        <v>2234</v>
      </c>
      <c r="B982" s="263"/>
    </row>
    <row r="983" spans="1:2">
      <c r="A983" s="263" t="s">
        <v>3248</v>
      </c>
      <c r="B983" s="263"/>
    </row>
    <row r="984" spans="1:2">
      <c r="A984" s="263" t="s">
        <v>3249</v>
      </c>
      <c r="B984" s="263"/>
    </row>
    <row r="985" spans="1:2">
      <c r="A985" s="259" t="s">
        <v>2237</v>
      </c>
      <c r="B985" s="263"/>
    </row>
    <row r="986" spans="1:2">
      <c r="A986" s="262" t="s">
        <v>2240</v>
      </c>
      <c r="B986" s="263"/>
    </row>
    <row r="987" spans="1:2">
      <c r="A987" s="263" t="s">
        <v>3250</v>
      </c>
      <c r="B987" s="263"/>
    </row>
    <row r="988" spans="1:2">
      <c r="A988" s="259" t="s">
        <v>2242</v>
      </c>
      <c r="B988" s="263"/>
    </row>
    <row r="989" spans="1:2">
      <c r="A989" s="262" t="s">
        <v>2245</v>
      </c>
      <c r="B989" s="263"/>
    </row>
    <row r="990" spans="1:2">
      <c r="A990" s="263" t="s">
        <v>3251</v>
      </c>
      <c r="B990" s="263"/>
    </row>
    <row r="991" spans="1:2">
      <c r="A991" s="263" t="s">
        <v>3252</v>
      </c>
      <c r="B991" s="263"/>
    </row>
    <row r="992" spans="1:2">
      <c r="A992" s="263" t="s">
        <v>3253</v>
      </c>
      <c r="B992" s="263"/>
    </row>
    <row r="993" spans="1:2">
      <c r="A993" s="263" t="s">
        <v>3254</v>
      </c>
      <c r="B993" s="263"/>
    </row>
    <row r="994" spans="1:2">
      <c r="A994" s="262" t="s">
        <v>2247</v>
      </c>
      <c r="B994" s="263"/>
    </row>
    <row r="995" spans="1:2">
      <c r="A995" s="263" t="s">
        <v>3255</v>
      </c>
      <c r="B995" s="263"/>
    </row>
    <row r="996" spans="1:2">
      <c r="A996" s="263" t="s">
        <v>3256</v>
      </c>
      <c r="B996" s="263"/>
    </row>
    <row r="997" spans="1:2">
      <c r="A997" s="260" t="s">
        <v>2293</v>
      </c>
      <c r="B997" s="263"/>
    </row>
    <row r="998" spans="1:2">
      <c r="A998" s="259" t="s">
        <v>2253</v>
      </c>
      <c r="B998" s="263"/>
    </row>
    <row r="999" spans="1:2">
      <c r="A999" s="262" t="s">
        <v>2255</v>
      </c>
      <c r="B999" s="263"/>
    </row>
    <row r="1000" spans="1:2">
      <c r="A1000" s="263" t="s">
        <v>3257</v>
      </c>
      <c r="B1000" s="263"/>
    </row>
    <row r="1001" spans="1:2">
      <c r="A1001" s="263" t="s">
        <v>3258</v>
      </c>
      <c r="B1001" s="263"/>
    </row>
    <row r="1002" spans="1:2">
      <c r="A1002" s="262" t="s">
        <v>2258</v>
      </c>
      <c r="B1002" s="263"/>
    </row>
    <row r="1003" spans="1:2">
      <c r="A1003" s="263" t="s">
        <v>3259</v>
      </c>
      <c r="B1003" s="263"/>
    </row>
    <row r="1004" spans="1:2">
      <c r="A1004" s="262" t="s">
        <v>2261</v>
      </c>
      <c r="B1004" s="263"/>
    </row>
    <row r="1005" spans="1:2">
      <c r="A1005" s="263" t="s">
        <v>3260</v>
      </c>
      <c r="B1005" s="263"/>
    </row>
    <row r="1006" spans="1:2">
      <c r="A1006" s="263" t="s">
        <v>3261</v>
      </c>
      <c r="B1006" s="263"/>
    </row>
    <row r="1007" spans="1:2">
      <c r="A1007" s="263" t="s">
        <v>3262</v>
      </c>
      <c r="B1007" s="263"/>
    </row>
    <row r="1008" spans="1:2">
      <c r="A1008" s="259" t="s">
        <v>2264</v>
      </c>
      <c r="B1008" s="263"/>
    </row>
    <row r="1009" spans="1:2">
      <c r="A1009" s="262" t="s">
        <v>2267</v>
      </c>
      <c r="B1009" s="263"/>
    </row>
    <row r="1010" spans="1:2">
      <c r="A1010" s="263" t="s">
        <v>3263</v>
      </c>
      <c r="B1010" s="263"/>
    </row>
    <row r="1011" spans="1:2">
      <c r="A1011" s="262" t="s">
        <v>2270</v>
      </c>
      <c r="B1011" s="263"/>
    </row>
    <row r="1012" spans="1:2">
      <c r="A1012" s="263" t="s">
        <v>3264</v>
      </c>
      <c r="B1012" s="263"/>
    </row>
    <row r="1013" spans="1:2">
      <c r="A1013" s="263" t="s">
        <v>3265</v>
      </c>
      <c r="B1013" s="263"/>
    </row>
    <row r="1014" spans="1:2">
      <c r="A1014" s="263" t="s">
        <v>3266</v>
      </c>
      <c r="B1014" s="263"/>
    </row>
    <row r="1015" spans="1:2">
      <c r="A1015" s="263" t="s">
        <v>3267</v>
      </c>
      <c r="B1015" s="263"/>
    </row>
    <row r="1016" spans="1:2">
      <c r="A1016" s="263" t="s">
        <v>3268</v>
      </c>
      <c r="B1016" s="263"/>
    </row>
    <row r="1017" spans="1:2">
      <c r="A1017" s="263" t="s">
        <v>3269</v>
      </c>
      <c r="B1017" s="263"/>
    </row>
    <row r="1018" spans="1:2">
      <c r="A1018" s="262" t="s">
        <v>2273</v>
      </c>
      <c r="B1018" s="263"/>
    </row>
    <row r="1019" spans="1:2">
      <c r="A1019" s="263" t="s">
        <v>3270</v>
      </c>
      <c r="B1019" s="263"/>
    </row>
    <row r="1020" spans="1:2">
      <c r="A1020" s="263" t="s">
        <v>3271</v>
      </c>
      <c r="B1020" s="263"/>
    </row>
    <row r="1021" spans="1:2">
      <c r="A1021" s="262" t="s">
        <v>2276</v>
      </c>
      <c r="B1021" s="263"/>
    </row>
    <row r="1022" spans="1:2">
      <c r="A1022" s="263" t="s">
        <v>3272</v>
      </c>
      <c r="B1022" s="263"/>
    </row>
    <row r="1023" spans="1:2">
      <c r="A1023" s="259" t="s">
        <v>2279</v>
      </c>
      <c r="B1023" s="263"/>
    </row>
    <row r="1024" spans="1:2">
      <c r="A1024" s="262" t="s">
        <v>2281</v>
      </c>
      <c r="B1024" s="263"/>
    </row>
    <row r="1025" spans="1:2">
      <c r="A1025" s="263" t="s">
        <v>3273</v>
      </c>
      <c r="B1025" s="263"/>
    </row>
    <row r="1026" spans="1:2">
      <c r="A1026" s="262" t="s">
        <v>2283</v>
      </c>
      <c r="B1026" s="263"/>
    </row>
    <row r="1027" spans="1:2">
      <c r="A1027" s="263" t="s">
        <v>3274</v>
      </c>
      <c r="B1027" s="263"/>
    </row>
    <row r="1028" spans="1:2">
      <c r="A1028" s="263" t="s">
        <v>3275</v>
      </c>
      <c r="B1028" s="263"/>
    </row>
    <row r="1029" spans="1:2">
      <c r="A1029" s="263" t="s">
        <v>3276</v>
      </c>
      <c r="B1029" s="263"/>
    </row>
    <row r="1030" spans="1:2">
      <c r="A1030" s="262" t="s">
        <v>2286</v>
      </c>
      <c r="B1030" s="263"/>
    </row>
    <row r="1031" spans="1:2">
      <c r="A1031" s="263" t="s">
        <v>3277</v>
      </c>
      <c r="B1031" s="263"/>
    </row>
    <row r="1032" spans="1:2">
      <c r="A1032" s="262" t="s">
        <v>2288</v>
      </c>
      <c r="B1032" s="263"/>
    </row>
    <row r="1033" spans="1:2">
      <c r="A1033" s="263" t="s">
        <v>3278</v>
      </c>
      <c r="B1033" s="263"/>
    </row>
    <row r="1034" spans="1:2">
      <c r="A1034" s="262" t="s">
        <v>2291</v>
      </c>
      <c r="B1034" s="263"/>
    </row>
    <row r="1035" spans="1:2">
      <c r="A1035" s="263" t="s">
        <v>3279</v>
      </c>
      <c r="B1035" s="263"/>
    </row>
    <row r="1036" spans="1:2">
      <c r="A1036" s="263" t="s">
        <v>3280</v>
      </c>
      <c r="B1036" s="263"/>
    </row>
    <row r="1037" spans="1:2">
      <c r="A1037" s="260" t="s">
        <v>2309</v>
      </c>
      <c r="B1037" s="263"/>
    </row>
    <row r="1038" spans="1:2">
      <c r="A1038" s="259" t="s">
        <v>2296</v>
      </c>
      <c r="B1038" s="263"/>
    </row>
    <row r="1039" spans="1:2">
      <c r="A1039" s="262" t="s">
        <v>2299</v>
      </c>
      <c r="B1039" s="263"/>
    </row>
    <row r="1040" spans="1:2">
      <c r="A1040" s="263" t="s">
        <v>3281</v>
      </c>
      <c r="B1040" s="263"/>
    </row>
    <row r="1041" spans="1:2">
      <c r="A1041" s="259" t="s">
        <v>2301</v>
      </c>
      <c r="B1041" s="263"/>
    </row>
    <row r="1042" spans="1:2">
      <c r="A1042" s="262" t="s">
        <v>2303</v>
      </c>
      <c r="B1042" s="263"/>
    </row>
    <row r="1043" spans="1:2">
      <c r="A1043" s="263" t="s">
        <v>3282</v>
      </c>
      <c r="B1043" s="263"/>
    </row>
    <row r="1044" spans="1:2">
      <c r="A1044" s="262" t="s">
        <v>2306</v>
      </c>
      <c r="B1044" s="263"/>
    </row>
    <row r="1045" spans="1:2">
      <c r="A1045" s="263" t="s">
        <v>3283</v>
      </c>
      <c r="B1045" s="263"/>
    </row>
    <row r="1046" spans="1:2">
      <c r="A1046" s="260" t="s">
        <v>2317</v>
      </c>
      <c r="B1046" s="263"/>
    </row>
    <row r="1047" spans="1:2">
      <c r="A1047" s="259" t="s">
        <v>2312</v>
      </c>
      <c r="B1047" s="263"/>
    </row>
    <row r="1048" spans="1:2">
      <c r="A1048" s="262" t="s">
        <v>2314</v>
      </c>
      <c r="B1048" s="263"/>
    </row>
    <row r="1049" spans="1:2">
      <c r="A1049" s="263" t="s">
        <v>3284</v>
      </c>
    </row>
  </sheetData>
  <sheetProtection algorithmName="SHA-512" hashValue="RzgP9kyR7z0o/GRJ/gZIZkMXQu9zUCAlTbZxpCPKGFyo2BKxbxKtVsqQG4Dl2QTpjTB26EpE+g4j+kPgAFcA0Q==" saltValue="KCTNSC7Mdg1YB/fonE+U2A==" spinCount="100000" sheet="1" objects="1" scenarios="1"/>
  <sortState xmlns:xlrd2="http://schemas.microsoft.com/office/spreadsheetml/2017/richdata2" ref="B3:B398">
    <sortCondition ref="B3:B398"/>
  </sortState>
  <phoneticPr fontId="3" type="noConversion"/>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N793"/>
  <sheetViews>
    <sheetView topLeftCell="A468" zoomScaleNormal="100" workbookViewId="0">
      <selection activeCell="A483" sqref="A483"/>
    </sheetView>
  </sheetViews>
  <sheetFormatPr defaultColWidth="11" defaultRowHeight="14.4"/>
  <cols>
    <col min="1" max="1" width="52.44140625" style="2" customWidth="1"/>
    <col min="2" max="2" width="56.44140625" style="2" customWidth="1"/>
    <col min="3" max="6" width="50.5546875" style="2" customWidth="1"/>
    <col min="7" max="8" width="51.109375" style="2" bestFit="1" customWidth="1"/>
    <col min="9" max="14" width="50.5546875" style="2" customWidth="1"/>
  </cols>
  <sheetData>
    <row r="1" spans="1:14" ht="28.8">
      <c r="A1" s="470" t="s">
        <v>3285</v>
      </c>
      <c r="B1" s="470" t="s">
        <v>3286</v>
      </c>
      <c r="C1" s="471" t="s">
        <v>3287</v>
      </c>
      <c r="D1" s="471" t="s">
        <v>3288</v>
      </c>
      <c r="E1" s="471" t="s">
        <v>3289</v>
      </c>
      <c r="F1" s="471" t="s">
        <v>3290</v>
      </c>
      <c r="G1" s="471" t="s">
        <v>3291</v>
      </c>
      <c r="H1" s="471" t="s">
        <v>3292</v>
      </c>
      <c r="I1" s="471" t="s">
        <v>3293</v>
      </c>
      <c r="J1" s="471" t="s">
        <v>3294</v>
      </c>
      <c r="K1" s="471" t="s">
        <v>3295</v>
      </c>
      <c r="L1" s="471" t="s">
        <v>3296</v>
      </c>
      <c r="M1" s="471" t="s">
        <v>3297</v>
      </c>
      <c r="N1" s="471" t="s">
        <v>3298</v>
      </c>
    </row>
    <row r="2" spans="1:14">
      <c r="A2" s="78"/>
      <c r="B2" s="78"/>
      <c r="C2" s="472" t="s">
        <v>3299</v>
      </c>
      <c r="D2" s="472" t="s">
        <v>3300</v>
      </c>
      <c r="E2" s="472" t="s">
        <v>3301</v>
      </c>
      <c r="F2" s="472" t="s">
        <v>3302</v>
      </c>
      <c r="G2" s="472" t="s">
        <v>3303</v>
      </c>
      <c r="H2" s="472" t="s">
        <v>3304</v>
      </c>
      <c r="I2" s="472" t="s">
        <v>3305</v>
      </c>
      <c r="J2" s="472" t="s">
        <v>3306</v>
      </c>
      <c r="K2" s="472" t="s">
        <v>3307</v>
      </c>
      <c r="L2" s="472" t="s">
        <v>3308</v>
      </c>
      <c r="M2" s="472" t="s">
        <v>3309</v>
      </c>
      <c r="N2" s="472" t="s">
        <v>3310</v>
      </c>
    </row>
    <row r="3" spans="1:14" ht="28.8">
      <c r="A3" s="78"/>
      <c r="B3" s="473"/>
      <c r="C3" s="472" t="str">
        <f>C1&amp; " [" &amp;C2 &amp; "]"</f>
        <v>English - Official [en]</v>
      </c>
      <c r="D3" s="472" t="str">
        <f t="shared" ref="D3:E3" si="0">D1&amp; " [" &amp;D2 &amp; "]"</f>
        <v>Danish - Reviewed translation by Danish Standard Setter [da]</v>
      </c>
      <c r="E3" s="472" t="str">
        <f t="shared" si="0"/>
        <v>Dutch - Reviewed translation by Ducth Standard Setter [nl]</v>
      </c>
      <c r="F3" s="472" t="str">
        <f>F1&amp; " [" &amp;F2 &amp; "]"</f>
        <v>French - Reviewed translation by French Standard Setter [fr]</v>
      </c>
      <c r="G3" s="472" t="str">
        <f>G1&amp; " [" &amp;G2 &amp; "]"</f>
        <v>German - Reviewed translation by German Standard Setter [de]</v>
      </c>
      <c r="H3" s="472" t="str">
        <f>H1&amp; " [" &amp;H2 &amp; "]"</f>
        <v>Irish - Reviewed translation by Irish Standard Setter [ga]</v>
      </c>
      <c r="I3" s="472" t="str">
        <f t="shared" ref="I3:N3" si="1">I1&amp; " [" &amp;I2 &amp; "]"</f>
        <v>Italian - Reviewed translation by Italian Standard Setter [it]</v>
      </c>
      <c r="J3" s="472" t="str">
        <f t="shared" si="1"/>
        <v>Lithuanian - Reviewed translation by Lithuanian Standard Setter [lt]</v>
      </c>
      <c r="K3" s="472" t="str">
        <f t="shared" si="1"/>
        <v>Polish - Reviewed translation by Polish Standard Setter [pl]</v>
      </c>
      <c r="L3" s="472" t="str">
        <f t="shared" si="1"/>
        <v>Portuguese - Reviewed translation by Portuguese Standard Setter [pt]</v>
      </c>
      <c r="M3" s="472" t="str">
        <f>M1&amp; " [" &amp;M2 &amp; "]"</f>
        <v>Slovenian - Reviewed translation by Slovenian Standard Setter [sl]</v>
      </c>
      <c r="N3" s="472" t="str">
        <f t="shared" si="1"/>
        <v>Spanish - Reviewed translation by Spanish Standard Setter [es]</v>
      </c>
    </row>
    <row r="4" spans="1:14">
      <c r="A4" s="469" t="s">
        <v>3311</v>
      </c>
      <c r="B4" s="474" t="str">
        <f t="shared" ref="B4:B68" si="2">INDEX(C4:N4,MATCH(template_selected_display_language,$C$3:$N$3,0))</f>
        <v>Entity Name</v>
      </c>
      <c r="C4" s="475" t="s">
        <v>3312</v>
      </c>
      <c r="D4" s="469" t="s">
        <v>3313</v>
      </c>
      <c r="E4" s="469" t="s">
        <v>3314</v>
      </c>
      <c r="F4" s="469" t="s">
        <v>3315</v>
      </c>
      <c r="G4" s="476" t="s">
        <v>3316</v>
      </c>
      <c r="H4" s="476" t="s">
        <v>3317</v>
      </c>
      <c r="I4" s="475" t="s">
        <v>3318</v>
      </c>
      <c r="J4" s="475" t="s">
        <v>3319</v>
      </c>
      <c r="K4" s="475" t="s">
        <v>3320</v>
      </c>
      <c r="L4" s="475" t="s">
        <v>3321</v>
      </c>
      <c r="M4" s="475" t="s">
        <v>3322</v>
      </c>
      <c r="N4" s="475" t="s">
        <v>3323</v>
      </c>
    </row>
    <row r="5" spans="1:14">
      <c r="A5" s="469" t="s">
        <v>3324</v>
      </c>
      <c r="B5" s="474" t="str">
        <f t="shared" si="2"/>
        <v>Entity Identifier</v>
      </c>
      <c r="C5" s="475" t="s">
        <v>3325</v>
      </c>
      <c r="D5" s="469" t="s">
        <v>3326</v>
      </c>
      <c r="E5" s="469" t="s">
        <v>3327</v>
      </c>
      <c r="F5" s="469" t="s">
        <v>3328</v>
      </c>
      <c r="G5" s="476" t="s">
        <v>3329</v>
      </c>
      <c r="H5" s="476" t="s">
        <v>3330</v>
      </c>
      <c r="I5" s="475" t="s">
        <v>3331</v>
      </c>
      <c r="J5" s="475" t="s">
        <v>3332</v>
      </c>
      <c r="K5" s="475" t="s">
        <v>3333</v>
      </c>
      <c r="L5" s="475" t="s">
        <v>3334</v>
      </c>
      <c r="M5" s="475" t="s">
        <v>3335</v>
      </c>
      <c r="N5" s="475" t="s">
        <v>3336</v>
      </c>
    </row>
    <row r="6" spans="1:14" ht="28.8">
      <c r="A6" s="469" t="s">
        <v>3337</v>
      </c>
      <c r="B6" s="474" t="str">
        <f t="shared" si="2"/>
        <v>Entity Identifier Scheme</v>
      </c>
      <c r="C6" s="475" t="s">
        <v>3338</v>
      </c>
      <c r="D6" s="469" t="s">
        <v>3339</v>
      </c>
      <c r="E6" s="469" t="s">
        <v>3340</v>
      </c>
      <c r="F6" s="469" t="s">
        <v>3341</v>
      </c>
      <c r="G6" s="476" t="s">
        <v>3342</v>
      </c>
      <c r="H6" s="476" t="s">
        <v>3343</v>
      </c>
      <c r="I6" s="475" t="s">
        <v>3344</v>
      </c>
      <c r="J6" s="475" t="s">
        <v>3345</v>
      </c>
      <c r="K6" s="475" t="s">
        <v>3346</v>
      </c>
      <c r="L6" s="475" t="s">
        <v>3347</v>
      </c>
      <c r="M6" s="475" t="s">
        <v>3348</v>
      </c>
      <c r="N6" s="475" t="s">
        <v>3349</v>
      </c>
    </row>
    <row r="7" spans="1:14">
      <c r="A7" s="469" t="s">
        <v>3350</v>
      </c>
      <c r="B7" s="474" t="str">
        <f t="shared" si="2"/>
        <v>Report currency</v>
      </c>
      <c r="C7" s="475" t="s">
        <v>3351</v>
      </c>
      <c r="D7" s="469" t="s">
        <v>3352</v>
      </c>
      <c r="E7" s="469" t="s">
        <v>3352</v>
      </c>
      <c r="F7" s="469" t="s">
        <v>3353</v>
      </c>
      <c r="G7" s="476" t="s">
        <v>3354</v>
      </c>
      <c r="H7" s="476" t="s">
        <v>3355</v>
      </c>
      <c r="I7" s="475" t="s">
        <v>3356</v>
      </c>
      <c r="J7" s="475" t="s">
        <v>3357</v>
      </c>
      <c r="K7" s="475" t="s">
        <v>3358</v>
      </c>
      <c r="L7" s="475" t="s">
        <v>3359</v>
      </c>
      <c r="M7" s="475" t="s">
        <v>3360</v>
      </c>
      <c r="N7" s="475" t="s">
        <v>3361</v>
      </c>
    </row>
    <row r="8" spans="1:14">
      <c r="A8" s="469" t="s">
        <v>3362</v>
      </c>
      <c r="B8" s="474" t="str">
        <f t="shared" si="2"/>
        <v>Decimal separator</v>
      </c>
      <c r="C8" s="475" t="s">
        <v>3363</v>
      </c>
      <c r="D8" s="469" t="s">
        <v>3363</v>
      </c>
      <c r="E8" s="469" t="s">
        <v>3364</v>
      </c>
      <c r="F8" s="469" t="s">
        <v>3365</v>
      </c>
      <c r="G8" s="476" t="s">
        <v>3366</v>
      </c>
      <c r="H8" s="476" t="s">
        <v>3367</v>
      </c>
      <c r="I8" s="475" t="s">
        <v>3368</v>
      </c>
      <c r="J8" s="475" t="s">
        <v>3369</v>
      </c>
      <c r="K8" s="475" t="s">
        <v>3370</v>
      </c>
      <c r="L8" s="475" t="s">
        <v>3371</v>
      </c>
      <c r="M8" s="475" t="s">
        <v>3372</v>
      </c>
      <c r="N8" s="475" t="s">
        <v>3371</v>
      </c>
    </row>
    <row r="9" spans="1:14" ht="43.2">
      <c r="A9" s="469" t="s">
        <v>3373</v>
      </c>
      <c r="B9" s="474" t="str">
        <f t="shared" si="2"/>
        <v>Report period</v>
      </c>
      <c r="C9" s="475" t="s">
        <v>3374</v>
      </c>
      <c r="D9" s="469" t="s">
        <v>3375</v>
      </c>
      <c r="E9" s="469" t="s">
        <v>3376</v>
      </c>
      <c r="F9" s="469" t="s">
        <v>3377</v>
      </c>
      <c r="G9" s="476" t="s">
        <v>3378</v>
      </c>
      <c r="H9" s="476" t="s">
        <v>3379</v>
      </c>
      <c r="I9" s="475" t="s">
        <v>3380</v>
      </c>
      <c r="J9" s="475" t="s">
        <v>3381</v>
      </c>
      <c r="K9" s="475" t="s">
        <v>3382</v>
      </c>
      <c r="L9" s="475" t="s">
        <v>3383</v>
      </c>
      <c r="M9" s="475" t="s">
        <v>3384</v>
      </c>
      <c r="N9" s="475" t="s">
        <v>3385</v>
      </c>
    </row>
    <row r="10" spans="1:14">
      <c r="A10" s="469" t="s">
        <v>3386</v>
      </c>
      <c r="B10" s="474" t="str">
        <f t="shared" si="2"/>
        <v>Report generated</v>
      </c>
      <c r="C10" s="475" t="s">
        <v>3387</v>
      </c>
      <c r="D10" s="469" t="s">
        <v>3388</v>
      </c>
      <c r="E10" s="469" t="s">
        <v>3389</v>
      </c>
      <c r="F10" s="469" t="s">
        <v>3390</v>
      </c>
      <c r="G10" s="476" t="s">
        <v>3391</v>
      </c>
      <c r="H10" s="476" t="s">
        <v>3392</v>
      </c>
      <c r="I10" s="475" t="s">
        <v>3393</v>
      </c>
      <c r="J10" s="475" t="s">
        <v>3394</v>
      </c>
      <c r="K10" s="475" t="s">
        <v>3395</v>
      </c>
      <c r="L10" s="475" t="s">
        <v>3396</v>
      </c>
      <c r="M10" s="475" t="s">
        <v>3397</v>
      </c>
      <c r="N10" s="475" t="s">
        <v>3398</v>
      </c>
    </row>
    <row r="11" spans="1:14" ht="28.8">
      <c r="A11" s="469" t="s">
        <v>3399</v>
      </c>
      <c r="B11" s="474" t="str">
        <f t="shared" si="2"/>
        <v>All disclosures are related to the reporting period above unless specified otherwise.</v>
      </c>
      <c r="C11" s="475" t="s">
        <v>3400</v>
      </c>
      <c r="D11" s="469" t="s">
        <v>3401</v>
      </c>
      <c r="E11" s="469" t="s">
        <v>3402</v>
      </c>
      <c r="F11" s="469" t="s">
        <v>3403</v>
      </c>
      <c r="G11" s="476" t="s">
        <v>3404</v>
      </c>
      <c r="H11" s="476" t="s">
        <v>3405</v>
      </c>
      <c r="I11" s="475" t="s">
        <v>3406</v>
      </c>
      <c r="J11" s="475" t="s">
        <v>3407</v>
      </c>
      <c r="K11" s="475" t="s">
        <v>3408</v>
      </c>
      <c r="L11" s="475" t="s">
        <v>3409</v>
      </c>
      <c r="M11" s="475" t="s">
        <v>3410</v>
      </c>
      <c r="N11" s="475" t="s">
        <v>3411</v>
      </c>
    </row>
    <row r="12" spans="1:14" ht="43.2">
      <c r="A12" s="469" t="s">
        <v>3412</v>
      </c>
      <c r="B12" s="474" t="str">
        <f t="shared" si="2"/>
        <v>Table of Contents</v>
      </c>
      <c r="C12" s="475" t="s">
        <v>3413</v>
      </c>
      <c r="D12" s="469" t="s">
        <v>3414</v>
      </c>
      <c r="E12" s="469" t="s">
        <v>3415</v>
      </c>
      <c r="F12" s="469" t="s">
        <v>3416</v>
      </c>
      <c r="G12" s="476" t="s">
        <v>3417</v>
      </c>
      <c r="H12" s="476" t="s">
        <v>3418</v>
      </c>
      <c r="I12" s="475" t="s">
        <v>3419</v>
      </c>
      <c r="J12" s="475" t="s">
        <v>3420</v>
      </c>
      <c r="K12" s="475" t="s">
        <v>3421</v>
      </c>
      <c r="L12" s="475" t="s">
        <v>3422</v>
      </c>
      <c r="M12" s="475" t="s">
        <v>3423</v>
      </c>
      <c r="N12" s="475" t="s">
        <v>3424</v>
      </c>
    </row>
    <row r="13" spans="1:14">
      <c r="A13" s="469" t="s">
        <v>3425</v>
      </c>
      <c r="B13" s="474" t="str">
        <f t="shared" si="2"/>
        <v>Reporting period:</v>
      </c>
      <c r="C13" s="475" t="s">
        <v>3426</v>
      </c>
      <c r="D13" s="469" t="s">
        <v>3427</v>
      </c>
      <c r="E13" s="469" t="s">
        <v>3428</v>
      </c>
      <c r="F13" s="469" t="s">
        <v>3429</v>
      </c>
      <c r="G13" s="476" t="s">
        <v>3430</v>
      </c>
      <c r="H13" s="476" t="s">
        <v>3431</v>
      </c>
      <c r="I13" s="475" t="s">
        <v>3380</v>
      </c>
      <c r="J13" s="475" t="s">
        <v>3432</v>
      </c>
      <c r="K13" s="475" t="s">
        <v>3382</v>
      </c>
      <c r="L13" s="475" t="s">
        <v>3433</v>
      </c>
      <c r="M13" s="475" t="s">
        <v>3434</v>
      </c>
      <c r="N13" s="475" t="s">
        <v>3435</v>
      </c>
    </row>
    <row r="14" spans="1:14" ht="29.4" thickBot="1">
      <c r="A14" s="477" t="s">
        <v>3436</v>
      </c>
      <c r="B14" s="478" t="str">
        <f t="shared" si="2"/>
        <v>This report contains {{ ns.fact_count }} XBRL facts ({{ facts | count }} unique facts).</v>
      </c>
      <c r="C14" s="479" t="s">
        <v>3437</v>
      </c>
      <c r="D14" s="477" t="s">
        <v>3438</v>
      </c>
      <c r="E14" s="477" t="s">
        <v>3439</v>
      </c>
      <c r="F14" s="477" t="s">
        <v>3440</v>
      </c>
      <c r="G14" s="480" t="s">
        <v>3441</v>
      </c>
      <c r="H14" s="480" t="s">
        <v>3442</v>
      </c>
      <c r="I14" s="479" t="s">
        <v>3443</v>
      </c>
      <c r="J14" s="479" t="s">
        <v>3444</v>
      </c>
      <c r="K14" s="479" t="s">
        <v>3445</v>
      </c>
      <c r="L14" s="479" t="s">
        <v>3446</v>
      </c>
      <c r="M14" s="479" t="s">
        <v>3447</v>
      </c>
      <c r="N14" s="479" t="s">
        <v>3448</v>
      </c>
    </row>
    <row r="15" spans="1:14">
      <c r="A15" s="469" t="s">
        <v>3449</v>
      </c>
      <c r="B15" s="474" t="str">
        <f t="shared" si="2"/>
        <v>Version:</v>
      </c>
      <c r="C15" s="475" t="s">
        <v>3450</v>
      </c>
      <c r="D15" s="469" t="s">
        <v>3450</v>
      </c>
      <c r="E15" s="469" t="s">
        <v>3451</v>
      </c>
      <c r="F15" s="469" t="s">
        <v>3452</v>
      </c>
      <c r="G15" s="476" t="s">
        <v>3450</v>
      </c>
      <c r="H15" s="476" t="s">
        <v>3453</v>
      </c>
      <c r="I15" s="475" t="s">
        <v>3454</v>
      </c>
      <c r="J15" s="475" t="s">
        <v>3455</v>
      </c>
      <c r="K15" s="475" t="s">
        <v>3456</v>
      </c>
      <c r="L15" s="475" t="s">
        <v>3457</v>
      </c>
      <c r="M15" s="475" t="s">
        <v>3458</v>
      </c>
      <c r="N15" s="475" t="s">
        <v>3459</v>
      </c>
    </row>
    <row r="16" spans="1:14">
      <c r="A16" s="469" t="s">
        <v>3460</v>
      </c>
      <c r="B16" s="474" t="str">
        <f t="shared" si="2"/>
        <v>Publication date:</v>
      </c>
      <c r="C16" s="475" t="s">
        <v>3461</v>
      </c>
      <c r="D16" s="469" t="s">
        <v>3462</v>
      </c>
      <c r="E16" s="469" t="s">
        <v>3463</v>
      </c>
      <c r="F16" s="469" t="s">
        <v>3464</v>
      </c>
      <c r="G16" s="476" t="s">
        <v>3465</v>
      </c>
      <c r="H16" s="476" t="s">
        <v>3466</v>
      </c>
      <c r="I16" s="2" t="s">
        <v>3467</v>
      </c>
      <c r="J16" s="475" t="s">
        <v>3468</v>
      </c>
      <c r="K16" s="475" t="s">
        <v>3469</v>
      </c>
      <c r="L16" s="475" t="s">
        <v>3470</v>
      </c>
      <c r="M16" s="475" t="s">
        <v>3471</v>
      </c>
      <c r="N16" s="475" t="s">
        <v>3472</v>
      </c>
    </row>
    <row r="17" spans="1:14">
      <c r="A17" s="469" t="s">
        <v>3473</v>
      </c>
      <c r="B17" s="474" t="str">
        <f t="shared" si="2"/>
        <v>Taxonomy entry point:</v>
      </c>
      <c r="C17" s="475" t="s">
        <v>3474</v>
      </c>
      <c r="D17" s="469" t="s">
        <v>3475</v>
      </c>
      <c r="E17" s="469" t="s">
        <v>3476</v>
      </c>
      <c r="F17" s="469" t="s">
        <v>3477</v>
      </c>
      <c r="G17" s="476" t="s">
        <v>3478</v>
      </c>
      <c r="H17" s="476" t="s">
        <v>3479</v>
      </c>
      <c r="I17" s="2" t="s">
        <v>3480</v>
      </c>
      <c r="J17" s="475" t="s">
        <v>3481</v>
      </c>
      <c r="K17" s="475" t="s">
        <v>3482</v>
      </c>
      <c r="L17" s="475" t="s">
        <v>3483</v>
      </c>
      <c r="M17" s="475" t="s">
        <v>3484</v>
      </c>
      <c r="N17" s="475" t="s">
        <v>3485</v>
      </c>
    </row>
    <row r="18" spans="1:14">
      <c r="A18" s="469" t="s">
        <v>3486</v>
      </c>
      <c r="B18" s="474" t="str">
        <f>INDEX(C18:N18,MATCH(template_selected_display_language,$C$3:$N$3,0))</f>
        <v>Language selection</v>
      </c>
      <c r="C18" s="475" t="s">
        <v>3487</v>
      </c>
      <c r="D18" s="469" t="s">
        <v>3488</v>
      </c>
      <c r="E18" s="469" t="s">
        <v>3489</v>
      </c>
      <c r="F18" s="469" t="s">
        <v>3490</v>
      </c>
      <c r="G18" s="469" t="s">
        <v>3491</v>
      </c>
      <c r="H18" s="469" t="s">
        <v>3492</v>
      </c>
      <c r="I18" s="469" t="s">
        <v>3493</v>
      </c>
      <c r="J18" s="469" t="s">
        <v>3494</v>
      </c>
      <c r="K18" s="469" t="s">
        <v>3495</v>
      </c>
      <c r="L18" s="469" t="s">
        <v>3496</v>
      </c>
      <c r="M18" s="469" t="s">
        <v>3497</v>
      </c>
      <c r="N18" s="469" t="s">
        <v>3498</v>
      </c>
    </row>
    <row r="19" spans="1:14" s="540" customFormat="1" ht="57.6">
      <c r="A19" s="576" t="s">
        <v>3499</v>
      </c>
      <c r="B19" s="590" t="str">
        <f>INDEX(C19:N19,MATCH(template_selected_display_language,$C$3:$N$3,0))</f>
        <v>VS Digital Template enables translations into different EU languages.
Please select the language from the dropdown below.</v>
      </c>
      <c r="C19" s="579" t="s">
        <v>3500</v>
      </c>
      <c r="D19" s="576" t="s">
        <v>3501</v>
      </c>
      <c r="E19" s="576" t="s">
        <v>3502</v>
      </c>
      <c r="F19" s="576" t="s">
        <v>3503</v>
      </c>
      <c r="G19" s="576" t="s">
        <v>3504</v>
      </c>
      <c r="H19" s="576" t="s">
        <v>3505</v>
      </c>
      <c r="I19" s="576" t="s">
        <v>3506</v>
      </c>
      <c r="J19" s="576" t="s">
        <v>3507</v>
      </c>
      <c r="K19" s="576" t="s">
        <v>3508</v>
      </c>
      <c r="L19" s="576" t="s">
        <v>3509</v>
      </c>
      <c r="M19" s="576" t="s">
        <v>3510</v>
      </c>
      <c r="N19" s="576" t="s">
        <v>3511</v>
      </c>
    </row>
    <row r="20" spans="1:14">
      <c r="A20" s="469" t="s">
        <v>3512</v>
      </c>
      <c r="B20" s="474" t="str">
        <f t="shared" si="2"/>
        <v>Main title of the report</v>
      </c>
      <c r="C20" s="475" t="s">
        <v>3513</v>
      </c>
      <c r="D20" s="469" t="s">
        <v>3514</v>
      </c>
      <c r="E20" s="469" t="s">
        <v>3515</v>
      </c>
      <c r="F20" s="469" t="s">
        <v>3516</v>
      </c>
      <c r="G20" s="476" t="s">
        <v>3517</v>
      </c>
      <c r="H20" s="476" t="s">
        <v>3518</v>
      </c>
      <c r="I20" s="2" t="s">
        <v>3519</v>
      </c>
      <c r="J20" s="475" t="s">
        <v>3520</v>
      </c>
      <c r="K20" s="475" t="s">
        <v>3521</v>
      </c>
      <c r="L20" s="475" t="s">
        <v>3522</v>
      </c>
      <c r="M20" s="475" t="s">
        <v>3523</v>
      </c>
      <c r="N20" s="475" t="s">
        <v>3524</v>
      </c>
    </row>
    <row r="21" spans="1:14" ht="43.2">
      <c r="A21" s="469" t="s">
        <v>3525</v>
      </c>
      <c r="B21" s="474" t="str">
        <f t="shared" si="2"/>
        <v xml:space="preserve">Sustainability Report </v>
      </c>
      <c r="C21" s="475" t="s">
        <v>3526</v>
      </c>
      <c r="D21" s="469" t="s">
        <v>3527</v>
      </c>
      <c r="E21" s="469" t="s">
        <v>3528</v>
      </c>
      <c r="F21" s="469" t="s">
        <v>3529</v>
      </c>
      <c r="G21" s="476" t="s">
        <v>3530</v>
      </c>
      <c r="H21" s="476" t="s">
        <v>3531</v>
      </c>
      <c r="I21" s="2" t="s">
        <v>3532</v>
      </c>
      <c r="J21" s="475" t="s">
        <v>3533</v>
      </c>
      <c r="K21" s="475" t="s">
        <v>3534</v>
      </c>
      <c r="L21" s="475" t="s">
        <v>3535</v>
      </c>
      <c r="M21" s="475" t="s">
        <v>3536</v>
      </c>
      <c r="N21" s="475" t="s">
        <v>3537</v>
      </c>
    </row>
    <row r="22" spans="1:14" ht="43.2">
      <c r="A22" s="469" t="s">
        <v>3538</v>
      </c>
      <c r="B22" s="474" t="str">
        <f t="shared" si="2"/>
        <v>Subtitle of the report</v>
      </c>
      <c r="C22" s="475" t="s">
        <v>3539</v>
      </c>
      <c r="D22" s="469" t="s">
        <v>3540</v>
      </c>
      <c r="E22" s="469" t="s">
        <v>3541</v>
      </c>
      <c r="F22" s="469" t="s">
        <v>3542</v>
      </c>
      <c r="G22" s="476" t="s">
        <v>3543</v>
      </c>
      <c r="H22" s="476" t="s">
        <v>3544</v>
      </c>
      <c r="I22" s="2" t="s">
        <v>3545</v>
      </c>
      <c r="J22" s="475" t="s">
        <v>3546</v>
      </c>
      <c r="K22" s="475" t="s">
        <v>3547</v>
      </c>
      <c r="L22" s="475" t="s">
        <v>3548</v>
      </c>
      <c r="M22" s="475" t="s">
        <v>3549</v>
      </c>
      <c r="N22" s="475" t="s">
        <v>3550</v>
      </c>
    </row>
    <row r="23" spans="1:14" s="540" customFormat="1" ht="72">
      <c r="A23" s="576" t="s">
        <v>3551</v>
      </c>
      <c r="B23" s="590" t="str">
        <f t="shared" si="2"/>
        <v xml:space="preserve">Prepared in accordance with the  Voluntary Standard (Annex I of  Commission Delegated Regulation (EU) …/… ) published in the Official Journal on XX September 2026. </v>
      </c>
      <c r="C23" s="579" t="s">
        <v>3552</v>
      </c>
      <c r="D23" s="576" t="s">
        <v>3553</v>
      </c>
      <c r="E23" s="576" t="s">
        <v>3554</v>
      </c>
      <c r="F23" s="576" t="s">
        <v>3555</v>
      </c>
      <c r="G23" s="591" t="s">
        <v>3556</v>
      </c>
      <c r="H23" s="591" t="s">
        <v>3557</v>
      </c>
      <c r="I23" s="589" t="s">
        <v>3558</v>
      </c>
      <c r="J23" s="579" t="s">
        <v>3559</v>
      </c>
      <c r="K23" s="579" t="s">
        <v>3560</v>
      </c>
      <c r="L23" s="579" t="s">
        <v>3561</v>
      </c>
      <c r="M23" s="579" t="s">
        <v>3562</v>
      </c>
      <c r="N23" s="579" t="s">
        <v>3563</v>
      </c>
    </row>
    <row r="24" spans="1:14" s="540" customFormat="1">
      <c r="A24" s="576" t="s">
        <v>3564</v>
      </c>
      <c r="B24" s="590" t="str">
        <f t="shared" si="2"/>
        <v>VS Digital Template</v>
      </c>
      <c r="C24" s="579" t="s">
        <v>3565</v>
      </c>
      <c r="D24" s="576" t="s">
        <v>3566</v>
      </c>
      <c r="E24" s="576" t="s">
        <v>3567</v>
      </c>
      <c r="F24" s="576" t="s">
        <v>3568</v>
      </c>
      <c r="G24" s="591" t="s">
        <v>3569</v>
      </c>
      <c r="H24" s="591" t="s">
        <v>3570</v>
      </c>
      <c r="I24" s="589" t="s">
        <v>3571</v>
      </c>
      <c r="J24" s="579" t="s">
        <v>3572</v>
      </c>
      <c r="K24" s="579" t="s">
        <v>3573</v>
      </c>
      <c r="L24" s="579" t="s">
        <v>3574</v>
      </c>
      <c r="M24" s="579" t="s">
        <v>3575</v>
      </c>
      <c r="N24" s="579" t="s">
        <v>3576</v>
      </c>
    </row>
    <row r="25" spans="1:14" s="540" customFormat="1" ht="197.1" customHeight="1">
      <c r="A25" s="576" t="s">
        <v>3577</v>
      </c>
      <c r="B25" s="590" t="str">
        <f t="shared" si="2"/>
        <v>The purpose of this digital template is to illustrate how VS reporting can be implemented in a digital template. The template reflects the Voluntary Standard (Annex I of  Commission Delegated Regulation (EU) …/… ) as published by the European Commission in the Official Journal on XX September 2026. The template is accompanied by a digital VS XBRL taxonomy, which represents the digital data model of the disclosures and is available on EFRAG's website.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Voluntary Standard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5" s="579" t="s">
        <v>3578</v>
      </c>
      <c r="D25" s="576" t="s">
        <v>3579</v>
      </c>
      <c r="E25" s="576" t="s">
        <v>3580</v>
      </c>
      <c r="F25" s="576" t="s">
        <v>3581</v>
      </c>
      <c r="G25" s="591" t="s">
        <v>3582</v>
      </c>
      <c r="H25" s="591" t="s">
        <v>3583</v>
      </c>
      <c r="I25" s="589" t="s">
        <v>3584</v>
      </c>
      <c r="J25" s="579" t="s">
        <v>3585</v>
      </c>
      <c r="K25" s="579" t="s">
        <v>3586</v>
      </c>
      <c r="L25" s="579" t="s">
        <v>3587</v>
      </c>
      <c r="M25" s="579" t="s">
        <v>3588</v>
      </c>
      <c r="N25" s="579" t="s">
        <v>3589</v>
      </c>
    </row>
    <row r="26" spans="1:14">
      <c r="A26" s="469" t="s">
        <v>3590</v>
      </c>
      <c r="B26" s="474" t="str">
        <f t="shared" si="2"/>
        <v>How to use it:</v>
      </c>
      <c r="C26" s="475" t="s">
        <v>3591</v>
      </c>
      <c r="D26" s="469" t="s">
        <v>3592</v>
      </c>
      <c r="E26" s="469" t="s">
        <v>3593</v>
      </c>
      <c r="F26" s="469" t="s">
        <v>3594</v>
      </c>
      <c r="G26" s="476" t="s">
        <v>3595</v>
      </c>
      <c r="H26" s="476" t="s">
        <v>3596</v>
      </c>
      <c r="I26" s="2" t="s">
        <v>3597</v>
      </c>
      <c r="J26" s="475" t="s">
        <v>3598</v>
      </c>
      <c r="K26" s="475" t="s">
        <v>3599</v>
      </c>
      <c r="L26" s="475" t="s">
        <v>3600</v>
      </c>
      <c r="M26" s="475" t="s">
        <v>3601</v>
      </c>
      <c r="N26" s="475" t="s">
        <v>3602</v>
      </c>
    </row>
    <row r="27" spans="1:14" s="540" customFormat="1" ht="28.8">
      <c r="A27" s="576" t="s">
        <v>3603</v>
      </c>
      <c r="B27" s="590" t="str">
        <f t="shared" si="2"/>
        <v>0. Provide information that is mandatory in order to generate the VS and XBRL Report.</v>
      </c>
      <c r="C27" s="579" t="s">
        <v>3604</v>
      </c>
      <c r="D27" s="576" t="s">
        <v>3605</v>
      </c>
      <c r="E27" s="576" t="s">
        <v>3606</v>
      </c>
      <c r="F27" s="576" t="s">
        <v>3607</v>
      </c>
      <c r="G27" s="591" t="s">
        <v>3608</v>
      </c>
      <c r="H27" s="591" t="s">
        <v>3609</v>
      </c>
      <c r="I27" s="589" t="s">
        <v>3610</v>
      </c>
      <c r="J27" s="579" t="s">
        <v>3611</v>
      </c>
      <c r="K27" s="579" t="s">
        <v>3612</v>
      </c>
      <c r="L27" s="579" t="s">
        <v>3613</v>
      </c>
      <c r="M27" s="579" t="s">
        <v>3614</v>
      </c>
      <c r="N27" s="579" t="s">
        <v>3615</v>
      </c>
    </row>
    <row r="28" spans="1:14" ht="129.6">
      <c r="A28" s="469" t="s">
        <v>3616</v>
      </c>
      <c r="B28" s="474" t="str">
        <f t="shared" si="2"/>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8" s="475" t="s">
        <v>3617</v>
      </c>
      <c r="D28" s="469" t="s">
        <v>3618</v>
      </c>
      <c r="E28" s="469" t="s">
        <v>3619</v>
      </c>
      <c r="F28" s="469" t="s">
        <v>3620</v>
      </c>
      <c r="G28" s="476" t="s">
        <v>3621</v>
      </c>
      <c r="H28" s="476" t="s">
        <v>3622</v>
      </c>
      <c r="I28" s="2" t="s">
        <v>3623</v>
      </c>
      <c r="J28" s="475" t="s">
        <v>3624</v>
      </c>
      <c r="K28" s="475" t="s">
        <v>3625</v>
      </c>
      <c r="L28" s="475" t="s">
        <v>3626</v>
      </c>
      <c r="M28" s="475" t="s">
        <v>3627</v>
      </c>
      <c r="N28" s="475" t="s">
        <v>3628</v>
      </c>
    </row>
    <row r="29" spans="1:14" s="540" customFormat="1" ht="100.8">
      <c r="A29" s="576" t="s">
        <v>3629</v>
      </c>
      <c r="B29" s="590" t="str">
        <f t="shared" si="2"/>
        <v>2. Find more information on the actual disclosure requirements in the Voluntary Standard Standard and the related guidance linked to each cell. Additional or entity-specific disclosures can be provided in each text box at the end of each worksheet.</v>
      </c>
      <c r="C29" s="579" t="s">
        <v>3630</v>
      </c>
      <c r="D29" s="576" t="s">
        <v>3631</v>
      </c>
      <c r="E29" s="576" t="s">
        <v>3632</v>
      </c>
      <c r="F29" s="576" t="s">
        <v>3633</v>
      </c>
      <c r="G29" s="591" t="s">
        <v>3634</v>
      </c>
      <c r="H29" s="591" t="s">
        <v>3635</v>
      </c>
      <c r="I29" s="589" t="s">
        <v>3636</v>
      </c>
      <c r="J29" s="579" t="s">
        <v>3637</v>
      </c>
      <c r="K29" s="579" t="s">
        <v>3638</v>
      </c>
      <c r="L29" s="579" t="s">
        <v>3639</v>
      </c>
      <c r="M29" s="579" t="s">
        <v>3640</v>
      </c>
      <c r="N29" s="579" t="s">
        <v>3641</v>
      </c>
    </row>
    <row r="30" spans="1:14" ht="115.2">
      <c r="A30" s="469" t="s">
        <v>3642</v>
      </c>
      <c r="B30" s="474" t="str">
        <f t="shared" si="2"/>
        <v>3. For open tables like the List of subsidiaries/sites, please expand the groups by clicking the plus [+] icon on the left side. If more rows are needed, they can be added by inserting them between the first and last row. The row IDs in open tables must remain unique per table.</v>
      </c>
      <c r="C30" s="475" t="s">
        <v>3643</v>
      </c>
      <c r="D30" s="469" t="s">
        <v>3644</v>
      </c>
      <c r="E30" s="469" t="s">
        <v>3645</v>
      </c>
      <c r="F30" s="469" t="s">
        <v>3646</v>
      </c>
      <c r="G30" s="476" t="s">
        <v>3647</v>
      </c>
      <c r="H30" s="476" t="s">
        <v>3648</v>
      </c>
      <c r="I30" s="2" t="s">
        <v>3649</v>
      </c>
      <c r="J30" s="475" t="s">
        <v>3650</v>
      </c>
      <c r="K30" s="475" t="s">
        <v>3651</v>
      </c>
      <c r="L30" s="475" t="s">
        <v>3652</v>
      </c>
      <c r="M30" s="475" t="s">
        <v>3653</v>
      </c>
      <c r="N30" s="475" t="s">
        <v>3654</v>
      </c>
    </row>
    <row r="31" spans="1:14" ht="86.4">
      <c r="A31" s="469" t="s">
        <v>3655</v>
      </c>
      <c r="B31" s="474" t="str">
        <f t="shared" si="2"/>
        <v>4. Validate the data entered by checking the validation status. The report is considered incomplete or erroneous if the validation fails, which might result in an invalid XBRL report.</v>
      </c>
      <c r="C31" s="475" t="s">
        <v>3656</v>
      </c>
      <c r="D31" s="469" t="s">
        <v>3657</v>
      </c>
      <c r="E31" s="469" t="s">
        <v>3658</v>
      </c>
      <c r="F31" s="469" t="s">
        <v>3659</v>
      </c>
      <c r="G31" s="476" t="s">
        <v>3660</v>
      </c>
      <c r="H31" s="476" t="s">
        <v>3661</v>
      </c>
      <c r="I31" s="2" t="s">
        <v>3662</v>
      </c>
      <c r="J31" s="475" t="s">
        <v>3663</v>
      </c>
      <c r="K31" s="475" t="s">
        <v>3664</v>
      </c>
      <c r="L31" s="475" t="s">
        <v>3665</v>
      </c>
      <c r="M31" s="475" t="s">
        <v>3666</v>
      </c>
      <c r="N31" s="475" t="s">
        <v>3667</v>
      </c>
    </row>
    <row r="32" spans="1:14" ht="72">
      <c r="A32" s="469" t="s">
        <v>3668</v>
      </c>
      <c r="B32" s="474" t="str">
        <f t="shared" si="2"/>
        <v>5. Convert this template to an Inline XBRL report (or XBRL-JSON, XBRL-CSV), using the online converter: https://xbrl.efrag.org/convert/. Pay attention to the XBRL validation performed by the validator.</v>
      </c>
      <c r="C32" s="475" t="s">
        <v>3669</v>
      </c>
      <c r="D32" s="469" t="s">
        <v>3670</v>
      </c>
      <c r="E32" s="469" t="s">
        <v>3671</v>
      </c>
      <c r="F32" s="469" t="s">
        <v>3672</v>
      </c>
      <c r="G32" s="476" t="s">
        <v>3673</v>
      </c>
      <c r="H32" s="476" t="s">
        <v>3674</v>
      </c>
      <c r="I32" s="2" t="s">
        <v>3675</v>
      </c>
      <c r="J32" s="475" t="s">
        <v>3676</v>
      </c>
      <c r="K32" s="475" t="s">
        <v>3677</v>
      </c>
      <c r="L32" s="475" t="s">
        <v>3678</v>
      </c>
      <c r="M32" s="475" t="s">
        <v>3679</v>
      </c>
      <c r="N32" s="475" t="s">
        <v>3680</v>
      </c>
    </row>
    <row r="33" spans="1:14" ht="28.8">
      <c r="A33" s="469" t="s">
        <v>3681</v>
      </c>
      <c r="B33" s="474" t="str">
        <f t="shared" si="2"/>
        <v>6. The undertaking may also upload the report to public repositories or a webpage.</v>
      </c>
      <c r="C33" s="475" t="s">
        <v>3682</v>
      </c>
      <c r="D33" s="469" t="s">
        <v>3683</v>
      </c>
      <c r="E33" s="469" t="s">
        <v>3684</v>
      </c>
      <c r="F33" s="469" t="s">
        <v>3685</v>
      </c>
      <c r="G33" s="476" t="s">
        <v>3686</v>
      </c>
      <c r="H33" s="476" t="s">
        <v>3687</v>
      </c>
      <c r="I33" s="2" t="s">
        <v>3688</v>
      </c>
      <c r="J33" s="475" t="s">
        <v>3689</v>
      </c>
      <c r="K33" s="475" t="s">
        <v>3690</v>
      </c>
      <c r="L33" s="475" t="s">
        <v>3691</v>
      </c>
      <c r="M33" s="475" t="s">
        <v>3692</v>
      </c>
      <c r="N33" s="475" t="s">
        <v>3693</v>
      </c>
    </row>
    <row r="34" spans="1:14" ht="28.8">
      <c r="A34" s="469" t="s">
        <v>3694</v>
      </c>
      <c r="B34" s="474" t="str">
        <f t="shared" si="2"/>
        <v>Cell background color index:</v>
      </c>
      <c r="C34" s="475" t="s">
        <v>3695</v>
      </c>
      <c r="D34" s="469" t="s">
        <v>3696</v>
      </c>
      <c r="E34" s="469" t="s">
        <v>3697</v>
      </c>
      <c r="F34" s="469" t="s">
        <v>3698</v>
      </c>
      <c r="G34" s="476" t="s">
        <v>3699</v>
      </c>
      <c r="H34" s="476" t="s">
        <v>3700</v>
      </c>
      <c r="I34" s="2" t="s">
        <v>3701</v>
      </c>
      <c r="J34" s="475" t="s">
        <v>3702</v>
      </c>
      <c r="K34" s="475" t="s">
        <v>3703</v>
      </c>
      <c r="L34" s="475" t="s">
        <v>3704</v>
      </c>
      <c r="M34" s="475" t="s">
        <v>3705</v>
      </c>
      <c r="N34" s="475" t="s">
        <v>3706</v>
      </c>
    </row>
    <row r="35" spans="1:14" ht="43.2">
      <c r="A35" s="469" t="s">
        <v>3707</v>
      </c>
      <c r="B35" s="474" t="str">
        <f t="shared" si="2"/>
        <v>General Principles</v>
      </c>
      <c r="C35" s="475" t="s">
        <v>3708</v>
      </c>
      <c r="D35" s="469" t="s">
        <v>3709</v>
      </c>
      <c r="E35" s="469" t="s">
        <v>3710</v>
      </c>
      <c r="F35" s="469" t="s">
        <v>3711</v>
      </c>
      <c r="G35" s="476" t="s">
        <v>3712</v>
      </c>
      <c r="H35" s="476" t="s">
        <v>3713</v>
      </c>
      <c r="I35" s="2" t="s">
        <v>3714</v>
      </c>
      <c r="J35" s="475" t="s">
        <v>3715</v>
      </c>
      <c r="K35" s="475" t="s">
        <v>3716</v>
      </c>
      <c r="L35" s="475" t="s">
        <v>3717</v>
      </c>
      <c r="M35" s="475" t="s">
        <v>3718</v>
      </c>
      <c r="N35" s="475" t="s">
        <v>3719</v>
      </c>
    </row>
    <row r="36" spans="1:14" s="540" customFormat="1" ht="28.8">
      <c r="A36" s="576" t="s">
        <v>3720</v>
      </c>
      <c r="B36" s="590" t="str">
        <f t="shared" si="2"/>
        <v>Indicates that the disclosure is from the general principles of the Voluntary Standard.</v>
      </c>
      <c r="C36" s="579" t="s">
        <v>3721</v>
      </c>
      <c r="D36" s="576" t="s">
        <v>3722</v>
      </c>
      <c r="E36" s="576" t="s">
        <v>3723</v>
      </c>
      <c r="F36" s="576" t="s">
        <v>3724</v>
      </c>
      <c r="G36" s="591" t="s">
        <v>3725</v>
      </c>
      <c r="H36" s="591" t="s">
        <v>3726</v>
      </c>
      <c r="I36" s="589" t="s">
        <v>3727</v>
      </c>
      <c r="J36" s="579" t="s">
        <v>3728</v>
      </c>
      <c r="K36" s="579" t="s">
        <v>3729</v>
      </c>
      <c r="L36" s="579" t="s">
        <v>3730</v>
      </c>
      <c r="M36" s="579" t="s">
        <v>3731</v>
      </c>
      <c r="N36" s="579" t="s">
        <v>3732</v>
      </c>
    </row>
    <row r="37" spans="1:14">
      <c r="A37" s="469" t="s">
        <v>3733</v>
      </c>
      <c r="B37" s="474" t="str">
        <f t="shared" si="2"/>
        <v>Basic Module</v>
      </c>
      <c r="C37" s="475" t="s">
        <v>3734</v>
      </c>
      <c r="D37" s="469" t="s">
        <v>3735</v>
      </c>
      <c r="E37" s="469" t="s">
        <v>3736</v>
      </c>
      <c r="F37" s="469" t="s">
        <v>3737</v>
      </c>
      <c r="G37" s="476" t="s">
        <v>3738</v>
      </c>
      <c r="H37" s="476" t="s">
        <v>3739</v>
      </c>
      <c r="I37" s="2" t="s">
        <v>3740</v>
      </c>
      <c r="J37" s="475" t="s">
        <v>3741</v>
      </c>
      <c r="K37" s="475" t="s">
        <v>3742</v>
      </c>
      <c r="L37" s="475" t="s">
        <v>3743</v>
      </c>
      <c r="M37" s="475" t="s">
        <v>3744</v>
      </c>
      <c r="N37" s="475" t="s">
        <v>3745</v>
      </c>
    </row>
    <row r="38" spans="1:14" s="540" customFormat="1" ht="28.8">
      <c r="A38" s="576" t="s">
        <v>3746</v>
      </c>
      <c r="B38" s="590" t="str">
        <f t="shared" si="2"/>
        <v>Indicates that the disclosure is from the Voluntary Standard Basic Module.</v>
      </c>
      <c r="C38" s="579" t="s">
        <v>3747</v>
      </c>
      <c r="D38" s="576" t="s">
        <v>3748</v>
      </c>
      <c r="E38" s="576" t="s">
        <v>3749</v>
      </c>
      <c r="F38" s="576" t="s">
        <v>3750</v>
      </c>
      <c r="G38" s="591" t="s">
        <v>3751</v>
      </c>
      <c r="H38" s="591" t="s">
        <v>3752</v>
      </c>
      <c r="I38" s="589" t="s">
        <v>3753</v>
      </c>
      <c r="J38" s="579" t="s">
        <v>3754</v>
      </c>
      <c r="K38" s="579" t="s">
        <v>3755</v>
      </c>
      <c r="L38" s="579" t="s">
        <v>3756</v>
      </c>
      <c r="M38" s="579" t="s">
        <v>3757</v>
      </c>
      <c r="N38" s="579" t="s">
        <v>3758</v>
      </c>
    </row>
    <row r="39" spans="1:14" ht="28.8">
      <c r="A39" s="469" t="s">
        <v>3759</v>
      </c>
      <c r="B39" s="474" t="str">
        <f t="shared" si="2"/>
        <v>Comprehensive Module</v>
      </c>
      <c r="C39" s="475" t="s">
        <v>3760</v>
      </c>
      <c r="D39" s="469" t="s">
        <v>3761</v>
      </c>
      <c r="E39" s="469" t="s">
        <v>3762</v>
      </c>
      <c r="F39" s="469" t="s">
        <v>3763</v>
      </c>
      <c r="G39" s="476" t="s">
        <v>3764</v>
      </c>
      <c r="H39" s="476" t="s">
        <v>3765</v>
      </c>
      <c r="I39" s="2" t="s">
        <v>3766</v>
      </c>
      <c r="J39" s="475" t="s">
        <v>3767</v>
      </c>
      <c r="K39" s="475" t="s">
        <v>3768</v>
      </c>
      <c r="L39" s="475" t="s">
        <v>3756</v>
      </c>
      <c r="M39" s="475" t="s">
        <v>3769</v>
      </c>
      <c r="N39" s="475" t="s">
        <v>3770</v>
      </c>
    </row>
    <row r="40" spans="1:14" s="540" customFormat="1" ht="28.8">
      <c r="A40" s="576" t="s">
        <v>3771</v>
      </c>
      <c r="B40" s="590" t="str">
        <f t="shared" si="2"/>
        <v>Indicates that the disclosure is from the Voluntary Standard Comprehensive Module.</v>
      </c>
      <c r="C40" s="579" t="s">
        <v>3772</v>
      </c>
      <c r="D40" s="576" t="s">
        <v>3773</v>
      </c>
      <c r="E40" s="576" t="s">
        <v>3774</v>
      </c>
      <c r="F40" s="576" t="s">
        <v>3775</v>
      </c>
      <c r="G40" s="591" t="s">
        <v>3776</v>
      </c>
      <c r="H40" s="591" t="s">
        <v>3777</v>
      </c>
      <c r="I40" s="589" t="s">
        <v>3778</v>
      </c>
      <c r="J40" s="579" t="s">
        <v>3779</v>
      </c>
      <c r="K40" s="579" t="s">
        <v>3780</v>
      </c>
      <c r="L40" s="579" t="s">
        <v>3756</v>
      </c>
      <c r="M40" s="579" t="s">
        <v>3781</v>
      </c>
      <c r="N40" s="579" t="s">
        <v>3782</v>
      </c>
    </row>
    <row r="41" spans="1:14" ht="57.6">
      <c r="A41" s="469" t="s">
        <v>3783</v>
      </c>
      <c r="B41" s="474" t="str">
        <f t="shared" si="2"/>
        <v>Indicates that the cell is automatically calculated and that no data entry is required.</v>
      </c>
      <c r="C41" s="475" t="s">
        <v>3784</v>
      </c>
      <c r="D41" s="469" t="s">
        <v>3785</v>
      </c>
      <c r="E41" s="469" t="s">
        <v>3786</v>
      </c>
      <c r="F41" s="469" t="s">
        <v>3775</v>
      </c>
      <c r="G41" s="476" t="s">
        <v>3787</v>
      </c>
      <c r="H41" s="476" t="s">
        <v>3788</v>
      </c>
      <c r="I41" s="2" t="s">
        <v>3789</v>
      </c>
      <c r="J41" s="475" t="s">
        <v>3790</v>
      </c>
      <c r="K41" s="475" t="s">
        <v>3791</v>
      </c>
      <c r="L41" s="475" t="s">
        <v>3792</v>
      </c>
      <c r="M41" s="475" t="s">
        <v>3793</v>
      </c>
      <c r="N41" s="475" t="s">
        <v>3794</v>
      </c>
    </row>
    <row r="42" spans="1:14" s="540" customFormat="1" ht="144">
      <c r="A42" s="576" t="s">
        <v>3795</v>
      </c>
      <c r="B42" s="590" t="str">
        <f t="shared" si="2"/>
        <v>Indicates that the datapoint (often a condition) will not be included in the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2" s="579" t="s">
        <v>3796</v>
      </c>
      <c r="D42" s="576" t="s">
        <v>3797</v>
      </c>
      <c r="E42" s="576" t="s">
        <v>3798</v>
      </c>
      <c r="F42" s="576" t="s">
        <v>3799</v>
      </c>
      <c r="G42" s="591" t="s">
        <v>3800</v>
      </c>
      <c r="H42" s="591" t="s">
        <v>3801</v>
      </c>
      <c r="I42" s="589" t="s">
        <v>3802</v>
      </c>
      <c r="J42" s="579" t="s">
        <v>3803</v>
      </c>
      <c r="K42" s="579" t="s">
        <v>3804</v>
      </c>
      <c r="L42" s="579" t="s">
        <v>3805</v>
      </c>
      <c r="M42" s="579" t="s">
        <v>3806</v>
      </c>
      <c r="N42" s="579" t="s">
        <v>3807</v>
      </c>
    </row>
    <row r="43" spans="1:14" ht="57.6">
      <c r="A43" s="469" t="s">
        <v>3808</v>
      </c>
      <c r="B43" s="474" t="str">
        <f t="shared" si="2"/>
        <v>Indicates that no data entry is required unless certain logics are selected in the disclosure itself. When one of these logics is selected, then this cell will turn white.</v>
      </c>
      <c r="C43" s="475" t="s">
        <v>3809</v>
      </c>
      <c r="D43" s="469" t="s">
        <v>3810</v>
      </c>
      <c r="E43" s="469" t="s">
        <v>3811</v>
      </c>
      <c r="F43" s="469" t="s">
        <v>3812</v>
      </c>
      <c r="G43" s="476" t="s">
        <v>3813</v>
      </c>
      <c r="H43" s="476" t="s">
        <v>3814</v>
      </c>
      <c r="I43" s="2" t="s">
        <v>3815</v>
      </c>
      <c r="J43" s="475" t="s">
        <v>3816</v>
      </c>
      <c r="K43" s="475" t="s">
        <v>3817</v>
      </c>
      <c r="L43" s="475" t="s">
        <v>3818</v>
      </c>
      <c r="M43" s="475" t="s">
        <v>3819</v>
      </c>
      <c r="N43" s="475" t="s">
        <v>3820</v>
      </c>
    </row>
    <row r="44" spans="1:14" ht="43.2">
      <c r="A44" s="469" t="s">
        <v>3821</v>
      </c>
      <c r="B44" s="474" t="str">
        <f t="shared" si="2"/>
        <v>Validation MISSING VALUE/ERROR/VALUE INCONSISTENCY/INVALID URL</v>
      </c>
      <c r="C44" s="474" t="s">
        <v>3822</v>
      </c>
      <c r="D44" s="469" t="s">
        <v>3823</v>
      </c>
      <c r="E44" s="469" t="s">
        <v>3824</v>
      </c>
      <c r="F44" s="469" t="s">
        <v>3825</v>
      </c>
      <c r="G44" s="476" t="s">
        <v>3826</v>
      </c>
      <c r="H44" s="476" t="s">
        <v>3827</v>
      </c>
      <c r="I44" s="2" t="s">
        <v>3828</v>
      </c>
      <c r="J44" s="475" t="s">
        <v>3829</v>
      </c>
      <c r="K44" s="475" t="s">
        <v>3830</v>
      </c>
      <c r="L44" s="475" t="s">
        <v>3831</v>
      </c>
      <c r="M44" s="475" t="s">
        <v>3832</v>
      </c>
      <c r="N44" s="475" t="s">
        <v>3833</v>
      </c>
    </row>
    <row r="45" spans="1:14" ht="57.6">
      <c r="A45" s="469" t="s">
        <v>3834</v>
      </c>
      <c r="B45" s="474" t="str">
        <f t="shared" si="2"/>
        <v>Indicates that either data entry is incorrect in terms of format or that certain information is missing in order to correctly report on the disclosure.</v>
      </c>
      <c r="C45" s="475" t="s">
        <v>3835</v>
      </c>
      <c r="D45" s="469" t="s">
        <v>3836</v>
      </c>
      <c r="E45" s="469" t="s">
        <v>3837</v>
      </c>
      <c r="F45" s="469" t="s">
        <v>3838</v>
      </c>
      <c r="G45" s="476" t="s">
        <v>3839</v>
      </c>
      <c r="H45" s="476" t="s">
        <v>3840</v>
      </c>
      <c r="I45" s="2" t="s">
        <v>3841</v>
      </c>
      <c r="J45" s="475" t="s">
        <v>3842</v>
      </c>
      <c r="K45" s="475" t="s">
        <v>3843</v>
      </c>
      <c r="L45" s="475" t="s">
        <v>3844</v>
      </c>
      <c r="M45" s="475" t="s">
        <v>3845</v>
      </c>
      <c r="N45" s="475" t="s">
        <v>3846</v>
      </c>
    </row>
    <row r="46" spans="1:14">
      <c r="A46" s="469" t="s">
        <v>3847</v>
      </c>
      <c r="B46" s="474" t="str">
        <f t="shared" si="2"/>
        <v>Validation OK</v>
      </c>
      <c r="C46" s="475" t="s">
        <v>3</v>
      </c>
      <c r="D46" s="469" t="s">
        <v>3848</v>
      </c>
      <c r="E46" s="469" t="s">
        <v>3849</v>
      </c>
      <c r="F46" s="469" t="s">
        <v>3</v>
      </c>
      <c r="G46" s="476" t="s">
        <v>3850</v>
      </c>
      <c r="H46" s="476" t="s">
        <v>3851</v>
      </c>
      <c r="I46" s="2" t="s">
        <v>3852</v>
      </c>
      <c r="J46" s="475" t="s">
        <v>3853</v>
      </c>
      <c r="K46" s="475" t="s">
        <v>3854</v>
      </c>
      <c r="L46" s="475" t="s">
        <v>3855</v>
      </c>
      <c r="M46" s="475" t="s">
        <v>3856</v>
      </c>
      <c r="N46" s="475" t="s">
        <v>3857</v>
      </c>
    </row>
    <row r="47" spans="1:14" ht="57.6">
      <c r="A47" s="469" t="s">
        <v>3858</v>
      </c>
      <c r="B47" s="474" t="str">
        <f t="shared" si="2"/>
        <v>Indicates that data entry is OK and the undertaking can proceed to the next disclosure.</v>
      </c>
      <c r="C47" s="475" t="s">
        <v>3859</v>
      </c>
      <c r="D47" s="469" t="s">
        <v>3860</v>
      </c>
      <c r="E47" s="469" t="s">
        <v>3861</v>
      </c>
      <c r="F47" s="469" t="s">
        <v>3862</v>
      </c>
      <c r="G47" s="476" t="s">
        <v>3863</v>
      </c>
      <c r="H47" s="476" t="s">
        <v>3864</v>
      </c>
      <c r="I47" s="2" t="s">
        <v>3865</v>
      </c>
      <c r="J47" s="475" t="s">
        <v>3866</v>
      </c>
      <c r="K47" s="475" t="s">
        <v>3867</v>
      </c>
      <c r="L47" s="475" t="s">
        <v>3868</v>
      </c>
      <c r="M47" s="475" t="s">
        <v>3869</v>
      </c>
      <c r="N47" s="475" t="s">
        <v>3870</v>
      </c>
    </row>
    <row r="48" spans="1:14" ht="28.8">
      <c r="A48" s="469" t="s">
        <v>3871</v>
      </c>
      <c r="B48" s="474" t="str">
        <f t="shared" si="2"/>
        <v>Validation CLASSIFIED OR SENSITIVE INFORMATION</v>
      </c>
      <c r="C48" s="475" t="s">
        <v>3872</v>
      </c>
      <c r="D48" s="469" t="s">
        <v>3873</v>
      </c>
      <c r="E48" s="469" t="s">
        <v>3874</v>
      </c>
      <c r="F48" s="469" t="s">
        <v>3875</v>
      </c>
      <c r="G48" s="469" t="s">
        <v>3876</v>
      </c>
      <c r="H48" s="469" t="s">
        <v>3877</v>
      </c>
      <c r="I48" s="469" t="s">
        <v>3878</v>
      </c>
      <c r="J48" s="469" t="s">
        <v>3879</v>
      </c>
      <c r="K48" s="469" t="s">
        <v>3880</v>
      </c>
      <c r="L48" s="469" t="s">
        <v>3881</v>
      </c>
      <c r="M48" s="469" t="s">
        <v>3882</v>
      </c>
      <c r="N48" s="469" t="s">
        <v>3883</v>
      </c>
    </row>
    <row r="49" spans="1:14" ht="43.2">
      <c r="A49" s="469" t="s">
        <v>3884</v>
      </c>
      <c r="B49" s="474" t="str">
        <f t="shared" si="2"/>
        <v>Indicates that the undertaking has omitted the data entry as it is deemed to be classified or sensitive information.</v>
      </c>
      <c r="C49" s="475" t="s">
        <v>3885</v>
      </c>
      <c r="D49" s="469" t="s">
        <v>3886</v>
      </c>
      <c r="E49" s="469" t="s">
        <v>3887</v>
      </c>
      <c r="F49" s="469" t="s">
        <v>3888</v>
      </c>
      <c r="G49" s="469" t="s">
        <v>3889</v>
      </c>
      <c r="H49" s="469" t="s">
        <v>3890</v>
      </c>
      <c r="I49" s="469" t="s">
        <v>3891</v>
      </c>
      <c r="J49" s="469" t="s">
        <v>3892</v>
      </c>
      <c r="K49" s="469" t="s">
        <v>3893</v>
      </c>
      <c r="L49" s="469" t="s">
        <v>3894</v>
      </c>
      <c r="M49" s="469" t="s">
        <v>3895</v>
      </c>
      <c r="N49" s="469" t="s">
        <v>3896</v>
      </c>
    </row>
    <row r="50" spans="1:14">
      <c r="A50" s="469" t="s">
        <v>3897</v>
      </c>
      <c r="B50" s="474" t="str">
        <f t="shared" si="2"/>
        <v>No value can be entered in the cell.</v>
      </c>
      <c r="C50" s="475" t="s">
        <v>3898</v>
      </c>
      <c r="D50" s="469" t="s">
        <v>3899</v>
      </c>
      <c r="E50" s="469" t="s">
        <v>3900</v>
      </c>
      <c r="F50" s="469" t="s">
        <v>3901</v>
      </c>
      <c r="G50" s="476" t="s">
        <v>3902</v>
      </c>
      <c r="H50" s="476" t="s">
        <v>3903</v>
      </c>
      <c r="I50" s="2" t="s">
        <v>3904</v>
      </c>
      <c r="J50" s="475" t="s">
        <v>3905</v>
      </c>
      <c r="K50" s="475" t="s">
        <v>3906</v>
      </c>
      <c r="L50" s="475" t="s">
        <v>3907</v>
      </c>
      <c r="M50" s="475" t="s">
        <v>3908</v>
      </c>
      <c r="N50" s="475" t="s">
        <v>3909</v>
      </c>
    </row>
    <row r="51" spans="1:14" ht="216">
      <c r="A51" s="469" t="s">
        <v>3910</v>
      </c>
      <c r="B51" s="474" t="str">
        <f t="shared" si="2"/>
        <v>Lists can be expanded using the plus [+] button on the left. If the number of rows is not sufficient, additional rows can be added by right clicking the second row and selecting "Insert row".</v>
      </c>
      <c r="C51" s="475" t="s">
        <v>3911</v>
      </c>
      <c r="D51" s="469" t="s">
        <v>3912</v>
      </c>
      <c r="E51" s="469" t="s">
        <v>3913</v>
      </c>
      <c r="F51" s="469" t="s">
        <v>3914</v>
      </c>
      <c r="G51" s="476" t="s">
        <v>3915</v>
      </c>
      <c r="H51" s="476" t="s">
        <v>3916</v>
      </c>
      <c r="I51" s="2" t="s">
        <v>3917</v>
      </c>
      <c r="J51" s="475" t="s">
        <v>3918</v>
      </c>
      <c r="K51" s="475" t="s">
        <v>3919</v>
      </c>
      <c r="L51" s="475" t="s">
        <v>3920</v>
      </c>
      <c r="M51" s="475" t="s">
        <v>3921</v>
      </c>
      <c r="N51" s="475" t="s">
        <v>3922</v>
      </c>
    </row>
    <row r="52" spans="1:14" ht="201.6">
      <c r="A52" s="469" t="s">
        <v>3923</v>
      </c>
      <c r="B52" s="474" t="str">
        <f t="shared" si="2"/>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2" s="475" t="s">
        <v>3924</v>
      </c>
      <c r="D52" s="469" t="s">
        <v>3925</v>
      </c>
      <c r="E52" s="469" t="s">
        <v>3926</v>
      </c>
      <c r="F52" s="469" t="s">
        <v>3927</v>
      </c>
      <c r="G52" s="476" t="s">
        <v>3928</v>
      </c>
      <c r="H52" s="476" t="s">
        <v>3929</v>
      </c>
      <c r="I52" s="2" t="s">
        <v>3930</v>
      </c>
      <c r="J52" s="475" t="s">
        <v>3931</v>
      </c>
      <c r="K52" s="475" t="s">
        <v>3932</v>
      </c>
      <c r="L52" s="475" t="s">
        <v>3933</v>
      </c>
      <c r="M52" s="475" t="s">
        <v>3934</v>
      </c>
      <c r="N52" s="475" t="s">
        <v>3935</v>
      </c>
    </row>
    <row r="53" spans="1:14" s="540" customFormat="1" ht="72">
      <c r="A53" s="576" t="s">
        <v>3936</v>
      </c>
      <c r="B53" s="590" t="str">
        <f t="shared" si="2"/>
        <v>For further details please contact efragsecretariat@efrag.org</v>
      </c>
      <c r="C53" s="576" t="s">
        <v>3937</v>
      </c>
      <c r="D53" s="576" t="s">
        <v>3938</v>
      </c>
      <c r="E53" s="576" t="s">
        <v>3939</v>
      </c>
      <c r="F53" s="576" t="s">
        <v>3940</v>
      </c>
      <c r="G53" s="591" t="s">
        <v>3941</v>
      </c>
      <c r="H53" s="591" t="s">
        <v>3942</v>
      </c>
      <c r="I53" s="589" t="s">
        <v>3943</v>
      </c>
      <c r="J53" s="579" t="s">
        <v>3944</v>
      </c>
      <c r="K53" s="579" t="s">
        <v>3945</v>
      </c>
      <c r="L53" s="579" t="s">
        <v>3946</v>
      </c>
      <c r="M53" s="579" t="s">
        <v>3947</v>
      </c>
      <c r="N53" s="579" t="s">
        <v>3948</v>
      </c>
    </row>
    <row r="54" spans="1:14">
      <c r="A54" s="469" t="s">
        <v>3949</v>
      </c>
      <c r="B54" s="474" t="str">
        <f>INDEX(C54:N54,MATCH(template_selected_display_language,$C$3:$N$3,0))</f>
        <v>Narrative content provided as external DOCX file</v>
      </c>
      <c r="C54" s="475" t="s">
        <v>3950</v>
      </c>
      <c r="D54" s="469" t="str">
        <f>_xlfn.TRANSLATE(C54,"en",D2)</f>
        <v>Narrativt indhold leveret som ekstern DOCX-fil</v>
      </c>
      <c r="E54" s="469" t="str">
        <f t="shared" ref="E54:N54" si="3">_xlfn.TRANSLATE(D54,"en",E2)</f>
        <v>Narrativt indhold leveret som ekstern DOCX-fil</v>
      </c>
      <c r="F54" s="469" t="str">
        <f t="shared" si="3"/>
        <v>Narrativt indhold leveret som ekstern DOCX-fil</v>
      </c>
      <c r="G54" s="469" t="str">
        <f t="shared" si="3"/>
        <v>Narrativt indhold leveret som ekstern DOCX-fil</v>
      </c>
      <c r="H54" s="469" t="str">
        <f t="shared" si="3"/>
        <v>Narrativt indhold leveret som ekstern DOCX-fil</v>
      </c>
      <c r="I54" s="469" t="str">
        <f t="shared" si="3"/>
        <v>Narrativt indhold leveret som ekstern DOCX-fil</v>
      </c>
      <c r="J54" s="469" t="str">
        <f t="shared" si="3"/>
        <v>Narrativt indhold leveret som ekstern DOCX-fil</v>
      </c>
      <c r="K54" s="469" t="str">
        <f t="shared" si="3"/>
        <v>Narrativt indhold leveret som ekstern DOCX-fil</v>
      </c>
      <c r="L54" s="469" t="str">
        <f t="shared" si="3"/>
        <v>Narração inteve o DOCX-fil</v>
      </c>
      <c r="M54" s="469" t="str">
        <f t="shared" si="3"/>
        <v>Narração inteve o DOCX-fil</v>
      </c>
      <c r="N54" s="469" t="str">
        <f t="shared" si="3"/>
        <v>Narração inteve o DOCX-fil</v>
      </c>
    </row>
    <row r="55" spans="1:14" ht="28.8">
      <c r="A55" s="469" t="s">
        <v>3951</v>
      </c>
      <c r="B55" s="474" t="str">
        <f t="shared" si="2"/>
        <v>Checking this box will allow users to customizable DOCX files for narrative disclosures</v>
      </c>
      <c r="C55" s="475" t="s">
        <v>3952</v>
      </c>
      <c r="D55" s="469" t="s">
        <v>3953</v>
      </c>
      <c r="E55" s="469" t="s">
        <v>3954</v>
      </c>
      <c r="F55" s="469" t="s">
        <v>3954</v>
      </c>
      <c r="G55" s="469" t="s">
        <v>3954</v>
      </c>
      <c r="H55" s="469" t="s">
        <v>3954</v>
      </c>
      <c r="I55" s="469" t="s">
        <v>3954</v>
      </c>
      <c r="J55" s="469" t="s">
        <v>3954</v>
      </c>
      <c r="K55" s="469" t="s">
        <v>3954</v>
      </c>
      <c r="L55" s="469" t="s">
        <v>3954</v>
      </c>
      <c r="M55" s="469" t="s">
        <v>3954</v>
      </c>
      <c r="N55" s="469" t="s">
        <v>3954</v>
      </c>
    </row>
    <row r="56" spans="1:14" s="622" customFormat="1" ht="29.4" thickBot="1">
      <c r="A56" s="600" t="s">
        <v>3955</v>
      </c>
      <c r="B56" s="599" t="str">
        <f t="shared" si="2"/>
        <v>Undertaking with 10 or less employees: Please note that certain cells will be greyed out in the template</v>
      </c>
      <c r="C56" s="602" t="s">
        <v>10822</v>
      </c>
      <c r="D56" s="600" t="s">
        <v>3956</v>
      </c>
      <c r="E56" s="600" t="s">
        <v>3956</v>
      </c>
      <c r="F56" s="600" t="s">
        <v>3957</v>
      </c>
      <c r="G56" s="600" t="s">
        <v>3958</v>
      </c>
      <c r="H56" s="600" t="s">
        <v>3958</v>
      </c>
      <c r="I56" s="600" t="s">
        <v>3958</v>
      </c>
      <c r="J56" s="600" t="s">
        <v>3958</v>
      </c>
      <c r="K56" s="600" t="s">
        <v>3958</v>
      </c>
      <c r="L56" s="600" t="s">
        <v>3958</v>
      </c>
      <c r="M56" s="600" t="s">
        <v>3958</v>
      </c>
      <c r="N56" s="600" t="s">
        <v>3958</v>
      </c>
    </row>
    <row r="57" spans="1:14" ht="57.6">
      <c r="A57" s="469" t="s">
        <v>3959</v>
      </c>
      <c r="B57" s="474" t="str">
        <f>INDEX(C57:N57,MATCH(template_selected_display_language,$C$3:$N$3,0))</f>
        <v>Filling the checkboxes below will fill automatically the list of omitted disclosures in B1 (from row 123 to 172 within General Information sheet)</v>
      </c>
      <c r="C57" s="469" t="s">
        <v>3960</v>
      </c>
      <c r="D57" s="469" t="s">
        <v>3961</v>
      </c>
      <c r="E57" s="469" t="s">
        <v>3962</v>
      </c>
      <c r="F57" s="469" t="s">
        <v>3963</v>
      </c>
      <c r="G57" s="469" t="s">
        <v>3964</v>
      </c>
      <c r="H57" s="469" t="s">
        <v>3965</v>
      </c>
      <c r="I57" s="469" t="s">
        <v>3966</v>
      </c>
      <c r="J57" s="469" t="s">
        <v>3967</v>
      </c>
      <c r="K57" s="469" t="s">
        <v>3968</v>
      </c>
      <c r="L57" s="469" t="s">
        <v>3969</v>
      </c>
      <c r="M57" s="469" t="s">
        <v>3970</v>
      </c>
      <c r="N57" s="469" t="s">
        <v>3971</v>
      </c>
    </row>
    <row r="58" spans="1:14" ht="43.2">
      <c r="A58" s="469" t="s">
        <v>3972</v>
      </c>
      <c r="B58" s="474" t="str">
        <f t="shared" si="2"/>
        <v>Overall Validation Status</v>
      </c>
      <c r="C58" s="469" t="s">
        <v>3973</v>
      </c>
      <c r="D58" s="469" t="s">
        <v>3974</v>
      </c>
      <c r="E58" s="469" t="s">
        <v>3975</v>
      </c>
      <c r="F58" s="469" t="s">
        <v>3976</v>
      </c>
      <c r="G58" s="476" t="s">
        <v>3977</v>
      </c>
      <c r="H58" s="476" t="s">
        <v>3978</v>
      </c>
      <c r="I58" s="2" t="s">
        <v>3979</v>
      </c>
      <c r="J58" s="475" t="s">
        <v>3980</v>
      </c>
      <c r="K58" s="475" t="s">
        <v>3981</v>
      </c>
      <c r="L58" s="475" t="s">
        <v>3982</v>
      </c>
      <c r="M58" s="475" t="s">
        <v>3983</v>
      </c>
      <c r="N58" s="475" t="s">
        <v>3984</v>
      </c>
    </row>
    <row r="59" spans="1:14">
      <c r="A59" s="469" t="s">
        <v>3985</v>
      </c>
      <c r="B59" s="474" t="str">
        <f t="shared" si="2"/>
        <v>Table of Contents</v>
      </c>
      <c r="C59" s="469" t="s">
        <v>3413</v>
      </c>
      <c r="D59" s="469" t="s">
        <v>3986</v>
      </c>
      <c r="E59" s="469" t="s">
        <v>3987</v>
      </c>
      <c r="F59" s="469" t="s">
        <v>3416</v>
      </c>
      <c r="G59" s="476" t="s">
        <v>3417</v>
      </c>
      <c r="H59" s="476" t="s">
        <v>3988</v>
      </c>
      <c r="I59" s="2" t="s">
        <v>3419</v>
      </c>
      <c r="J59" s="475" t="s">
        <v>3420</v>
      </c>
      <c r="K59" s="475" t="s">
        <v>3421</v>
      </c>
      <c r="L59" s="475" t="s">
        <v>3422</v>
      </c>
      <c r="M59" s="475" t="s">
        <v>3423</v>
      </c>
      <c r="N59" s="475" t="s">
        <v>3422</v>
      </c>
    </row>
    <row r="60" spans="1:14">
      <c r="A60" s="469" t="s">
        <v>3989</v>
      </c>
      <c r="B60" s="474" t="str">
        <f t="shared" si="2"/>
        <v>Classified or sensitive information</v>
      </c>
      <c r="C60" s="469" t="s">
        <v>3990</v>
      </c>
      <c r="D60" s="469" t="s">
        <v>3991</v>
      </c>
      <c r="E60" s="469" t="s">
        <v>3992</v>
      </c>
      <c r="F60" s="469" t="s">
        <v>3993</v>
      </c>
      <c r="G60" s="469" t="s">
        <v>3994</v>
      </c>
      <c r="H60" s="469" t="s">
        <v>3995</v>
      </c>
      <c r="I60" s="469" t="s">
        <v>3996</v>
      </c>
      <c r="J60" s="469" t="s">
        <v>3997</v>
      </c>
      <c r="K60" s="469" t="s">
        <v>3998</v>
      </c>
      <c r="L60" s="469" t="s">
        <v>3999</v>
      </c>
      <c r="M60" s="469" t="s">
        <v>4000</v>
      </c>
      <c r="N60" s="469" t="s">
        <v>4001</v>
      </c>
    </row>
    <row r="61" spans="1:14" ht="43.2">
      <c r="A61" s="469" t="s">
        <v>4002</v>
      </c>
      <c r="B61" s="474" t="str">
        <f t="shared" si="2"/>
        <v>Contents grouping follows template's framework</v>
      </c>
      <c r="C61" s="469" t="s">
        <v>4003</v>
      </c>
      <c r="D61" s="469" t="s">
        <v>4004</v>
      </c>
      <c r="E61" s="469" t="s">
        <v>4005</v>
      </c>
      <c r="F61" s="469" t="s">
        <v>4006</v>
      </c>
      <c r="G61" s="476" t="s">
        <v>4007</v>
      </c>
      <c r="H61" s="476" t="s">
        <v>4008</v>
      </c>
      <c r="I61" s="2" t="s">
        <v>4009</v>
      </c>
      <c r="J61" s="475" t="s">
        <v>4010</v>
      </c>
      <c r="K61" s="475" t="s">
        <v>4011</v>
      </c>
      <c r="L61" s="475" t="s">
        <v>4012</v>
      </c>
      <c r="M61" s="475" t="s">
        <v>4013</v>
      </c>
      <c r="N61" s="475" t="s">
        <v>4014</v>
      </c>
    </row>
    <row r="62" spans="1:14">
      <c r="A62" s="469" t="s">
        <v>4015</v>
      </c>
      <c r="B62" s="474" t="str">
        <f t="shared" si="2"/>
        <v>Specific Content Validation Status</v>
      </c>
      <c r="C62" s="469" t="s">
        <v>4016</v>
      </c>
      <c r="D62" s="469" t="s">
        <v>4017</v>
      </c>
      <c r="E62" s="469" t="s">
        <v>4018</v>
      </c>
      <c r="F62" s="469" t="s">
        <v>4019</v>
      </c>
      <c r="G62" s="476" t="s">
        <v>4020</v>
      </c>
      <c r="H62" s="476" t="s">
        <v>4021</v>
      </c>
      <c r="I62" s="2" t="s">
        <v>4022</v>
      </c>
      <c r="J62" s="475" t="s">
        <v>4023</v>
      </c>
      <c r="K62" s="475" t="s">
        <v>4024</v>
      </c>
      <c r="L62" s="475" t="s">
        <v>4025</v>
      </c>
      <c r="M62" s="475" t="s">
        <v>4026</v>
      </c>
      <c r="N62" s="475" t="s">
        <v>4027</v>
      </c>
    </row>
    <row r="63" spans="1:14" ht="43.2">
      <c r="A63" s="469" t="s">
        <v>4028</v>
      </c>
      <c r="B63" s="474" t="str">
        <f t="shared" si="2"/>
        <v>General Information</v>
      </c>
      <c r="C63" s="469" t="s">
        <v>4029</v>
      </c>
      <c r="D63" s="469" t="s">
        <v>4030</v>
      </c>
      <c r="E63" s="469" t="s">
        <v>4031</v>
      </c>
      <c r="F63" s="469" t="s">
        <v>4032</v>
      </c>
      <c r="G63" s="476" t="s">
        <v>4033</v>
      </c>
      <c r="H63" s="476" t="s">
        <v>4034</v>
      </c>
      <c r="I63" s="2" t="s">
        <v>4035</v>
      </c>
      <c r="J63" s="475" t="s">
        <v>4036</v>
      </c>
      <c r="K63" s="475" t="s">
        <v>4037</v>
      </c>
      <c r="L63" s="475" t="s">
        <v>4038</v>
      </c>
      <c r="M63" s="475" t="s">
        <v>4039</v>
      </c>
      <c r="N63" s="475" t="s">
        <v>4040</v>
      </c>
    </row>
    <row r="64" spans="1:14" ht="28.8">
      <c r="A64" s="469" t="s">
        <v>4041</v>
      </c>
      <c r="B64" s="474" t="str">
        <f t="shared" si="2"/>
        <v>Information on the report necessary for  XBRL</v>
      </c>
      <c r="C64" s="469" t="s">
        <v>4042</v>
      </c>
      <c r="D64" s="469" t="s">
        <v>4043</v>
      </c>
      <c r="E64" s="469" t="s">
        <v>4044</v>
      </c>
      <c r="F64" s="469" t="s">
        <v>4045</v>
      </c>
      <c r="G64" s="476" t="s">
        <v>4046</v>
      </c>
      <c r="H64" s="476" t="s">
        <v>4047</v>
      </c>
      <c r="I64" s="2" t="s">
        <v>4048</v>
      </c>
      <c r="J64" s="475" t="s">
        <v>4049</v>
      </c>
      <c r="K64" s="475" t="s">
        <v>4050</v>
      </c>
      <c r="L64" s="475" t="s">
        <v>4051</v>
      </c>
      <c r="M64" s="475" t="s">
        <v>4052</v>
      </c>
      <c r="N64" s="475" t="s">
        <v>4053</v>
      </c>
    </row>
    <row r="65" spans="1:14" ht="72">
      <c r="A65" s="469" t="s">
        <v>4054</v>
      </c>
      <c r="B65" s="474" t="str">
        <f t="shared" si="2"/>
        <v>Information on previous reporting period</v>
      </c>
      <c r="C65" s="469" t="s">
        <v>4055</v>
      </c>
      <c r="D65" s="469" t="s">
        <v>4056</v>
      </c>
      <c r="E65" s="469" t="s">
        <v>4057</v>
      </c>
      <c r="F65" s="469" t="s">
        <v>4058</v>
      </c>
      <c r="G65" s="476" t="s">
        <v>4059</v>
      </c>
      <c r="H65" s="476" t="s">
        <v>4060</v>
      </c>
      <c r="I65" s="2" t="s">
        <v>4061</v>
      </c>
      <c r="J65" s="475" t="s">
        <v>4062</v>
      </c>
      <c r="K65" s="475" t="s">
        <v>4063</v>
      </c>
      <c r="L65" s="475" t="s">
        <v>4064</v>
      </c>
      <c r="M65" s="475" t="s">
        <v>4065</v>
      </c>
      <c r="N65" s="475" t="s">
        <v>4066</v>
      </c>
    </row>
    <row r="66" spans="1:14">
      <c r="A66" s="469" t="s">
        <v>4067</v>
      </c>
      <c r="B66" s="474" t="str">
        <f t="shared" si="2"/>
        <v>Basic Module</v>
      </c>
      <c r="C66" s="469" t="s">
        <v>3734</v>
      </c>
      <c r="D66" s="469" t="s">
        <v>3738</v>
      </c>
      <c r="E66" s="469" t="s">
        <v>3736</v>
      </c>
      <c r="F66" s="469" t="s">
        <v>4068</v>
      </c>
      <c r="G66" s="476" t="s">
        <v>3738</v>
      </c>
      <c r="H66" s="476" t="s">
        <v>3739</v>
      </c>
      <c r="I66" s="2" t="s">
        <v>3740</v>
      </c>
      <c r="J66" s="475" t="s">
        <v>3741</v>
      </c>
      <c r="K66" s="475" t="s">
        <v>3742</v>
      </c>
      <c r="L66" s="475" t="s">
        <v>3743</v>
      </c>
      <c r="M66" s="475" t="s">
        <v>3744</v>
      </c>
      <c r="N66" s="475" t="s">
        <v>3745</v>
      </c>
    </row>
    <row r="67" spans="1:14">
      <c r="A67" s="469" t="s">
        <v>4069</v>
      </c>
      <c r="B67" s="474" t="str">
        <f t="shared" si="2"/>
        <v>B1 - Basis for Preparation</v>
      </c>
      <c r="C67" s="469" t="s">
        <v>4070</v>
      </c>
      <c r="D67" s="469" t="s">
        <v>4071</v>
      </c>
      <c r="E67" s="469" t="s">
        <v>4072</v>
      </c>
      <c r="F67" s="469" t="s">
        <v>4073</v>
      </c>
      <c r="G67" s="476" t="s">
        <v>4074</v>
      </c>
      <c r="H67" s="476" t="s">
        <v>4075</v>
      </c>
      <c r="I67" s="2" t="s">
        <v>4076</v>
      </c>
      <c r="J67" s="475" t="s">
        <v>4077</v>
      </c>
      <c r="K67" s="475" t="s">
        <v>4078</v>
      </c>
      <c r="L67" s="475" t="s">
        <v>4079</v>
      </c>
      <c r="M67" s="475" t="s">
        <v>4080</v>
      </c>
      <c r="N67" s="475" t="s">
        <v>4081</v>
      </c>
    </row>
    <row r="68" spans="1:14" ht="43.2">
      <c r="A68" s="469" t="s">
        <v>4082</v>
      </c>
      <c r="B68" s="474" t="str">
        <f t="shared" si="2"/>
        <v xml:space="preserve">B2 - Practices, policies and future initiatives for transitioning towards a more sustainable economy </v>
      </c>
      <c r="C68" s="2" t="s">
        <v>4083</v>
      </c>
      <c r="D68" s="2" t="s">
        <v>4084</v>
      </c>
      <c r="E68" s="2" t="s">
        <v>4085</v>
      </c>
      <c r="F68" s="2" t="s">
        <v>4086</v>
      </c>
      <c r="G68" s="2" t="s">
        <v>4087</v>
      </c>
      <c r="H68" s="2" t="s">
        <v>4088</v>
      </c>
      <c r="I68" s="2" t="s">
        <v>4089</v>
      </c>
      <c r="J68" s="2" t="s">
        <v>4090</v>
      </c>
      <c r="K68" s="2" t="s">
        <v>4091</v>
      </c>
      <c r="L68" s="2" t="s">
        <v>4092</v>
      </c>
      <c r="M68" s="2" t="s">
        <v>4093</v>
      </c>
      <c r="N68" s="2" t="s">
        <v>4094</v>
      </c>
    </row>
    <row r="69" spans="1:14">
      <c r="A69" s="469" t="s">
        <v>4095</v>
      </c>
      <c r="B69" s="474" t="str">
        <f t="shared" ref="B69:B102" si="4">INDEX(C69:N69,MATCH(template_selected_display_language,$C$3:$N$3,0))</f>
        <v>Environmental Disclosures</v>
      </c>
      <c r="C69" s="469" t="s">
        <v>4096</v>
      </c>
      <c r="D69" s="469" t="s">
        <v>4097</v>
      </c>
      <c r="E69" s="469" t="s">
        <v>4098</v>
      </c>
      <c r="F69" s="469" t="s">
        <v>4099</v>
      </c>
      <c r="G69" s="476" t="s">
        <v>4100</v>
      </c>
      <c r="H69" s="476" t="s">
        <v>4101</v>
      </c>
      <c r="I69" s="2" t="s">
        <v>4102</v>
      </c>
      <c r="J69" s="475" t="s">
        <v>4103</v>
      </c>
      <c r="K69" s="475" t="s">
        <v>4104</v>
      </c>
      <c r="L69" s="475" t="s">
        <v>4105</v>
      </c>
      <c r="M69" s="475" t="s">
        <v>4106</v>
      </c>
      <c r="N69" s="475" t="s">
        <v>4107</v>
      </c>
    </row>
    <row r="70" spans="1:14" ht="28.8">
      <c r="A70" s="469" t="s">
        <v>4108</v>
      </c>
      <c r="B70" s="474" t="str">
        <f t="shared" si="4"/>
        <v>B3 - Energy and greenhouse gas emissions</v>
      </c>
      <c r="C70" s="469" t="s">
        <v>4109</v>
      </c>
      <c r="D70" s="469" t="s">
        <v>4110</v>
      </c>
      <c r="E70" s="469" t="s">
        <v>4111</v>
      </c>
      <c r="F70" s="469" t="s">
        <v>4112</v>
      </c>
      <c r="G70" s="476" t="s">
        <v>4113</v>
      </c>
      <c r="H70" s="476" t="s">
        <v>4114</v>
      </c>
      <c r="I70" s="2" t="s">
        <v>4115</v>
      </c>
      <c r="J70" s="475" t="s">
        <v>4116</v>
      </c>
      <c r="K70" s="475" t="s">
        <v>4117</v>
      </c>
      <c r="L70" s="475" t="s">
        <v>4118</v>
      </c>
      <c r="M70" s="475" t="s">
        <v>4119</v>
      </c>
      <c r="N70" s="475" t="s">
        <v>4120</v>
      </c>
    </row>
    <row r="71" spans="1:14">
      <c r="A71" s="469" t="s">
        <v>4121</v>
      </c>
      <c r="B71" s="474" t="str">
        <f t="shared" si="4"/>
        <v>B4 - Pollution of air, water and soil</v>
      </c>
      <c r="C71" s="469" t="s">
        <v>4122</v>
      </c>
      <c r="D71" s="469" t="s">
        <v>4123</v>
      </c>
      <c r="E71" s="469" t="s">
        <v>4124</v>
      </c>
      <c r="F71" s="469" t="s">
        <v>4125</v>
      </c>
      <c r="G71" s="476" t="s">
        <v>4126</v>
      </c>
      <c r="H71" s="476" t="s">
        <v>4127</v>
      </c>
      <c r="I71" s="2" t="s">
        <v>4128</v>
      </c>
      <c r="J71" s="475" t="s">
        <v>4129</v>
      </c>
      <c r="K71" s="475" t="s">
        <v>4130</v>
      </c>
      <c r="L71" s="475" t="s">
        <v>4131</v>
      </c>
      <c r="M71" s="475" t="s">
        <v>4132</v>
      </c>
      <c r="N71" s="475" t="s">
        <v>4133</v>
      </c>
    </row>
    <row r="72" spans="1:14" ht="43.2">
      <c r="A72" s="469" t="s">
        <v>4134</v>
      </c>
      <c r="B72" s="474" t="str">
        <f t="shared" si="4"/>
        <v>B5 - Biodiversity</v>
      </c>
      <c r="C72" s="469" t="s">
        <v>4135</v>
      </c>
      <c r="D72" s="469" t="s">
        <v>4136</v>
      </c>
      <c r="E72" s="469" t="s">
        <v>4137</v>
      </c>
      <c r="F72" s="469" t="s">
        <v>4138</v>
      </c>
      <c r="G72" s="476" t="s">
        <v>4139</v>
      </c>
      <c r="H72" s="476" t="s">
        <v>4140</v>
      </c>
      <c r="I72" s="2" t="s">
        <v>4141</v>
      </c>
      <c r="J72" s="475" t="s">
        <v>4142</v>
      </c>
      <c r="K72" s="475" t="s">
        <v>4143</v>
      </c>
      <c r="L72" s="475" t="s">
        <v>4144</v>
      </c>
      <c r="M72" s="475" t="s">
        <v>4145</v>
      </c>
      <c r="N72" s="475" t="s">
        <v>4146</v>
      </c>
    </row>
    <row r="73" spans="1:14">
      <c r="A73" s="469" t="s">
        <v>4147</v>
      </c>
      <c r="B73" s="474" t="str">
        <f t="shared" si="4"/>
        <v>B6 - Water</v>
      </c>
      <c r="C73" s="469" t="s">
        <v>4148</v>
      </c>
      <c r="D73" s="469" t="s">
        <v>4149</v>
      </c>
      <c r="E73" s="469" t="s">
        <v>4150</v>
      </c>
      <c r="F73" s="469" t="s">
        <v>4151</v>
      </c>
      <c r="G73" s="476" t="s">
        <v>4152</v>
      </c>
      <c r="H73" s="476" t="s">
        <v>4153</v>
      </c>
      <c r="I73" s="2" t="s">
        <v>4154</v>
      </c>
      <c r="J73" s="475" t="s">
        <v>4155</v>
      </c>
      <c r="K73" s="475" t="s">
        <v>4156</v>
      </c>
      <c r="L73" s="475" t="s">
        <v>4157</v>
      </c>
      <c r="M73" s="475" t="s">
        <v>4158</v>
      </c>
      <c r="N73" s="475" t="s">
        <v>4159</v>
      </c>
    </row>
    <row r="74" spans="1:14" ht="54" customHeight="1">
      <c r="A74" s="469" t="s">
        <v>4160</v>
      </c>
      <c r="B74" s="474" t="str">
        <f t="shared" si="4"/>
        <v>B7 - Resource use, circular economy and waste management</v>
      </c>
      <c r="C74" s="469" t="s">
        <v>4161</v>
      </c>
      <c r="D74" s="469" t="s">
        <v>4162</v>
      </c>
      <c r="E74" s="469" t="s">
        <v>4163</v>
      </c>
      <c r="F74" s="469" t="s">
        <v>4164</v>
      </c>
      <c r="G74" s="476" t="s">
        <v>4165</v>
      </c>
      <c r="H74" s="476" t="s">
        <v>4166</v>
      </c>
      <c r="I74" s="2" t="s">
        <v>4167</v>
      </c>
      <c r="J74" s="475" t="s">
        <v>4168</v>
      </c>
      <c r="K74" s="475" t="s">
        <v>4169</v>
      </c>
      <c r="L74" s="475" t="s">
        <v>4170</v>
      </c>
      <c r="M74" s="475" t="s">
        <v>4171</v>
      </c>
      <c r="N74" s="475" t="s">
        <v>4172</v>
      </c>
    </row>
    <row r="75" spans="1:14">
      <c r="A75" s="469" t="s">
        <v>4173</v>
      </c>
      <c r="B75" s="474" t="str">
        <f t="shared" si="4"/>
        <v>Social Disclosures</v>
      </c>
      <c r="C75" s="469" t="s">
        <v>4174</v>
      </c>
      <c r="D75" s="469" t="s">
        <v>4175</v>
      </c>
      <c r="E75" s="469" t="s">
        <v>4176</v>
      </c>
      <c r="F75" s="469" t="s">
        <v>4177</v>
      </c>
      <c r="G75" s="476" t="s">
        <v>4178</v>
      </c>
      <c r="H75" s="476" t="s">
        <v>4179</v>
      </c>
      <c r="I75" s="2" t="s">
        <v>4180</v>
      </c>
      <c r="J75" s="475" t="s">
        <v>4181</v>
      </c>
      <c r="K75" s="475" t="s">
        <v>4182</v>
      </c>
      <c r="L75" s="475" t="s">
        <v>4183</v>
      </c>
      <c r="M75" s="475" t="s">
        <v>4184</v>
      </c>
      <c r="N75" s="475" t="s">
        <v>4185</v>
      </c>
    </row>
    <row r="76" spans="1:14" ht="28.8">
      <c r="A76" s="469" t="s">
        <v>4186</v>
      </c>
      <c r="B76" s="474" t="str">
        <f t="shared" si="4"/>
        <v>B8 - Workforce - General characteristics</v>
      </c>
      <c r="C76" s="469" t="s">
        <v>4187</v>
      </c>
      <c r="D76" s="469" t="s">
        <v>4188</v>
      </c>
      <c r="E76" s="469" t="s">
        <v>4189</v>
      </c>
      <c r="F76" s="469" t="s">
        <v>4190</v>
      </c>
      <c r="G76" s="476" t="s">
        <v>4191</v>
      </c>
      <c r="H76" s="476" t="s">
        <v>4192</v>
      </c>
      <c r="I76" s="2" t="s">
        <v>4193</v>
      </c>
      <c r="J76" s="475" t="s">
        <v>4194</v>
      </c>
      <c r="K76" s="475" t="s">
        <v>4195</v>
      </c>
      <c r="L76" s="475" t="s">
        <v>4196</v>
      </c>
      <c r="M76" s="475" t="s">
        <v>4197</v>
      </c>
      <c r="N76" s="475" t="s">
        <v>4198</v>
      </c>
    </row>
    <row r="77" spans="1:14">
      <c r="A77" s="469" t="s">
        <v>4199</v>
      </c>
      <c r="B77" s="474" t="str">
        <f t="shared" si="4"/>
        <v>B9 - Workforce - Health and safety</v>
      </c>
      <c r="C77" s="469" t="s">
        <v>4200</v>
      </c>
      <c r="D77" s="469" t="s">
        <v>4201</v>
      </c>
      <c r="E77" s="469" t="s">
        <v>4202</v>
      </c>
      <c r="F77" s="469" t="s">
        <v>4203</v>
      </c>
      <c r="G77" s="476" t="s">
        <v>4204</v>
      </c>
      <c r="H77" s="476" t="s">
        <v>4205</v>
      </c>
      <c r="I77" s="2" t="s">
        <v>4206</v>
      </c>
      <c r="J77" s="475" t="s">
        <v>4207</v>
      </c>
      <c r="K77" s="475" t="s">
        <v>4208</v>
      </c>
      <c r="L77" s="475" t="s">
        <v>4209</v>
      </c>
      <c r="M77" s="475" t="s">
        <v>4210</v>
      </c>
      <c r="N77" s="475" t="s">
        <v>4211</v>
      </c>
    </row>
    <row r="78" spans="1:14" ht="57.6">
      <c r="A78" s="469" t="s">
        <v>4212</v>
      </c>
      <c r="B78" s="474" t="str">
        <f t="shared" si="4"/>
        <v>B10 - Workforce - Remuneration, collective bargaining and training</v>
      </c>
      <c r="C78" s="469" t="s">
        <v>4213</v>
      </c>
      <c r="D78" s="469" t="s">
        <v>4214</v>
      </c>
      <c r="E78" s="469" t="s">
        <v>4215</v>
      </c>
      <c r="F78" s="469" t="s">
        <v>4216</v>
      </c>
      <c r="G78" s="476" t="s">
        <v>4217</v>
      </c>
      <c r="H78" s="476" t="s">
        <v>4218</v>
      </c>
      <c r="I78" s="2" t="s">
        <v>4219</v>
      </c>
      <c r="J78" s="475" t="s">
        <v>4220</v>
      </c>
      <c r="K78" s="475" t="s">
        <v>4221</v>
      </c>
      <c r="L78" s="475" t="s">
        <v>4222</v>
      </c>
      <c r="M78" s="475" t="s">
        <v>4223</v>
      </c>
      <c r="N78" s="475" t="s">
        <v>4224</v>
      </c>
    </row>
    <row r="79" spans="1:14">
      <c r="A79" s="469" t="s">
        <v>4225</v>
      </c>
      <c r="B79" s="474" t="str">
        <f t="shared" si="4"/>
        <v>Governance Disclosures</v>
      </c>
      <c r="C79" s="469" t="s">
        <v>4226</v>
      </c>
      <c r="D79" s="469" t="s">
        <v>4227</v>
      </c>
      <c r="E79" s="469" t="s">
        <v>4228</v>
      </c>
      <c r="F79" s="469" t="s">
        <v>4229</v>
      </c>
      <c r="G79" s="476" t="s">
        <v>4230</v>
      </c>
      <c r="H79" s="476" t="s">
        <v>4231</v>
      </c>
      <c r="I79" s="2" t="s">
        <v>4232</v>
      </c>
      <c r="J79" s="475" t="s">
        <v>4233</v>
      </c>
      <c r="K79" s="475" t="s">
        <v>4234</v>
      </c>
      <c r="L79" s="475" t="s">
        <v>4235</v>
      </c>
      <c r="M79" s="475" t="s">
        <v>4236</v>
      </c>
      <c r="N79" s="475" t="s">
        <v>4237</v>
      </c>
    </row>
    <row r="80" spans="1:14" ht="43.2">
      <c r="A80" s="469" t="s">
        <v>4238</v>
      </c>
      <c r="B80" s="474" t="str">
        <f t="shared" si="4"/>
        <v>B11 - Convictions and fines for corruption and bribery</v>
      </c>
      <c r="C80" s="469" t="s">
        <v>4239</v>
      </c>
      <c r="D80" s="469" t="s">
        <v>4240</v>
      </c>
      <c r="E80" s="469" t="s">
        <v>4241</v>
      </c>
      <c r="F80" s="469" t="s">
        <v>4242</v>
      </c>
      <c r="G80" s="476" t="s">
        <v>4243</v>
      </c>
      <c r="H80" s="476" t="s">
        <v>4244</v>
      </c>
      <c r="I80" s="2" t="s">
        <v>4245</v>
      </c>
      <c r="J80" s="475" t="s">
        <v>4246</v>
      </c>
      <c r="K80" s="475" t="s">
        <v>4247</v>
      </c>
      <c r="L80" s="475" t="s">
        <v>4248</v>
      </c>
      <c r="M80" s="475" t="s">
        <v>4249</v>
      </c>
      <c r="N80" s="475" t="s">
        <v>4250</v>
      </c>
    </row>
    <row r="81" spans="1:14">
      <c r="A81" s="469" t="s">
        <v>4251</v>
      </c>
      <c r="B81" s="474" t="str">
        <f t="shared" si="4"/>
        <v>Comprehensive Module</v>
      </c>
      <c r="C81" s="469" t="s">
        <v>3760</v>
      </c>
      <c r="D81" s="469" t="s">
        <v>4252</v>
      </c>
      <c r="E81" s="469" t="s">
        <v>3762</v>
      </c>
      <c r="F81" s="469" t="s">
        <v>3750</v>
      </c>
      <c r="G81" s="476" t="s">
        <v>3764</v>
      </c>
      <c r="H81" s="476" t="s">
        <v>3765</v>
      </c>
      <c r="I81" s="2" t="s">
        <v>4253</v>
      </c>
      <c r="J81" s="475" t="s">
        <v>4254</v>
      </c>
      <c r="K81" s="475" t="s">
        <v>3768</v>
      </c>
      <c r="L81" s="475" t="s">
        <v>4255</v>
      </c>
      <c r="M81" s="475" t="s">
        <v>3769</v>
      </c>
      <c r="N81" s="475" t="s">
        <v>3770</v>
      </c>
    </row>
    <row r="82" spans="1:14" ht="57.6">
      <c r="A82" s="469" t="s">
        <v>4256</v>
      </c>
      <c r="B82" s="474" t="str">
        <f t="shared" si="4"/>
        <v>C1 - Strategy: Business Model and Sustainability - Related Initiatives</v>
      </c>
      <c r="C82" s="469" t="s">
        <v>4257</v>
      </c>
      <c r="D82" s="469" t="s">
        <v>4258</v>
      </c>
      <c r="E82" s="469" t="s">
        <v>4259</v>
      </c>
      <c r="F82" s="469" t="s">
        <v>4260</v>
      </c>
      <c r="G82" s="476" t="s">
        <v>4261</v>
      </c>
      <c r="H82" s="476" t="s">
        <v>4262</v>
      </c>
      <c r="I82" s="2" t="s">
        <v>4263</v>
      </c>
      <c r="J82" s="475" t="s">
        <v>4264</v>
      </c>
      <c r="K82" s="475" t="s">
        <v>4265</v>
      </c>
      <c r="L82" s="475" t="s">
        <v>4266</v>
      </c>
      <c r="M82" s="475" t="s">
        <v>4267</v>
      </c>
      <c r="N82" s="475" t="s">
        <v>4268</v>
      </c>
    </row>
    <row r="83" spans="1:14" ht="43.2">
      <c r="A83" s="469" t="s">
        <v>4269</v>
      </c>
      <c r="B83" s="474" t="str">
        <f t="shared" si="4"/>
        <v>C2 - Description of practices, policies and future initiatives for transitioning towards a more sustainable economy</v>
      </c>
      <c r="C83" s="469" t="s">
        <v>4270</v>
      </c>
      <c r="D83" s="469" t="s">
        <v>4271</v>
      </c>
      <c r="E83" s="469" t="s">
        <v>4272</v>
      </c>
      <c r="F83" s="469" t="s">
        <v>4273</v>
      </c>
      <c r="G83" s="476" t="s">
        <v>4274</v>
      </c>
      <c r="H83" s="476" t="s">
        <v>4275</v>
      </c>
      <c r="I83" s="2" t="s">
        <v>4276</v>
      </c>
      <c r="J83" s="475" t="s">
        <v>4277</v>
      </c>
      <c r="K83" s="475" t="s">
        <v>4278</v>
      </c>
      <c r="L83" s="475" t="s">
        <v>4279</v>
      </c>
      <c r="M83" s="475" t="s">
        <v>4280</v>
      </c>
      <c r="N83" s="475" t="s">
        <v>4281</v>
      </c>
    </row>
    <row r="84" spans="1:14" ht="28.8">
      <c r="A84" s="469" t="s">
        <v>4282</v>
      </c>
      <c r="B84" s="474" t="str">
        <f t="shared" si="4"/>
        <v>C3 - GHG reduction targets and climate transition</v>
      </c>
      <c r="C84" s="469" t="s">
        <v>4283</v>
      </c>
      <c r="D84" s="469" t="s">
        <v>4284</v>
      </c>
      <c r="E84" s="469" t="s">
        <v>4285</v>
      </c>
      <c r="F84" s="469" t="s">
        <v>4286</v>
      </c>
      <c r="G84" s="476" t="s">
        <v>4287</v>
      </c>
      <c r="H84" s="476" t="s">
        <v>4288</v>
      </c>
      <c r="I84" s="2" t="s">
        <v>4289</v>
      </c>
      <c r="J84" s="475" t="s">
        <v>4290</v>
      </c>
      <c r="K84" s="475" t="s">
        <v>4291</v>
      </c>
      <c r="L84" s="475" t="s">
        <v>4292</v>
      </c>
      <c r="M84" s="475" t="s">
        <v>4293</v>
      </c>
      <c r="N84" s="475" t="s">
        <v>4294</v>
      </c>
    </row>
    <row r="85" spans="1:14">
      <c r="A85" s="469" t="s">
        <v>4295</v>
      </c>
      <c r="B85" s="474" t="str">
        <f t="shared" si="4"/>
        <v>C4 - Climate risks</v>
      </c>
      <c r="C85" s="469" t="s">
        <v>4296</v>
      </c>
      <c r="D85" s="469" t="s">
        <v>4297</v>
      </c>
      <c r="E85" s="469" t="s">
        <v>4298</v>
      </c>
      <c r="F85" s="469" t="s">
        <v>4299</v>
      </c>
      <c r="G85" s="476" t="s">
        <v>4300</v>
      </c>
      <c r="H85" s="476" t="s">
        <v>4301</v>
      </c>
      <c r="I85" s="2" t="s">
        <v>4302</v>
      </c>
      <c r="J85" s="475" t="s">
        <v>4303</v>
      </c>
      <c r="K85" s="475" t="s">
        <v>4304</v>
      </c>
      <c r="L85" s="475" t="s">
        <v>4305</v>
      </c>
      <c r="M85" s="475" t="s">
        <v>4306</v>
      </c>
      <c r="N85" s="475" t="s">
        <v>4307</v>
      </c>
    </row>
    <row r="86" spans="1:14" ht="28.8">
      <c r="A86" s="469" t="s">
        <v>4308</v>
      </c>
      <c r="B86" s="474" t="str">
        <f t="shared" si="4"/>
        <v>C5 - Additional (general) workforce characteristics</v>
      </c>
      <c r="C86" s="469" t="s">
        <v>4309</v>
      </c>
      <c r="D86" s="469" t="s">
        <v>4310</v>
      </c>
      <c r="E86" s="469" t="s">
        <v>4311</v>
      </c>
      <c r="F86" s="469" t="s">
        <v>4312</v>
      </c>
      <c r="G86" s="476" t="s">
        <v>4313</v>
      </c>
      <c r="H86" s="476" t="s">
        <v>4314</v>
      </c>
      <c r="I86" s="2" t="s">
        <v>4315</v>
      </c>
      <c r="J86" s="475" t="s">
        <v>4316</v>
      </c>
      <c r="K86" s="475" t="s">
        <v>4317</v>
      </c>
      <c r="L86" s="475" t="s">
        <v>4318</v>
      </c>
      <c r="M86" s="475" t="s">
        <v>4319</v>
      </c>
      <c r="N86" s="475" t="s">
        <v>4320</v>
      </c>
    </row>
    <row r="87" spans="1:14" ht="57.6">
      <c r="A87" s="469" t="s">
        <v>4321</v>
      </c>
      <c r="B87" s="474" t="str">
        <f t="shared" si="4"/>
        <v>C6 - Additional own workforce information - Human rights policies and processes</v>
      </c>
      <c r="C87" s="469" t="s">
        <v>4322</v>
      </c>
      <c r="D87" s="469" t="s">
        <v>4323</v>
      </c>
      <c r="E87" s="469" t="s">
        <v>4324</v>
      </c>
      <c r="F87" s="469" t="s">
        <v>4325</v>
      </c>
      <c r="G87" s="476" t="s">
        <v>4326</v>
      </c>
      <c r="H87" s="476" t="s">
        <v>4327</v>
      </c>
      <c r="I87" s="2" t="s">
        <v>4328</v>
      </c>
      <c r="J87" s="475" t="s">
        <v>4329</v>
      </c>
      <c r="K87" s="475" t="s">
        <v>4330</v>
      </c>
      <c r="L87" s="475" t="s">
        <v>4331</v>
      </c>
      <c r="M87" s="475" t="s">
        <v>4332</v>
      </c>
      <c r="N87" s="475" t="s">
        <v>4333</v>
      </c>
    </row>
    <row r="88" spans="1:14" s="540" customFormat="1" ht="43.2">
      <c r="A88" s="576" t="s">
        <v>4334</v>
      </c>
      <c r="B88" s="590" t="str">
        <f>INDEX(C88:N88,MATCH(template_selected_display_language,$C$3:$N$3,0))</f>
        <v>C7 - Human rights incidents</v>
      </c>
      <c r="C88" s="576" t="s">
        <v>4335</v>
      </c>
      <c r="D88" s="576" t="s">
        <v>4336</v>
      </c>
      <c r="E88" s="576" t="s">
        <v>4337</v>
      </c>
      <c r="F88" s="576" t="s">
        <v>4338</v>
      </c>
      <c r="G88" s="591" t="s">
        <v>4339</v>
      </c>
      <c r="H88" s="591" t="s">
        <v>4340</v>
      </c>
      <c r="I88" s="589" t="s">
        <v>4341</v>
      </c>
      <c r="J88" s="579" t="s">
        <v>4342</v>
      </c>
      <c r="K88" s="579" t="s">
        <v>4343</v>
      </c>
      <c r="L88" s="579" t="s">
        <v>4344</v>
      </c>
      <c r="M88" s="579" t="s">
        <v>4345</v>
      </c>
      <c r="N88" s="579" t="s">
        <v>4346</v>
      </c>
    </row>
    <row r="89" spans="1:14" s="540" customFormat="1" ht="28.8">
      <c r="A89" s="576" t="s">
        <v>4347</v>
      </c>
      <c r="B89" s="590" t="str">
        <f t="shared" si="4"/>
        <v>C8 - Revenues from certain activities</v>
      </c>
      <c r="C89" s="576" t="s">
        <v>4348</v>
      </c>
      <c r="D89" s="576" t="s">
        <v>4349</v>
      </c>
      <c r="E89" s="576" t="s">
        <v>4350</v>
      </c>
      <c r="F89" s="576" t="s">
        <v>4351</v>
      </c>
      <c r="G89" s="591" t="s">
        <v>4352</v>
      </c>
      <c r="H89" s="591" t="s">
        <v>4353</v>
      </c>
      <c r="I89" s="589" t="s">
        <v>4354</v>
      </c>
      <c r="J89" s="579" t="s">
        <v>4355</v>
      </c>
      <c r="K89" s="579" t="s">
        <v>4356</v>
      </c>
      <c r="L89" s="579" t="s">
        <v>4357</v>
      </c>
      <c r="M89" s="579" t="s">
        <v>4358</v>
      </c>
      <c r="N89" s="579" t="s">
        <v>4359</v>
      </c>
    </row>
    <row r="90" spans="1:14" ht="28.8">
      <c r="A90" s="469" t="s">
        <v>4360</v>
      </c>
      <c r="B90" s="474" t="str">
        <f t="shared" si="4"/>
        <v>C9 - Gender diversity ratio in the governance body</v>
      </c>
      <c r="C90" s="469" t="s">
        <v>4361</v>
      </c>
      <c r="D90" s="469" t="s">
        <v>4362</v>
      </c>
      <c r="E90" s="469" t="s">
        <v>4363</v>
      </c>
      <c r="F90" s="469" t="s">
        <v>4364</v>
      </c>
      <c r="G90" s="476" t="s">
        <v>4365</v>
      </c>
      <c r="H90" s="476" t="s">
        <v>4366</v>
      </c>
      <c r="I90" s="2" t="s">
        <v>4367</v>
      </c>
      <c r="J90" s="475" t="s">
        <v>4368</v>
      </c>
      <c r="K90" s="475" t="s">
        <v>4369</v>
      </c>
      <c r="L90" s="475" t="s">
        <v>4370</v>
      </c>
      <c r="M90" s="475" t="s">
        <v>4371</v>
      </c>
      <c r="N90" s="475" t="s">
        <v>4372</v>
      </c>
    </row>
    <row r="91" spans="1:14">
      <c r="A91" s="469" t="s">
        <v>4373</v>
      </c>
      <c r="B91" s="474" t="str">
        <f t="shared" si="4"/>
        <v>Additional Disclosures</v>
      </c>
      <c r="C91" s="469" t="s">
        <v>4374</v>
      </c>
      <c r="D91" s="469" t="s">
        <v>4375</v>
      </c>
      <c r="E91" s="469" t="s">
        <v>4376</v>
      </c>
      <c r="F91" s="469" t="s">
        <v>4377</v>
      </c>
      <c r="G91" s="476" t="s">
        <v>4378</v>
      </c>
      <c r="H91" s="476" t="s">
        <v>4379</v>
      </c>
      <c r="I91" s="2" t="s">
        <v>4380</v>
      </c>
      <c r="J91" s="475" t="s">
        <v>4381</v>
      </c>
      <c r="K91" s="475" t="s">
        <v>4382</v>
      </c>
      <c r="L91" s="475" t="s">
        <v>4383</v>
      </c>
      <c r="M91" s="475" t="s">
        <v>4384</v>
      </c>
      <c r="N91" s="475" t="s">
        <v>4385</v>
      </c>
    </row>
    <row r="92" spans="1:14">
      <c r="A92" s="2" t="s">
        <v>4386</v>
      </c>
      <c r="B92" s="474" t="str">
        <f t="shared" si="4"/>
        <v>Paragraph Reference</v>
      </c>
      <c r="C92" s="2" t="s">
        <v>62</v>
      </c>
      <c r="D92" s="469" t="s">
        <v>4387</v>
      </c>
      <c r="E92" s="469" t="s">
        <v>4388</v>
      </c>
      <c r="F92" s="469" t="s">
        <v>4389</v>
      </c>
      <c r="G92" s="476" t="s">
        <v>4390</v>
      </c>
      <c r="H92" s="476" t="s">
        <v>4391</v>
      </c>
      <c r="I92" s="2" t="s">
        <v>4392</v>
      </c>
      <c r="J92" s="475" t="s">
        <v>4393</v>
      </c>
      <c r="K92" s="475" t="s">
        <v>4394</v>
      </c>
      <c r="L92" s="475" t="s">
        <v>4395</v>
      </c>
      <c r="M92" s="475" t="s">
        <v>4396</v>
      </c>
      <c r="N92" s="475" t="s">
        <v>4397</v>
      </c>
    </row>
    <row r="93" spans="1:14" ht="43.2">
      <c r="A93" s="2" t="s">
        <v>4398</v>
      </c>
      <c r="B93" s="474" t="str">
        <f t="shared" si="4"/>
        <v>Paragraph Guidance Reference</v>
      </c>
      <c r="C93" s="2" t="s">
        <v>63</v>
      </c>
      <c r="D93" s="469" t="s">
        <v>4399</v>
      </c>
      <c r="E93" s="469" t="s">
        <v>4400</v>
      </c>
      <c r="F93" s="469" t="s">
        <v>4401</v>
      </c>
      <c r="G93" s="476" t="s">
        <v>4402</v>
      </c>
      <c r="H93" s="476" t="s">
        <v>4403</v>
      </c>
      <c r="I93" s="2" t="s">
        <v>4404</v>
      </c>
      <c r="J93" s="475" t="s">
        <v>4405</v>
      </c>
      <c r="K93" s="475" t="s">
        <v>4406</v>
      </c>
      <c r="L93" s="475" t="s">
        <v>4407</v>
      </c>
      <c r="M93" s="475" t="s">
        <v>4408</v>
      </c>
      <c r="N93" s="475" t="s">
        <v>4409</v>
      </c>
    </row>
    <row r="94" spans="1:14">
      <c r="A94" s="2" t="s">
        <v>4410</v>
      </c>
      <c r="B94" s="474" t="str">
        <f t="shared" si="4"/>
        <v>from</v>
      </c>
      <c r="C94" s="2" t="s">
        <v>4411</v>
      </c>
      <c r="D94" s="469" t="s">
        <v>4412</v>
      </c>
      <c r="E94" s="469" t="s">
        <v>4413</v>
      </c>
      <c r="F94" s="469" t="s">
        <v>4414</v>
      </c>
      <c r="G94" s="476" t="s">
        <v>4415</v>
      </c>
      <c r="H94" s="476" t="s">
        <v>4416</v>
      </c>
      <c r="I94" s="2" t="s">
        <v>3300</v>
      </c>
      <c r="J94" s="475" t="s">
        <v>4417</v>
      </c>
      <c r="K94" s="475" t="s">
        <v>4418</v>
      </c>
      <c r="L94" s="475" t="s">
        <v>3303</v>
      </c>
      <c r="M94" s="475" t="s">
        <v>4419</v>
      </c>
      <c r="N94" s="475" t="s">
        <v>3303</v>
      </c>
    </row>
    <row r="95" spans="1:14">
      <c r="A95" s="2" t="s">
        <v>4420</v>
      </c>
      <c r="B95" s="474" t="str">
        <f t="shared" si="4"/>
        <v>to</v>
      </c>
      <c r="C95" s="2" t="s">
        <v>4421</v>
      </c>
      <c r="D95" s="469" t="s">
        <v>4422</v>
      </c>
      <c r="E95" s="469" t="s">
        <v>4423</v>
      </c>
      <c r="F95" s="469" t="s">
        <v>4424</v>
      </c>
      <c r="G95" s="476" t="s">
        <v>4425</v>
      </c>
      <c r="H95" s="476" t="s">
        <v>4426</v>
      </c>
      <c r="I95" s="2" t="s">
        <v>4427</v>
      </c>
      <c r="J95" s="475" t="s">
        <v>4428</v>
      </c>
      <c r="K95" s="475" t="s">
        <v>4429</v>
      </c>
      <c r="L95" s="475" t="s">
        <v>4430</v>
      </c>
      <c r="M95" s="475" t="s">
        <v>4429</v>
      </c>
      <c r="N95" s="475" t="s">
        <v>4427</v>
      </c>
    </row>
    <row r="96" spans="1:14" ht="43.8" thickBot="1">
      <c r="A96" s="481" t="s">
        <v>4431</v>
      </c>
      <c r="B96" s="478" t="str">
        <f t="shared" si="4"/>
        <v>at</v>
      </c>
      <c r="C96" s="481" t="s">
        <v>4432</v>
      </c>
      <c r="D96" s="477" t="s">
        <v>4433</v>
      </c>
      <c r="E96" s="477" t="s">
        <v>4434</v>
      </c>
      <c r="F96" s="477" t="s">
        <v>4435</v>
      </c>
      <c r="G96" s="480" t="s">
        <v>4436</v>
      </c>
      <c r="H96" s="480" t="s">
        <v>4437</v>
      </c>
      <c r="I96" s="481" t="s">
        <v>4427</v>
      </c>
      <c r="J96" s="479" t="s">
        <v>4438</v>
      </c>
      <c r="K96" s="479" t="s">
        <v>4439</v>
      </c>
      <c r="L96" s="479" t="s">
        <v>4440</v>
      </c>
      <c r="M96" s="479" t="s">
        <v>4441</v>
      </c>
      <c r="N96" s="479" t="s">
        <v>3299</v>
      </c>
    </row>
    <row r="97" spans="1:14" ht="58.2" thickBot="1">
      <c r="A97" s="481" t="s">
        <v>4442</v>
      </c>
      <c r="B97" s="478" t="str">
        <f t="shared" si="4"/>
        <v>amount in</v>
      </c>
      <c r="C97" s="481" t="s">
        <v>4443</v>
      </c>
      <c r="D97" s="477" t="s">
        <v>4444</v>
      </c>
      <c r="E97" s="477" t="s">
        <v>4445</v>
      </c>
      <c r="F97" s="477" t="s">
        <v>4446</v>
      </c>
      <c r="G97" s="480" t="s">
        <v>4447</v>
      </c>
      <c r="H97" s="480" t="s">
        <v>4448</v>
      </c>
      <c r="I97" s="481" t="s">
        <v>4449</v>
      </c>
      <c r="J97" s="479" t="s">
        <v>4450</v>
      </c>
      <c r="K97" s="479" t="s">
        <v>4451</v>
      </c>
      <c r="L97" s="479" t="s">
        <v>4452</v>
      </c>
      <c r="M97" s="479" t="s">
        <v>4453</v>
      </c>
      <c r="N97" s="479" t="s">
        <v>4454</v>
      </c>
    </row>
    <row r="98" spans="1:14">
      <c r="A98" s="2" t="s">
        <v>4455</v>
      </c>
      <c r="B98" s="474" t="str">
        <f t="shared" si="4"/>
        <v>Information on the report necessary for  XBRL</v>
      </c>
      <c r="C98" s="2" t="s">
        <v>4042</v>
      </c>
      <c r="D98" s="469" t="s">
        <v>4043</v>
      </c>
      <c r="E98" s="469" t="s">
        <v>4456</v>
      </c>
      <c r="F98" s="469" t="s">
        <v>4045</v>
      </c>
      <c r="G98" s="476" t="s">
        <v>4046</v>
      </c>
      <c r="H98" s="476" t="s">
        <v>4047</v>
      </c>
      <c r="I98" s="2" t="s">
        <v>4048</v>
      </c>
      <c r="J98" s="475" t="s">
        <v>4457</v>
      </c>
      <c r="K98" s="475" t="s">
        <v>4458</v>
      </c>
      <c r="L98" s="475" t="s">
        <v>4051</v>
      </c>
      <c r="M98" s="475" t="s">
        <v>4052</v>
      </c>
      <c r="N98" s="475" t="s">
        <v>4459</v>
      </c>
    </row>
    <row r="99" spans="1:14" ht="28.8">
      <c r="A99" s="2" t="s">
        <v>4460</v>
      </c>
      <c r="B99" s="474" t="str">
        <f t="shared" si="4"/>
        <v>Name of the reporting entity</v>
      </c>
      <c r="C99" s="2" t="s">
        <v>4461</v>
      </c>
      <c r="D99" s="469" t="s">
        <v>4462</v>
      </c>
      <c r="E99" s="469" t="s">
        <v>4463</v>
      </c>
      <c r="F99" s="469" t="s">
        <v>4464</v>
      </c>
      <c r="G99" s="476" t="s">
        <v>4465</v>
      </c>
      <c r="H99" s="476" t="s">
        <v>4466</v>
      </c>
      <c r="I99" s="2" t="s">
        <v>4467</v>
      </c>
      <c r="J99" s="475" t="s">
        <v>4468</v>
      </c>
      <c r="K99" s="475" t="s">
        <v>4469</v>
      </c>
      <c r="L99" s="475" t="s">
        <v>4470</v>
      </c>
      <c r="M99" s="475" t="s">
        <v>4471</v>
      </c>
      <c r="N99" s="475" t="s">
        <v>4472</v>
      </c>
    </row>
    <row r="100" spans="1:14" ht="28.8">
      <c r="A100" s="2" t="s">
        <v>4473</v>
      </c>
      <c r="B100" s="474" t="str">
        <f t="shared" si="4"/>
        <v>Identifier of the reporting entity (select and specify on the right)</v>
      </c>
      <c r="C100" s="2" t="s">
        <v>4474</v>
      </c>
      <c r="D100" s="469" t="s">
        <v>4475</v>
      </c>
      <c r="E100" s="469" t="s">
        <v>3327</v>
      </c>
      <c r="F100" s="469" t="s">
        <v>4476</v>
      </c>
      <c r="G100" s="476" t="s">
        <v>4477</v>
      </c>
      <c r="H100" s="476" t="s">
        <v>4478</v>
      </c>
      <c r="I100" s="2" t="s">
        <v>4479</v>
      </c>
      <c r="J100" s="475" t="s">
        <v>4480</v>
      </c>
      <c r="K100" s="475" t="s">
        <v>4481</v>
      </c>
      <c r="L100" s="475" t="s">
        <v>4482</v>
      </c>
      <c r="M100" s="475" t="s">
        <v>4483</v>
      </c>
      <c r="N100" s="475" t="s">
        <v>4484</v>
      </c>
    </row>
    <row r="101" spans="1:14" ht="28.8">
      <c r="A101" s="2" t="s">
        <v>4485</v>
      </c>
      <c r="B101" s="474" t="str">
        <f t="shared" si="4"/>
        <v>Currency of the monetary values in the report</v>
      </c>
      <c r="C101" s="2" t="s">
        <v>4486</v>
      </c>
      <c r="D101" s="469" t="s">
        <v>4487</v>
      </c>
      <c r="E101" s="469" t="s">
        <v>4488</v>
      </c>
      <c r="F101" s="469" t="s">
        <v>4489</v>
      </c>
      <c r="G101" s="476" t="s">
        <v>4490</v>
      </c>
      <c r="H101" s="476" t="s">
        <v>4491</v>
      </c>
      <c r="I101" s="2" t="s">
        <v>4492</v>
      </c>
      <c r="J101" s="475" t="s">
        <v>4493</v>
      </c>
      <c r="K101" s="475" t="s">
        <v>4494</v>
      </c>
      <c r="L101" s="475" t="s">
        <v>4495</v>
      </c>
      <c r="M101" s="475" t="s">
        <v>4496</v>
      </c>
      <c r="N101" s="475" t="s">
        <v>4497</v>
      </c>
    </row>
    <row r="102" spans="1:14">
      <c r="A102" s="2" t="s">
        <v>4498</v>
      </c>
      <c r="B102" s="474" t="str">
        <f t="shared" si="4"/>
        <v>Starting year</v>
      </c>
      <c r="C102" s="2" t="s">
        <v>4499</v>
      </c>
      <c r="D102" s="469" t="s">
        <v>4500</v>
      </c>
      <c r="E102" s="469" t="s">
        <v>4501</v>
      </c>
      <c r="F102" s="469" t="s">
        <v>4502</v>
      </c>
      <c r="G102" s="476" t="s">
        <v>4503</v>
      </c>
      <c r="H102" s="476" t="s">
        <v>4504</v>
      </c>
      <c r="I102" s="2" t="s">
        <v>4505</v>
      </c>
      <c r="J102" s="475" t="s">
        <v>4506</v>
      </c>
      <c r="K102" s="475" t="s">
        <v>4507</v>
      </c>
      <c r="L102" s="475" t="s">
        <v>4508</v>
      </c>
      <c r="M102" s="475" t="s">
        <v>4509</v>
      </c>
      <c r="N102" s="475" t="s">
        <v>4510</v>
      </c>
    </row>
    <row r="103" spans="1:14" ht="28.8">
      <c r="A103" s="2" t="s">
        <v>4511</v>
      </c>
      <c r="B103" s="474" t="str">
        <f t="shared" ref="B103:B168" si="5">INDEX(C103:N103,MATCH(template_selected_display_language,$C$3:$N$3,0))</f>
        <v>Starting month</v>
      </c>
      <c r="C103" s="2" t="s">
        <v>4512</v>
      </c>
      <c r="D103" s="469" t="s">
        <v>4513</v>
      </c>
      <c r="E103" s="469" t="s">
        <v>4514</v>
      </c>
      <c r="F103" s="469" t="s">
        <v>4515</v>
      </c>
      <c r="G103" s="476" t="s">
        <v>4516</v>
      </c>
      <c r="H103" s="476" t="s">
        <v>4517</v>
      </c>
      <c r="I103" s="2" t="s">
        <v>4518</v>
      </c>
      <c r="J103" s="475" t="s">
        <v>4519</v>
      </c>
      <c r="K103" s="475" t="s">
        <v>4520</v>
      </c>
      <c r="L103" s="475" t="s">
        <v>4521</v>
      </c>
      <c r="M103" s="475" t="s">
        <v>4522</v>
      </c>
      <c r="N103" s="475" t="s">
        <v>4523</v>
      </c>
    </row>
    <row r="104" spans="1:14">
      <c r="A104" s="2" t="s">
        <v>4524</v>
      </c>
      <c r="B104" s="474" t="str">
        <f t="shared" si="5"/>
        <v>Starting day</v>
      </c>
      <c r="C104" s="2" t="s">
        <v>4525</v>
      </c>
      <c r="D104" s="469" t="s">
        <v>4526</v>
      </c>
      <c r="E104" s="469" t="s">
        <v>4527</v>
      </c>
      <c r="F104" s="469" t="s">
        <v>4528</v>
      </c>
      <c r="G104" s="476" t="s">
        <v>4529</v>
      </c>
      <c r="H104" s="476" t="s">
        <v>4530</v>
      </c>
      <c r="I104" s="2" t="s">
        <v>4531</v>
      </c>
      <c r="J104" s="475" t="s">
        <v>4532</v>
      </c>
      <c r="K104" s="475" t="s">
        <v>4533</v>
      </c>
      <c r="L104" s="475" t="s">
        <v>4534</v>
      </c>
      <c r="M104" s="475" t="s">
        <v>4535</v>
      </c>
      <c r="N104" s="475" t="s">
        <v>4536</v>
      </c>
    </row>
    <row r="105" spans="1:14">
      <c r="A105" s="2" t="s">
        <v>4537</v>
      </c>
      <c r="B105" s="474" t="str">
        <f t="shared" si="5"/>
        <v>Reporting period start date (yyyy-mm-dd)</v>
      </c>
      <c r="C105" s="2" t="s">
        <v>4538</v>
      </c>
      <c r="D105" s="469" t="s">
        <v>4539</v>
      </c>
      <c r="E105" s="469" t="s">
        <v>4540</v>
      </c>
      <c r="F105" s="469" t="s">
        <v>4541</v>
      </c>
      <c r="G105" s="476" t="s">
        <v>4542</v>
      </c>
      <c r="H105" s="476" t="s">
        <v>4543</v>
      </c>
      <c r="I105" s="2" t="s">
        <v>4544</v>
      </c>
      <c r="J105" s="475" t="s">
        <v>4545</v>
      </c>
      <c r="K105" s="475" t="s">
        <v>4546</v>
      </c>
      <c r="L105" s="475" t="s">
        <v>4547</v>
      </c>
      <c r="M105" s="475" t="s">
        <v>4548</v>
      </c>
      <c r="N105" s="475" t="s">
        <v>4549</v>
      </c>
    </row>
    <row r="106" spans="1:14" ht="28.8">
      <c r="A106" s="2" t="s">
        <v>4550</v>
      </c>
      <c r="B106" s="474" t="str">
        <f t="shared" si="5"/>
        <v>Ending year</v>
      </c>
      <c r="C106" s="2" t="s">
        <v>4551</v>
      </c>
      <c r="D106" s="469" t="s">
        <v>4552</v>
      </c>
      <c r="E106" s="469" t="s">
        <v>4553</v>
      </c>
      <c r="F106" s="469" t="s">
        <v>4554</v>
      </c>
      <c r="G106" s="476" t="s">
        <v>4555</v>
      </c>
      <c r="H106" s="476" t="s">
        <v>4556</v>
      </c>
      <c r="I106" s="2" t="s">
        <v>4557</v>
      </c>
      <c r="J106" s="475" t="s">
        <v>4558</v>
      </c>
      <c r="K106" s="475" t="s">
        <v>4559</v>
      </c>
      <c r="L106" s="475" t="s">
        <v>4560</v>
      </c>
      <c r="M106" s="475" t="s">
        <v>4561</v>
      </c>
      <c r="N106" s="475" t="s">
        <v>4562</v>
      </c>
    </row>
    <row r="107" spans="1:14" ht="28.8">
      <c r="A107" s="2" t="s">
        <v>4563</v>
      </c>
      <c r="B107" s="474" t="str">
        <f t="shared" si="5"/>
        <v>Ending month</v>
      </c>
      <c r="C107" s="2" t="s">
        <v>4564</v>
      </c>
      <c r="D107" s="469" t="s">
        <v>4565</v>
      </c>
      <c r="E107" s="469" t="s">
        <v>4566</v>
      </c>
      <c r="F107" s="469" t="s">
        <v>4567</v>
      </c>
      <c r="G107" s="476" t="s">
        <v>4568</v>
      </c>
      <c r="H107" s="476" t="s">
        <v>4569</v>
      </c>
      <c r="I107" s="2" t="s">
        <v>4570</v>
      </c>
      <c r="J107" s="475" t="s">
        <v>4571</v>
      </c>
      <c r="K107" s="475" t="s">
        <v>4572</v>
      </c>
      <c r="L107" s="475" t="s">
        <v>4573</v>
      </c>
      <c r="M107" s="475" t="s">
        <v>4574</v>
      </c>
      <c r="N107" s="475" t="s">
        <v>4575</v>
      </c>
    </row>
    <row r="108" spans="1:14" ht="43.2">
      <c r="A108" s="2" t="s">
        <v>4576</v>
      </c>
      <c r="B108" s="474" t="str">
        <f t="shared" si="5"/>
        <v>Ending day</v>
      </c>
      <c r="C108" s="2" t="s">
        <v>7</v>
      </c>
      <c r="D108" s="469" t="s">
        <v>4577</v>
      </c>
      <c r="E108" s="469" t="s">
        <v>4578</v>
      </c>
      <c r="F108" s="469" t="s">
        <v>4579</v>
      </c>
      <c r="G108" s="476" t="s">
        <v>4580</v>
      </c>
      <c r="H108" s="476" t="s">
        <v>4581</v>
      </c>
      <c r="I108" s="2" t="s">
        <v>4582</v>
      </c>
      <c r="J108" s="475" t="s">
        <v>4583</v>
      </c>
      <c r="K108" s="475" t="s">
        <v>4584</v>
      </c>
      <c r="L108" s="475" t="s">
        <v>4585</v>
      </c>
      <c r="M108" s="475" t="s">
        <v>4586</v>
      </c>
      <c r="N108" s="475" t="s">
        <v>4587</v>
      </c>
    </row>
    <row r="109" spans="1:14" ht="15" thickBot="1">
      <c r="A109" s="481" t="s">
        <v>4588</v>
      </c>
      <c r="B109" s="478" t="str">
        <f t="shared" si="5"/>
        <v>Reporting period end date  (yyyy-mm-dd)</v>
      </c>
      <c r="C109" s="481" t="s">
        <v>4589</v>
      </c>
      <c r="D109" s="477" t="s">
        <v>4590</v>
      </c>
      <c r="E109" s="477" t="s">
        <v>4591</v>
      </c>
      <c r="F109" s="477" t="s">
        <v>4592</v>
      </c>
      <c r="G109" s="480" t="s">
        <v>4593</v>
      </c>
      <c r="H109" s="480" t="s">
        <v>4594</v>
      </c>
      <c r="I109" s="481" t="s">
        <v>4595</v>
      </c>
      <c r="J109" s="479" t="s">
        <v>4596</v>
      </c>
      <c r="K109" s="479" t="s">
        <v>4597</v>
      </c>
      <c r="L109" s="479" t="s">
        <v>4598</v>
      </c>
      <c r="M109" s="479" t="s">
        <v>4599</v>
      </c>
      <c r="N109" s="479" t="s">
        <v>4600</v>
      </c>
    </row>
    <row r="110" spans="1:14" ht="43.2">
      <c r="A110" s="2" t="s">
        <v>4601</v>
      </c>
      <c r="B110" s="474" t="str">
        <f t="shared" si="5"/>
        <v>Information on previous reporting period</v>
      </c>
      <c r="C110" s="2" t="s">
        <v>4055</v>
      </c>
      <c r="D110" s="469" t="s">
        <v>4602</v>
      </c>
      <c r="E110" s="469" t="s">
        <v>4603</v>
      </c>
      <c r="F110" s="469" t="s">
        <v>4058</v>
      </c>
      <c r="G110" s="476" t="s">
        <v>4059</v>
      </c>
      <c r="H110" s="476" t="s">
        <v>4060</v>
      </c>
      <c r="I110" s="2" t="s">
        <v>4061</v>
      </c>
      <c r="J110" s="475" t="s">
        <v>4062</v>
      </c>
      <c r="K110" s="475" t="s">
        <v>4604</v>
      </c>
      <c r="L110" s="475" t="s">
        <v>4064</v>
      </c>
      <c r="M110" s="475" t="s">
        <v>4065</v>
      </c>
      <c r="N110" s="475" t="s">
        <v>4066</v>
      </c>
    </row>
    <row r="111" spans="1:14" ht="43.2">
      <c r="A111" s="2" t="s">
        <v>4605</v>
      </c>
      <c r="B111" s="474" t="str">
        <f t="shared" si="5"/>
        <v>This report contains disclosures from the previous reporting period that remain unchanged</v>
      </c>
      <c r="C111" s="2" t="s">
        <v>4606</v>
      </c>
      <c r="D111" s="469" t="s">
        <v>4607</v>
      </c>
      <c r="E111" s="469" t="s">
        <v>4608</v>
      </c>
      <c r="F111" s="469" t="s">
        <v>4609</v>
      </c>
      <c r="G111" s="476" t="s">
        <v>4610</v>
      </c>
      <c r="H111" s="476" t="s">
        <v>4611</v>
      </c>
      <c r="I111" s="2" t="s">
        <v>4612</v>
      </c>
      <c r="J111" s="475" t="s">
        <v>4613</v>
      </c>
      <c r="K111" s="475" t="s">
        <v>4614</v>
      </c>
      <c r="L111" s="475" t="s">
        <v>4615</v>
      </c>
      <c r="M111" s="475" t="s">
        <v>4616</v>
      </c>
      <c r="N111" s="475" t="s">
        <v>4617</v>
      </c>
    </row>
    <row r="112" spans="1:14" ht="72">
      <c r="A112" s="2" t="s">
        <v>4618</v>
      </c>
      <c r="B112" s="474" t="str">
        <f t="shared" si="5"/>
        <v>List of disclosures for which no changes are reported compared to the previous period reporting</v>
      </c>
      <c r="C112" s="2" t="s">
        <v>4619</v>
      </c>
      <c r="D112" s="469" t="s">
        <v>4620</v>
      </c>
      <c r="E112" s="469" t="s">
        <v>4621</v>
      </c>
      <c r="F112" s="469" t="s">
        <v>4622</v>
      </c>
      <c r="G112" s="476" t="s">
        <v>4623</v>
      </c>
      <c r="H112" s="476" t="s">
        <v>4624</v>
      </c>
      <c r="I112" s="2" t="s">
        <v>4625</v>
      </c>
      <c r="J112" s="475" t="s">
        <v>4626</v>
      </c>
      <c r="K112" s="475" t="s">
        <v>4627</v>
      </c>
      <c r="L112" s="475" t="s">
        <v>4628</v>
      </c>
      <c r="M112" s="475" t="s">
        <v>4629</v>
      </c>
      <c r="N112" s="475" t="s">
        <v>4630</v>
      </c>
    </row>
    <row r="113" spans="1:14" ht="29.4" thickBot="1">
      <c r="A113" s="481" t="s">
        <v>4631</v>
      </c>
      <c r="B113" s="478" t="str">
        <f t="shared" si="5"/>
        <v>Link to previous report containing disclosures that remain unchanged</v>
      </c>
      <c r="C113" s="481" t="s">
        <v>4632</v>
      </c>
      <c r="D113" s="477" t="s">
        <v>4633</v>
      </c>
      <c r="E113" s="477" t="s">
        <v>4634</v>
      </c>
      <c r="F113" s="477" t="s">
        <v>4635</v>
      </c>
      <c r="G113" s="480" t="s">
        <v>4636</v>
      </c>
      <c r="H113" s="480" t="s">
        <v>4637</v>
      </c>
      <c r="I113" s="481" t="s">
        <v>4638</v>
      </c>
      <c r="J113" s="479" t="s">
        <v>4639</v>
      </c>
      <c r="K113" s="479" t="s">
        <v>4640</v>
      </c>
      <c r="L113" s="479" t="s">
        <v>4641</v>
      </c>
      <c r="M113" s="479" t="s">
        <v>4642</v>
      </c>
      <c r="N113" s="479" t="s">
        <v>4643</v>
      </c>
    </row>
    <row r="114" spans="1:14" ht="28.8">
      <c r="A114" s="2" t="s">
        <v>4644</v>
      </c>
      <c r="B114" s="474" t="str">
        <f t="shared" si="5"/>
        <v>B1 - Basis for Preparation &amp; Module</v>
      </c>
      <c r="C114" s="2" t="s">
        <v>4645</v>
      </c>
      <c r="D114" s="469" t="s">
        <v>4646</v>
      </c>
      <c r="E114" s="469" t="s">
        <v>4647</v>
      </c>
      <c r="F114" s="469" t="s">
        <v>4648</v>
      </c>
      <c r="G114" s="476" t="s">
        <v>4649</v>
      </c>
      <c r="H114" s="476" t="s">
        <v>4650</v>
      </c>
      <c r="I114" s="2" t="s">
        <v>4651</v>
      </c>
      <c r="J114" s="475" t="s">
        <v>4652</v>
      </c>
      <c r="K114" s="475" t="s">
        <v>4653</v>
      </c>
      <c r="L114" s="475" t="s">
        <v>4654</v>
      </c>
      <c r="M114" s="475" t="s">
        <v>4655</v>
      </c>
      <c r="N114" s="475" t="s">
        <v>4656</v>
      </c>
    </row>
    <row r="115" spans="1:14">
      <c r="A115" s="2" t="s">
        <v>4657</v>
      </c>
      <c r="B115" s="474" t="str">
        <f t="shared" ref="B115" si="6">INDEX(C115:N115,MATCH(template_selected_display_language,$C$3:$N$3,0))</f>
        <v>B1 - Other undertaking's general information</v>
      </c>
      <c r="C115" s="2" t="s">
        <v>4658</v>
      </c>
      <c r="D115" s="469" t="s">
        <v>4659</v>
      </c>
      <c r="E115" s="469" t="s">
        <v>4660</v>
      </c>
      <c r="F115" s="469" t="s">
        <v>4661</v>
      </c>
      <c r="G115" s="476" t="s">
        <v>4662</v>
      </c>
      <c r="H115" s="476" t="s">
        <v>4663</v>
      </c>
      <c r="I115" s="2" t="s">
        <v>4664</v>
      </c>
      <c r="J115" s="475" t="s">
        <v>4665</v>
      </c>
      <c r="K115" s="475" t="s">
        <v>4666</v>
      </c>
      <c r="L115" s="475" t="s">
        <v>4667</v>
      </c>
      <c r="M115" s="475" t="s">
        <v>4668</v>
      </c>
      <c r="N115" s="475" t="s">
        <v>4669</v>
      </c>
    </row>
    <row r="116" spans="1:14" s="10" customFormat="1" ht="28.8">
      <c r="A116" s="317" t="s">
        <v>4670</v>
      </c>
      <c r="B116" s="593" t="str">
        <f t="shared" si="5"/>
        <v>Basis for preparation (Basic Module Only or Basic &amp; Comprehensive Module)</v>
      </c>
      <c r="C116" s="317" t="s">
        <v>4671</v>
      </c>
      <c r="D116" s="581" t="s">
        <v>4672</v>
      </c>
      <c r="E116" s="581" t="s">
        <v>4673</v>
      </c>
      <c r="F116" s="581" t="s">
        <v>4674</v>
      </c>
      <c r="G116" s="594" t="s">
        <v>4675</v>
      </c>
      <c r="H116" s="594" t="s">
        <v>4676</v>
      </c>
      <c r="I116" s="317" t="s">
        <v>4677</v>
      </c>
      <c r="J116" s="580" t="s">
        <v>4678</v>
      </c>
      <c r="K116" s="580" t="s">
        <v>4679</v>
      </c>
      <c r="L116" s="580" t="s">
        <v>4680</v>
      </c>
      <c r="M116" s="580" t="s">
        <v>4681</v>
      </c>
      <c r="N116" s="580" t="s">
        <v>4682</v>
      </c>
    </row>
    <row r="117" spans="1:14" s="540" customFormat="1">
      <c r="A117" s="589" t="s">
        <v>4683</v>
      </c>
      <c r="B117" s="590" t="str">
        <f t="shared" si="5"/>
        <v xml:space="preserve">Explicit statement of compliance </v>
      </c>
      <c r="C117" s="589" t="s">
        <v>4684</v>
      </c>
      <c r="D117" s="576"/>
      <c r="E117" s="576"/>
      <c r="F117" s="576"/>
      <c r="G117" s="591"/>
      <c r="H117" s="591"/>
      <c r="I117" s="589"/>
      <c r="J117" s="579"/>
      <c r="K117" s="579"/>
      <c r="L117" s="579"/>
      <c r="M117" s="579"/>
      <c r="N117" s="579"/>
    </row>
    <row r="118" spans="1:14" s="540" customFormat="1" ht="28.8">
      <c r="A118" s="592" t="s">
        <v>4685</v>
      </c>
      <c r="B118" s="590" t="str">
        <f t="shared" si="5"/>
        <v xml:space="preserve">List of omitted disclosures </v>
      </c>
      <c r="C118" s="592" t="s">
        <v>283</v>
      </c>
      <c r="D118" s="576" t="s">
        <v>4686</v>
      </c>
      <c r="E118" s="576" t="s">
        <v>4687</v>
      </c>
      <c r="F118" s="576" t="s">
        <v>4688</v>
      </c>
      <c r="G118" s="591" t="s">
        <v>4689</v>
      </c>
      <c r="H118" s="591" t="s">
        <v>4690</v>
      </c>
      <c r="I118" s="589" t="s">
        <v>4691</v>
      </c>
      <c r="J118" s="579" t="s">
        <v>4692</v>
      </c>
      <c r="K118" s="579" t="s">
        <v>4693</v>
      </c>
      <c r="L118" s="579" t="s">
        <v>4694</v>
      </c>
      <c r="M118" s="579" t="s">
        <v>4695</v>
      </c>
      <c r="N118" s="579" t="s">
        <v>4696</v>
      </c>
    </row>
    <row r="119" spans="1:14" ht="28.8">
      <c r="A119" s="2" t="s">
        <v>4697</v>
      </c>
      <c r="B119" s="474" t="str">
        <f t="shared" si="5"/>
        <v>Basis for reporting (consolidated or individual basis)</v>
      </c>
      <c r="C119" s="2" t="s">
        <v>4698</v>
      </c>
      <c r="D119" s="469" t="s">
        <v>4699</v>
      </c>
      <c r="E119" s="469" t="s">
        <v>4700</v>
      </c>
      <c r="F119" s="469" t="s">
        <v>4701</v>
      </c>
      <c r="G119" s="476" t="s">
        <v>4702</v>
      </c>
      <c r="H119" s="476" t="s">
        <v>4703</v>
      </c>
      <c r="I119" s="2" t="s">
        <v>4704</v>
      </c>
      <c r="J119" s="475" t="s">
        <v>4705</v>
      </c>
      <c r="K119" s="475" t="s">
        <v>4706</v>
      </c>
      <c r="L119" s="475" t="s">
        <v>4707</v>
      </c>
      <c r="M119" s="475" t="s">
        <v>4708</v>
      </c>
      <c r="N119" s="475" t="s">
        <v>4709</v>
      </c>
    </row>
    <row r="120" spans="1:14">
      <c r="A120" s="2" t="s">
        <v>4710</v>
      </c>
      <c r="B120" s="474" t="str">
        <f t="shared" si="5"/>
        <v>Undertakings legal form</v>
      </c>
      <c r="C120" s="2" t="s">
        <v>4711</v>
      </c>
      <c r="D120" s="469" t="s">
        <v>4712</v>
      </c>
      <c r="E120" s="469" t="s">
        <v>4713</v>
      </c>
      <c r="F120" s="469" t="s">
        <v>4714</v>
      </c>
      <c r="G120" s="476" t="s">
        <v>4715</v>
      </c>
      <c r="H120" s="476" t="s">
        <v>4716</v>
      </c>
      <c r="I120" s="2" t="s">
        <v>4717</v>
      </c>
      <c r="J120" s="475" t="s">
        <v>4718</v>
      </c>
      <c r="K120" s="475" t="s">
        <v>4719</v>
      </c>
      <c r="L120" s="475" t="s">
        <v>4720</v>
      </c>
      <c r="M120" s="475" t="s">
        <v>4721</v>
      </c>
      <c r="N120" s="475" t="s">
        <v>4722</v>
      </c>
    </row>
    <row r="121" spans="1:14">
      <c r="A121" s="2" t="s">
        <v>4723</v>
      </c>
      <c r="B121" s="474" t="str">
        <f t="shared" si="5"/>
        <v>Other undertaking's legal form specification</v>
      </c>
      <c r="C121" s="2" t="s">
        <v>4724</v>
      </c>
      <c r="D121" s="469" t="s">
        <v>4725</v>
      </c>
      <c r="E121" s="469" t="s">
        <v>4726</v>
      </c>
      <c r="F121" s="469" t="s">
        <v>4727</v>
      </c>
      <c r="G121" s="476" t="s">
        <v>4728</v>
      </c>
      <c r="H121" s="476" t="s">
        <v>4729</v>
      </c>
      <c r="I121" s="2" t="s">
        <v>4730</v>
      </c>
      <c r="J121" s="475" t="s">
        <v>4731</v>
      </c>
      <c r="K121" s="475" t="s">
        <v>4732</v>
      </c>
      <c r="L121" s="475" t="s">
        <v>4733</v>
      </c>
      <c r="M121" s="475" t="s">
        <v>4734</v>
      </c>
      <c r="N121" s="475" t="s">
        <v>4735</v>
      </c>
    </row>
    <row r="122" spans="1:14">
      <c r="A122" s="2" t="s">
        <v>4736</v>
      </c>
      <c r="B122" s="474" t="str">
        <f t="shared" si="5"/>
        <v>NACE sector classification code(s)</v>
      </c>
      <c r="C122" s="2" t="s">
        <v>4737</v>
      </c>
      <c r="D122" s="469" t="s">
        <v>4738</v>
      </c>
      <c r="E122" s="469" t="s">
        <v>4739</v>
      </c>
      <c r="F122" s="482" t="s">
        <v>4740</v>
      </c>
      <c r="G122" s="476" t="s">
        <v>4741</v>
      </c>
      <c r="H122" s="476" t="s">
        <v>4742</v>
      </c>
      <c r="I122" s="2" t="s">
        <v>4743</v>
      </c>
      <c r="J122" s="475" t="s">
        <v>4744</v>
      </c>
      <c r="K122" s="475" t="s">
        <v>4745</v>
      </c>
      <c r="L122" s="475" t="s">
        <v>4746</v>
      </c>
      <c r="M122" s="475" t="s">
        <v>4747</v>
      </c>
      <c r="N122" s="475" t="s">
        <v>4748</v>
      </c>
    </row>
    <row r="123" spans="1:14">
      <c r="A123" s="2" t="s">
        <v>4749</v>
      </c>
      <c r="B123" s="474" t="str">
        <f t="shared" si="5"/>
        <v>Size of balance sheet (total assets) in</v>
      </c>
      <c r="C123" s="2" t="s">
        <v>4750</v>
      </c>
      <c r="D123" s="469" t="s">
        <v>4751</v>
      </c>
      <c r="E123" s="469" t="s">
        <v>4752</v>
      </c>
      <c r="F123" s="482" t="s">
        <v>4753</v>
      </c>
      <c r="G123" s="476" t="s">
        <v>4754</v>
      </c>
      <c r="H123" s="476" t="s">
        <v>4755</v>
      </c>
      <c r="I123" s="2" t="s">
        <v>4756</v>
      </c>
      <c r="J123" s="475" t="s">
        <v>4757</v>
      </c>
      <c r="K123" s="475" t="s">
        <v>4758</v>
      </c>
      <c r="L123" s="475" t="s">
        <v>4759</v>
      </c>
      <c r="M123" s="475" t="s">
        <v>4760</v>
      </c>
      <c r="N123" s="475" t="s">
        <v>4761</v>
      </c>
    </row>
    <row r="124" spans="1:14">
      <c r="A124" s="2" t="s">
        <v>4762</v>
      </c>
      <c r="B124" s="474" t="str">
        <f t="shared" si="5"/>
        <v>Turnover in</v>
      </c>
      <c r="C124" s="2" t="s">
        <v>4763</v>
      </c>
      <c r="D124" s="469" t="s">
        <v>4764</v>
      </c>
      <c r="E124" s="469" t="s">
        <v>4765</v>
      </c>
      <c r="F124" s="469" t="s">
        <v>4766</v>
      </c>
      <c r="G124" s="476" t="s">
        <v>4767</v>
      </c>
      <c r="H124" s="476" t="s">
        <v>4768</v>
      </c>
      <c r="I124" s="2" t="s">
        <v>4769</v>
      </c>
      <c r="J124" s="475" t="s">
        <v>4770</v>
      </c>
      <c r="K124" s="475" t="s">
        <v>4771</v>
      </c>
      <c r="L124" s="475" t="s">
        <v>4772</v>
      </c>
      <c r="M124" s="475" t="s">
        <v>4773</v>
      </c>
      <c r="N124" s="475" t="s">
        <v>4774</v>
      </c>
    </row>
    <row r="125" spans="1:14">
      <c r="A125" s="2" t="s">
        <v>4775</v>
      </c>
      <c r="B125" s="474" t="str">
        <f t="shared" si="5"/>
        <v>Number of employees</v>
      </c>
      <c r="C125" s="2" t="s">
        <v>4776</v>
      </c>
      <c r="D125" s="469" t="s">
        <v>4777</v>
      </c>
      <c r="E125" s="469" t="s">
        <v>4778</v>
      </c>
      <c r="F125" s="469" t="s">
        <v>4779</v>
      </c>
      <c r="G125" s="476" t="s">
        <v>4780</v>
      </c>
      <c r="H125" s="476" t="s">
        <v>4781</v>
      </c>
      <c r="I125" s="2" t="s">
        <v>4782</v>
      </c>
      <c r="J125" s="475" t="s">
        <v>4783</v>
      </c>
      <c r="K125" s="475" t="s">
        <v>4784</v>
      </c>
      <c r="L125" s="475" t="s">
        <v>4785</v>
      </c>
      <c r="M125" s="475" t="s">
        <v>4786</v>
      </c>
      <c r="N125" s="475" t="s">
        <v>4787</v>
      </c>
    </row>
    <row r="126" spans="1:14" ht="43.2">
      <c r="A126" s="2" t="s">
        <v>4788</v>
      </c>
      <c r="B126" s="474" t="str">
        <f t="shared" si="5"/>
        <v>Employee counting methodology (At the end of reporting period or as an average during the reporting period)</v>
      </c>
      <c r="C126" s="2" t="s">
        <v>4789</v>
      </c>
      <c r="D126" s="469" t="s">
        <v>4790</v>
      </c>
      <c r="E126" s="469" t="s">
        <v>4791</v>
      </c>
      <c r="F126" s="469" t="s">
        <v>4792</v>
      </c>
      <c r="G126" s="476" t="s">
        <v>4793</v>
      </c>
      <c r="H126" s="476" t="s">
        <v>4794</v>
      </c>
      <c r="I126" s="2" t="s">
        <v>4795</v>
      </c>
      <c r="J126" s="475" t="s">
        <v>4796</v>
      </c>
      <c r="K126" s="475" t="s">
        <v>4797</v>
      </c>
      <c r="L126" s="475" t="s">
        <v>4798</v>
      </c>
      <c r="M126" s="475" t="s">
        <v>4799</v>
      </c>
      <c r="N126" s="475" t="s">
        <v>4800</v>
      </c>
    </row>
    <row r="127" spans="1:14" ht="28.8">
      <c r="A127" s="2" t="s">
        <v>4801</v>
      </c>
      <c r="B127" s="474" t="str">
        <f t="shared" si="5"/>
        <v>Employee counting methodology (Headcount or Full-time equivalent)</v>
      </c>
      <c r="C127" s="2" t="s">
        <v>4802</v>
      </c>
      <c r="D127" s="469" t="s">
        <v>4803</v>
      </c>
      <c r="E127" s="469" t="s">
        <v>4804</v>
      </c>
      <c r="F127" s="469" t="s">
        <v>4805</v>
      </c>
      <c r="G127" s="476" t="s">
        <v>4806</v>
      </c>
      <c r="H127" s="476" t="s">
        <v>4807</v>
      </c>
      <c r="I127" s="2" t="s">
        <v>4808</v>
      </c>
      <c r="J127" s="475" t="s">
        <v>4809</v>
      </c>
      <c r="K127" s="475" t="s">
        <v>4810</v>
      </c>
      <c r="L127" s="475" t="s">
        <v>4811</v>
      </c>
      <c r="M127" s="475" t="s">
        <v>4812</v>
      </c>
      <c r="N127" s="475" t="s">
        <v>4813</v>
      </c>
    </row>
    <row r="128" spans="1:14" ht="29.4" thickBot="1">
      <c r="A128" s="481" t="s">
        <v>4814</v>
      </c>
      <c r="B128" s="478" t="str">
        <f t="shared" si="5"/>
        <v>Country of primary operations and location of significant asset(s)</v>
      </c>
      <c r="C128" s="481" t="s">
        <v>4815</v>
      </c>
      <c r="D128" s="477" t="s">
        <v>4816</v>
      </c>
      <c r="E128" s="477" t="s">
        <v>4817</v>
      </c>
      <c r="F128" s="477" t="s">
        <v>4818</v>
      </c>
      <c r="G128" s="480" t="s">
        <v>4819</v>
      </c>
      <c r="H128" s="480" t="s">
        <v>4820</v>
      </c>
      <c r="I128" s="481" t="s">
        <v>4821</v>
      </c>
      <c r="J128" s="479" t="s">
        <v>4822</v>
      </c>
      <c r="K128" s="479" t="s">
        <v>4823</v>
      </c>
      <c r="L128" s="479" t="s">
        <v>4824</v>
      </c>
      <c r="M128" s="479" t="s">
        <v>4825</v>
      </c>
      <c r="N128" s="479" t="s">
        <v>4826</v>
      </c>
    </row>
    <row r="129" spans="1:14">
      <c r="A129" s="2" t="s">
        <v>4827</v>
      </c>
      <c r="B129" s="474" t="str">
        <f t="shared" si="5"/>
        <v>B1 - List of subsidiaries</v>
      </c>
      <c r="C129" s="2" t="s">
        <v>4828</v>
      </c>
      <c r="D129" s="469" t="s">
        <v>4829</v>
      </c>
      <c r="E129" s="469" t="s">
        <v>4830</v>
      </c>
      <c r="F129" s="469" t="s">
        <v>4831</v>
      </c>
      <c r="G129" s="476" t="s">
        <v>4832</v>
      </c>
      <c r="H129" s="476" t="s">
        <v>4833</v>
      </c>
      <c r="I129" s="2" t="s">
        <v>4834</v>
      </c>
      <c r="J129" s="475" t="s">
        <v>4835</v>
      </c>
      <c r="K129" s="475" t="s">
        <v>4836</v>
      </c>
      <c r="L129" s="475" t="s">
        <v>4837</v>
      </c>
      <c r="M129" s="475" t="s">
        <v>4838</v>
      </c>
      <c r="N129" s="475" t="s">
        <v>4839</v>
      </c>
    </row>
    <row r="130" spans="1:14">
      <c r="A130" s="2" t="s">
        <v>4840</v>
      </c>
      <c r="B130" s="474" t="str">
        <f t="shared" si="5"/>
        <v>ID</v>
      </c>
      <c r="C130" s="2" t="s">
        <v>4841</v>
      </c>
      <c r="D130" s="469" t="s">
        <v>4841</v>
      </c>
      <c r="E130" s="469" t="s">
        <v>4841</v>
      </c>
      <c r="F130" s="469" t="s">
        <v>4841</v>
      </c>
      <c r="G130" s="476" t="s">
        <v>4842</v>
      </c>
      <c r="H130" s="476" t="s">
        <v>4843</v>
      </c>
      <c r="I130" s="2" t="s">
        <v>4841</v>
      </c>
      <c r="J130" s="475" t="s">
        <v>4841</v>
      </c>
      <c r="K130" s="475" t="s">
        <v>4841</v>
      </c>
      <c r="L130" s="475" t="s">
        <v>4841</v>
      </c>
      <c r="M130" s="475" t="s">
        <v>4841</v>
      </c>
      <c r="N130" s="475" t="s">
        <v>4841</v>
      </c>
    </row>
    <row r="131" spans="1:14">
      <c r="A131" s="2" t="s">
        <v>4844</v>
      </c>
      <c r="B131" s="474" t="str">
        <f t="shared" si="5"/>
        <v>Name</v>
      </c>
      <c r="C131" s="2" t="s">
        <v>4845</v>
      </c>
      <c r="D131" s="469" t="s">
        <v>4846</v>
      </c>
      <c r="E131" s="469" t="s">
        <v>4847</v>
      </c>
      <c r="F131" s="469" t="s">
        <v>4848</v>
      </c>
      <c r="G131" s="476" t="s">
        <v>4845</v>
      </c>
      <c r="H131" s="476" t="s">
        <v>4849</v>
      </c>
      <c r="I131" s="2" t="s">
        <v>4850</v>
      </c>
      <c r="J131" s="475" t="s">
        <v>4851</v>
      </c>
      <c r="K131" s="475" t="s">
        <v>4852</v>
      </c>
      <c r="L131" s="475" t="s">
        <v>4850</v>
      </c>
      <c r="M131" s="475" t="s">
        <v>4853</v>
      </c>
      <c r="N131" s="475" t="s">
        <v>4854</v>
      </c>
    </row>
    <row r="132" spans="1:14" ht="29.4" thickBot="1">
      <c r="A132" s="481" t="s">
        <v>4855</v>
      </c>
      <c r="B132" s="478" t="str">
        <f t="shared" si="5"/>
        <v>Registered Address</v>
      </c>
      <c r="C132" s="481" t="s">
        <v>4856</v>
      </c>
      <c r="D132" s="477" t="s">
        <v>4857</v>
      </c>
      <c r="E132" s="477" t="s">
        <v>4858</v>
      </c>
      <c r="F132" s="477" t="s">
        <v>4859</v>
      </c>
      <c r="G132" s="480" t="s">
        <v>4860</v>
      </c>
      <c r="H132" s="480" t="s">
        <v>4861</v>
      </c>
      <c r="I132" s="481" t="s">
        <v>4862</v>
      </c>
      <c r="J132" s="479" t="s">
        <v>4863</v>
      </c>
      <c r="K132" s="479" t="s">
        <v>4864</v>
      </c>
      <c r="L132" s="479" t="s">
        <v>4865</v>
      </c>
      <c r="M132" s="479" t="s">
        <v>4866</v>
      </c>
      <c r="N132" s="479" t="s">
        <v>4867</v>
      </c>
    </row>
    <row r="133" spans="1:14" ht="28.8">
      <c r="A133" s="2" t="s">
        <v>4868</v>
      </c>
      <c r="B133" s="474" t="str">
        <f t="shared" si="5"/>
        <v>B1 - Disclosure of sustainability-related certification(s) or label(s)</v>
      </c>
      <c r="C133" s="2" t="s">
        <v>4869</v>
      </c>
      <c r="D133" s="469" t="s">
        <v>4870</v>
      </c>
      <c r="E133" s="469" t="s">
        <v>4871</v>
      </c>
      <c r="F133" s="469" t="s">
        <v>4872</v>
      </c>
      <c r="G133" s="476" t="s">
        <v>4873</v>
      </c>
      <c r="H133" s="476" t="s">
        <v>4874</v>
      </c>
      <c r="I133" s="2" t="s">
        <v>4875</v>
      </c>
      <c r="J133" s="475" t="s">
        <v>4876</v>
      </c>
      <c r="K133" s="475" t="s">
        <v>4877</v>
      </c>
      <c r="L133" s="475" t="s">
        <v>4878</v>
      </c>
      <c r="M133" s="475" t="s">
        <v>4879</v>
      </c>
      <c r="N133" s="475" t="s">
        <v>4880</v>
      </c>
    </row>
    <row r="134" spans="1:14" ht="43.2">
      <c r="A134" s="2" t="s">
        <v>4881</v>
      </c>
      <c r="B134" s="474" t="str">
        <f t="shared" si="5"/>
        <v>Has the undertaking obtained any sustainability-related certification(s) or label(s) ?</v>
      </c>
      <c r="C134" s="2" t="s">
        <v>4882</v>
      </c>
      <c r="D134" s="469" t="s">
        <v>4883</v>
      </c>
      <c r="E134" s="469" t="s">
        <v>4884</v>
      </c>
      <c r="F134" s="469" t="s">
        <v>4885</v>
      </c>
      <c r="G134" s="476" t="s">
        <v>4886</v>
      </c>
      <c r="H134" s="476" t="s">
        <v>4887</v>
      </c>
      <c r="I134" s="2" t="s">
        <v>4888</v>
      </c>
      <c r="J134" s="475" t="s">
        <v>4889</v>
      </c>
      <c r="K134" s="475" t="s">
        <v>4890</v>
      </c>
      <c r="L134" s="475" t="s">
        <v>4891</v>
      </c>
      <c r="M134" s="475" t="s">
        <v>4892</v>
      </c>
      <c r="N134" s="475" t="s">
        <v>4893</v>
      </c>
    </row>
    <row r="135" spans="1:14" ht="72.599999999999994" thickBot="1">
      <c r="A135" s="481" t="s">
        <v>4894</v>
      </c>
      <c r="B135" s="478" t="str">
        <f t="shared" si="5"/>
        <v>Description of sustainability-related certification(s) or label(s) including where relevant the issuers of the certification or label date and rating score</v>
      </c>
      <c r="C135" s="481" t="s">
        <v>4895</v>
      </c>
      <c r="D135" s="477" t="s">
        <v>4896</v>
      </c>
      <c r="E135" s="477" t="s">
        <v>4897</v>
      </c>
      <c r="F135" s="477" t="s">
        <v>4898</v>
      </c>
      <c r="G135" s="480" t="s">
        <v>4899</v>
      </c>
      <c r="H135" s="480" t="s">
        <v>4900</v>
      </c>
      <c r="I135" s="481" t="s">
        <v>4901</v>
      </c>
      <c r="J135" s="479" t="s">
        <v>4902</v>
      </c>
      <c r="K135" s="479" t="s">
        <v>4903</v>
      </c>
      <c r="L135" s="479" t="s">
        <v>4904</v>
      </c>
      <c r="M135" s="479" t="s">
        <v>4905</v>
      </c>
      <c r="N135" s="479" t="s">
        <v>4906</v>
      </c>
    </row>
    <row r="136" spans="1:14" ht="28.8">
      <c r="A136" s="2" t="s">
        <v>4907</v>
      </c>
      <c r="B136" s="474" t="str">
        <f t="shared" si="5"/>
        <v>B1 - List of site(s)</v>
      </c>
      <c r="C136" s="2" t="s">
        <v>4908</v>
      </c>
      <c r="D136" s="469" t="s">
        <v>4909</v>
      </c>
      <c r="E136" s="469" t="s">
        <v>4910</v>
      </c>
      <c r="F136" s="469" t="s">
        <v>4911</v>
      </c>
      <c r="G136" s="476" t="s">
        <v>4912</v>
      </c>
      <c r="H136" s="476" t="s">
        <v>4913</v>
      </c>
      <c r="I136" s="2" t="s">
        <v>4914</v>
      </c>
      <c r="J136" s="475" t="s">
        <v>4915</v>
      </c>
      <c r="K136" s="475" t="s">
        <v>4916</v>
      </c>
      <c r="L136" s="475" t="s">
        <v>4917</v>
      </c>
      <c r="M136" s="475" t="s">
        <v>4918</v>
      </c>
      <c r="N136" s="475" t="s">
        <v>4919</v>
      </c>
    </row>
    <row r="137" spans="1:14">
      <c r="A137" s="2" t="s">
        <v>4920</v>
      </c>
      <c r="B137" s="474" t="str">
        <f t="shared" si="5"/>
        <v>Address</v>
      </c>
      <c r="C137" s="2" t="s">
        <v>4921</v>
      </c>
      <c r="D137" s="469" t="s">
        <v>4922</v>
      </c>
      <c r="E137" s="469" t="s">
        <v>4923</v>
      </c>
      <c r="F137" s="469" t="s">
        <v>4922</v>
      </c>
      <c r="G137" s="476" t="s">
        <v>4922</v>
      </c>
      <c r="H137" s="476" t="s">
        <v>4924</v>
      </c>
      <c r="I137" s="2" t="s">
        <v>4925</v>
      </c>
      <c r="J137" s="475" t="s">
        <v>4926</v>
      </c>
      <c r="K137" s="475" t="s">
        <v>4923</v>
      </c>
      <c r="L137" s="475" t="s">
        <v>4927</v>
      </c>
      <c r="M137" s="475" t="s">
        <v>4928</v>
      </c>
      <c r="N137" s="475" t="s">
        <v>4929</v>
      </c>
    </row>
    <row r="138" spans="1:14">
      <c r="A138" s="2" t="s">
        <v>4930</v>
      </c>
      <c r="B138" s="474" t="str">
        <f t="shared" si="5"/>
        <v>Postal code</v>
      </c>
      <c r="C138" s="2" t="s">
        <v>4931</v>
      </c>
      <c r="D138" s="469" t="s">
        <v>4932</v>
      </c>
      <c r="E138" s="469" t="s">
        <v>4933</v>
      </c>
      <c r="F138" s="469" t="s">
        <v>4934</v>
      </c>
      <c r="G138" s="476" t="s">
        <v>4935</v>
      </c>
      <c r="H138" s="476" t="s">
        <v>4936</v>
      </c>
      <c r="I138" s="2" t="s">
        <v>4937</v>
      </c>
      <c r="J138" s="475" t="s">
        <v>4938</v>
      </c>
      <c r="K138" s="475" t="s">
        <v>4939</v>
      </c>
      <c r="L138" s="475" t="s">
        <v>4940</v>
      </c>
      <c r="M138" s="475" t="s">
        <v>4941</v>
      </c>
      <c r="N138" s="475" t="s">
        <v>4940</v>
      </c>
    </row>
    <row r="139" spans="1:14" ht="43.2">
      <c r="A139" s="2" t="s">
        <v>4942</v>
      </c>
      <c r="B139" s="474" t="str">
        <f t="shared" si="5"/>
        <v>City</v>
      </c>
      <c r="C139" s="2" t="s">
        <v>4943</v>
      </c>
      <c r="D139" s="469" t="s">
        <v>4944</v>
      </c>
      <c r="E139" s="469" t="s">
        <v>4945</v>
      </c>
      <c r="F139" s="469" t="s">
        <v>4946</v>
      </c>
      <c r="G139" s="476" t="s">
        <v>4947</v>
      </c>
      <c r="H139" s="476" t="s">
        <v>4948</v>
      </c>
      <c r="I139" s="2" t="s">
        <v>4949</v>
      </c>
      <c r="J139" s="475" t="s">
        <v>4950</v>
      </c>
      <c r="K139" s="475" t="s">
        <v>4951</v>
      </c>
      <c r="L139" s="475" t="s">
        <v>4952</v>
      </c>
      <c r="M139" s="475" t="s">
        <v>4953</v>
      </c>
      <c r="N139" s="475" t="s">
        <v>4954</v>
      </c>
    </row>
    <row r="140" spans="1:14">
      <c r="A140" s="2" t="s">
        <v>4955</v>
      </c>
      <c r="B140" s="474" t="str">
        <f t="shared" si="5"/>
        <v>Country</v>
      </c>
      <c r="C140" s="2" t="s">
        <v>4956</v>
      </c>
      <c r="D140" s="469" t="s">
        <v>4957</v>
      </c>
      <c r="E140" s="469" t="s">
        <v>4957</v>
      </c>
      <c r="F140" s="469" t="s">
        <v>4958</v>
      </c>
      <c r="G140" s="476" t="s">
        <v>4957</v>
      </c>
      <c r="H140" s="476" t="s">
        <v>4959</v>
      </c>
      <c r="I140" s="2" t="s">
        <v>4960</v>
      </c>
      <c r="J140" s="475" t="s">
        <v>4961</v>
      </c>
      <c r="K140" s="475" t="s">
        <v>4962</v>
      </c>
      <c r="L140" s="475" t="s">
        <v>4963</v>
      </c>
      <c r="M140" s="475" t="s">
        <v>4964</v>
      </c>
      <c r="N140" s="475" t="s">
        <v>4963</v>
      </c>
    </row>
    <row r="141" spans="1:14">
      <c r="A141" s="2" t="s">
        <v>4965</v>
      </c>
      <c r="B141" s="474" t="str">
        <f t="shared" si="5"/>
        <v>GPS Coordinates (geolocation)</v>
      </c>
      <c r="C141" s="2" t="s">
        <v>4966</v>
      </c>
      <c r="D141" s="469" t="s">
        <v>4967</v>
      </c>
      <c r="E141" s="469" t="s">
        <v>4968</v>
      </c>
      <c r="F141" s="469" t="s">
        <v>4969</v>
      </c>
      <c r="G141" s="476" t="s">
        <v>4970</v>
      </c>
      <c r="H141" s="476" t="s">
        <v>4971</v>
      </c>
      <c r="I141" s="2" t="s">
        <v>4972</v>
      </c>
      <c r="J141" s="475" t="s">
        <v>4973</v>
      </c>
      <c r="K141" s="475" t="s">
        <v>4974</v>
      </c>
      <c r="L141" s="475" t="s">
        <v>4975</v>
      </c>
      <c r="M141" s="475" t="s">
        <v>4976</v>
      </c>
      <c r="N141" s="475" t="s">
        <v>4977</v>
      </c>
    </row>
    <row r="142" spans="1:14" ht="14.1" customHeight="1" thickBot="1">
      <c r="A142" s="481" t="s">
        <v>4978</v>
      </c>
      <c r="B142" s="478" t="str">
        <f t="shared" si="5"/>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2" s="481" t="s">
        <v>4979</v>
      </c>
      <c r="D142" s="477" t="s">
        <v>4980</v>
      </c>
      <c r="E142" s="477" t="s">
        <v>4981</v>
      </c>
      <c r="F142" s="477" t="s">
        <v>4982</v>
      </c>
      <c r="G142" s="480" t="s">
        <v>4983</v>
      </c>
      <c r="H142" s="480" t="s">
        <v>4984</v>
      </c>
      <c r="I142" s="481" t="s">
        <v>4985</v>
      </c>
      <c r="J142" s="479" t="s">
        <v>4986</v>
      </c>
      <c r="K142" s="479" t="s">
        <v>4987</v>
      </c>
      <c r="L142" s="479" t="s">
        <v>4988</v>
      </c>
      <c r="M142" s="479" t="s">
        <v>4989</v>
      </c>
      <c r="N142" s="479" t="s">
        <v>4990</v>
      </c>
    </row>
    <row r="143" spans="1:14" ht="28.8">
      <c r="A143" s="2" t="s">
        <v>4991</v>
      </c>
      <c r="B143" s="474" t="str">
        <f t="shared" si="5"/>
        <v>B2 - Practices, policies and future initiatives for transitioning towards a more sustainable economy</v>
      </c>
      <c r="C143" s="2" t="s">
        <v>4992</v>
      </c>
      <c r="D143" s="469" t="s">
        <v>4993</v>
      </c>
      <c r="E143" s="469" t="s">
        <v>4994</v>
      </c>
      <c r="F143" s="469" t="s">
        <v>4995</v>
      </c>
      <c r="G143" s="476" t="s">
        <v>4996</v>
      </c>
      <c r="H143" s="476" t="s">
        <v>4997</v>
      </c>
      <c r="I143" s="2" t="s">
        <v>4998</v>
      </c>
      <c r="J143" s="475" t="s">
        <v>4999</v>
      </c>
      <c r="K143" s="475" t="s">
        <v>5000</v>
      </c>
      <c r="L143" s="475" t="s">
        <v>5001</v>
      </c>
      <c r="M143" s="475" t="s">
        <v>5002</v>
      </c>
      <c r="N143" s="475" t="s">
        <v>5003</v>
      </c>
    </row>
    <row r="144" spans="1:14" ht="43.2">
      <c r="A144" s="2" t="s">
        <v>5004</v>
      </c>
      <c r="B144" s="474" t="str">
        <f t="shared" si="5"/>
        <v>Has the undertaking put in place specific practices policies and or future initiatives for transitioning towards a more sustainable economy?</v>
      </c>
      <c r="C144" s="2" t="s">
        <v>5005</v>
      </c>
      <c r="D144" s="469" t="s">
        <v>5006</v>
      </c>
      <c r="E144" s="469" t="s">
        <v>5007</v>
      </c>
      <c r="F144" s="469" t="s">
        <v>5008</v>
      </c>
      <c r="G144" s="476" t="s">
        <v>5009</v>
      </c>
      <c r="H144" s="476" t="s">
        <v>5010</v>
      </c>
      <c r="I144" s="2" t="s">
        <v>5011</v>
      </c>
      <c r="J144" s="475" t="s">
        <v>5012</v>
      </c>
      <c r="K144" s="475" t="s">
        <v>5013</v>
      </c>
      <c r="L144" s="475" t="s">
        <v>5014</v>
      </c>
      <c r="M144" s="475" t="s">
        <v>5015</v>
      </c>
      <c r="N144" s="475" t="s">
        <v>5016</v>
      </c>
    </row>
    <row r="145" spans="1:14" ht="57.6">
      <c r="A145" s="2" t="s">
        <v>5017</v>
      </c>
      <c r="B145" s="474" t="str">
        <f t="shared" si="5"/>
        <v>Sustainability issues addressed by a practice policy and or future initiatives that the undertaking has put in place</v>
      </c>
      <c r="C145" s="2" t="s">
        <v>5018</v>
      </c>
      <c r="D145" s="469" t="s">
        <v>5019</v>
      </c>
      <c r="E145" s="469" t="s">
        <v>5020</v>
      </c>
      <c r="F145" s="469" t="s">
        <v>5021</v>
      </c>
      <c r="G145" s="476" t="s">
        <v>5022</v>
      </c>
      <c r="H145" s="476" t="s">
        <v>5023</v>
      </c>
      <c r="I145" s="2" t="s">
        <v>5024</v>
      </c>
      <c r="J145" s="475" t="s">
        <v>5025</v>
      </c>
      <c r="K145" s="475" t="s">
        <v>5026</v>
      </c>
      <c r="L145" s="475" t="s">
        <v>5027</v>
      </c>
      <c r="M145" s="475" t="s">
        <v>5028</v>
      </c>
      <c r="N145" s="475" t="s">
        <v>5029</v>
      </c>
    </row>
    <row r="146" spans="1:14" ht="57.6">
      <c r="A146" s="2" t="s">
        <v>5030</v>
      </c>
      <c r="B146" s="474" t="str">
        <f t="shared" si="5"/>
        <v>Undertaking has a practice policy and or future initiative that is publicly available</v>
      </c>
      <c r="C146" s="2" t="s">
        <v>5031</v>
      </c>
      <c r="D146" s="469" t="s">
        <v>5032</v>
      </c>
      <c r="E146" s="469" t="s">
        <v>5033</v>
      </c>
      <c r="F146" s="469" t="s">
        <v>5034</v>
      </c>
      <c r="G146" s="476" t="s">
        <v>5035</v>
      </c>
      <c r="H146" s="476" t="s">
        <v>5036</v>
      </c>
      <c r="I146" s="2" t="s">
        <v>5037</v>
      </c>
      <c r="J146" s="475" t="s">
        <v>5038</v>
      </c>
      <c r="K146" s="475" t="s">
        <v>5039</v>
      </c>
      <c r="L146" s="475" t="s">
        <v>5040</v>
      </c>
      <c r="M146" s="475" t="s">
        <v>5041</v>
      </c>
      <c r="N146" s="475" t="s">
        <v>5042</v>
      </c>
    </row>
    <row r="147" spans="1:14" ht="28.8">
      <c r="A147" s="2" t="s">
        <v>5043</v>
      </c>
      <c r="B147" s="474" t="str">
        <f t="shared" si="5"/>
        <v>Undertaking has set a target which is related to a policy</v>
      </c>
      <c r="C147" s="2" t="s">
        <v>5044</v>
      </c>
      <c r="D147" s="469" t="s">
        <v>5045</v>
      </c>
      <c r="E147" s="469" t="s">
        <v>5046</v>
      </c>
      <c r="F147" s="469" t="s">
        <v>5047</v>
      </c>
      <c r="G147" s="476" t="s">
        <v>5048</v>
      </c>
      <c r="H147" s="476" t="s">
        <v>5049</v>
      </c>
      <c r="I147" s="2" t="s">
        <v>5050</v>
      </c>
      <c r="J147" s="475" t="s">
        <v>5051</v>
      </c>
      <c r="K147" s="475" t="s">
        <v>5052</v>
      </c>
      <c r="L147" s="475" t="s">
        <v>5053</v>
      </c>
      <c r="M147" s="475" t="s">
        <v>5054</v>
      </c>
      <c r="N147" s="475" t="s">
        <v>5055</v>
      </c>
    </row>
    <row r="148" spans="1:14">
      <c r="A148" s="2" t="s">
        <v>5056</v>
      </c>
      <c r="B148" s="474" t="str">
        <f t="shared" si="5"/>
        <v>Climate change</v>
      </c>
      <c r="C148" s="2" t="s">
        <v>305</v>
      </c>
      <c r="D148" s="469" t="s">
        <v>5057</v>
      </c>
      <c r="E148" s="469" t="s">
        <v>5058</v>
      </c>
      <c r="F148" s="469" t="s">
        <v>5059</v>
      </c>
      <c r="G148" s="476" t="s">
        <v>5060</v>
      </c>
      <c r="H148" s="476" t="s">
        <v>5061</v>
      </c>
      <c r="I148" s="2" t="s">
        <v>5062</v>
      </c>
      <c r="J148" s="475" t="s">
        <v>5063</v>
      </c>
      <c r="K148" s="475" t="s">
        <v>5064</v>
      </c>
      <c r="L148" s="475" t="s">
        <v>5065</v>
      </c>
      <c r="M148" s="475" t="s">
        <v>5066</v>
      </c>
      <c r="N148" s="475" t="s">
        <v>5067</v>
      </c>
    </row>
    <row r="149" spans="1:14">
      <c r="A149" s="2" t="s">
        <v>5068</v>
      </c>
      <c r="B149" s="474" t="str">
        <f t="shared" si="5"/>
        <v>Pollution</v>
      </c>
      <c r="C149" s="2" t="s">
        <v>323</v>
      </c>
      <c r="D149" s="469" t="s">
        <v>5069</v>
      </c>
      <c r="E149" s="469" t="s">
        <v>5070</v>
      </c>
      <c r="F149" s="469" t="s">
        <v>323</v>
      </c>
      <c r="G149" s="476" t="s">
        <v>5071</v>
      </c>
      <c r="H149" s="476" t="s">
        <v>5072</v>
      </c>
      <c r="I149" s="2" t="s">
        <v>5073</v>
      </c>
      <c r="J149" s="475" t="s">
        <v>5074</v>
      </c>
      <c r="K149" s="475" t="s">
        <v>5075</v>
      </c>
      <c r="L149" s="475" t="s">
        <v>5076</v>
      </c>
      <c r="M149" s="475" t="s">
        <v>5077</v>
      </c>
      <c r="N149" s="475" t="s">
        <v>5078</v>
      </c>
    </row>
    <row r="150" spans="1:14">
      <c r="A150" s="2" t="s">
        <v>5079</v>
      </c>
      <c r="B150" s="474" t="str">
        <f t="shared" si="5"/>
        <v>Water and marine resources</v>
      </c>
      <c r="C150" s="2" t="s">
        <v>343</v>
      </c>
      <c r="D150" s="469" t="s">
        <v>5080</v>
      </c>
      <c r="E150" s="469" t="s">
        <v>5081</v>
      </c>
      <c r="F150" s="469" t="s">
        <v>5082</v>
      </c>
      <c r="G150" s="476" t="s">
        <v>5083</v>
      </c>
      <c r="H150" s="476" t="s">
        <v>5084</v>
      </c>
      <c r="I150" s="2" t="s">
        <v>5085</v>
      </c>
      <c r="J150" s="475" t="s">
        <v>5086</v>
      </c>
      <c r="K150" s="475" t="s">
        <v>5087</v>
      </c>
      <c r="L150" s="475" t="s">
        <v>5088</v>
      </c>
      <c r="M150" s="475" t="s">
        <v>5089</v>
      </c>
      <c r="N150" s="475" t="s">
        <v>5090</v>
      </c>
    </row>
    <row r="151" spans="1:14">
      <c r="A151" s="2" t="s">
        <v>5091</v>
      </c>
      <c r="B151" s="474" t="str">
        <f t="shared" si="5"/>
        <v>Biodiversity and ecosystems</v>
      </c>
      <c r="C151" s="2" t="s">
        <v>354</v>
      </c>
      <c r="D151" s="469" t="s">
        <v>5092</v>
      </c>
      <c r="E151" s="469" t="s">
        <v>5093</v>
      </c>
      <c r="F151" s="469" t="s">
        <v>5094</v>
      </c>
      <c r="G151" s="476" t="s">
        <v>5095</v>
      </c>
      <c r="H151" s="476" t="s">
        <v>5096</v>
      </c>
      <c r="I151" s="2" t="s">
        <v>5097</v>
      </c>
      <c r="J151" s="475" t="s">
        <v>5098</v>
      </c>
      <c r="K151" s="475" t="s">
        <v>5099</v>
      </c>
      <c r="L151" s="475" t="s">
        <v>5100</v>
      </c>
      <c r="M151" s="475" t="s">
        <v>5101</v>
      </c>
      <c r="N151" s="475" t="s">
        <v>5102</v>
      </c>
    </row>
    <row r="152" spans="1:14" s="540" customFormat="1">
      <c r="A152" s="589" t="s">
        <v>5103</v>
      </c>
      <c r="B152" s="590" t="str">
        <f t="shared" si="5"/>
        <v>Circular economy and Resource Use</v>
      </c>
      <c r="C152" s="589" t="s">
        <v>5104</v>
      </c>
      <c r="D152" s="576" t="s">
        <v>5105</v>
      </c>
      <c r="E152" s="576" t="s">
        <v>5106</v>
      </c>
      <c r="F152" s="576" t="s">
        <v>5107</v>
      </c>
      <c r="G152" s="591" t="s">
        <v>5108</v>
      </c>
      <c r="H152" s="591" t="s">
        <v>5109</v>
      </c>
      <c r="I152" s="589" t="s">
        <v>5110</v>
      </c>
      <c r="J152" s="579" t="s">
        <v>5111</v>
      </c>
      <c r="K152" s="579" t="s">
        <v>5112</v>
      </c>
      <c r="L152" s="579" t="s">
        <v>5113</v>
      </c>
      <c r="M152" s="579" t="s">
        <v>5114</v>
      </c>
      <c r="N152" s="579" t="s">
        <v>5115</v>
      </c>
    </row>
    <row r="153" spans="1:14">
      <c r="A153" s="2" t="s">
        <v>5116</v>
      </c>
      <c r="B153" s="474" t="str">
        <f t="shared" si="5"/>
        <v>Own workforce</v>
      </c>
      <c r="C153" s="2" t="s">
        <v>377</v>
      </c>
      <c r="D153" s="469" t="s">
        <v>5117</v>
      </c>
      <c r="E153" s="469" t="s">
        <v>5118</v>
      </c>
      <c r="F153" s="469" t="s">
        <v>5119</v>
      </c>
      <c r="G153" s="476" t="s">
        <v>5120</v>
      </c>
      <c r="H153" s="476" t="s">
        <v>5121</v>
      </c>
      <c r="I153" s="2" t="s">
        <v>5122</v>
      </c>
      <c r="J153" s="475" t="s">
        <v>5123</v>
      </c>
      <c r="K153" s="475" t="s">
        <v>5124</v>
      </c>
      <c r="L153" s="475" t="s">
        <v>5125</v>
      </c>
      <c r="M153" s="475" t="s">
        <v>5126</v>
      </c>
      <c r="N153" s="475" t="s">
        <v>5127</v>
      </c>
    </row>
    <row r="154" spans="1:14" ht="43.2">
      <c r="A154" s="2" t="s">
        <v>5128</v>
      </c>
      <c r="B154" s="474" t="str">
        <f t="shared" si="5"/>
        <v>Workers in the value chain</v>
      </c>
      <c r="C154" s="2" t="s">
        <v>388</v>
      </c>
      <c r="D154" s="469" t="s">
        <v>5129</v>
      </c>
      <c r="E154" s="469" t="s">
        <v>5130</v>
      </c>
      <c r="F154" s="469" t="s">
        <v>5131</v>
      </c>
      <c r="G154" s="476" t="s">
        <v>5132</v>
      </c>
      <c r="H154" s="476" t="s">
        <v>5133</v>
      </c>
      <c r="I154" s="2" t="s">
        <v>5134</v>
      </c>
      <c r="J154" s="475" t="s">
        <v>5135</v>
      </c>
      <c r="K154" s="475" t="s">
        <v>5136</v>
      </c>
      <c r="L154" s="475" t="s">
        <v>5137</v>
      </c>
      <c r="M154" s="475" t="s">
        <v>5138</v>
      </c>
      <c r="N154" s="475" t="s">
        <v>5139</v>
      </c>
    </row>
    <row r="155" spans="1:14" ht="43.2">
      <c r="A155" s="2" t="s">
        <v>5140</v>
      </c>
      <c r="B155" s="474" t="str">
        <f t="shared" si="5"/>
        <v>Affected communities</v>
      </c>
      <c r="C155" s="2" t="s">
        <v>397</v>
      </c>
      <c r="D155" s="469" t="s">
        <v>5141</v>
      </c>
      <c r="E155" s="469" t="s">
        <v>5142</v>
      </c>
      <c r="F155" s="469" t="s">
        <v>5143</v>
      </c>
      <c r="G155" s="476" t="s">
        <v>5144</v>
      </c>
      <c r="H155" s="476" t="s">
        <v>5145</v>
      </c>
      <c r="I155" s="2" t="s">
        <v>5146</v>
      </c>
      <c r="J155" s="475" t="s">
        <v>5147</v>
      </c>
      <c r="K155" s="475" t="s">
        <v>5148</v>
      </c>
      <c r="L155" s="475" t="s">
        <v>5149</v>
      </c>
      <c r="M155" s="475" t="s">
        <v>5150</v>
      </c>
      <c r="N155" s="475" t="s">
        <v>5151</v>
      </c>
    </row>
    <row r="156" spans="1:14">
      <c r="A156" s="2" t="s">
        <v>5152</v>
      </c>
      <c r="B156" s="474" t="str">
        <f t="shared" si="5"/>
        <v>Consumers and end-users</v>
      </c>
      <c r="C156" s="2" t="s">
        <v>408</v>
      </c>
      <c r="D156" s="469" t="s">
        <v>5153</v>
      </c>
      <c r="E156" s="469" t="s">
        <v>5154</v>
      </c>
      <c r="F156" s="469" t="s">
        <v>5155</v>
      </c>
      <c r="G156" s="476" t="s">
        <v>5156</v>
      </c>
      <c r="H156" s="476" t="s">
        <v>5157</v>
      </c>
      <c r="I156" s="2" t="s">
        <v>5158</v>
      </c>
      <c r="J156" s="475" t="s">
        <v>5159</v>
      </c>
      <c r="K156" s="475" t="s">
        <v>5160</v>
      </c>
      <c r="L156" s="475" t="s">
        <v>5161</v>
      </c>
      <c r="M156" s="475" t="s">
        <v>5162</v>
      </c>
      <c r="N156" s="475" t="s">
        <v>5163</v>
      </c>
    </row>
    <row r="157" spans="1:14" ht="15" thickBot="1">
      <c r="A157" s="481" t="s">
        <v>5164</v>
      </c>
      <c r="B157" s="478" t="str">
        <f t="shared" si="5"/>
        <v>Business conduct</v>
      </c>
      <c r="C157" s="481" t="s">
        <v>419</v>
      </c>
      <c r="D157" s="477" t="s">
        <v>5165</v>
      </c>
      <c r="E157" s="477" t="s">
        <v>5166</v>
      </c>
      <c r="F157" s="477" t="s">
        <v>5167</v>
      </c>
      <c r="G157" s="480" t="s">
        <v>5168</v>
      </c>
      <c r="H157" s="480" t="s">
        <v>5169</v>
      </c>
      <c r="I157" s="481" t="s">
        <v>5170</v>
      </c>
      <c r="J157" s="479" t="s">
        <v>5171</v>
      </c>
      <c r="K157" s="479" t="s">
        <v>5172</v>
      </c>
      <c r="L157" s="479" t="s">
        <v>5173</v>
      </c>
      <c r="M157" s="479" t="s">
        <v>5174</v>
      </c>
      <c r="N157" s="479" t="s">
        <v>5175</v>
      </c>
    </row>
    <row r="158" spans="1:14" s="10" customFormat="1">
      <c r="A158" s="317" t="s">
        <v>5176</v>
      </c>
      <c r="B158" s="593" t="str">
        <f t="shared" si="5"/>
        <v>B2 - Cooperative specific disclosures</v>
      </c>
      <c r="C158" s="317" t="s">
        <v>5177</v>
      </c>
      <c r="D158" s="581" t="s">
        <v>5178</v>
      </c>
      <c r="E158" s="581" t="s">
        <v>5179</v>
      </c>
      <c r="F158" s="580" t="s">
        <v>5180</v>
      </c>
      <c r="G158" s="594" t="s">
        <v>5181</v>
      </c>
      <c r="H158" s="594" t="s">
        <v>5182</v>
      </c>
      <c r="I158" s="317" t="s">
        <v>5183</v>
      </c>
      <c r="J158" s="580" t="s">
        <v>5184</v>
      </c>
      <c r="K158" s="580" t="s">
        <v>5185</v>
      </c>
      <c r="L158" s="580" t="s">
        <v>5186</v>
      </c>
      <c r="M158" s="580" t="s">
        <v>5187</v>
      </c>
      <c r="N158" s="580" t="s">
        <v>5188</v>
      </c>
    </row>
    <row r="159" spans="1:14" ht="43.2">
      <c r="A159" s="2" t="s">
        <v>5189</v>
      </c>
      <c r="B159" s="474" t="str">
        <f t="shared" si="5"/>
        <v>Effective participation of workers users or other interested parties or communities in governance</v>
      </c>
      <c r="C159" s="2" t="s">
        <v>5190</v>
      </c>
      <c r="D159" s="469" t="s">
        <v>5191</v>
      </c>
      <c r="E159" s="469" t="s">
        <v>5192</v>
      </c>
      <c r="F159" s="469" t="s">
        <v>5193</v>
      </c>
      <c r="G159" s="476" t="s">
        <v>5194</v>
      </c>
      <c r="H159" s="476" t="s">
        <v>5195</v>
      </c>
      <c r="I159" s="2" t="s">
        <v>5196</v>
      </c>
      <c r="J159" s="475" t="s">
        <v>5197</v>
      </c>
      <c r="K159" s="475" t="s">
        <v>5198</v>
      </c>
      <c r="L159" s="475" t="s">
        <v>5199</v>
      </c>
      <c r="M159" s="475" t="s">
        <v>5200</v>
      </c>
      <c r="N159" s="475" t="s">
        <v>5201</v>
      </c>
    </row>
    <row r="160" spans="1:14" ht="57.6">
      <c r="A160" s="2" t="s">
        <v>5202</v>
      </c>
      <c r="B160" s="474" t="str">
        <f t="shared" si="5"/>
        <v>Financial investment in the capital or assets of social economy entities referred to in the Council Recommendation of 29 September 2023 (excluding donations and contributions)</v>
      </c>
      <c r="C160" s="2" t="s">
        <v>5203</v>
      </c>
      <c r="D160" s="469" t="s">
        <v>5204</v>
      </c>
      <c r="E160" s="469" t="s">
        <v>5205</v>
      </c>
      <c r="F160" s="469" t="s">
        <v>5206</v>
      </c>
      <c r="G160" s="476" t="s">
        <v>5207</v>
      </c>
      <c r="H160" s="476" t="s">
        <v>5208</v>
      </c>
      <c r="I160" s="2" t="s">
        <v>5209</v>
      </c>
      <c r="J160" s="475" t="s">
        <v>5210</v>
      </c>
      <c r="K160" s="475" t="s">
        <v>5211</v>
      </c>
      <c r="L160" s="475" t="s">
        <v>5212</v>
      </c>
      <c r="M160" s="475" t="s">
        <v>5213</v>
      </c>
      <c r="N160" s="475" t="s">
        <v>5214</v>
      </c>
    </row>
    <row r="161" spans="1:14" ht="58.2" thickBot="1">
      <c r="A161" s="481" t="s">
        <v>5215</v>
      </c>
      <c r="B161" s="478" t="str">
        <f t="shared" si="5"/>
        <v>Any limits to the distribution of profits connected to the mutualistic nature or to the nature of the activities consisting in services of general economic interest (SGEI)</v>
      </c>
      <c r="C161" s="481" t="s">
        <v>5216</v>
      </c>
      <c r="D161" s="477" t="s">
        <v>5217</v>
      </c>
      <c r="E161" s="477" t="s">
        <v>5218</v>
      </c>
      <c r="F161" s="477" t="s">
        <v>5219</v>
      </c>
      <c r="G161" s="480" t="s">
        <v>5220</v>
      </c>
      <c r="H161" s="480" t="s">
        <v>5221</v>
      </c>
      <c r="I161" s="481" t="s">
        <v>5222</v>
      </c>
      <c r="J161" s="479" t="s">
        <v>5223</v>
      </c>
      <c r="K161" s="479" t="s">
        <v>5224</v>
      </c>
      <c r="L161" s="479" t="s">
        <v>5225</v>
      </c>
      <c r="M161" s="479" t="s">
        <v>5226</v>
      </c>
      <c r="N161" s="479" t="s">
        <v>5227</v>
      </c>
    </row>
    <row r="162" spans="1:14" ht="43.2">
      <c r="A162" s="2" t="s">
        <v>5228</v>
      </c>
      <c r="B162" s="474" t="str">
        <f t="shared" si="5"/>
        <v>C2 - Description of practices policies and future initiatives for transitioning towards a more sustainable economy</v>
      </c>
      <c r="C162" s="2" t="s">
        <v>5229</v>
      </c>
      <c r="D162" s="469" t="s">
        <v>5230</v>
      </c>
      <c r="E162" s="469" t="s">
        <v>4272</v>
      </c>
      <c r="F162" s="469" t="s">
        <v>4273</v>
      </c>
      <c r="G162" s="476" t="s">
        <v>5231</v>
      </c>
      <c r="H162" s="476" t="s">
        <v>5232</v>
      </c>
      <c r="I162" s="2" t="s">
        <v>4276</v>
      </c>
      <c r="J162" s="475" t="s">
        <v>5233</v>
      </c>
      <c r="K162" s="475" t="s">
        <v>4278</v>
      </c>
      <c r="L162" s="475" t="s">
        <v>5234</v>
      </c>
      <c r="M162" s="475" t="s">
        <v>5235</v>
      </c>
      <c r="N162" s="475" t="s">
        <v>4281</v>
      </c>
    </row>
    <row r="163" spans="1:14" ht="72">
      <c r="A163" s="2" t="s">
        <v>5236</v>
      </c>
      <c r="B163" s="474" t="str">
        <f t="shared" si="5"/>
        <v>Description of a practice policy and or future initiative towards a more sustainable future (In case the practice  policy  future initiative covers suppliers or clients the undertaking shall mention it)</v>
      </c>
      <c r="C163" s="2" t="s">
        <v>5237</v>
      </c>
      <c r="D163" s="469" t="s">
        <v>5238</v>
      </c>
      <c r="E163" s="469" t="s">
        <v>5239</v>
      </c>
      <c r="F163" s="469" t="s">
        <v>5240</v>
      </c>
      <c r="G163" s="476" t="s">
        <v>5241</v>
      </c>
      <c r="H163" s="476" t="s">
        <v>5242</v>
      </c>
      <c r="I163" s="2" t="s">
        <v>5243</v>
      </c>
      <c r="J163" s="475" t="s">
        <v>5244</v>
      </c>
      <c r="K163" s="475" t="s">
        <v>5245</v>
      </c>
      <c r="L163" s="475" t="s">
        <v>5246</v>
      </c>
      <c r="M163" s="475" t="s">
        <v>5247</v>
      </c>
      <c r="N163" s="475" t="s">
        <v>5248</v>
      </c>
    </row>
    <row r="164" spans="1:14" ht="43.2">
      <c r="A164" s="2" t="s">
        <v>5249</v>
      </c>
      <c r="B164" s="474" t="str">
        <f t="shared" si="5"/>
        <v>Description of target related to a policy</v>
      </c>
      <c r="C164" s="2" t="s">
        <v>5250</v>
      </c>
      <c r="D164" s="469" t="s">
        <v>5251</v>
      </c>
      <c r="E164" s="469" t="s">
        <v>5252</v>
      </c>
      <c r="F164" s="469" t="s">
        <v>5253</v>
      </c>
      <c r="G164" s="476" t="s">
        <v>5254</v>
      </c>
      <c r="H164" s="476" t="s">
        <v>5255</v>
      </c>
      <c r="I164" s="2" t="s">
        <v>5256</v>
      </c>
      <c r="J164" s="475" t="s">
        <v>5257</v>
      </c>
      <c r="K164" s="475" t="s">
        <v>5258</v>
      </c>
      <c r="L164" s="475" t="s">
        <v>5259</v>
      </c>
      <c r="M164" s="475" t="s">
        <v>5260</v>
      </c>
      <c r="N164" s="475" t="s">
        <v>5261</v>
      </c>
    </row>
    <row r="165" spans="1:14" s="540" customFormat="1" ht="58.2" thickBot="1">
      <c r="A165" s="598" t="s">
        <v>5262</v>
      </c>
      <c r="B165" s="599" t="str">
        <f t="shared" si="5"/>
        <v>Most senior level in the undertaking (i.e. a person or a body) that is accountable for implementing those practices, policies, and future initiatives  when this has been determined by the undertaking</v>
      </c>
      <c r="C165" s="598" t="s">
        <v>5263</v>
      </c>
      <c r="D165" s="600" t="s">
        <v>5264</v>
      </c>
      <c r="E165" s="600" t="s">
        <v>5265</v>
      </c>
      <c r="F165" s="600" t="s">
        <v>5266</v>
      </c>
      <c r="G165" s="601" t="s">
        <v>5267</v>
      </c>
      <c r="H165" s="601" t="s">
        <v>5268</v>
      </c>
      <c r="I165" s="598" t="s">
        <v>5269</v>
      </c>
      <c r="J165" s="602" t="s">
        <v>5270</v>
      </c>
      <c r="K165" s="602" t="s">
        <v>5271</v>
      </c>
      <c r="L165" s="602" t="s">
        <v>5272</v>
      </c>
      <c r="M165" s="602" t="s">
        <v>5273</v>
      </c>
      <c r="N165" s="602" t="s">
        <v>5274</v>
      </c>
    </row>
    <row r="166" spans="1:14" ht="57.6">
      <c r="A166" s="2" t="s">
        <v>5275</v>
      </c>
      <c r="B166" s="474" t="str">
        <f t="shared" si="5"/>
        <v>C1 - Strategy: Business Model and Sustainability - Related Initiatives</v>
      </c>
      <c r="C166" s="2" t="s">
        <v>4257</v>
      </c>
      <c r="D166" s="469" t="s">
        <v>5276</v>
      </c>
      <c r="E166" s="469" t="s">
        <v>5277</v>
      </c>
      <c r="F166" s="469" t="s">
        <v>5278</v>
      </c>
      <c r="G166" s="476" t="s">
        <v>5279</v>
      </c>
      <c r="H166" s="476" t="s">
        <v>5280</v>
      </c>
      <c r="I166" s="2" t="s">
        <v>5281</v>
      </c>
      <c r="J166" s="475" t="s">
        <v>5282</v>
      </c>
      <c r="K166" s="475" t="s">
        <v>5283</v>
      </c>
      <c r="L166" s="475" t="s">
        <v>5284</v>
      </c>
      <c r="M166" s="475" t="s">
        <v>5285</v>
      </c>
      <c r="N166" s="475" t="s">
        <v>4268</v>
      </c>
    </row>
    <row r="167" spans="1:14" ht="28.8">
      <c r="A167" s="2" t="s">
        <v>5286</v>
      </c>
      <c r="B167" s="474" t="str">
        <f t="shared" si="5"/>
        <v>Description of significant groups of products and or services offered</v>
      </c>
      <c r="C167" s="2" t="s">
        <v>5287</v>
      </c>
      <c r="D167" s="469" t="s">
        <v>5288</v>
      </c>
      <c r="E167" s="469" t="s">
        <v>5289</v>
      </c>
      <c r="F167" s="469" t="s">
        <v>5290</v>
      </c>
      <c r="G167" s="476" t="s">
        <v>5291</v>
      </c>
      <c r="H167" s="476" t="s">
        <v>5292</v>
      </c>
      <c r="I167" s="2" t="s">
        <v>5293</v>
      </c>
      <c r="J167" s="475" t="s">
        <v>5294</v>
      </c>
      <c r="K167" s="475" t="s">
        <v>5295</v>
      </c>
      <c r="L167" s="475" t="s">
        <v>5296</v>
      </c>
      <c r="M167" s="475" t="s">
        <v>5297</v>
      </c>
      <c r="N167" s="475" t="s">
        <v>5298</v>
      </c>
    </row>
    <row r="168" spans="1:14" ht="57.6">
      <c r="A168" s="2" t="s">
        <v>5299</v>
      </c>
      <c r="B168" s="474" t="str">
        <f t="shared" si="5"/>
        <v>Description of significant market(s) the undertaking operates in (e.g. B2B, wholesale, retail, countries)</v>
      </c>
      <c r="C168" s="2" t="s">
        <v>5300</v>
      </c>
      <c r="D168" s="469" t="s">
        <v>5301</v>
      </c>
      <c r="E168" s="469" t="s">
        <v>5302</v>
      </c>
      <c r="F168" s="469" t="s">
        <v>5303</v>
      </c>
      <c r="G168" s="476" t="s">
        <v>5304</v>
      </c>
      <c r="H168" s="476" t="s">
        <v>5305</v>
      </c>
      <c r="I168" s="2" t="s">
        <v>5306</v>
      </c>
      <c r="J168" s="475" t="s">
        <v>5307</v>
      </c>
      <c r="K168" s="475" t="s">
        <v>5308</v>
      </c>
      <c r="L168" s="475" t="s">
        <v>5309</v>
      </c>
      <c r="M168" s="475" t="s">
        <v>5310</v>
      </c>
      <c r="N168" s="475" t="s">
        <v>5311</v>
      </c>
    </row>
    <row r="169" spans="1:14" ht="29.4" thickBot="1">
      <c r="A169" s="481" t="s">
        <v>5312</v>
      </c>
      <c r="B169" s="478" t="str">
        <f t="shared" ref="B169:B228" si="7">INDEX(C169:N169,MATCH(template_selected_display_language,$C$3:$N$3,0))</f>
        <v>Description of main business relationships (such as key suppliers, customers, distribution channels)</v>
      </c>
      <c r="C169" s="481" t="s">
        <v>5313</v>
      </c>
      <c r="D169" s="477" t="s">
        <v>5314</v>
      </c>
      <c r="E169" s="477" t="s">
        <v>5315</v>
      </c>
      <c r="F169" s="477" t="s">
        <v>5316</v>
      </c>
      <c r="G169" s="480" t="s">
        <v>5317</v>
      </c>
      <c r="H169" s="480" t="s">
        <v>5318</v>
      </c>
      <c r="I169" s="481" t="s">
        <v>5319</v>
      </c>
      <c r="J169" s="479" t="s">
        <v>5320</v>
      </c>
      <c r="K169" s="479" t="s">
        <v>5321</v>
      </c>
      <c r="L169" s="479" t="s">
        <v>5322</v>
      </c>
      <c r="M169" s="479" t="s">
        <v>5323</v>
      </c>
      <c r="N169" s="479" t="s">
        <v>5324</v>
      </c>
    </row>
    <row r="170" spans="1:14" s="620" customFormat="1" ht="43.2">
      <c r="A170" s="615" t="s">
        <v>5325</v>
      </c>
      <c r="B170" s="616" t="str">
        <f t="shared" si="7"/>
        <v>Voluntary for undertakings with 10 employees or less - Has the strategy key elements that relate to or affect sustainability issues?</v>
      </c>
      <c r="C170" s="615" t="s">
        <v>5326</v>
      </c>
      <c r="D170" s="617" t="s">
        <v>5327</v>
      </c>
      <c r="E170" s="617" t="s">
        <v>5328</v>
      </c>
      <c r="F170" s="617" t="s">
        <v>5329</v>
      </c>
      <c r="G170" s="617" t="s">
        <v>5330</v>
      </c>
      <c r="H170" s="617" t="s">
        <v>5330</v>
      </c>
      <c r="I170" s="617" t="s">
        <v>5330</v>
      </c>
      <c r="J170" s="617" t="s">
        <v>5330</v>
      </c>
      <c r="K170" s="617" t="s">
        <v>5330</v>
      </c>
      <c r="L170" s="617" t="s">
        <v>5330</v>
      </c>
      <c r="M170" s="617" t="s">
        <v>5330</v>
      </c>
      <c r="N170" s="617" t="s">
        <v>5330</v>
      </c>
    </row>
    <row r="171" spans="1:14" ht="43.2">
      <c r="A171" s="2" t="s">
        <v>5331</v>
      </c>
      <c r="B171" s="474" t="str">
        <f t="shared" si="7"/>
        <v>Description of those key elements in the strategy that relate or affect sustainability issues</v>
      </c>
      <c r="C171" s="2" t="s">
        <v>5332</v>
      </c>
      <c r="D171" s="469" t="s">
        <v>5333</v>
      </c>
      <c r="E171" s="469" t="s">
        <v>5334</v>
      </c>
      <c r="F171" s="469" t="s">
        <v>5335</v>
      </c>
      <c r="G171" s="476" t="s">
        <v>5336</v>
      </c>
      <c r="H171" s="476" t="s">
        <v>5337</v>
      </c>
      <c r="I171" s="2" t="s">
        <v>5338</v>
      </c>
      <c r="J171" s="475" t="s">
        <v>5339</v>
      </c>
      <c r="K171" s="475" t="s">
        <v>5340</v>
      </c>
      <c r="L171" s="475" t="s">
        <v>5341</v>
      </c>
      <c r="M171" s="475" t="s">
        <v>5342</v>
      </c>
      <c r="N171" s="475" t="s">
        <v>5343</v>
      </c>
    </row>
    <row r="172" spans="1:14">
      <c r="A172" s="2" t="s">
        <v>5344</v>
      </c>
      <c r="B172" s="474" t="str">
        <f t="shared" si="7"/>
        <v>Introduction</v>
      </c>
      <c r="C172" s="2" t="s">
        <v>5345</v>
      </c>
      <c r="D172" s="469" t="s">
        <v>5346</v>
      </c>
      <c r="E172" s="469" t="s">
        <v>5347</v>
      </c>
      <c r="F172" s="469" t="s">
        <v>5345</v>
      </c>
      <c r="G172" s="469" t="s">
        <v>5348</v>
      </c>
      <c r="H172" s="469" t="s">
        <v>5349</v>
      </c>
      <c r="I172" s="469" t="s">
        <v>5350</v>
      </c>
      <c r="J172" s="469" t="s">
        <v>5351</v>
      </c>
      <c r="K172" s="469" t="s">
        <v>5352</v>
      </c>
      <c r="L172" s="469" t="s">
        <v>5353</v>
      </c>
      <c r="M172" s="469" t="s">
        <v>5354</v>
      </c>
      <c r="N172" s="469" t="s">
        <v>5355</v>
      </c>
    </row>
    <row r="173" spans="1:14" ht="28.8">
      <c r="A173" s="2" t="s">
        <v>5356</v>
      </c>
      <c r="B173" s="474" t="str">
        <f>INDEX(C173:N173,MATCH(template_selected_display_language,$C$3:$N$3,0))</f>
        <v>disclosure of any other general and/or entity specific information on the reporting period</v>
      </c>
      <c r="C173" s="2" t="s">
        <v>5357</v>
      </c>
      <c r="D173" s="2" t="s">
        <v>5358</v>
      </c>
      <c r="E173" s="2" t="s">
        <v>5359</v>
      </c>
      <c r="F173" s="2" t="s">
        <v>5360</v>
      </c>
      <c r="G173" s="2" t="s">
        <v>5361</v>
      </c>
      <c r="H173" s="2" t="s">
        <v>5362</v>
      </c>
      <c r="I173" s="2" t="s">
        <v>5363</v>
      </c>
      <c r="J173" s="2" t="s">
        <v>5364</v>
      </c>
      <c r="K173" s="2" t="s">
        <v>5365</v>
      </c>
      <c r="L173" s="2" t="s">
        <v>5366</v>
      </c>
      <c r="M173" s="2" t="s">
        <v>5367</v>
      </c>
      <c r="N173" s="2" t="s">
        <v>5368</v>
      </c>
    </row>
    <row r="174" spans="1:14">
      <c r="A174" s="2" t="s">
        <v>5369</v>
      </c>
      <c r="B174" s="474" t="str">
        <f t="shared" si="7"/>
        <v>B3 - Total Energy Consumption (in MWh)</v>
      </c>
      <c r="C174" s="2" t="s">
        <v>5370</v>
      </c>
      <c r="D174" s="469" t="s">
        <v>5371</v>
      </c>
      <c r="E174" s="469" t="s">
        <v>5372</v>
      </c>
      <c r="F174" s="469" t="s">
        <v>5373</v>
      </c>
      <c r="G174" s="476" t="s">
        <v>5374</v>
      </c>
      <c r="H174" s="476" t="s">
        <v>5375</v>
      </c>
      <c r="I174" s="2" t="s">
        <v>5376</v>
      </c>
      <c r="J174" s="475" t="s">
        <v>5377</v>
      </c>
      <c r="K174" s="475" t="s">
        <v>5378</v>
      </c>
      <c r="L174" s="475" t="s">
        <v>5379</v>
      </c>
      <c r="M174" s="475" t="s">
        <v>5380</v>
      </c>
      <c r="N174" s="475" t="s">
        <v>5381</v>
      </c>
    </row>
    <row r="175" spans="1:14" ht="29.4" thickBot="1">
      <c r="A175" s="481" t="s">
        <v>5382</v>
      </c>
      <c r="B175" s="478" t="str">
        <f t="shared" si="7"/>
        <v>Total Energy Consumption</v>
      </c>
      <c r="C175" s="481" t="s">
        <v>5383</v>
      </c>
      <c r="D175" s="477" t="s">
        <v>5384</v>
      </c>
      <c r="E175" s="477" t="s">
        <v>5385</v>
      </c>
      <c r="F175" s="477" t="s">
        <v>5386</v>
      </c>
      <c r="G175" s="480" t="s">
        <v>5387</v>
      </c>
      <c r="H175" s="480" t="s">
        <v>5388</v>
      </c>
      <c r="I175" s="481" t="s">
        <v>5389</v>
      </c>
      <c r="J175" s="479" t="s">
        <v>5390</v>
      </c>
      <c r="K175" s="479" t="s">
        <v>5391</v>
      </c>
      <c r="L175" s="479" t="s">
        <v>5392</v>
      </c>
      <c r="M175" s="479" t="s">
        <v>5393</v>
      </c>
      <c r="N175" s="479" t="s">
        <v>5394</v>
      </c>
    </row>
    <row r="176" spans="1:14">
      <c r="A176" s="2" t="s">
        <v>5395</v>
      </c>
      <c r="B176" s="474" t="str">
        <f t="shared" si="7"/>
        <v>B3 - Breakdown of energy consumption (in MWh)</v>
      </c>
      <c r="C176" s="2" t="s">
        <v>5396</v>
      </c>
      <c r="D176" s="469" t="s">
        <v>5397</v>
      </c>
      <c r="E176" s="469" t="s">
        <v>5398</v>
      </c>
      <c r="F176" s="469" t="s">
        <v>5399</v>
      </c>
      <c r="G176" s="476" t="s">
        <v>5400</v>
      </c>
      <c r="H176" s="476" t="s">
        <v>5401</v>
      </c>
      <c r="I176" s="2" t="s">
        <v>5402</v>
      </c>
      <c r="J176" s="475" t="s">
        <v>5403</v>
      </c>
      <c r="K176" s="475" t="s">
        <v>5404</v>
      </c>
      <c r="L176" s="475" t="s">
        <v>5405</v>
      </c>
      <c r="M176" s="475" t="s">
        <v>5406</v>
      </c>
      <c r="N176" s="475" t="s">
        <v>5407</v>
      </c>
    </row>
    <row r="177" spans="1:14" s="620" customFormat="1" ht="43.2">
      <c r="A177" s="615" t="s">
        <v>5408</v>
      </c>
      <c r="B177" s="616" t="str">
        <f t="shared" si="7"/>
        <v>Voluntary for undertakings with 10 employees or less - Has the undertaking obtained the necessary information to provide an energy consumption breakdown?</v>
      </c>
      <c r="C177" s="615" t="s">
        <v>5409</v>
      </c>
      <c r="D177" s="617" t="s">
        <v>5410</v>
      </c>
      <c r="E177" s="617" t="s">
        <v>5410</v>
      </c>
      <c r="F177" s="617" t="s">
        <v>5411</v>
      </c>
      <c r="G177" s="617" t="s">
        <v>5412</v>
      </c>
      <c r="H177" s="617" t="s">
        <v>5412</v>
      </c>
      <c r="I177" s="617" t="s">
        <v>5412</v>
      </c>
      <c r="J177" s="617" t="s">
        <v>5412</v>
      </c>
      <c r="K177" s="617" t="s">
        <v>5412</v>
      </c>
      <c r="L177" s="617" t="s">
        <v>5412</v>
      </c>
      <c r="M177" s="617" t="s">
        <v>5412</v>
      </c>
      <c r="N177" s="617" t="s">
        <v>5412</v>
      </c>
    </row>
    <row r="178" spans="1:14">
      <c r="A178" s="2" t="s">
        <v>5413</v>
      </c>
      <c r="B178" s="474" t="str">
        <f t="shared" si="7"/>
        <v>Renewable</v>
      </c>
      <c r="C178" s="2" t="s">
        <v>123</v>
      </c>
      <c r="D178" s="469" t="s">
        <v>5414</v>
      </c>
      <c r="E178" s="469" t="s">
        <v>5415</v>
      </c>
      <c r="F178" s="469" t="s">
        <v>5416</v>
      </c>
      <c r="G178" s="476" t="s">
        <v>5417</v>
      </c>
      <c r="H178" s="476" t="s">
        <v>5418</v>
      </c>
      <c r="I178" s="2" t="s">
        <v>5419</v>
      </c>
      <c r="J178" s="475" t="s">
        <v>5420</v>
      </c>
      <c r="K178" s="475" t="s">
        <v>5421</v>
      </c>
      <c r="L178" s="475" t="s">
        <v>5422</v>
      </c>
      <c r="M178" s="475" t="s">
        <v>5423</v>
      </c>
      <c r="N178" s="475" t="s">
        <v>5424</v>
      </c>
    </row>
    <row r="179" spans="1:14">
      <c r="A179" s="2" t="s">
        <v>5425</v>
      </c>
      <c r="B179" s="474" t="str">
        <f t="shared" si="7"/>
        <v>Non-renewable</v>
      </c>
      <c r="C179" s="2" t="s">
        <v>119</v>
      </c>
      <c r="D179" s="469" t="s">
        <v>5426</v>
      </c>
      <c r="E179" s="469" t="s">
        <v>5427</v>
      </c>
      <c r="F179" s="469" t="s">
        <v>5428</v>
      </c>
      <c r="G179" s="476" t="s">
        <v>5429</v>
      </c>
      <c r="H179" s="476" t="s">
        <v>5430</v>
      </c>
      <c r="I179" s="2" t="s">
        <v>5431</v>
      </c>
      <c r="J179" s="475" t="s">
        <v>5432</v>
      </c>
      <c r="K179" s="475" t="s">
        <v>5433</v>
      </c>
      <c r="L179" s="475" t="s">
        <v>5434</v>
      </c>
      <c r="M179" s="475" t="s">
        <v>5435</v>
      </c>
      <c r="N179" s="475" t="s">
        <v>5436</v>
      </c>
    </row>
    <row r="180" spans="1:14" ht="28.8">
      <c r="A180" s="2" t="s">
        <v>5437</v>
      </c>
      <c r="B180" s="474" t="str">
        <f t="shared" si="7"/>
        <v>Total renewable and non-renewable</v>
      </c>
      <c r="C180" s="2" t="s">
        <v>5438</v>
      </c>
      <c r="D180" s="469" t="s">
        <v>5439</v>
      </c>
      <c r="E180" s="469" t="s">
        <v>5440</v>
      </c>
      <c r="F180" s="469" t="s">
        <v>5441</v>
      </c>
      <c r="G180" s="476" t="s">
        <v>5442</v>
      </c>
      <c r="H180" s="476" t="s">
        <v>5443</v>
      </c>
      <c r="I180" s="2" t="s">
        <v>5444</v>
      </c>
      <c r="J180" s="475" t="s">
        <v>5445</v>
      </c>
      <c r="K180" s="475" t="s">
        <v>5446</v>
      </c>
      <c r="L180" s="475" t="s">
        <v>5447</v>
      </c>
      <c r="M180" s="475" t="s">
        <v>5448</v>
      </c>
      <c r="N180" s="475" t="s">
        <v>5449</v>
      </c>
    </row>
    <row r="181" spans="1:14" ht="28.8">
      <c r="A181" s="2" t="s">
        <v>5450</v>
      </c>
      <c r="B181" s="474" t="str">
        <f t="shared" si="7"/>
        <v>Electricity (as reflected in utility billings)</v>
      </c>
      <c r="C181" s="2" t="s">
        <v>5451</v>
      </c>
      <c r="D181" s="469" t="s">
        <v>5452</v>
      </c>
      <c r="E181" s="469" t="s">
        <v>5453</v>
      </c>
      <c r="F181" s="482" t="s">
        <v>5454</v>
      </c>
      <c r="G181" s="476" t="s">
        <v>5455</v>
      </c>
      <c r="H181" s="476" t="s">
        <v>5456</v>
      </c>
      <c r="I181" s="2" t="s">
        <v>5457</v>
      </c>
      <c r="J181" s="475" t="s">
        <v>5458</v>
      </c>
      <c r="K181" s="475" t="s">
        <v>5459</v>
      </c>
      <c r="L181" s="475" t="s">
        <v>5460</v>
      </c>
      <c r="M181" s="475" t="s">
        <v>5461</v>
      </c>
      <c r="N181" s="475" t="s">
        <v>5462</v>
      </c>
    </row>
    <row r="182" spans="1:14" s="588" customFormat="1">
      <c r="A182" s="583" t="s">
        <v>5463</v>
      </c>
      <c r="B182" s="584" t="str">
        <f t="shared" si="7"/>
        <v>Self-generated electricity</v>
      </c>
      <c r="C182" s="583" t="s">
        <v>5464</v>
      </c>
      <c r="D182" s="585" t="s">
        <v>5465</v>
      </c>
      <c r="E182" s="585" t="s">
        <v>5466</v>
      </c>
      <c r="F182" s="585" t="s">
        <v>5467</v>
      </c>
      <c r="G182" s="586" t="s">
        <v>5468</v>
      </c>
      <c r="H182" s="586" t="s">
        <v>5469</v>
      </c>
      <c r="I182" s="583" t="s">
        <v>5470</v>
      </c>
      <c r="J182" s="587" t="s">
        <v>5471</v>
      </c>
      <c r="K182" s="587" t="s">
        <v>5472</v>
      </c>
      <c r="L182" s="587" t="s">
        <v>5473</v>
      </c>
      <c r="M182" s="587" t="s">
        <v>5474</v>
      </c>
      <c r="N182" s="587" t="s">
        <v>5475</v>
      </c>
    </row>
    <row r="183" spans="1:14" ht="29.4" thickBot="1">
      <c r="A183" s="481" t="s">
        <v>5476</v>
      </c>
      <c r="B183" s="478" t="str">
        <f t="shared" si="7"/>
        <v>Fuels (see Fuel Converter on Fuels worksheet)</v>
      </c>
      <c r="C183" s="481" t="s">
        <v>5477</v>
      </c>
      <c r="D183" s="477" t="s">
        <v>5478</v>
      </c>
      <c r="E183" s="477" t="s">
        <v>5479</v>
      </c>
      <c r="F183" s="477" t="s">
        <v>5480</v>
      </c>
      <c r="G183" s="480" t="s">
        <v>5481</v>
      </c>
      <c r="H183" s="480" t="s">
        <v>5482</v>
      </c>
      <c r="I183" s="481" t="s">
        <v>5483</v>
      </c>
      <c r="J183" s="479" t="s">
        <v>5484</v>
      </c>
      <c r="K183" s="479" t="s">
        <v>5485</v>
      </c>
      <c r="L183" s="479" t="s">
        <v>5486</v>
      </c>
      <c r="M183" s="479" t="s">
        <v>5487</v>
      </c>
      <c r="N183" s="479" t="s">
        <v>5488</v>
      </c>
    </row>
    <row r="184" spans="1:14" s="540" customFormat="1" ht="57.6">
      <c r="A184" s="589" t="s">
        <v>5489</v>
      </c>
      <c r="B184" s="590" t="str">
        <f t="shared" si="7"/>
        <v>B3 - Estimated Absolute Greenhouse Gas Emissions considering the GHG Protocol Corporate Accounting and Reporting  Standard 2004 (in tCO2eq)</v>
      </c>
      <c r="C184" s="592" t="s">
        <v>5490</v>
      </c>
      <c r="D184" s="576" t="s">
        <v>5491</v>
      </c>
      <c r="E184" s="576" t="s">
        <v>5492</v>
      </c>
      <c r="F184" s="576" t="s">
        <v>5493</v>
      </c>
      <c r="G184" s="591" t="s">
        <v>5494</v>
      </c>
      <c r="H184" s="591" t="s">
        <v>5495</v>
      </c>
      <c r="I184" s="589" t="s">
        <v>5496</v>
      </c>
      <c r="J184" s="579" t="s">
        <v>5497</v>
      </c>
      <c r="K184" s="579" t="s">
        <v>5498</v>
      </c>
      <c r="L184" s="579" t="s">
        <v>5499</v>
      </c>
      <c r="M184" s="579" t="s">
        <v>5500</v>
      </c>
      <c r="N184" s="579" t="s">
        <v>5501</v>
      </c>
    </row>
    <row r="185" spans="1:14" ht="28.8">
      <c r="A185" s="2" t="s">
        <v>5502</v>
      </c>
      <c r="B185" s="474" t="str">
        <f t="shared" si="7"/>
        <v>C3 - GHG reduction targets (in tC02e)</v>
      </c>
      <c r="C185" s="2" t="s">
        <v>5503</v>
      </c>
      <c r="D185" s="469" t="s">
        <v>5504</v>
      </c>
      <c r="E185" s="469" t="s">
        <v>5505</v>
      </c>
      <c r="F185" s="469" t="s">
        <v>5506</v>
      </c>
      <c r="G185" s="476" t="s">
        <v>5507</v>
      </c>
      <c r="H185" s="476" t="s">
        <v>5508</v>
      </c>
      <c r="I185" s="2" t="s">
        <v>5509</v>
      </c>
      <c r="J185" s="475" t="s">
        <v>5510</v>
      </c>
      <c r="K185" s="475" t="s">
        <v>5511</v>
      </c>
      <c r="L185" s="475" t="s">
        <v>5512</v>
      </c>
      <c r="M185" s="475" t="s">
        <v>5513</v>
      </c>
      <c r="N185" s="475" t="s">
        <v>5514</v>
      </c>
    </row>
    <row r="186" spans="1:14" s="620" customFormat="1" ht="43.2">
      <c r="A186" s="615" t="s">
        <v>5515</v>
      </c>
      <c r="B186" s="616" t="str">
        <f t="shared" si="7"/>
        <v>Voluntary for undertakings with 10 employees or less - Has  the undertaking has established GHG emission reduction targets?</v>
      </c>
      <c r="C186" s="615" t="s">
        <v>5516</v>
      </c>
      <c r="D186" s="617" t="s">
        <v>5517</v>
      </c>
      <c r="E186" s="617" t="s">
        <v>5517</v>
      </c>
      <c r="F186" s="617" t="s">
        <v>5518</v>
      </c>
      <c r="G186" s="617" t="s">
        <v>5519</v>
      </c>
      <c r="H186" s="617" t="s">
        <v>5519</v>
      </c>
      <c r="I186" s="617" t="s">
        <v>5519</v>
      </c>
      <c r="J186" s="617" t="s">
        <v>5519</v>
      </c>
      <c r="K186" s="617" t="s">
        <v>5519</v>
      </c>
      <c r="L186" s="617" t="s">
        <v>5519</v>
      </c>
      <c r="M186" s="617" t="s">
        <v>5519</v>
      </c>
      <c r="N186" s="617" t="s">
        <v>5519</v>
      </c>
    </row>
    <row r="187" spans="1:14">
      <c r="A187" s="2" t="s">
        <v>5520</v>
      </c>
      <c r="B187" s="474" t="str">
        <f t="shared" si="7"/>
        <v>Current Reporting Period</v>
      </c>
      <c r="C187" s="2" t="s">
        <v>5521</v>
      </c>
      <c r="D187" s="469" t="s">
        <v>5522</v>
      </c>
      <c r="E187" s="469" t="s">
        <v>5523</v>
      </c>
      <c r="F187" s="469" t="s">
        <v>5524</v>
      </c>
      <c r="G187" s="476" t="s">
        <v>5525</v>
      </c>
      <c r="H187" s="476" t="s">
        <v>5526</v>
      </c>
      <c r="I187" s="2" t="s">
        <v>5527</v>
      </c>
      <c r="J187" s="475" t="s">
        <v>5528</v>
      </c>
      <c r="K187" s="475" t="s">
        <v>5529</v>
      </c>
      <c r="L187" s="475" t="s">
        <v>5530</v>
      </c>
      <c r="M187" s="475" t="s">
        <v>5531</v>
      </c>
      <c r="N187" s="475" t="s">
        <v>5532</v>
      </c>
    </row>
    <row r="188" spans="1:14">
      <c r="A188" s="2" t="s">
        <v>5533</v>
      </c>
      <c r="B188" s="474" t="str">
        <f t="shared" si="7"/>
        <v>Base Year</v>
      </c>
      <c r="C188" s="2" t="s">
        <v>5534</v>
      </c>
      <c r="D188" s="469" t="s">
        <v>5535</v>
      </c>
      <c r="E188" s="469" t="s">
        <v>5536</v>
      </c>
      <c r="F188" s="469" t="s">
        <v>5537</v>
      </c>
      <c r="G188" s="476" t="s">
        <v>5538</v>
      </c>
      <c r="H188" s="476" t="s">
        <v>5539</v>
      </c>
      <c r="I188" s="2" t="s">
        <v>5540</v>
      </c>
      <c r="J188" s="475" t="s">
        <v>5541</v>
      </c>
      <c r="K188" s="475" t="s">
        <v>5542</v>
      </c>
      <c r="L188" s="475" t="s">
        <v>5543</v>
      </c>
      <c r="M188" s="475" t="s">
        <v>5544</v>
      </c>
      <c r="N188" s="475" t="s">
        <v>5545</v>
      </c>
    </row>
    <row r="189" spans="1:14">
      <c r="A189" s="2" t="s">
        <v>5546</v>
      </c>
      <c r="B189" s="474" t="str">
        <f t="shared" si="7"/>
        <v>Target Year</v>
      </c>
      <c r="C189" s="2" t="s">
        <v>5547</v>
      </c>
      <c r="D189" s="469" t="s">
        <v>5548</v>
      </c>
      <c r="E189" s="469" t="s">
        <v>5549</v>
      </c>
      <c r="F189" s="469" t="s">
        <v>5550</v>
      </c>
      <c r="G189" s="476" t="s">
        <v>5551</v>
      </c>
      <c r="H189" s="476" t="s">
        <v>5552</v>
      </c>
      <c r="I189" s="2" t="s">
        <v>5553</v>
      </c>
      <c r="J189" s="475" t="s">
        <v>5554</v>
      </c>
      <c r="K189" s="475" t="s">
        <v>5555</v>
      </c>
      <c r="L189" s="475" t="s">
        <v>5556</v>
      </c>
      <c r="M189" s="475" t="s">
        <v>5557</v>
      </c>
      <c r="N189" s="475" t="s">
        <v>5558</v>
      </c>
    </row>
    <row r="190" spans="1:14">
      <c r="A190" s="2" t="s">
        <v>5559</v>
      </c>
      <c r="B190" s="474" t="str">
        <f t="shared" si="7"/>
        <v>Percentage reduction from base year</v>
      </c>
      <c r="C190" s="2" t="s">
        <v>5560</v>
      </c>
      <c r="D190" s="469" t="s">
        <v>5561</v>
      </c>
      <c r="E190" s="469" t="s">
        <v>5562</v>
      </c>
      <c r="F190" s="469" t="s">
        <v>5563</v>
      </c>
      <c r="G190" s="476" t="s">
        <v>5564</v>
      </c>
      <c r="H190" s="476" t="s">
        <v>5565</v>
      </c>
      <c r="I190" s="2" t="s">
        <v>5566</v>
      </c>
      <c r="J190" s="475" t="s">
        <v>5567</v>
      </c>
      <c r="K190" s="475" t="s">
        <v>5568</v>
      </c>
      <c r="L190" s="475" t="s">
        <v>5569</v>
      </c>
      <c r="M190" s="475" t="s">
        <v>5570</v>
      </c>
      <c r="N190" s="475" t="s">
        <v>5571</v>
      </c>
    </row>
    <row r="191" spans="1:14">
      <c r="A191" s="2" t="s">
        <v>5572</v>
      </c>
      <c r="B191" s="474" t="str">
        <f t="shared" si="7"/>
        <v>Year (date)</v>
      </c>
      <c r="C191" s="2" t="s">
        <v>5573</v>
      </c>
      <c r="D191" s="469" t="s">
        <v>5574</v>
      </c>
      <c r="E191" s="469" t="s">
        <v>5575</v>
      </c>
      <c r="F191" s="469" t="s">
        <v>5576</v>
      </c>
      <c r="G191" s="476" t="s">
        <v>5577</v>
      </c>
      <c r="H191" s="476" t="s">
        <v>5578</v>
      </c>
      <c r="I191" s="2" t="s">
        <v>5579</v>
      </c>
      <c r="J191" s="475" t="s">
        <v>5580</v>
      </c>
      <c r="K191" s="475" t="s">
        <v>5581</v>
      </c>
      <c r="L191" s="475" t="s">
        <v>5582</v>
      </c>
      <c r="M191" s="475" t="s">
        <v>5583</v>
      </c>
      <c r="N191" s="475" t="s">
        <v>5584</v>
      </c>
    </row>
    <row r="192" spans="1:14" ht="28.8">
      <c r="A192" s="2" t="s">
        <v>5585</v>
      </c>
      <c r="B192" s="474" t="str">
        <f t="shared" si="7"/>
        <v>Gross Scope 1 GHG Emissions</v>
      </c>
      <c r="C192" s="2" t="s">
        <v>5586</v>
      </c>
      <c r="D192" s="469" t="s">
        <v>5587</v>
      </c>
      <c r="E192" s="469" t="s">
        <v>5588</v>
      </c>
      <c r="F192" s="469" t="s">
        <v>5589</v>
      </c>
      <c r="G192" s="476" t="s">
        <v>5590</v>
      </c>
      <c r="H192" s="476" t="s">
        <v>5591</v>
      </c>
      <c r="I192" s="2" t="s">
        <v>5592</v>
      </c>
      <c r="J192" s="475" t="s">
        <v>5593</v>
      </c>
      <c r="K192" s="475" t="s">
        <v>5594</v>
      </c>
      <c r="L192" s="475" t="s">
        <v>5595</v>
      </c>
      <c r="M192" s="475" t="s">
        <v>5596</v>
      </c>
      <c r="N192" s="475" t="s">
        <v>5597</v>
      </c>
    </row>
    <row r="193" spans="1:14" ht="28.8">
      <c r="A193" s="2" t="s">
        <v>5598</v>
      </c>
      <c r="B193" s="474" t="str">
        <f t="shared" si="7"/>
        <v>Gross Scope 2 location-based GHG Emissions</v>
      </c>
      <c r="C193" s="2" t="s">
        <v>5599</v>
      </c>
      <c r="D193" s="469" t="s">
        <v>5600</v>
      </c>
      <c r="E193" s="469" t="s">
        <v>5601</v>
      </c>
      <c r="F193" s="469" t="s">
        <v>5602</v>
      </c>
      <c r="G193" s="476" t="s">
        <v>5603</v>
      </c>
      <c r="H193" s="476" t="s">
        <v>5604</v>
      </c>
      <c r="I193" s="2" t="s">
        <v>5605</v>
      </c>
      <c r="J193" s="475" t="s">
        <v>5606</v>
      </c>
      <c r="K193" s="475" t="s">
        <v>5607</v>
      </c>
      <c r="L193" s="475" t="s">
        <v>5608</v>
      </c>
      <c r="M193" s="475" t="s">
        <v>5609</v>
      </c>
      <c r="N193" s="475" t="s">
        <v>5610</v>
      </c>
    </row>
    <row r="194" spans="1:14" s="10" customFormat="1" ht="28.8">
      <c r="A194" s="317" t="s">
        <v>5611</v>
      </c>
      <c r="B194" s="593" t="str">
        <f t="shared" si="7"/>
        <v>Gross scope 2 market-based GHG Emissions</v>
      </c>
      <c r="C194" s="317" t="s">
        <v>5612</v>
      </c>
      <c r="D194" s="581" t="s">
        <v>5613</v>
      </c>
      <c r="E194" s="581" t="s">
        <v>5614</v>
      </c>
      <c r="F194" s="581" t="s">
        <v>5615</v>
      </c>
      <c r="G194" s="594" t="s">
        <v>5616</v>
      </c>
      <c r="H194" s="594" t="s">
        <v>5617</v>
      </c>
      <c r="I194" s="317" t="s">
        <v>5618</v>
      </c>
      <c r="J194" s="580" t="s">
        <v>5619</v>
      </c>
      <c r="K194" s="580" t="s">
        <v>5620</v>
      </c>
      <c r="L194" s="580" t="s">
        <v>5621</v>
      </c>
      <c r="M194" s="580" t="s">
        <v>5622</v>
      </c>
      <c r="N194" s="580" t="s">
        <v>5623</v>
      </c>
    </row>
    <row r="195" spans="1:14" ht="28.8">
      <c r="A195" s="2" t="s">
        <v>5624</v>
      </c>
      <c r="B195" s="474" t="str">
        <f t="shared" si="7"/>
        <v>Total Scope 1 and Scope 2 GHG Emissions (location-based)</v>
      </c>
      <c r="C195" s="2" t="s">
        <v>5625</v>
      </c>
      <c r="D195" s="469" t="s">
        <v>5626</v>
      </c>
      <c r="E195" s="469" t="s">
        <v>5627</v>
      </c>
      <c r="F195" s="469" t="s">
        <v>5628</v>
      </c>
      <c r="G195" s="476" t="s">
        <v>5629</v>
      </c>
      <c r="H195" s="476" t="s">
        <v>5630</v>
      </c>
      <c r="I195" s="2" t="s">
        <v>5631</v>
      </c>
      <c r="J195" s="475" t="s">
        <v>5632</v>
      </c>
      <c r="K195" s="475" t="s">
        <v>5633</v>
      </c>
      <c r="L195" s="475" t="s">
        <v>5634</v>
      </c>
      <c r="M195" s="475" t="s">
        <v>5635</v>
      </c>
      <c r="N195" s="475" t="s">
        <v>5636</v>
      </c>
    </row>
    <row r="196" spans="1:14" ht="28.8">
      <c r="A196" s="2" t="s">
        <v>5637</v>
      </c>
      <c r="B196" s="474" t="str">
        <f t="shared" si="7"/>
        <v>Total Scope 1 and Scope 2 GHG emissions  (market-based)</v>
      </c>
      <c r="C196" s="2" t="s">
        <v>5638</v>
      </c>
      <c r="D196" s="469" t="s">
        <v>5639</v>
      </c>
      <c r="E196" s="469" t="s">
        <v>5640</v>
      </c>
      <c r="F196" s="469" t="s">
        <v>5641</v>
      </c>
      <c r="G196" s="476" t="s">
        <v>5642</v>
      </c>
      <c r="H196" s="476" t="s">
        <v>5643</v>
      </c>
      <c r="I196" s="2" t="s">
        <v>5644</v>
      </c>
      <c r="J196" s="475" t="s">
        <v>5632</v>
      </c>
      <c r="K196" s="475" t="s">
        <v>5645</v>
      </c>
      <c r="L196" s="475" t="s">
        <v>5646</v>
      </c>
      <c r="M196" s="475" t="s">
        <v>5647</v>
      </c>
      <c r="N196" s="475" t="s">
        <v>5648</v>
      </c>
    </row>
    <row r="197" spans="1:14" s="620" customFormat="1" ht="43.2">
      <c r="A197" s="615" t="s">
        <v>5649</v>
      </c>
      <c r="B197" s="616" t="str">
        <f t="shared" si="7"/>
        <v>Voluntary for undertakings with 10 employees or less - Is the undertaking disclosing entity-specific information on Scope 3 emissions (in tCO2e)?</v>
      </c>
      <c r="C197" s="615" t="s">
        <v>5650</v>
      </c>
      <c r="D197" s="617" t="s">
        <v>5651</v>
      </c>
      <c r="E197" s="617" t="s">
        <v>5651</v>
      </c>
      <c r="F197" s="617" t="s">
        <v>5652</v>
      </c>
      <c r="G197" s="617" t="s">
        <v>5653</v>
      </c>
      <c r="H197" s="617" t="s">
        <v>5653</v>
      </c>
      <c r="I197" s="617" t="s">
        <v>5653</v>
      </c>
      <c r="J197" s="617" t="s">
        <v>5653</v>
      </c>
      <c r="K197" s="617" t="s">
        <v>5653</v>
      </c>
      <c r="L197" s="617" t="s">
        <v>5653</v>
      </c>
      <c r="M197" s="617" t="s">
        <v>5653</v>
      </c>
      <c r="N197" s="617" t="s">
        <v>5653</v>
      </c>
    </row>
    <row r="198" spans="1:14" ht="28.8">
      <c r="A198" s="2" t="s">
        <v>5654</v>
      </c>
      <c r="B198" s="474" t="str">
        <f t="shared" si="7"/>
        <v>1. Purchased Goods and Services</v>
      </c>
      <c r="C198" s="2" t="s">
        <v>5655</v>
      </c>
      <c r="D198" s="469" t="s">
        <v>5656</v>
      </c>
      <c r="E198" s="469" t="s">
        <v>5657</v>
      </c>
      <c r="F198" s="469" t="s">
        <v>5658</v>
      </c>
      <c r="G198" s="476" t="s">
        <v>5659</v>
      </c>
      <c r="H198" s="476" t="s">
        <v>5660</v>
      </c>
      <c r="I198" s="2" t="s">
        <v>5661</v>
      </c>
      <c r="J198" s="475" t="s">
        <v>5662</v>
      </c>
      <c r="K198" s="475" t="s">
        <v>5663</v>
      </c>
      <c r="L198" s="475" t="s">
        <v>5664</v>
      </c>
      <c r="M198" s="475" t="s">
        <v>5665</v>
      </c>
      <c r="N198" s="475" t="s">
        <v>5666</v>
      </c>
    </row>
    <row r="199" spans="1:14">
      <c r="A199" s="2" t="s">
        <v>5667</v>
      </c>
      <c r="B199" s="474" t="str">
        <f t="shared" si="7"/>
        <v>2. Capital Goods</v>
      </c>
      <c r="C199" s="2" t="s">
        <v>5668</v>
      </c>
      <c r="D199" s="469" t="s">
        <v>5669</v>
      </c>
      <c r="E199" s="469" t="s">
        <v>5670</v>
      </c>
      <c r="F199" s="469" t="s">
        <v>5671</v>
      </c>
      <c r="G199" s="476" t="s">
        <v>5672</v>
      </c>
      <c r="H199" s="476" t="s">
        <v>5673</v>
      </c>
      <c r="I199" s="2" t="s">
        <v>5674</v>
      </c>
      <c r="J199" s="475" t="s">
        <v>5675</v>
      </c>
      <c r="K199" s="475" t="s">
        <v>5676</v>
      </c>
      <c r="L199" s="475" t="s">
        <v>5677</v>
      </c>
      <c r="M199" s="475" t="s">
        <v>5678</v>
      </c>
      <c r="N199" s="475" t="s">
        <v>5679</v>
      </c>
    </row>
    <row r="200" spans="1:14" ht="43.2">
      <c r="A200" s="2" t="s">
        <v>5680</v>
      </c>
      <c r="B200" s="474" t="str">
        <f t="shared" si="7"/>
        <v>3. Fuel- and Energy-Related Activities (Not Included in Scope 1 or Scope 2)</v>
      </c>
      <c r="C200" s="2" t="s">
        <v>5681</v>
      </c>
      <c r="D200" s="469" t="s">
        <v>5682</v>
      </c>
      <c r="E200" s="469" t="s">
        <v>5683</v>
      </c>
      <c r="F200" s="469" t="s">
        <v>5684</v>
      </c>
      <c r="G200" s="476" t="s">
        <v>5685</v>
      </c>
      <c r="H200" s="476" t="s">
        <v>5686</v>
      </c>
      <c r="I200" s="2" t="s">
        <v>5687</v>
      </c>
      <c r="J200" s="475" t="s">
        <v>5688</v>
      </c>
      <c r="K200" s="475" t="s">
        <v>5689</v>
      </c>
      <c r="L200" s="475" t="s">
        <v>5690</v>
      </c>
      <c r="M200" s="475" t="s">
        <v>5691</v>
      </c>
      <c r="N200" s="475" t="s">
        <v>5692</v>
      </c>
    </row>
    <row r="201" spans="1:14" ht="28.8">
      <c r="A201" s="2" t="s">
        <v>5693</v>
      </c>
      <c r="B201" s="474" t="str">
        <f t="shared" si="7"/>
        <v>4. Upstream Transportation and Distribution</v>
      </c>
      <c r="C201" s="2" t="s">
        <v>5694</v>
      </c>
      <c r="D201" s="469" t="s">
        <v>5695</v>
      </c>
      <c r="E201" s="469" t="s">
        <v>5696</v>
      </c>
      <c r="F201" s="469" t="s">
        <v>5697</v>
      </c>
      <c r="G201" s="476" t="s">
        <v>5698</v>
      </c>
      <c r="H201" s="476" t="s">
        <v>5699</v>
      </c>
      <c r="I201" s="2" t="s">
        <v>5700</v>
      </c>
      <c r="J201" s="475" t="s">
        <v>5701</v>
      </c>
      <c r="K201" s="475" t="s">
        <v>5702</v>
      </c>
      <c r="L201" s="475" t="s">
        <v>5703</v>
      </c>
      <c r="M201" s="475" t="s">
        <v>5704</v>
      </c>
      <c r="N201" s="475" t="s">
        <v>5705</v>
      </c>
    </row>
    <row r="202" spans="1:14">
      <c r="A202" s="2" t="s">
        <v>5706</v>
      </c>
      <c r="B202" s="474" t="str">
        <f t="shared" si="7"/>
        <v>5. Waste Generated in Operations</v>
      </c>
      <c r="C202" s="2" t="s">
        <v>5707</v>
      </c>
      <c r="D202" s="469" t="s">
        <v>5708</v>
      </c>
      <c r="E202" s="469" t="s">
        <v>5709</v>
      </c>
      <c r="F202" s="469" t="s">
        <v>5710</v>
      </c>
      <c r="G202" s="476" t="s">
        <v>5711</v>
      </c>
      <c r="H202" s="476" t="s">
        <v>5712</v>
      </c>
      <c r="I202" s="2" t="s">
        <v>5713</v>
      </c>
      <c r="J202" s="475" t="s">
        <v>5714</v>
      </c>
      <c r="K202" s="475" t="s">
        <v>5715</v>
      </c>
      <c r="L202" s="475" t="s">
        <v>5716</v>
      </c>
      <c r="M202" s="475" t="s">
        <v>5717</v>
      </c>
      <c r="N202" s="475" t="s">
        <v>5718</v>
      </c>
    </row>
    <row r="203" spans="1:14">
      <c r="A203" s="2" t="s">
        <v>5719</v>
      </c>
      <c r="B203" s="474" t="str">
        <f t="shared" si="7"/>
        <v>6. Business Travel</v>
      </c>
      <c r="C203" s="2" t="s">
        <v>5720</v>
      </c>
      <c r="D203" s="469" t="s">
        <v>5721</v>
      </c>
      <c r="E203" s="469" t="s">
        <v>5722</v>
      </c>
      <c r="F203" s="469" t="s">
        <v>5723</v>
      </c>
      <c r="G203" s="476" t="s">
        <v>5724</v>
      </c>
      <c r="H203" s="476" t="s">
        <v>5725</v>
      </c>
      <c r="I203" s="2" t="s">
        <v>5726</v>
      </c>
      <c r="J203" s="475" t="s">
        <v>5727</v>
      </c>
      <c r="K203" s="475" t="s">
        <v>5728</v>
      </c>
      <c r="L203" s="475" t="s">
        <v>5729</v>
      </c>
      <c r="M203" s="475" t="s">
        <v>5730</v>
      </c>
      <c r="N203" s="475" t="s">
        <v>5731</v>
      </c>
    </row>
    <row r="204" spans="1:14">
      <c r="A204" s="2" t="s">
        <v>5732</v>
      </c>
      <c r="B204" s="474" t="str">
        <f t="shared" si="7"/>
        <v>7. Employee Commuting</v>
      </c>
      <c r="C204" s="2" t="s">
        <v>5733</v>
      </c>
      <c r="D204" s="469" t="s">
        <v>5734</v>
      </c>
      <c r="E204" s="469" t="s">
        <v>5735</v>
      </c>
      <c r="F204" s="469" t="s">
        <v>5736</v>
      </c>
      <c r="G204" s="476" t="s">
        <v>5737</v>
      </c>
      <c r="H204" s="476" t="s">
        <v>5738</v>
      </c>
      <c r="I204" s="2" t="s">
        <v>5739</v>
      </c>
      <c r="J204" s="475" t="s">
        <v>5740</v>
      </c>
      <c r="K204" s="475" t="s">
        <v>5741</v>
      </c>
      <c r="L204" s="475" t="s">
        <v>5742</v>
      </c>
      <c r="M204" s="475" t="s">
        <v>5743</v>
      </c>
      <c r="N204" s="475" t="s">
        <v>5744</v>
      </c>
    </row>
    <row r="205" spans="1:14" ht="28.8">
      <c r="A205" s="2" t="s">
        <v>5745</v>
      </c>
      <c r="B205" s="474" t="str">
        <f t="shared" si="7"/>
        <v>8. Upstream Leased Assets</v>
      </c>
      <c r="C205" s="2" t="s">
        <v>5746</v>
      </c>
      <c r="D205" s="469" t="s">
        <v>5747</v>
      </c>
      <c r="E205" s="469" t="s">
        <v>5748</v>
      </c>
      <c r="F205" s="469" t="s">
        <v>5749</v>
      </c>
      <c r="G205" s="476" t="s">
        <v>5750</v>
      </c>
      <c r="H205" s="476" t="s">
        <v>5751</v>
      </c>
      <c r="I205" s="2" t="s">
        <v>5752</v>
      </c>
      <c r="J205" s="475" t="s">
        <v>5753</v>
      </c>
      <c r="K205" s="475" t="s">
        <v>5754</v>
      </c>
      <c r="L205" s="475" t="s">
        <v>5755</v>
      </c>
      <c r="M205" s="475" t="s">
        <v>5756</v>
      </c>
      <c r="N205" s="475" t="s">
        <v>5757</v>
      </c>
    </row>
    <row r="206" spans="1:14" ht="28.8">
      <c r="A206" s="2" t="s">
        <v>5758</v>
      </c>
      <c r="B206" s="474" t="str">
        <f t="shared" si="7"/>
        <v>9. Downstream Transportation and Distribution</v>
      </c>
      <c r="C206" s="2" t="s">
        <v>5759</v>
      </c>
      <c r="D206" s="469" t="s">
        <v>5760</v>
      </c>
      <c r="E206" s="469" t="s">
        <v>5761</v>
      </c>
      <c r="F206" s="469" t="s">
        <v>5762</v>
      </c>
      <c r="G206" s="476" t="s">
        <v>5763</v>
      </c>
      <c r="H206" s="476" t="s">
        <v>5764</v>
      </c>
      <c r="I206" s="2" t="s">
        <v>5765</v>
      </c>
      <c r="J206" s="475" t="s">
        <v>5766</v>
      </c>
      <c r="K206" s="475" t="s">
        <v>5767</v>
      </c>
      <c r="L206" s="475" t="s">
        <v>5768</v>
      </c>
      <c r="M206" s="475" t="s">
        <v>5769</v>
      </c>
      <c r="N206" s="475" t="s">
        <v>5770</v>
      </c>
    </row>
    <row r="207" spans="1:14">
      <c r="A207" s="2" t="s">
        <v>5771</v>
      </c>
      <c r="B207" s="474" t="str">
        <f t="shared" si="7"/>
        <v>10. Processing of Sold Products</v>
      </c>
      <c r="C207" s="2" t="s">
        <v>5772</v>
      </c>
      <c r="D207" s="469" t="s">
        <v>5773</v>
      </c>
      <c r="E207" s="469" t="s">
        <v>5774</v>
      </c>
      <c r="F207" s="469" t="s">
        <v>5775</v>
      </c>
      <c r="G207" s="476" t="s">
        <v>5776</v>
      </c>
      <c r="H207" s="476" t="s">
        <v>5777</v>
      </c>
      <c r="I207" s="2" t="s">
        <v>5778</v>
      </c>
      <c r="J207" s="475" t="s">
        <v>5779</v>
      </c>
      <c r="K207" s="475" t="s">
        <v>5780</v>
      </c>
      <c r="L207" s="475" t="s">
        <v>5781</v>
      </c>
      <c r="M207" s="475" t="s">
        <v>5782</v>
      </c>
      <c r="N207" s="475" t="s">
        <v>5783</v>
      </c>
    </row>
    <row r="208" spans="1:14">
      <c r="A208" s="2" t="s">
        <v>5784</v>
      </c>
      <c r="B208" s="474" t="str">
        <f t="shared" si="7"/>
        <v>11. Use of Sold Products</v>
      </c>
      <c r="C208" s="2" t="s">
        <v>5785</v>
      </c>
      <c r="D208" s="469" t="s">
        <v>5786</v>
      </c>
      <c r="E208" s="469" t="s">
        <v>5787</v>
      </c>
      <c r="F208" s="469" t="s">
        <v>5788</v>
      </c>
      <c r="G208" s="476" t="s">
        <v>5789</v>
      </c>
      <c r="H208" s="476" t="s">
        <v>5790</v>
      </c>
      <c r="I208" s="2" t="s">
        <v>5791</v>
      </c>
      <c r="J208" s="475" t="s">
        <v>5792</v>
      </c>
      <c r="K208" s="475" t="s">
        <v>5793</v>
      </c>
      <c r="L208" s="475" t="s">
        <v>5794</v>
      </c>
      <c r="M208" s="475" t="s">
        <v>5795</v>
      </c>
      <c r="N208" s="475" t="s">
        <v>5796</v>
      </c>
    </row>
    <row r="209" spans="1:14" ht="28.8">
      <c r="A209" s="2" t="s">
        <v>5797</v>
      </c>
      <c r="B209" s="474" t="str">
        <f t="shared" si="7"/>
        <v>12. End-of-Life Treatment of Sold Products</v>
      </c>
      <c r="C209" s="2" t="s">
        <v>5798</v>
      </c>
      <c r="D209" s="469" t="s">
        <v>5799</v>
      </c>
      <c r="E209" s="469" t="s">
        <v>5800</v>
      </c>
      <c r="F209" s="469" t="s">
        <v>5801</v>
      </c>
      <c r="G209" s="476" t="s">
        <v>5802</v>
      </c>
      <c r="H209" s="476" t="s">
        <v>5803</v>
      </c>
      <c r="I209" s="2" t="s">
        <v>5804</v>
      </c>
      <c r="J209" s="475" t="s">
        <v>5805</v>
      </c>
      <c r="K209" s="475" t="s">
        <v>5806</v>
      </c>
      <c r="L209" s="475" t="s">
        <v>5807</v>
      </c>
      <c r="M209" s="475" t="s">
        <v>5808</v>
      </c>
      <c r="N209" s="475" t="s">
        <v>5809</v>
      </c>
    </row>
    <row r="210" spans="1:14" ht="28.8">
      <c r="A210" s="2" t="s">
        <v>5810</v>
      </c>
      <c r="B210" s="474" t="str">
        <f t="shared" si="7"/>
        <v>13. Downstream Leased Assets</v>
      </c>
      <c r="C210" s="2" t="s">
        <v>5811</v>
      </c>
      <c r="D210" s="469" t="s">
        <v>5812</v>
      </c>
      <c r="E210" s="469" t="s">
        <v>5813</v>
      </c>
      <c r="F210" s="469" t="s">
        <v>5814</v>
      </c>
      <c r="G210" s="476" t="s">
        <v>5815</v>
      </c>
      <c r="H210" s="476" t="s">
        <v>5816</v>
      </c>
      <c r="I210" s="2" t="s">
        <v>5817</v>
      </c>
      <c r="J210" s="475" t="s">
        <v>5818</v>
      </c>
      <c r="K210" s="475" t="s">
        <v>5819</v>
      </c>
      <c r="L210" s="475" t="s">
        <v>5820</v>
      </c>
      <c r="M210" s="475" t="s">
        <v>5821</v>
      </c>
      <c r="N210" s="475" t="s">
        <v>5822</v>
      </c>
    </row>
    <row r="211" spans="1:14">
      <c r="A211" s="2" t="s">
        <v>5823</v>
      </c>
      <c r="B211" s="474" t="str">
        <f t="shared" si="7"/>
        <v>14. Franchises</v>
      </c>
      <c r="C211" s="2" t="s">
        <v>5824</v>
      </c>
      <c r="D211" s="469" t="s">
        <v>5825</v>
      </c>
      <c r="E211" s="469" t="s">
        <v>5824</v>
      </c>
      <c r="F211" s="469" t="s">
        <v>5824</v>
      </c>
      <c r="G211" s="476" t="s">
        <v>5824</v>
      </c>
      <c r="H211" s="476" t="s">
        <v>5826</v>
      </c>
      <c r="I211" s="2" t="s">
        <v>5827</v>
      </c>
      <c r="J211" s="475" t="s">
        <v>5828</v>
      </c>
      <c r="K211" s="475" t="s">
        <v>5829</v>
      </c>
      <c r="L211" s="475" t="s">
        <v>5830</v>
      </c>
      <c r="M211" s="475" t="s">
        <v>5831</v>
      </c>
      <c r="N211" s="475" t="s">
        <v>5832</v>
      </c>
    </row>
    <row r="212" spans="1:14">
      <c r="A212" s="2" t="s">
        <v>5833</v>
      </c>
      <c r="B212" s="474" t="str">
        <f t="shared" si="7"/>
        <v>15. Investments</v>
      </c>
      <c r="C212" s="2" t="s">
        <v>5834</v>
      </c>
      <c r="D212" s="469" t="s">
        <v>5835</v>
      </c>
      <c r="E212" s="469" t="s">
        <v>5836</v>
      </c>
      <c r="F212" s="469" t="s">
        <v>5837</v>
      </c>
      <c r="G212" s="476" t="s">
        <v>5838</v>
      </c>
      <c r="H212" s="476" t="s">
        <v>5839</v>
      </c>
      <c r="I212" s="2" t="s">
        <v>5840</v>
      </c>
      <c r="J212" s="475" t="s">
        <v>5841</v>
      </c>
      <c r="K212" s="475" t="s">
        <v>5842</v>
      </c>
      <c r="L212" s="475" t="s">
        <v>5843</v>
      </c>
      <c r="M212" s="475" t="s">
        <v>5844</v>
      </c>
      <c r="N212" s="475" t="s">
        <v>5845</v>
      </c>
    </row>
    <row r="213" spans="1:14">
      <c r="A213" s="2" t="s">
        <v>5846</v>
      </c>
      <c r="B213" s="474" t="str">
        <f t="shared" si="7"/>
        <v>Total Scope 3 GHG  emissions</v>
      </c>
      <c r="C213" s="2" t="s">
        <v>5847</v>
      </c>
      <c r="D213" s="469" t="s">
        <v>5848</v>
      </c>
      <c r="E213" s="469" t="s">
        <v>5849</v>
      </c>
      <c r="F213" s="469" t="s">
        <v>5850</v>
      </c>
      <c r="G213" s="476" t="s">
        <v>5851</v>
      </c>
      <c r="H213" s="476" t="s">
        <v>5852</v>
      </c>
      <c r="I213" s="2" t="s">
        <v>5853</v>
      </c>
      <c r="J213" s="475" t="s">
        <v>5854</v>
      </c>
      <c r="K213" s="475" t="s">
        <v>5855</v>
      </c>
      <c r="L213" s="475" t="s">
        <v>5856</v>
      </c>
      <c r="M213" s="475" t="s">
        <v>5857</v>
      </c>
      <c r="N213" s="475" t="s">
        <v>5858</v>
      </c>
    </row>
    <row r="214" spans="1:14" ht="28.8">
      <c r="A214" s="2" t="s">
        <v>5859</v>
      </c>
      <c r="B214" s="474" t="str">
        <f t="shared" si="7"/>
        <v>Total Scope 1 Scope 2 and Scope 3 GHG Emissions (location-based)</v>
      </c>
      <c r="C214" s="2" t="s">
        <v>5860</v>
      </c>
      <c r="D214" s="469" t="s">
        <v>5861</v>
      </c>
      <c r="E214" s="469" t="s">
        <v>5862</v>
      </c>
      <c r="F214" s="469" t="s">
        <v>5863</v>
      </c>
      <c r="G214" s="476" t="s">
        <v>5864</v>
      </c>
      <c r="H214" s="476" t="s">
        <v>5865</v>
      </c>
      <c r="I214" s="2" t="s">
        <v>5866</v>
      </c>
      <c r="J214" s="475" t="s">
        <v>5867</v>
      </c>
      <c r="K214" s="475" t="s">
        <v>5868</v>
      </c>
      <c r="L214" s="475" t="s">
        <v>5869</v>
      </c>
      <c r="M214" s="475" t="s">
        <v>5870</v>
      </c>
      <c r="N214" s="475" t="s">
        <v>5871</v>
      </c>
    </row>
    <row r="215" spans="1:14" s="10" customFormat="1" ht="29.4" thickBot="1">
      <c r="A215" s="630" t="s">
        <v>5872</v>
      </c>
      <c r="B215" s="631" t="str">
        <f t="shared" si="7"/>
        <v>Total Scope 1 Scope 2 and Scope 3 GHG Emissions (market-based)</v>
      </c>
      <c r="C215" s="630" t="s">
        <v>5873</v>
      </c>
      <c r="D215" s="632" t="s">
        <v>5874</v>
      </c>
      <c r="E215" s="632" t="s">
        <v>5875</v>
      </c>
      <c r="F215" s="632" t="s">
        <v>5876</v>
      </c>
      <c r="G215" s="633" t="s">
        <v>5877</v>
      </c>
      <c r="H215" s="633" t="s">
        <v>5878</v>
      </c>
      <c r="I215" s="630" t="s">
        <v>5879</v>
      </c>
      <c r="J215" s="634" t="s">
        <v>5880</v>
      </c>
      <c r="K215" s="634" t="s">
        <v>5881</v>
      </c>
      <c r="L215" s="634" t="s">
        <v>5882</v>
      </c>
      <c r="M215" s="634" t="s">
        <v>5883</v>
      </c>
      <c r="N215" s="634" t="s">
        <v>5884</v>
      </c>
    </row>
    <row r="216" spans="1:14" ht="43.2">
      <c r="A216" s="2" t="s">
        <v>5885</v>
      </c>
      <c r="B216" s="474" t="str">
        <f t="shared" si="7"/>
        <v>C3 - Disclosure of list of main actions the entity seeks in order to achieve its targets</v>
      </c>
      <c r="C216" s="2" t="s">
        <v>5886</v>
      </c>
      <c r="D216" s="469" t="s">
        <v>5887</v>
      </c>
      <c r="E216" s="469" t="s">
        <v>5888</v>
      </c>
      <c r="F216" s="469" t="s">
        <v>5889</v>
      </c>
      <c r="G216" s="476" t="s">
        <v>5890</v>
      </c>
      <c r="H216" s="476" t="s">
        <v>5891</v>
      </c>
      <c r="I216" s="2" t="s">
        <v>5892</v>
      </c>
      <c r="J216" s="475" t="s">
        <v>5893</v>
      </c>
      <c r="K216" s="475" t="s">
        <v>5894</v>
      </c>
      <c r="L216" s="475" t="s">
        <v>5895</v>
      </c>
      <c r="M216" s="475" t="s">
        <v>5896</v>
      </c>
      <c r="N216" s="475" t="s">
        <v>5897</v>
      </c>
    </row>
    <row r="217" spans="1:14" ht="28.8">
      <c r="A217" s="2" t="s">
        <v>5898</v>
      </c>
      <c r="B217" s="474" t="str">
        <f t="shared" si="7"/>
        <v>C3 - Transition plan for undertakings operating in high climate impact sectors</v>
      </c>
      <c r="C217" s="2" t="s">
        <v>5899</v>
      </c>
      <c r="D217" s="469" t="s">
        <v>5900</v>
      </c>
      <c r="E217" s="469" t="s">
        <v>5901</v>
      </c>
      <c r="F217" s="469" t="s">
        <v>5902</v>
      </c>
      <c r="G217" s="476" t="s">
        <v>5903</v>
      </c>
      <c r="H217" s="476" t="s">
        <v>5904</v>
      </c>
      <c r="I217" s="2" t="s">
        <v>5905</v>
      </c>
      <c r="J217" s="475" t="s">
        <v>5906</v>
      </c>
      <c r="K217" s="475" t="s">
        <v>5907</v>
      </c>
      <c r="L217" s="475" t="s">
        <v>5908</v>
      </c>
      <c r="M217" s="475" t="s">
        <v>5909</v>
      </c>
      <c r="N217" s="475" t="s">
        <v>5910</v>
      </c>
    </row>
    <row r="218" spans="1:14" ht="28.8">
      <c r="A218" s="2" t="s">
        <v>5911</v>
      </c>
      <c r="B218" s="474" t="str">
        <f t="shared" si="7"/>
        <v>Is the undertaking operating in high impact sectors?</v>
      </c>
      <c r="C218" s="2" t="s">
        <v>5912</v>
      </c>
      <c r="D218" s="469" t="s">
        <v>5913</v>
      </c>
      <c r="E218" s="469" t="s">
        <v>5914</v>
      </c>
      <c r="F218" s="469" t="s">
        <v>5915</v>
      </c>
      <c r="G218" s="476" t="s">
        <v>5916</v>
      </c>
      <c r="H218" s="476" t="s">
        <v>5917</v>
      </c>
      <c r="I218" s="2" t="s">
        <v>5918</v>
      </c>
      <c r="J218" s="475" t="s">
        <v>5919</v>
      </c>
      <c r="K218" s="475" t="s">
        <v>5920</v>
      </c>
      <c r="L218" s="475" t="s">
        <v>5921</v>
      </c>
      <c r="M218" s="475" t="s">
        <v>5922</v>
      </c>
      <c r="N218" s="475" t="s">
        <v>5923</v>
      </c>
    </row>
    <row r="219" spans="1:14" ht="28.8">
      <c r="A219" s="2" t="s">
        <v>5924</v>
      </c>
      <c r="B219" s="474" t="str">
        <f t="shared" si="7"/>
        <v>Status of implementation of a transition plan in relation to climate change mitigation</v>
      </c>
      <c r="C219" s="2" t="s">
        <v>5925</v>
      </c>
      <c r="D219" s="469" t="s">
        <v>5926</v>
      </c>
      <c r="E219" s="469" t="s">
        <v>5927</v>
      </c>
      <c r="F219" s="469" t="s">
        <v>5928</v>
      </c>
      <c r="G219" s="476" t="s">
        <v>5929</v>
      </c>
      <c r="H219" s="476" t="s">
        <v>5930</v>
      </c>
      <c r="I219" s="2" t="s">
        <v>5931</v>
      </c>
      <c r="J219" s="475" t="s">
        <v>5932</v>
      </c>
      <c r="K219" s="475" t="s">
        <v>5933</v>
      </c>
      <c r="L219" s="475" t="s">
        <v>5934</v>
      </c>
      <c r="M219" s="475" t="s">
        <v>5935</v>
      </c>
      <c r="N219" s="475" t="s">
        <v>5936</v>
      </c>
    </row>
    <row r="220" spans="1:14" ht="72">
      <c r="A220" s="2" t="s">
        <v>5937</v>
      </c>
      <c r="B220" s="474" t="str">
        <f t="shared" si="7"/>
        <v>Description of a transition plan for climate change mitigation including an explanation of how it is contributing to reduce GHG emissions</v>
      </c>
      <c r="C220" s="2" t="s">
        <v>5938</v>
      </c>
      <c r="D220" s="469" t="s">
        <v>5939</v>
      </c>
      <c r="E220" s="469" t="s">
        <v>5940</v>
      </c>
      <c r="F220" s="469" t="s">
        <v>5941</v>
      </c>
      <c r="G220" s="476" t="s">
        <v>5942</v>
      </c>
      <c r="H220" s="476" t="s">
        <v>5943</v>
      </c>
      <c r="I220" s="2" t="s">
        <v>5944</v>
      </c>
      <c r="J220" s="475" t="s">
        <v>5945</v>
      </c>
      <c r="K220" s="475" t="s">
        <v>5946</v>
      </c>
      <c r="L220" s="475" t="s">
        <v>5947</v>
      </c>
      <c r="M220" s="475" t="s">
        <v>5948</v>
      </c>
      <c r="N220" s="475" t="s">
        <v>5949</v>
      </c>
    </row>
    <row r="221" spans="1:14" ht="43.2">
      <c r="A221" s="2" t="s">
        <v>5950</v>
      </c>
      <c r="B221" s="474" t="str">
        <f t="shared" si="7"/>
        <v>Date of foreseen adoption of transition plan for undertaking not having adopted transition plan yet</v>
      </c>
      <c r="C221" s="2" t="s">
        <v>5951</v>
      </c>
      <c r="D221" s="469" t="s">
        <v>5952</v>
      </c>
      <c r="E221" s="469" t="s">
        <v>5953</v>
      </c>
      <c r="F221" s="469" t="s">
        <v>5954</v>
      </c>
      <c r="G221" s="476" t="s">
        <v>5955</v>
      </c>
      <c r="H221" s="476" t="s">
        <v>5956</v>
      </c>
      <c r="I221" s="2" t="s">
        <v>5957</v>
      </c>
      <c r="J221" s="475" t="s">
        <v>5958</v>
      </c>
      <c r="K221" s="475" t="s">
        <v>5959</v>
      </c>
      <c r="L221" s="475" t="s">
        <v>5960</v>
      </c>
      <c r="M221" s="475" t="s">
        <v>5961</v>
      </c>
      <c r="N221" s="475" t="s">
        <v>5962</v>
      </c>
    </row>
    <row r="222" spans="1:14" ht="28.8">
      <c r="A222" s="2" t="s">
        <v>5963</v>
      </c>
      <c r="B222" s="474" t="str">
        <f t="shared" si="7"/>
        <v>Year</v>
      </c>
      <c r="C222" s="2" t="s">
        <v>280</v>
      </c>
      <c r="D222" s="469" t="s">
        <v>5964</v>
      </c>
      <c r="E222" s="469" t="s">
        <v>5965</v>
      </c>
      <c r="F222" s="469" t="s">
        <v>5966</v>
      </c>
      <c r="G222" s="476" t="s">
        <v>5967</v>
      </c>
      <c r="H222" s="476" t="s">
        <v>5968</v>
      </c>
      <c r="I222" s="2" t="s">
        <v>5969</v>
      </c>
      <c r="J222" s="475" t="s">
        <v>5970</v>
      </c>
      <c r="K222" s="475" t="s">
        <v>5971</v>
      </c>
      <c r="L222" s="475" t="s">
        <v>5972</v>
      </c>
      <c r="M222" s="475" t="s">
        <v>5973</v>
      </c>
      <c r="N222" s="475" t="s">
        <v>5974</v>
      </c>
    </row>
    <row r="223" spans="1:14">
      <c r="A223" s="2" t="s">
        <v>5975</v>
      </c>
      <c r="B223" s="474" t="str">
        <f t="shared" si="7"/>
        <v>Month</v>
      </c>
      <c r="C223" s="2" t="s">
        <v>281</v>
      </c>
      <c r="D223" s="469" t="s">
        <v>5976</v>
      </c>
      <c r="E223" s="469" t="s">
        <v>5977</v>
      </c>
      <c r="F223" s="469" t="s">
        <v>5978</v>
      </c>
      <c r="G223" s="476" t="s">
        <v>5979</v>
      </c>
      <c r="H223" s="476" t="s">
        <v>5980</v>
      </c>
      <c r="I223" s="2" t="s">
        <v>5981</v>
      </c>
      <c r="J223" s="475" t="s">
        <v>5982</v>
      </c>
      <c r="K223" s="475" t="s">
        <v>5983</v>
      </c>
      <c r="L223" s="475" t="s">
        <v>5984</v>
      </c>
      <c r="M223" s="475" t="s">
        <v>5985</v>
      </c>
      <c r="N223" s="475" t="s">
        <v>5986</v>
      </c>
    </row>
    <row r="224" spans="1:14">
      <c r="A224" s="2" t="s">
        <v>5987</v>
      </c>
      <c r="B224" s="474" t="str">
        <f t="shared" si="7"/>
        <v>Day</v>
      </c>
      <c r="C224" s="2" t="s">
        <v>5988</v>
      </c>
      <c r="D224" s="469" t="s">
        <v>5989</v>
      </c>
      <c r="E224" s="469" t="s">
        <v>5989</v>
      </c>
      <c r="F224" s="469" t="s">
        <v>5990</v>
      </c>
      <c r="G224" s="476" t="s">
        <v>5991</v>
      </c>
      <c r="H224" s="476" t="s">
        <v>5992</v>
      </c>
      <c r="I224" s="2" t="s">
        <v>5993</v>
      </c>
      <c r="J224" s="475" t="s">
        <v>5994</v>
      </c>
      <c r="K224" s="475" t="s">
        <v>5995</v>
      </c>
      <c r="L224" s="475" t="s">
        <v>5996</v>
      </c>
      <c r="M224" s="475" t="s">
        <v>5997</v>
      </c>
      <c r="N224" s="475" t="s">
        <v>5998</v>
      </c>
    </row>
    <row r="225" spans="1:14">
      <c r="A225" s="2" t="s">
        <v>5999</v>
      </c>
      <c r="B225" s="474" t="str">
        <f t="shared" si="7"/>
        <v>B4 - Pollution of air water and soil</v>
      </c>
      <c r="C225" s="2" t="s">
        <v>6000</v>
      </c>
      <c r="D225" s="469" t="s">
        <v>4123</v>
      </c>
      <c r="E225" s="469" t="s">
        <v>6001</v>
      </c>
      <c r="F225" s="469" t="s">
        <v>6002</v>
      </c>
      <c r="G225" s="476" t="s">
        <v>6003</v>
      </c>
      <c r="H225" s="476" t="s">
        <v>6004</v>
      </c>
      <c r="I225" s="2" t="s">
        <v>4128</v>
      </c>
      <c r="J225" s="475" t="s">
        <v>6005</v>
      </c>
      <c r="K225" s="475" t="s">
        <v>4130</v>
      </c>
      <c r="L225" s="475" t="s">
        <v>4131</v>
      </c>
      <c r="M225" s="475" t="s">
        <v>6006</v>
      </c>
      <c r="N225" s="475" t="s">
        <v>4133</v>
      </c>
    </row>
    <row r="226" spans="1:14" s="540" customFormat="1" ht="72">
      <c r="A226" s="589" t="s">
        <v>6007</v>
      </c>
      <c r="B226" s="590" t="str">
        <f t="shared" si="7"/>
        <v>Is the undertaking already required to report to competent authorities by EU or national law its emissions to pollutants or does it already voluntarily report on them according to an Environmental Management System?</v>
      </c>
      <c r="C226" s="589" t="s">
        <v>6008</v>
      </c>
      <c r="D226" s="576" t="s">
        <v>6009</v>
      </c>
      <c r="E226" s="576" t="s">
        <v>6010</v>
      </c>
      <c r="F226" s="576" t="s">
        <v>6011</v>
      </c>
      <c r="G226" s="591" t="s">
        <v>6012</v>
      </c>
      <c r="H226" s="591" t="s">
        <v>6013</v>
      </c>
      <c r="I226" s="589" t="s">
        <v>6014</v>
      </c>
      <c r="J226" s="579" t="s">
        <v>6015</v>
      </c>
      <c r="K226" s="579" t="s">
        <v>6016</v>
      </c>
      <c r="L226" s="579" t="s">
        <v>6017</v>
      </c>
      <c r="M226" s="579" t="s">
        <v>6018</v>
      </c>
      <c r="N226" s="579" t="s">
        <v>6019</v>
      </c>
    </row>
    <row r="227" spans="1:14" ht="28.8">
      <c r="A227" s="2" t="s">
        <v>6020</v>
      </c>
      <c r="B227" s="474" t="str">
        <f t="shared" si="7"/>
        <v>Is this disclosure already publicly available?</v>
      </c>
      <c r="C227" s="2" t="s">
        <v>6021</v>
      </c>
      <c r="D227" s="469" t="s">
        <v>6022</v>
      </c>
      <c r="E227" s="469" t="s">
        <v>6023</v>
      </c>
      <c r="F227" s="469" t="s">
        <v>6024</v>
      </c>
      <c r="G227" s="476" t="s">
        <v>6025</v>
      </c>
      <c r="H227" s="476" t="s">
        <v>6026</v>
      </c>
      <c r="I227" s="2" t="s">
        <v>6027</v>
      </c>
      <c r="J227" s="475" t="s">
        <v>6028</v>
      </c>
      <c r="K227" s="475" t="s">
        <v>6029</v>
      </c>
      <c r="L227" s="475" t="s">
        <v>6030</v>
      </c>
      <c r="M227" s="475" t="s">
        <v>6031</v>
      </c>
      <c r="N227" s="475" t="s">
        <v>6032</v>
      </c>
    </row>
    <row r="228" spans="1:14" ht="28.8">
      <c r="A228" s="2" t="s">
        <v>6033</v>
      </c>
      <c r="B228" s="474" t="str">
        <f t="shared" si="7"/>
        <v>Please provide the relevant URL link or hyperlink of where this information is reported</v>
      </c>
      <c r="C228" s="2" t="s">
        <v>6034</v>
      </c>
      <c r="D228" s="469" t="s">
        <v>6035</v>
      </c>
      <c r="E228" s="469" t="s">
        <v>6036</v>
      </c>
      <c r="F228" s="469" t="s">
        <v>6037</v>
      </c>
      <c r="G228" s="476" t="s">
        <v>6038</v>
      </c>
      <c r="H228" s="476" t="s">
        <v>6039</v>
      </c>
      <c r="I228" s="2" t="s">
        <v>6040</v>
      </c>
      <c r="J228" s="475" t="s">
        <v>6041</v>
      </c>
      <c r="K228" s="475" t="s">
        <v>6042</v>
      </c>
      <c r="L228" s="475" t="s">
        <v>6043</v>
      </c>
      <c r="M228" s="475" t="s">
        <v>6044</v>
      </c>
      <c r="N228" s="475" t="s">
        <v>6045</v>
      </c>
    </row>
    <row r="229" spans="1:14" ht="28.8">
      <c r="A229" s="2" t="s">
        <v>6046</v>
      </c>
      <c r="B229" s="474" t="str">
        <f t="shared" ref="B229:B289" si="8">INDEX(C229:N229,MATCH(template_selected_display_language,$C$3:$N$3,0))</f>
        <v>Please select the unit used for reporting the amount (i.e. either kg or tonne)</v>
      </c>
      <c r="C229" s="2" t="s">
        <v>6047</v>
      </c>
      <c r="D229" s="469" t="s">
        <v>6048</v>
      </c>
      <c r="E229" s="469" t="s">
        <v>6049</v>
      </c>
      <c r="F229" s="469" t="s">
        <v>6050</v>
      </c>
      <c r="G229" s="476" t="s">
        <v>6051</v>
      </c>
      <c r="H229" s="476" t="s">
        <v>6052</v>
      </c>
      <c r="I229" s="2" t="s">
        <v>6053</v>
      </c>
      <c r="J229" s="475" t="s">
        <v>6054</v>
      </c>
      <c r="K229" s="475" t="s">
        <v>6055</v>
      </c>
      <c r="L229" s="475" t="s">
        <v>6056</v>
      </c>
      <c r="M229" s="475" t="s">
        <v>6057</v>
      </c>
      <c r="N229" s="475" t="s">
        <v>6058</v>
      </c>
    </row>
    <row r="230" spans="1:14">
      <c r="A230" s="2" t="s">
        <v>6059</v>
      </c>
      <c r="B230" s="474" t="str">
        <f t="shared" si="8"/>
        <v>Row ID</v>
      </c>
      <c r="C230" s="2" t="s">
        <v>6060</v>
      </c>
      <c r="D230" s="469" t="s">
        <v>6061</v>
      </c>
      <c r="E230" s="469" t="s">
        <v>6062</v>
      </c>
      <c r="F230" s="469" t="s">
        <v>6063</v>
      </c>
      <c r="G230" s="476" t="s">
        <v>6064</v>
      </c>
      <c r="H230" s="476" t="s">
        <v>6065</v>
      </c>
      <c r="I230" s="2" t="s">
        <v>6066</v>
      </c>
      <c r="J230" s="475" t="s">
        <v>6067</v>
      </c>
      <c r="K230" s="475" t="s">
        <v>6068</v>
      </c>
      <c r="L230" s="475" t="s">
        <v>6069</v>
      </c>
      <c r="M230" s="475" t="s">
        <v>6070</v>
      </c>
      <c r="N230" s="475" t="s">
        <v>6071</v>
      </c>
    </row>
    <row r="231" spans="1:14" ht="43.2">
      <c r="A231" s="2" t="s">
        <v>6072</v>
      </c>
      <c r="B231" s="474" t="str">
        <f t="shared" si="8"/>
        <v>Pollutant</v>
      </c>
      <c r="C231" s="330" t="s">
        <v>6073</v>
      </c>
      <c r="D231" s="469" t="s">
        <v>6074</v>
      </c>
      <c r="E231" s="469" t="s">
        <v>6075</v>
      </c>
      <c r="F231" s="469" t="s">
        <v>6076</v>
      </c>
      <c r="G231" s="476" t="s">
        <v>6077</v>
      </c>
      <c r="H231" s="476" t="s">
        <v>6078</v>
      </c>
      <c r="I231" s="2" t="s">
        <v>6079</v>
      </c>
      <c r="J231" s="475" t="s">
        <v>6080</v>
      </c>
      <c r="K231" s="475" t="s">
        <v>6081</v>
      </c>
      <c r="L231" s="475" t="s">
        <v>6082</v>
      </c>
      <c r="M231" s="475" t="s">
        <v>6083</v>
      </c>
      <c r="N231" s="475" t="s">
        <v>6084</v>
      </c>
    </row>
    <row r="232" spans="1:14">
      <c r="A232" s="2" t="s">
        <v>6085</v>
      </c>
      <c r="B232" s="474" t="str">
        <f t="shared" si="8"/>
        <v>Emission to air</v>
      </c>
      <c r="C232" s="2" t="s">
        <v>6086</v>
      </c>
      <c r="D232" s="469" t="s">
        <v>6087</v>
      </c>
      <c r="E232" s="469" t="s">
        <v>6088</v>
      </c>
      <c r="F232" s="469" t="s">
        <v>6089</v>
      </c>
      <c r="G232" s="476" t="s">
        <v>6090</v>
      </c>
      <c r="H232" s="476" t="s">
        <v>6091</v>
      </c>
      <c r="I232" s="2" t="s">
        <v>6092</v>
      </c>
      <c r="J232" s="475" t="s">
        <v>6093</v>
      </c>
      <c r="K232" s="475" t="s">
        <v>6094</v>
      </c>
      <c r="L232" s="475" t="s">
        <v>6095</v>
      </c>
      <c r="M232" s="475" t="s">
        <v>6096</v>
      </c>
      <c r="N232" s="475" t="s">
        <v>6097</v>
      </c>
    </row>
    <row r="233" spans="1:14">
      <c r="A233" s="2" t="s">
        <v>6098</v>
      </c>
      <c r="B233" s="474" t="str">
        <f t="shared" si="8"/>
        <v>Emission to water</v>
      </c>
      <c r="C233" s="2" t="s">
        <v>6099</v>
      </c>
      <c r="D233" s="469" t="s">
        <v>6100</v>
      </c>
      <c r="E233" s="469" t="s">
        <v>6101</v>
      </c>
      <c r="F233" s="469" t="s">
        <v>6102</v>
      </c>
      <c r="G233" s="476" t="s">
        <v>6103</v>
      </c>
      <c r="H233" s="476" t="s">
        <v>6104</v>
      </c>
      <c r="I233" s="2" t="s">
        <v>6105</v>
      </c>
      <c r="J233" s="475" t="s">
        <v>6106</v>
      </c>
      <c r="K233" s="475" t="s">
        <v>6107</v>
      </c>
      <c r="L233" s="475" t="s">
        <v>6108</v>
      </c>
      <c r="M233" s="475" t="s">
        <v>6109</v>
      </c>
      <c r="N233" s="475" t="s">
        <v>6110</v>
      </c>
    </row>
    <row r="234" spans="1:14" ht="15" thickBot="1">
      <c r="A234" s="481" t="s">
        <v>6111</v>
      </c>
      <c r="B234" s="478" t="str">
        <f t="shared" si="8"/>
        <v>Emission to soil</v>
      </c>
      <c r="C234" s="481" t="s">
        <v>6112</v>
      </c>
      <c r="D234" s="477" t="s">
        <v>6113</v>
      </c>
      <c r="E234" s="477" t="s">
        <v>6114</v>
      </c>
      <c r="F234" s="477" t="s">
        <v>6115</v>
      </c>
      <c r="G234" s="480" t="s">
        <v>6116</v>
      </c>
      <c r="H234" s="480" t="s">
        <v>6117</v>
      </c>
      <c r="I234" s="481" t="s">
        <v>6118</v>
      </c>
      <c r="J234" s="479" t="s">
        <v>6119</v>
      </c>
      <c r="K234" s="479" t="s">
        <v>6120</v>
      </c>
      <c r="L234" s="479" t="s">
        <v>6121</v>
      </c>
      <c r="M234" s="479" t="s">
        <v>6122</v>
      </c>
      <c r="N234" s="479" t="s">
        <v>6123</v>
      </c>
    </row>
    <row r="235" spans="1:14" ht="28.8">
      <c r="A235" s="2" t="s">
        <v>6124</v>
      </c>
      <c r="B235" s="474" t="str">
        <f t="shared" si="8"/>
        <v>B5 - Sites in biodiversity sensitive areas</v>
      </c>
      <c r="C235" s="2" t="s">
        <v>6125</v>
      </c>
      <c r="D235" s="469" t="s">
        <v>6126</v>
      </c>
      <c r="E235" s="469" t="s">
        <v>6127</v>
      </c>
      <c r="F235" s="469" t="s">
        <v>6128</v>
      </c>
      <c r="G235" s="476" t="s">
        <v>6129</v>
      </c>
      <c r="H235" s="476" t="s">
        <v>6130</v>
      </c>
      <c r="I235" s="2" t="s">
        <v>6131</v>
      </c>
      <c r="J235" s="475" t="s">
        <v>6132</v>
      </c>
      <c r="K235" s="475" t="s">
        <v>6133</v>
      </c>
      <c r="L235" s="475" t="s">
        <v>6134</v>
      </c>
      <c r="M235" s="475" t="s">
        <v>6135</v>
      </c>
      <c r="N235" s="475" t="s">
        <v>6136</v>
      </c>
    </row>
    <row r="236" spans="1:14" ht="43.2">
      <c r="A236" s="2" t="s">
        <v>6137</v>
      </c>
      <c r="B236" s="474" t="str">
        <f t="shared" si="8"/>
        <v>Does the undertaking have sites that are located in or near biodiversity sensitive areas?</v>
      </c>
      <c r="C236" s="2" t="s">
        <v>6138</v>
      </c>
      <c r="D236" s="469" t="s">
        <v>6139</v>
      </c>
      <c r="E236" s="469" t="s">
        <v>6140</v>
      </c>
      <c r="F236" s="469" t="s">
        <v>6141</v>
      </c>
      <c r="G236" s="476" t="s">
        <v>6142</v>
      </c>
      <c r="H236" s="476" t="s">
        <v>6143</v>
      </c>
      <c r="I236" s="2" t="s">
        <v>6144</v>
      </c>
      <c r="J236" s="475" t="s">
        <v>6145</v>
      </c>
      <c r="K236" s="475" t="s">
        <v>6146</v>
      </c>
      <c r="L236" s="475" t="s">
        <v>6147</v>
      </c>
      <c r="M236" s="475" t="s">
        <v>6148</v>
      </c>
      <c r="N236" s="475" t="s">
        <v>6149</v>
      </c>
    </row>
    <row r="237" spans="1:14" ht="28.8">
      <c r="A237" s="2" t="s">
        <v>6150</v>
      </c>
      <c r="B237" s="474" t="str">
        <f t="shared" si="8"/>
        <v>Related Site ID (select an ID from a site location reported in B1)</v>
      </c>
      <c r="C237" s="2" t="s">
        <v>6151</v>
      </c>
      <c r="D237" s="469" t="s">
        <v>6152</v>
      </c>
      <c r="E237" s="469" t="s">
        <v>6153</v>
      </c>
      <c r="F237" s="469" t="s">
        <v>6154</v>
      </c>
      <c r="G237" s="476" t="s">
        <v>6155</v>
      </c>
      <c r="H237" s="476" t="s">
        <v>6156</v>
      </c>
      <c r="I237" s="2" t="s">
        <v>6157</v>
      </c>
      <c r="J237" s="475" t="s">
        <v>6158</v>
      </c>
      <c r="K237" s="475" t="s">
        <v>6159</v>
      </c>
      <c r="L237" s="475" t="s">
        <v>6160</v>
      </c>
      <c r="M237" s="475" t="s">
        <v>6161</v>
      </c>
      <c r="N237" s="475" t="s">
        <v>6162</v>
      </c>
    </row>
    <row r="238" spans="1:14" ht="57.6">
      <c r="A238" s="2" t="s">
        <v>6163</v>
      </c>
      <c r="B238" s="474" t="str">
        <f t="shared" si="8"/>
        <v>Site Location in near a biodiversity area - auto filled from B1</v>
      </c>
      <c r="C238" s="2" t="s">
        <v>6164</v>
      </c>
      <c r="D238" s="469" t="s">
        <v>6165</v>
      </c>
      <c r="E238" s="469" t="s">
        <v>6166</v>
      </c>
      <c r="F238" s="469" t="s">
        <v>6167</v>
      </c>
      <c r="G238" s="476" t="s">
        <v>6168</v>
      </c>
      <c r="H238" s="476" t="s">
        <v>6169</v>
      </c>
      <c r="I238" s="2" t="s">
        <v>6170</v>
      </c>
      <c r="J238" s="475" t="s">
        <v>6171</v>
      </c>
      <c r="K238" s="475" t="s">
        <v>6172</v>
      </c>
      <c r="L238" s="475" t="s">
        <v>6173</v>
      </c>
      <c r="M238" s="475" t="s">
        <v>6174</v>
      </c>
      <c r="N238" s="475" t="s">
        <v>6175</v>
      </c>
    </row>
    <row r="239" spans="1:14" s="540" customFormat="1" ht="28.8">
      <c r="A239" s="592" t="s">
        <v>6176</v>
      </c>
      <c r="B239" s="590" t="str">
        <f t="shared" si="8"/>
        <v>Name of biodiversity sensitive area</v>
      </c>
      <c r="C239" s="592" t="s">
        <v>6177</v>
      </c>
      <c r="D239" s="576" t="s">
        <v>6178</v>
      </c>
      <c r="E239" s="576" t="s">
        <v>6179</v>
      </c>
      <c r="F239" s="576" t="s">
        <v>6180</v>
      </c>
      <c r="G239" s="591" t="s">
        <v>6181</v>
      </c>
      <c r="H239" s="591" t="s">
        <v>6182</v>
      </c>
      <c r="I239" s="589" t="s">
        <v>6183</v>
      </c>
      <c r="J239" s="579" t="s">
        <v>6184</v>
      </c>
      <c r="K239" s="579" t="s">
        <v>6185</v>
      </c>
      <c r="L239" s="579" t="s">
        <v>6186</v>
      </c>
      <c r="M239" s="579" t="s">
        <v>6187</v>
      </c>
      <c r="N239" s="579" t="s">
        <v>6188</v>
      </c>
    </row>
    <row r="240" spans="1:14" ht="28.8">
      <c r="A240" s="2" t="s">
        <v>6189</v>
      </c>
      <c r="B240" s="474" t="str">
        <f t="shared" si="8"/>
        <v>Site located in a biodiversity sensitive area</v>
      </c>
      <c r="C240" s="2" t="s">
        <v>6190</v>
      </c>
      <c r="D240" s="469" t="s">
        <v>6191</v>
      </c>
      <c r="E240" s="469" t="s">
        <v>6192</v>
      </c>
      <c r="F240" s="469" t="s">
        <v>6193</v>
      </c>
      <c r="G240" s="476" t="s">
        <v>6194</v>
      </c>
      <c r="H240" s="476" t="s">
        <v>6195</v>
      </c>
      <c r="I240" s="2" t="s">
        <v>6196</v>
      </c>
      <c r="J240" s="475" t="s">
        <v>6197</v>
      </c>
      <c r="K240" s="475" t="s">
        <v>6198</v>
      </c>
      <c r="L240" s="475" t="s">
        <v>6199</v>
      </c>
      <c r="M240" s="475" t="s">
        <v>6200</v>
      </c>
      <c r="N240" s="475" t="s">
        <v>6201</v>
      </c>
    </row>
    <row r="241" spans="1:14" ht="29.4" thickBot="1">
      <c r="A241" s="481" t="s">
        <v>6202</v>
      </c>
      <c r="B241" s="478" t="str">
        <f t="shared" si="8"/>
        <v>Site located near a biodiversity sensitive area</v>
      </c>
      <c r="C241" s="481" t="s">
        <v>6203</v>
      </c>
      <c r="D241" s="477" t="s">
        <v>6204</v>
      </c>
      <c r="E241" s="477" t="s">
        <v>6205</v>
      </c>
      <c r="F241" s="477" t="s">
        <v>6206</v>
      </c>
      <c r="G241" s="480" t="s">
        <v>6207</v>
      </c>
      <c r="H241" s="480" t="s">
        <v>6208</v>
      </c>
      <c r="I241" s="481" t="s">
        <v>6209</v>
      </c>
      <c r="J241" s="479" t="s">
        <v>6210</v>
      </c>
      <c r="K241" s="479" t="s">
        <v>6211</v>
      </c>
      <c r="L241" s="479" t="s">
        <v>6212</v>
      </c>
      <c r="M241" s="479" t="s">
        <v>6213</v>
      </c>
      <c r="N241" s="479" t="s">
        <v>6214</v>
      </c>
    </row>
    <row r="242" spans="1:14">
      <c r="A242" s="2" t="s">
        <v>6215</v>
      </c>
      <c r="B242" s="474" t="str">
        <f t="shared" si="8"/>
        <v>B6 - Water Withdrawal</v>
      </c>
      <c r="C242" s="2" t="s">
        <v>6216</v>
      </c>
      <c r="D242" s="469" t="s">
        <v>6217</v>
      </c>
      <c r="E242" s="469" t="s">
        <v>6218</v>
      </c>
      <c r="F242" s="469" t="s">
        <v>6219</v>
      </c>
      <c r="G242" s="476" t="s">
        <v>6220</v>
      </c>
      <c r="H242" s="476" t="s">
        <v>6221</v>
      </c>
      <c r="I242" s="2" t="s">
        <v>6222</v>
      </c>
      <c r="J242" s="475" t="s">
        <v>6223</v>
      </c>
      <c r="K242" s="475" t="s">
        <v>6224</v>
      </c>
      <c r="L242" s="475" t="s">
        <v>6225</v>
      </c>
      <c r="M242" s="475" t="s">
        <v>6226</v>
      </c>
      <c r="N242" s="475" t="s">
        <v>6227</v>
      </c>
    </row>
    <row r="243" spans="1:14" ht="28.8">
      <c r="A243" s="2" t="s">
        <v>6228</v>
      </c>
      <c r="B243" s="474" t="str">
        <f t="shared" si="8"/>
        <v>Total amount of water withdrawn from all sites (cubic meters m³)</v>
      </c>
      <c r="C243" s="2" t="s">
        <v>6229</v>
      </c>
      <c r="D243" s="469" t="s">
        <v>6230</v>
      </c>
      <c r="E243" s="469" t="s">
        <v>6231</v>
      </c>
      <c r="F243" s="469" t="s">
        <v>6232</v>
      </c>
      <c r="G243" s="476" t="s">
        <v>6233</v>
      </c>
      <c r="H243" s="476" t="s">
        <v>6234</v>
      </c>
      <c r="I243" s="2" t="s">
        <v>6235</v>
      </c>
      <c r="J243" s="475" t="s">
        <v>6236</v>
      </c>
      <c r="K243" s="475" t="s">
        <v>6237</v>
      </c>
      <c r="L243" s="475" t="s">
        <v>6238</v>
      </c>
      <c r="M243" s="475" t="s">
        <v>6239</v>
      </c>
      <c r="N243" s="475" t="s">
        <v>6240</v>
      </c>
    </row>
    <row r="244" spans="1:14" ht="28.8">
      <c r="A244" s="2" t="s">
        <v>6241</v>
      </c>
      <c r="B244" s="474" t="str">
        <f t="shared" si="8"/>
        <v>B6 - Water Consumption</v>
      </c>
      <c r="C244" s="2" t="s">
        <v>6242</v>
      </c>
      <c r="D244" s="469" t="s">
        <v>6243</v>
      </c>
      <c r="E244" s="469" t="s">
        <v>6244</v>
      </c>
      <c r="F244" s="469" t="s">
        <v>6245</v>
      </c>
      <c r="G244" s="476" t="s">
        <v>6246</v>
      </c>
      <c r="H244" s="476" t="s">
        <v>6247</v>
      </c>
      <c r="I244" s="2" t="s">
        <v>6248</v>
      </c>
      <c r="J244" s="475" t="s">
        <v>6249</v>
      </c>
      <c r="K244" s="475" t="s">
        <v>6250</v>
      </c>
      <c r="L244" s="475" t="s">
        <v>6251</v>
      </c>
      <c r="M244" s="475" t="s">
        <v>6252</v>
      </c>
      <c r="N244" s="475" t="s">
        <v>6253</v>
      </c>
    </row>
    <row r="245" spans="1:14" s="620" customFormat="1" ht="72">
      <c r="A245" s="615" t="s">
        <v>6254</v>
      </c>
      <c r="B245" s="616" t="str">
        <f t="shared" si="8"/>
        <v>Voluntary for undertakings with 10 employees or less - Does the undertaking have production processes in place which significantly consume water (e.g. thermal energy processes like drying or power production production of goods agricultural irrigation etc.)?</v>
      </c>
      <c r="C245" s="615" t="s">
        <v>6255</v>
      </c>
      <c r="D245" s="617" t="s">
        <v>6256</v>
      </c>
      <c r="E245" s="617" t="s">
        <v>6257</v>
      </c>
      <c r="F245" s="617" t="s">
        <v>6258</v>
      </c>
      <c r="G245" s="617" t="s">
        <v>6257</v>
      </c>
      <c r="H245" s="617" t="s">
        <v>6257</v>
      </c>
      <c r="I245" s="617" t="s">
        <v>6257</v>
      </c>
      <c r="J245" s="617" t="s">
        <v>6257</v>
      </c>
      <c r="K245" s="617" t="s">
        <v>6257</v>
      </c>
      <c r="L245" s="617" t="s">
        <v>6257</v>
      </c>
      <c r="M245" s="617" t="s">
        <v>6257</v>
      </c>
      <c r="N245" s="617" t="s">
        <v>6257</v>
      </c>
    </row>
    <row r="246" spans="1:14" ht="28.8">
      <c r="A246" s="2" t="s">
        <v>6259</v>
      </c>
      <c r="B246" s="474" t="str">
        <f t="shared" si="8"/>
        <v>Water discharge from undertaking production processes (m³)</v>
      </c>
      <c r="C246" s="2" t="s">
        <v>6260</v>
      </c>
      <c r="D246" s="469" t="s">
        <v>6261</v>
      </c>
      <c r="E246" s="469" t="s">
        <v>6262</v>
      </c>
      <c r="F246" s="469" t="s">
        <v>6263</v>
      </c>
      <c r="G246" s="476" t="s">
        <v>6264</v>
      </c>
      <c r="H246" s="476" t="s">
        <v>6265</v>
      </c>
      <c r="I246" s="2" t="s">
        <v>6266</v>
      </c>
      <c r="J246" s="475" t="s">
        <v>6267</v>
      </c>
      <c r="K246" s="475" t="s">
        <v>6268</v>
      </c>
      <c r="L246" s="475" t="s">
        <v>6269</v>
      </c>
      <c r="M246" s="475" t="s">
        <v>6270</v>
      </c>
      <c r="N246" s="475" t="s">
        <v>6271</v>
      </c>
    </row>
    <row r="247" spans="1:14" s="540" customFormat="1" ht="43.8" thickBot="1">
      <c r="A247" s="598" t="s">
        <v>6272</v>
      </c>
      <c r="B247" s="599" t="str">
        <f>INDEX(C247:N247,MATCH(template_selected_display_language,$C$3:$N$3,0))</f>
        <v>Amount of water consumed at sites located in areas with water-stress (cubic meters m³)</v>
      </c>
      <c r="C247" s="598" t="s">
        <v>6273</v>
      </c>
      <c r="D247" s="600" t="s">
        <v>6274</v>
      </c>
      <c r="E247" s="600" t="s">
        <v>6275</v>
      </c>
      <c r="F247" s="600" t="s">
        <v>6276</v>
      </c>
      <c r="G247" s="601" t="s">
        <v>6277</v>
      </c>
      <c r="H247" s="601" t="s">
        <v>6278</v>
      </c>
      <c r="I247" s="598" t="s">
        <v>6279</v>
      </c>
      <c r="J247" s="602" t="s">
        <v>6280</v>
      </c>
      <c r="K247" s="602" t="s">
        <v>6281</v>
      </c>
      <c r="L247" s="602" t="s">
        <v>6282</v>
      </c>
      <c r="M247" s="602" t="s">
        <v>6283</v>
      </c>
      <c r="N247" s="602" t="s">
        <v>6284</v>
      </c>
    </row>
    <row r="248" spans="1:14" ht="15" thickBot="1">
      <c r="A248" s="481" t="s">
        <v>6285</v>
      </c>
      <c r="B248" s="478" t="str">
        <f t="shared" si="8"/>
        <v>Total water consumption (m³)</v>
      </c>
      <c r="C248" s="481" t="s">
        <v>6286</v>
      </c>
      <c r="D248" s="477" t="s">
        <v>6287</v>
      </c>
      <c r="E248" s="477" t="s">
        <v>6288</v>
      </c>
      <c r="F248" s="477" t="s">
        <v>6289</v>
      </c>
      <c r="G248" s="480" t="s">
        <v>6290</v>
      </c>
      <c r="H248" s="480" t="s">
        <v>6291</v>
      </c>
      <c r="I248" s="481" t="s">
        <v>6292</v>
      </c>
      <c r="J248" s="479" t="s">
        <v>6293</v>
      </c>
      <c r="K248" s="479" t="s">
        <v>6294</v>
      </c>
      <c r="L248" s="479" t="s">
        <v>6295</v>
      </c>
      <c r="M248" s="479" t="s">
        <v>6296</v>
      </c>
      <c r="N248" s="479" t="s">
        <v>6297</v>
      </c>
    </row>
    <row r="249" spans="1:14" ht="28.8">
      <c r="A249" s="2" t="s">
        <v>6298</v>
      </c>
      <c r="B249" s="474" t="str">
        <f t="shared" si="8"/>
        <v>B7 - Description of circular economy principles</v>
      </c>
      <c r="C249" s="2" t="s">
        <v>6299</v>
      </c>
      <c r="D249" s="469" t="s">
        <v>6300</v>
      </c>
      <c r="E249" s="469" t="s">
        <v>6301</v>
      </c>
      <c r="F249" s="469" t="s">
        <v>6302</v>
      </c>
      <c r="G249" s="476" t="s">
        <v>6303</v>
      </c>
      <c r="H249" s="476" t="s">
        <v>6304</v>
      </c>
      <c r="I249" s="2" t="s">
        <v>6305</v>
      </c>
      <c r="J249" s="475" t="s">
        <v>6306</v>
      </c>
      <c r="K249" s="475" t="s">
        <v>6307</v>
      </c>
      <c r="L249" s="475" t="s">
        <v>6308</v>
      </c>
      <c r="M249" s="475" t="s">
        <v>6309</v>
      </c>
      <c r="N249" s="475" t="s">
        <v>6310</v>
      </c>
    </row>
    <row r="250" spans="1:14" ht="28.8">
      <c r="A250" s="2" t="s">
        <v>6311</v>
      </c>
      <c r="B250" s="474" t="str">
        <f t="shared" si="8"/>
        <v>Undertaking applies circular economy principles</v>
      </c>
      <c r="C250" s="2" t="s">
        <v>6312</v>
      </c>
      <c r="D250" s="469" t="s">
        <v>6313</v>
      </c>
      <c r="E250" s="469" t="s">
        <v>6314</v>
      </c>
      <c r="F250" s="469" t="s">
        <v>6315</v>
      </c>
      <c r="G250" s="476" t="s">
        <v>6316</v>
      </c>
      <c r="H250" s="476" t="s">
        <v>6317</v>
      </c>
      <c r="I250" s="2" t="s">
        <v>6318</v>
      </c>
      <c r="J250" s="475" t="s">
        <v>6319</v>
      </c>
      <c r="K250" s="475" t="s">
        <v>6320</v>
      </c>
      <c r="L250" s="475" t="s">
        <v>6321</v>
      </c>
      <c r="M250" s="475" t="s">
        <v>6322</v>
      </c>
      <c r="N250" s="475" t="s">
        <v>6323</v>
      </c>
    </row>
    <row r="251" spans="1:14" ht="43.8" thickBot="1">
      <c r="A251" s="481" t="s">
        <v>6324</v>
      </c>
      <c r="B251" s="478" t="str">
        <f t="shared" si="8"/>
        <v>Description of how it applies these principles</v>
      </c>
      <c r="C251" s="481" t="s">
        <v>6325</v>
      </c>
      <c r="D251" s="477" t="s">
        <v>6326</v>
      </c>
      <c r="E251" s="477" t="s">
        <v>6327</v>
      </c>
      <c r="F251" s="477" t="s">
        <v>6328</v>
      </c>
      <c r="G251" s="480" t="s">
        <v>6329</v>
      </c>
      <c r="H251" s="480" t="s">
        <v>6330</v>
      </c>
      <c r="I251" s="481" t="s">
        <v>6331</v>
      </c>
      <c r="J251" s="479" t="s">
        <v>6332</v>
      </c>
      <c r="K251" s="479" t="s">
        <v>6333</v>
      </c>
      <c r="L251" s="479" t="s">
        <v>6334</v>
      </c>
      <c r="M251" s="479" t="s">
        <v>6335</v>
      </c>
      <c r="N251" s="479" t="s">
        <v>6336</v>
      </c>
    </row>
    <row r="252" spans="1:14" ht="28.8">
      <c r="A252" s="2" t="s">
        <v>6337</v>
      </c>
      <c r="B252" s="474" t="str">
        <f t="shared" si="8"/>
        <v>B7 - Waste generated</v>
      </c>
      <c r="C252" s="2" t="s">
        <v>6338</v>
      </c>
      <c r="D252" s="469" t="s">
        <v>6339</v>
      </c>
      <c r="E252" s="469" t="s">
        <v>6340</v>
      </c>
      <c r="F252" s="469" t="s">
        <v>6341</v>
      </c>
      <c r="G252" s="476" t="s">
        <v>6342</v>
      </c>
      <c r="H252" s="476" t="s">
        <v>6343</v>
      </c>
      <c r="I252" s="2" t="s">
        <v>6344</v>
      </c>
      <c r="J252" s="475" t="s">
        <v>6345</v>
      </c>
      <c r="K252" s="475" t="s">
        <v>6346</v>
      </c>
      <c r="L252" s="475" t="s">
        <v>6347</v>
      </c>
      <c r="M252" s="475" t="s">
        <v>6348</v>
      </c>
      <c r="N252" s="475" t="s">
        <v>6349</v>
      </c>
    </row>
    <row r="253" spans="1:14">
      <c r="A253" s="2" t="s">
        <v>6350</v>
      </c>
      <c r="B253" s="474" t="str">
        <f t="shared" si="8"/>
        <v>Type of waste</v>
      </c>
      <c r="C253" s="2" t="s">
        <v>6351</v>
      </c>
      <c r="D253" s="469" t="s">
        <v>6352</v>
      </c>
      <c r="E253" s="469" t="s">
        <v>6353</v>
      </c>
      <c r="F253" s="469" t="s">
        <v>6354</v>
      </c>
      <c r="G253" s="476" t="s">
        <v>6355</v>
      </c>
      <c r="H253" s="476" t="s">
        <v>6356</v>
      </c>
      <c r="I253" s="2" t="s">
        <v>6357</v>
      </c>
      <c r="J253" s="475" t="s">
        <v>6358</v>
      </c>
      <c r="K253" s="475" t="s">
        <v>6359</v>
      </c>
      <c r="L253" s="475" t="s">
        <v>6360</v>
      </c>
      <c r="M253" s="475" t="s">
        <v>6361</v>
      </c>
      <c r="N253" s="475" t="s">
        <v>6362</v>
      </c>
    </row>
    <row r="254" spans="1:14">
      <c r="A254" s="2" t="s">
        <v>6363</v>
      </c>
      <c r="B254" s="474" t="str">
        <f t="shared" si="8"/>
        <v>Unit of measurement</v>
      </c>
      <c r="C254" s="2" t="s">
        <v>72</v>
      </c>
      <c r="D254" s="469" t="s">
        <v>6364</v>
      </c>
      <c r="E254" s="469" t="s">
        <v>6365</v>
      </c>
      <c r="F254" s="469" t="s">
        <v>6366</v>
      </c>
      <c r="G254" s="476" t="s">
        <v>6367</v>
      </c>
      <c r="H254" s="476" t="s">
        <v>6368</v>
      </c>
      <c r="I254" s="2" t="s">
        <v>6369</v>
      </c>
      <c r="J254" s="475" t="s">
        <v>6370</v>
      </c>
      <c r="K254" s="475" t="s">
        <v>6371</v>
      </c>
      <c r="L254" s="475" t="s">
        <v>6372</v>
      </c>
      <c r="M254" s="475" t="s">
        <v>6373</v>
      </c>
      <c r="N254" s="475" t="s">
        <v>6374</v>
      </c>
    </row>
    <row r="255" spans="1:14" s="540" customFormat="1" ht="28.8">
      <c r="A255" s="589" t="s">
        <v>6375</v>
      </c>
      <c r="B255" s="590" t="str">
        <f t="shared" si="8"/>
        <v xml:space="preserve">Percentage of waste diverted to recycling </v>
      </c>
      <c r="C255" s="592" t="s">
        <v>6376</v>
      </c>
      <c r="D255" s="576" t="s">
        <v>6377</v>
      </c>
      <c r="E255" s="576" t="s">
        <v>6378</v>
      </c>
      <c r="F255" s="576" t="s">
        <v>6379</v>
      </c>
      <c r="G255" s="591" t="s">
        <v>6380</v>
      </c>
      <c r="H255" s="591" t="s">
        <v>6381</v>
      </c>
      <c r="I255" s="589" t="s">
        <v>6382</v>
      </c>
      <c r="J255" s="579" t="s">
        <v>6383</v>
      </c>
      <c r="K255" s="579" t="s">
        <v>6384</v>
      </c>
      <c r="L255" s="579" t="s">
        <v>6385</v>
      </c>
      <c r="M255" s="579" t="s">
        <v>6386</v>
      </c>
      <c r="N255" s="579" t="s">
        <v>6387</v>
      </c>
    </row>
    <row r="256" spans="1:14" s="540" customFormat="1" ht="28.8">
      <c r="A256" s="589" t="s">
        <v>6388</v>
      </c>
      <c r="B256" s="590" t="str">
        <f t="shared" si="8"/>
        <v>Percentage of waste diverted to preparation for reuse</v>
      </c>
      <c r="C256" s="589" t="s">
        <v>6389</v>
      </c>
      <c r="D256" s="576" t="s">
        <v>6390</v>
      </c>
      <c r="E256" s="576" t="s">
        <v>6391</v>
      </c>
      <c r="F256" s="576" t="s">
        <v>6392</v>
      </c>
      <c r="G256" s="591" t="s">
        <v>6393</v>
      </c>
      <c r="H256" s="591" t="s">
        <v>6394</v>
      </c>
      <c r="I256" s="589" t="s">
        <v>6395</v>
      </c>
      <c r="J256" s="579" t="s">
        <v>6396</v>
      </c>
      <c r="K256" s="579" t="s">
        <v>6397</v>
      </c>
      <c r="L256" s="579" t="s">
        <v>6398</v>
      </c>
      <c r="M256" s="579" t="s">
        <v>6399</v>
      </c>
      <c r="N256" s="579" t="s">
        <v>6400</v>
      </c>
    </row>
    <row r="257" spans="1:14" s="540" customFormat="1">
      <c r="A257" s="589" t="s">
        <v>6401</v>
      </c>
      <c r="B257" s="590" t="str">
        <f t="shared" si="8"/>
        <v>Weight or volume of waste generated</v>
      </c>
      <c r="C257" s="589" t="s">
        <v>6402</v>
      </c>
      <c r="D257" s="576"/>
      <c r="E257" s="576"/>
      <c r="F257" s="576"/>
      <c r="G257" s="591"/>
      <c r="H257" s="591"/>
      <c r="I257" s="589"/>
      <c r="J257" s="579"/>
      <c r="K257" s="579"/>
      <c r="L257" s="579"/>
      <c r="M257" s="579"/>
      <c r="N257" s="579"/>
    </row>
    <row r="258" spans="1:14" ht="28.8">
      <c r="A258" s="2" t="s">
        <v>6403</v>
      </c>
      <c r="B258" s="474" t="str">
        <f t="shared" si="8"/>
        <v>Total Hazardous waste generated (mass)</v>
      </c>
      <c r="C258" s="2" t="s">
        <v>6404</v>
      </c>
      <c r="D258" s="469" t="s">
        <v>6405</v>
      </c>
      <c r="E258" s="469" t="s">
        <v>6406</v>
      </c>
      <c r="F258" s="469" t="s">
        <v>6407</v>
      </c>
      <c r="G258" s="476" t="s">
        <v>6408</v>
      </c>
      <c r="H258" s="476" t="s">
        <v>6409</v>
      </c>
      <c r="I258" s="2" t="s">
        <v>6410</v>
      </c>
      <c r="J258" s="475" t="s">
        <v>6411</v>
      </c>
      <c r="K258" s="475" t="s">
        <v>6412</v>
      </c>
      <c r="L258" s="475" t="s">
        <v>6413</v>
      </c>
      <c r="M258" s="475" t="s">
        <v>6414</v>
      </c>
      <c r="N258" s="475" t="s">
        <v>6415</v>
      </c>
    </row>
    <row r="259" spans="1:14">
      <c r="A259" s="2" t="s">
        <v>6416</v>
      </c>
      <c r="B259" s="474" t="str">
        <f t="shared" si="8"/>
        <v>Total amount of waste generated</v>
      </c>
      <c r="C259" s="2" t="s">
        <v>6417</v>
      </c>
      <c r="D259" s="469" t="s">
        <v>6418</v>
      </c>
      <c r="E259" s="469" t="s">
        <v>6419</v>
      </c>
      <c r="F259" s="469" t="s">
        <v>6420</v>
      </c>
      <c r="G259" s="476" t="s">
        <v>6421</v>
      </c>
      <c r="H259" s="476" t="s">
        <v>6422</v>
      </c>
      <c r="I259" s="2" t="s">
        <v>6423</v>
      </c>
      <c r="J259" s="475" t="s">
        <v>6424</v>
      </c>
      <c r="K259" s="475" t="s">
        <v>6425</v>
      </c>
      <c r="L259" s="475" t="s">
        <v>6426</v>
      </c>
      <c r="M259" s="475" t="s">
        <v>6427</v>
      </c>
      <c r="N259" s="475" t="s">
        <v>6428</v>
      </c>
    </row>
    <row r="260" spans="1:14" ht="28.8">
      <c r="A260" s="2" t="s">
        <v>6429</v>
      </c>
      <c r="B260" s="474" t="str">
        <f t="shared" si="8"/>
        <v>Total Non-Hazardous waste generated (mass)</v>
      </c>
      <c r="C260" s="2" t="s">
        <v>6430</v>
      </c>
      <c r="D260" s="469" t="s">
        <v>6431</v>
      </c>
      <c r="E260" s="469" t="s">
        <v>6432</v>
      </c>
      <c r="F260" s="469" t="s">
        <v>6433</v>
      </c>
      <c r="G260" s="476" t="s">
        <v>6434</v>
      </c>
      <c r="H260" s="476" t="s">
        <v>6435</v>
      </c>
      <c r="I260" s="2" t="s">
        <v>6436</v>
      </c>
      <c r="J260" s="475" t="s">
        <v>6437</v>
      </c>
      <c r="K260" s="475" t="s">
        <v>6438</v>
      </c>
      <c r="L260" s="475" t="s">
        <v>6439</v>
      </c>
      <c r="M260" s="475" t="s">
        <v>6440</v>
      </c>
      <c r="N260" s="475" t="s">
        <v>6441</v>
      </c>
    </row>
    <row r="261" spans="1:14">
      <c r="A261" s="2" t="s">
        <v>6442</v>
      </c>
      <c r="B261" s="474" t="str">
        <f t="shared" si="8"/>
        <v>Total waste generated (mass)</v>
      </c>
      <c r="C261" s="2" t="s">
        <v>6443</v>
      </c>
      <c r="D261" s="469" t="s">
        <v>6444</v>
      </c>
      <c r="E261" s="469" t="s">
        <v>6445</v>
      </c>
      <c r="F261" s="469" t="s">
        <v>6446</v>
      </c>
      <c r="G261" s="476" t="s">
        <v>6447</v>
      </c>
      <c r="H261" s="476" t="s">
        <v>6448</v>
      </c>
      <c r="I261" s="2" t="s">
        <v>6449</v>
      </c>
      <c r="J261" s="475" t="s">
        <v>6450</v>
      </c>
      <c r="K261" s="475" t="s">
        <v>6451</v>
      </c>
      <c r="L261" s="475" t="s">
        <v>6452</v>
      </c>
      <c r="M261" s="475" t="s">
        <v>6453</v>
      </c>
      <c r="N261" s="475" t="s">
        <v>6454</v>
      </c>
    </row>
    <row r="262" spans="1:14" ht="28.8">
      <c r="A262" s="2" t="s">
        <v>6455</v>
      </c>
      <c r="B262" s="474" t="str">
        <f t="shared" si="8"/>
        <v>Total Hazardous waste generated (volume)</v>
      </c>
      <c r="C262" s="2" t="s">
        <v>6456</v>
      </c>
      <c r="D262" s="469" t="s">
        <v>6457</v>
      </c>
      <c r="E262" s="469" t="s">
        <v>6458</v>
      </c>
      <c r="F262" s="469" t="s">
        <v>6459</v>
      </c>
      <c r="G262" s="476" t="s">
        <v>6460</v>
      </c>
      <c r="H262" s="476" t="s">
        <v>6461</v>
      </c>
      <c r="I262" s="2" t="s">
        <v>6462</v>
      </c>
      <c r="J262" s="475" t="s">
        <v>6463</v>
      </c>
      <c r="K262" s="475" t="s">
        <v>6464</v>
      </c>
      <c r="L262" s="475" t="s">
        <v>6465</v>
      </c>
      <c r="M262" s="475" t="s">
        <v>6466</v>
      </c>
      <c r="N262" s="475" t="s">
        <v>6467</v>
      </c>
    </row>
    <row r="263" spans="1:14">
      <c r="A263" s="2" t="s">
        <v>6468</v>
      </c>
      <c r="B263" s="474" t="str">
        <f t="shared" si="8"/>
        <v>cubic meters (m³)</v>
      </c>
      <c r="C263" s="2" t="s">
        <v>6469</v>
      </c>
      <c r="D263" s="469" t="s">
        <v>6470</v>
      </c>
      <c r="E263" s="469" t="s">
        <v>6471</v>
      </c>
      <c r="F263" s="469" t="s">
        <v>6472</v>
      </c>
      <c r="G263" s="476" t="s">
        <v>6473</v>
      </c>
      <c r="H263" s="476" t="s">
        <v>6474</v>
      </c>
      <c r="I263" s="2" t="s">
        <v>6475</v>
      </c>
      <c r="J263" s="475" t="s">
        <v>6476</v>
      </c>
      <c r="K263" s="475" t="s">
        <v>6477</v>
      </c>
      <c r="L263" s="475" t="s">
        <v>6478</v>
      </c>
      <c r="M263" s="475" t="s">
        <v>6479</v>
      </c>
      <c r="N263" s="475" t="s">
        <v>6478</v>
      </c>
    </row>
    <row r="264" spans="1:14" ht="28.8">
      <c r="A264" s="2" t="s">
        <v>6480</v>
      </c>
      <c r="B264" s="474" t="str">
        <f t="shared" si="8"/>
        <v>Total Non-Hazardous waste generated (volume)</v>
      </c>
      <c r="C264" s="2" t="s">
        <v>6481</v>
      </c>
      <c r="D264" s="469" t="s">
        <v>6482</v>
      </c>
      <c r="E264" s="469" t="s">
        <v>6483</v>
      </c>
      <c r="F264" s="469" t="s">
        <v>6484</v>
      </c>
      <c r="G264" s="476" t="s">
        <v>6485</v>
      </c>
      <c r="H264" s="476" t="s">
        <v>6486</v>
      </c>
      <c r="I264" s="2" t="s">
        <v>6487</v>
      </c>
      <c r="J264" s="475" t="s">
        <v>6488</v>
      </c>
      <c r="K264" s="475" t="s">
        <v>6489</v>
      </c>
      <c r="L264" s="475" t="s">
        <v>6490</v>
      </c>
      <c r="M264" s="475" t="s">
        <v>6491</v>
      </c>
      <c r="N264" s="475" t="s">
        <v>6492</v>
      </c>
    </row>
    <row r="265" spans="1:14">
      <c r="A265" s="2" t="s">
        <v>6493</v>
      </c>
      <c r="B265" s="474" t="str">
        <f t="shared" si="8"/>
        <v>Total waste generated (volume)</v>
      </c>
      <c r="C265" s="2" t="s">
        <v>6494</v>
      </c>
      <c r="D265" s="469" t="s">
        <v>6495</v>
      </c>
      <c r="E265" s="469" t="s">
        <v>6496</v>
      </c>
      <c r="F265" s="469" t="s">
        <v>6497</v>
      </c>
      <c r="G265" s="476" t="s">
        <v>6498</v>
      </c>
      <c r="H265" s="476" t="s">
        <v>6499</v>
      </c>
      <c r="I265" s="2" t="s">
        <v>6500</v>
      </c>
      <c r="J265" s="475" t="s">
        <v>6501</v>
      </c>
      <c r="K265" s="475" t="s">
        <v>6502</v>
      </c>
      <c r="L265" s="475" t="s">
        <v>6503</v>
      </c>
      <c r="M265" s="475" t="s">
        <v>6504</v>
      </c>
      <c r="N265" s="475" t="s">
        <v>6505</v>
      </c>
    </row>
    <row r="266" spans="1:14" s="540" customFormat="1" ht="28.8">
      <c r="A266" s="589" t="s">
        <v>6506</v>
      </c>
      <c r="B266" s="590" t="str">
        <f t="shared" si="8"/>
        <v>Overall percentage of waste diverted to recycling (mass)</v>
      </c>
      <c r="C266" s="589" t="s">
        <v>6507</v>
      </c>
      <c r="D266" s="576" t="s">
        <v>6508</v>
      </c>
      <c r="E266" s="576" t="s">
        <v>6508</v>
      </c>
      <c r="F266" s="576" t="s">
        <v>6508</v>
      </c>
      <c r="G266" s="576" t="s">
        <v>6508</v>
      </c>
      <c r="H266" s="576" t="s">
        <v>6508</v>
      </c>
      <c r="I266" s="576" t="s">
        <v>6508</v>
      </c>
      <c r="J266" s="576" t="s">
        <v>6508</v>
      </c>
      <c r="K266" s="576" t="s">
        <v>6508</v>
      </c>
      <c r="L266" s="576" t="s">
        <v>6508</v>
      </c>
      <c r="M266" s="576" t="s">
        <v>6508</v>
      </c>
      <c r="N266" s="576" t="s">
        <v>6508</v>
      </c>
    </row>
    <row r="267" spans="1:14" s="540" customFormat="1" ht="28.8">
      <c r="A267" s="589" t="s">
        <v>6509</v>
      </c>
      <c r="B267" s="590" t="str">
        <f t="shared" si="8"/>
        <v>Overall percentage of waste diverted to preparation for reuse (mass)</v>
      </c>
      <c r="C267" s="589" t="s">
        <v>6510</v>
      </c>
      <c r="D267" s="576" t="s">
        <v>6511</v>
      </c>
      <c r="E267" s="576" t="s">
        <v>6512</v>
      </c>
      <c r="F267" s="576" t="s">
        <v>6512</v>
      </c>
      <c r="G267" s="576" t="s">
        <v>6512</v>
      </c>
      <c r="H267" s="576" t="s">
        <v>6512</v>
      </c>
      <c r="I267" s="576" t="s">
        <v>6512</v>
      </c>
      <c r="J267" s="576" t="s">
        <v>6512</v>
      </c>
      <c r="K267" s="576" t="s">
        <v>6512</v>
      </c>
      <c r="L267" s="576" t="s">
        <v>6512</v>
      </c>
      <c r="M267" s="576" t="s">
        <v>6512</v>
      </c>
      <c r="N267" s="576" t="s">
        <v>6512</v>
      </c>
    </row>
    <row r="268" spans="1:14" s="540" customFormat="1" ht="28.8">
      <c r="A268" s="589" t="s">
        <v>6513</v>
      </c>
      <c r="B268" s="590" t="str">
        <f t="shared" si="8"/>
        <v>Overall percentage of waste diverted to recycling (volume)</v>
      </c>
      <c r="C268" s="589" t="s">
        <v>6514</v>
      </c>
      <c r="D268" s="576" t="s">
        <v>6515</v>
      </c>
      <c r="E268" s="576" t="s">
        <v>6515</v>
      </c>
      <c r="F268" s="576" t="s">
        <v>6515</v>
      </c>
      <c r="G268" s="576" t="s">
        <v>6515</v>
      </c>
      <c r="H268" s="576" t="s">
        <v>6515</v>
      </c>
      <c r="I268" s="576" t="s">
        <v>6515</v>
      </c>
      <c r="J268" s="576" t="s">
        <v>6515</v>
      </c>
      <c r="K268" s="576" t="s">
        <v>6515</v>
      </c>
      <c r="L268" s="576" t="s">
        <v>6515</v>
      </c>
      <c r="M268" s="576" t="s">
        <v>6515</v>
      </c>
      <c r="N268" s="576" t="s">
        <v>6515</v>
      </c>
    </row>
    <row r="269" spans="1:14" s="540" customFormat="1" ht="28.8">
      <c r="A269" s="589" t="s">
        <v>6516</v>
      </c>
      <c r="B269" s="590" t="str">
        <f t="shared" si="8"/>
        <v>Overall percentage of waste diverted to preparation for reuse (volume)</v>
      </c>
      <c r="C269" s="589" t="s">
        <v>6517</v>
      </c>
      <c r="D269" s="576" t="s">
        <v>6518</v>
      </c>
      <c r="E269" s="576" t="s">
        <v>6519</v>
      </c>
      <c r="F269" s="576" t="s">
        <v>6519</v>
      </c>
      <c r="G269" s="576" t="s">
        <v>6519</v>
      </c>
      <c r="H269" s="576" t="s">
        <v>6519</v>
      </c>
      <c r="I269" s="576" t="s">
        <v>6519</v>
      </c>
      <c r="J269" s="576" t="s">
        <v>6519</v>
      </c>
      <c r="K269" s="576" t="s">
        <v>6519</v>
      </c>
      <c r="L269" s="576" t="s">
        <v>6519</v>
      </c>
      <c r="M269" s="576" t="s">
        <v>6519</v>
      </c>
      <c r="N269" s="576" t="s">
        <v>6519</v>
      </c>
    </row>
    <row r="270" spans="1:14" s="622" customFormat="1" ht="15" thickBot="1">
      <c r="A270" s="598" t="s">
        <v>6520</v>
      </c>
      <c r="B270" s="599" t="str">
        <f t="shared" si="8"/>
        <v>Percent (%)</v>
      </c>
      <c r="C270" s="598" t="s">
        <v>6521</v>
      </c>
      <c r="D270" s="600" t="s">
        <v>6522</v>
      </c>
      <c r="E270" s="600" t="s">
        <v>6523</v>
      </c>
      <c r="F270" s="600" t="s">
        <v>6524</v>
      </c>
      <c r="G270" s="600" t="s">
        <v>6525</v>
      </c>
      <c r="H270" s="600" t="s">
        <v>6525</v>
      </c>
      <c r="I270" s="600" t="s">
        <v>6526</v>
      </c>
      <c r="J270" s="600" t="s">
        <v>6526</v>
      </c>
      <c r="K270" s="600" t="s">
        <v>6526</v>
      </c>
      <c r="L270" s="600" t="s">
        <v>6527</v>
      </c>
      <c r="M270" s="600" t="s">
        <v>6528</v>
      </c>
      <c r="N270" s="600" t="s">
        <v>6528</v>
      </c>
    </row>
    <row r="271" spans="1:14" ht="28.8">
      <c r="A271" s="2" t="s">
        <v>6529</v>
      </c>
      <c r="B271" s="474" t="str">
        <f t="shared" si="8"/>
        <v>B7 - Annual mass-flow of relevant materials used</v>
      </c>
      <c r="C271" s="2" t="s">
        <v>6530</v>
      </c>
      <c r="D271" s="469" t="s">
        <v>6531</v>
      </c>
      <c r="E271" s="469" t="s">
        <v>6532</v>
      </c>
      <c r="F271" s="469" t="s">
        <v>6533</v>
      </c>
      <c r="G271" s="476" t="s">
        <v>6534</v>
      </c>
      <c r="H271" s="476" t="s">
        <v>6535</v>
      </c>
      <c r="I271" s="2" t="s">
        <v>6536</v>
      </c>
      <c r="J271" s="475" t="s">
        <v>6537</v>
      </c>
      <c r="K271" s="475" t="s">
        <v>6538</v>
      </c>
      <c r="L271" s="475" t="s">
        <v>6539</v>
      </c>
      <c r="M271" s="475" t="s">
        <v>6540</v>
      </c>
      <c r="N271" s="475" t="s">
        <v>6541</v>
      </c>
    </row>
    <row r="272" spans="1:14" s="620" customFormat="1" ht="14.1" customHeight="1">
      <c r="A272" s="615" t="s">
        <v>6542</v>
      </c>
      <c r="B272" s="616" t="str">
        <f t="shared" si="8"/>
        <v>Voluntary for undertakings with 10 employees or less - Does the undertaking the undertaking operate in a sector using significant material flows (for example manufacturing construction packaging or others)?</v>
      </c>
      <c r="C272" s="615" t="s">
        <v>6543</v>
      </c>
      <c r="D272" s="617" t="s">
        <v>6544</v>
      </c>
      <c r="E272" s="617" t="s">
        <v>6545</v>
      </c>
      <c r="F272" s="617" t="s">
        <v>6546</v>
      </c>
      <c r="G272" s="618" t="s">
        <v>6547</v>
      </c>
      <c r="H272" s="618" t="s">
        <v>6548</v>
      </c>
      <c r="I272" s="615" t="s">
        <v>6549</v>
      </c>
      <c r="J272" s="619" t="s">
        <v>6550</v>
      </c>
      <c r="K272" s="619" t="s">
        <v>6551</v>
      </c>
      <c r="L272" s="619" t="s">
        <v>6552</v>
      </c>
      <c r="M272" s="619" t="s">
        <v>6553</v>
      </c>
      <c r="N272" s="619" t="s">
        <v>6554</v>
      </c>
    </row>
    <row r="273" spans="1:14">
      <c r="A273" s="2" t="s">
        <v>6555</v>
      </c>
      <c r="B273" s="474" t="str">
        <f t="shared" si="8"/>
        <v>Name of the key material</v>
      </c>
      <c r="C273" s="2" t="s">
        <v>6556</v>
      </c>
      <c r="D273" s="469" t="s">
        <v>6557</v>
      </c>
      <c r="E273" s="469" t="s">
        <v>6558</v>
      </c>
      <c r="F273" s="469" t="s">
        <v>6559</v>
      </c>
      <c r="G273" s="476" t="s">
        <v>6560</v>
      </c>
      <c r="H273" s="476" t="s">
        <v>6561</v>
      </c>
      <c r="I273" s="2" t="s">
        <v>6562</v>
      </c>
      <c r="J273" s="475" t="s">
        <v>6563</v>
      </c>
      <c r="K273" s="475" t="s">
        <v>6564</v>
      </c>
      <c r="L273" s="475" t="s">
        <v>6565</v>
      </c>
      <c r="M273" s="475" t="s">
        <v>6566</v>
      </c>
      <c r="N273" s="475" t="s">
        <v>6567</v>
      </c>
    </row>
    <row r="274" spans="1:14">
      <c r="A274" s="2" t="s">
        <v>6568</v>
      </c>
      <c r="B274" s="474" t="str">
        <f t="shared" si="8"/>
        <v>Mass / Volume</v>
      </c>
      <c r="C274" s="2" t="s">
        <v>6569</v>
      </c>
      <c r="D274" s="469" t="s">
        <v>6570</v>
      </c>
      <c r="E274" s="469" t="s">
        <v>6571</v>
      </c>
      <c r="F274" s="469" t="s">
        <v>6572</v>
      </c>
      <c r="G274" s="476" t="s">
        <v>6573</v>
      </c>
      <c r="H274" s="476" t="s">
        <v>6574</v>
      </c>
      <c r="I274" s="2" t="s">
        <v>6575</v>
      </c>
      <c r="J274" s="475" t="s">
        <v>6576</v>
      </c>
      <c r="K274" s="475" t="s">
        <v>6577</v>
      </c>
      <c r="L274" s="475" t="s">
        <v>6575</v>
      </c>
      <c r="M274" s="475" t="s">
        <v>6578</v>
      </c>
      <c r="N274" s="475" t="s">
        <v>6579</v>
      </c>
    </row>
    <row r="275" spans="1:14" ht="28.8">
      <c r="A275" s="2" t="s">
        <v>6580</v>
      </c>
      <c r="B275" s="474" t="str">
        <f t="shared" si="8"/>
        <v>Total annual mass-flow of relevant materials used (mass in kg)</v>
      </c>
      <c r="C275" s="2" t="s">
        <v>6581</v>
      </c>
      <c r="D275" s="469" t="s">
        <v>6582</v>
      </c>
      <c r="E275" s="469" t="s">
        <v>6583</v>
      </c>
      <c r="F275" s="469" t="s">
        <v>6584</v>
      </c>
      <c r="G275" s="476" t="s">
        <v>6585</v>
      </c>
      <c r="H275" s="476" t="s">
        <v>6586</v>
      </c>
      <c r="I275" s="2" t="s">
        <v>6587</v>
      </c>
      <c r="J275" s="475" t="s">
        <v>6588</v>
      </c>
      <c r="K275" s="475" t="s">
        <v>6589</v>
      </c>
      <c r="L275" s="475" t="s">
        <v>6590</v>
      </c>
      <c r="M275" s="475" t="s">
        <v>6591</v>
      </c>
      <c r="N275" s="475" t="s">
        <v>6592</v>
      </c>
    </row>
    <row r="276" spans="1:14">
      <c r="A276" s="2" t="s">
        <v>6593</v>
      </c>
      <c r="B276" s="474" t="str">
        <f t="shared" si="8"/>
        <v>kilograms (kg)</v>
      </c>
      <c r="C276" s="2" t="s">
        <v>303</v>
      </c>
      <c r="D276" s="469" t="s">
        <v>6594</v>
      </c>
      <c r="E276" s="469" t="s">
        <v>6595</v>
      </c>
      <c r="F276" s="469" t="s">
        <v>6596</v>
      </c>
      <c r="G276" s="476" t="s">
        <v>6597</v>
      </c>
      <c r="H276" s="476" t="s">
        <v>6598</v>
      </c>
      <c r="I276" s="2" t="s">
        <v>6599</v>
      </c>
      <c r="J276" s="475" t="s">
        <v>6600</v>
      </c>
      <c r="K276" s="475" t="s">
        <v>6601</v>
      </c>
      <c r="L276" s="475" t="s">
        <v>6602</v>
      </c>
      <c r="M276" s="475" t="s">
        <v>6603</v>
      </c>
      <c r="N276" s="475" t="s">
        <v>6604</v>
      </c>
    </row>
    <row r="277" spans="1:14" ht="29.4" thickBot="1">
      <c r="A277" s="481" t="s">
        <v>6605</v>
      </c>
      <c r="B277" s="478" t="str">
        <f t="shared" si="8"/>
        <v>Total annual mass-flow of relevant materials used (volume in m³)</v>
      </c>
      <c r="C277" s="481" t="s">
        <v>6606</v>
      </c>
      <c r="D277" s="477" t="s">
        <v>6607</v>
      </c>
      <c r="E277" s="477" t="s">
        <v>6608</v>
      </c>
      <c r="F277" s="477" t="s">
        <v>6609</v>
      </c>
      <c r="G277" s="480" t="s">
        <v>6610</v>
      </c>
      <c r="H277" s="480" t="s">
        <v>6611</v>
      </c>
      <c r="I277" s="481" t="s">
        <v>6612</v>
      </c>
      <c r="J277" s="479" t="s">
        <v>6613</v>
      </c>
      <c r="K277" s="479" t="s">
        <v>6614</v>
      </c>
      <c r="L277" s="479" t="s">
        <v>6615</v>
      </c>
      <c r="M277" s="479" t="s">
        <v>6616</v>
      </c>
      <c r="N277" s="479" t="s">
        <v>6617</v>
      </c>
    </row>
    <row r="278" spans="1:14">
      <c r="A278" s="2" t="s">
        <v>6618</v>
      </c>
      <c r="B278" s="474" t="str">
        <f t="shared" si="8"/>
        <v>C4 - Climate risks</v>
      </c>
      <c r="C278" s="2" t="s">
        <v>4296</v>
      </c>
      <c r="D278" s="469" t="s">
        <v>6619</v>
      </c>
      <c r="E278" s="469" t="s">
        <v>6620</v>
      </c>
      <c r="F278" s="469" t="s">
        <v>4299</v>
      </c>
      <c r="G278" s="476" t="s">
        <v>6621</v>
      </c>
      <c r="H278" s="476" t="s">
        <v>6622</v>
      </c>
      <c r="I278" s="2" t="s">
        <v>6623</v>
      </c>
      <c r="J278" s="475" t="s">
        <v>6624</v>
      </c>
      <c r="K278" s="475" t="s">
        <v>6625</v>
      </c>
      <c r="L278" s="475" t="s">
        <v>4305</v>
      </c>
      <c r="M278" s="475" t="s">
        <v>4306</v>
      </c>
      <c r="N278" s="475" t="s">
        <v>6626</v>
      </c>
    </row>
    <row r="279" spans="1:14" s="620" customFormat="1" ht="57.6">
      <c r="A279" s="615" t="s">
        <v>6627</v>
      </c>
      <c r="B279" s="616" t="str">
        <f t="shared" si="8"/>
        <v>Voluntary for undertakings with 10 employees or less - Has the undertaking identified climate-related hazards and climate-related transition events creating gross climate-related risks for the undertaking?</v>
      </c>
      <c r="C279" s="615" t="s">
        <v>6628</v>
      </c>
      <c r="D279" s="617" t="s">
        <v>6629</v>
      </c>
      <c r="E279" s="617" t="s">
        <v>6630</v>
      </c>
      <c r="F279" s="617" t="s">
        <v>6631</v>
      </c>
      <c r="G279" s="617" t="s">
        <v>6632</v>
      </c>
      <c r="H279" s="617" t="s">
        <v>6632</v>
      </c>
      <c r="I279" s="617" t="s">
        <v>6632</v>
      </c>
      <c r="J279" s="617" t="s">
        <v>6632</v>
      </c>
      <c r="K279" s="617" t="s">
        <v>6632</v>
      </c>
      <c r="L279" s="617" t="s">
        <v>6632</v>
      </c>
      <c r="M279" s="617" t="s">
        <v>6632</v>
      </c>
      <c r="N279" s="617" t="s">
        <v>6632</v>
      </c>
    </row>
    <row r="280" spans="1:14" ht="28.8">
      <c r="A280" s="2" t="s">
        <v>6633</v>
      </c>
      <c r="B280" s="474" t="str">
        <f t="shared" si="8"/>
        <v>Description of climate-related hazards and climate-related transition events</v>
      </c>
      <c r="C280" s="2" t="s">
        <v>6634</v>
      </c>
      <c r="D280" s="469" t="s">
        <v>6635</v>
      </c>
      <c r="E280" s="469" t="s">
        <v>6636</v>
      </c>
      <c r="F280" s="469" t="s">
        <v>6637</v>
      </c>
      <c r="G280" s="476" t="s">
        <v>6638</v>
      </c>
      <c r="H280" s="476" t="s">
        <v>6639</v>
      </c>
      <c r="I280" s="2" t="s">
        <v>6640</v>
      </c>
      <c r="J280" s="475" t="s">
        <v>6641</v>
      </c>
      <c r="K280" s="475" t="s">
        <v>6642</v>
      </c>
      <c r="L280" s="475" t="s">
        <v>6643</v>
      </c>
      <c r="M280" s="475" t="s">
        <v>6644</v>
      </c>
      <c r="N280" s="475" t="s">
        <v>6645</v>
      </c>
    </row>
    <row r="281" spans="1:14" ht="57.6">
      <c r="A281" s="2" t="s">
        <v>6646</v>
      </c>
      <c r="B281" s="474" t="str">
        <f t="shared" si="8"/>
        <v>Disclosure of how it has assessed the exposure and sensitivity of its assets activities and value chain to these hazards and transition events</v>
      </c>
      <c r="C281" s="2" t="s">
        <v>6647</v>
      </c>
      <c r="D281" s="469" t="s">
        <v>6648</v>
      </c>
      <c r="E281" s="469" t="s">
        <v>6649</v>
      </c>
      <c r="F281" s="469" t="s">
        <v>6650</v>
      </c>
      <c r="G281" s="476" t="s">
        <v>6651</v>
      </c>
      <c r="H281" s="476" t="s">
        <v>6652</v>
      </c>
      <c r="I281" s="2" t="s">
        <v>6653</v>
      </c>
      <c r="J281" s="475" t="s">
        <v>6654</v>
      </c>
      <c r="K281" s="475" t="s">
        <v>6655</v>
      </c>
      <c r="L281" s="475" t="s">
        <v>6656</v>
      </c>
      <c r="M281" s="475" t="s">
        <v>6657</v>
      </c>
      <c r="N281" s="475" t="s">
        <v>6658</v>
      </c>
    </row>
    <row r="282" spans="1:14" ht="57.6">
      <c r="A282" s="2" t="s">
        <v>6659</v>
      </c>
      <c r="B282" s="474" t="str">
        <f t="shared" si="8"/>
        <v>Time horizons of any climate-related hazards and transition events identified</v>
      </c>
      <c r="C282" s="2" t="s">
        <v>6660</v>
      </c>
      <c r="D282" s="469" t="s">
        <v>6661</v>
      </c>
      <c r="E282" s="469" t="s">
        <v>6662</v>
      </c>
      <c r="F282" s="469" t="s">
        <v>6663</v>
      </c>
      <c r="G282" s="476" t="s">
        <v>6664</v>
      </c>
      <c r="H282" s="476" t="s">
        <v>6665</v>
      </c>
      <c r="I282" s="2" t="s">
        <v>6666</v>
      </c>
      <c r="J282" s="475" t="s">
        <v>6667</v>
      </c>
      <c r="K282" s="475" t="s">
        <v>6668</v>
      </c>
      <c r="L282" s="475" t="s">
        <v>6669</v>
      </c>
      <c r="M282" s="475" t="s">
        <v>6670</v>
      </c>
      <c r="N282" s="475" t="s">
        <v>6671</v>
      </c>
    </row>
    <row r="283" spans="1:14" ht="57.6">
      <c r="A283" s="2" t="s">
        <v>6672</v>
      </c>
      <c r="B283" s="474" t="str">
        <f t="shared" si="8"/>
        <v>Disclosure of whether it has undertaken climate change adaptation actions for any climate-related hazards and transition events</v>
      </c>
      <c r="C283" s="2" t="s">
        <v>6673</v>
      </c>
      <c r="D283" s="469" t="s">
        <v>6674</v>
      </c>
      <c r="E283" s="469" t="s">
        <v>6675</v>
      </c>
      <c r="F283" s="483" t="s">
        <v>6676</v>
      </c>
      <c r="G283" s="476" t="s">
        <v>6677</v>
      </c>
      <c r="H283" s="476" t="s">
        <v>6678</v>
      </c>
      <c r="I283" s="2" t="s">
        <v>6679</v>
      </c>
      <c r="J283" s="475" t="s">
        <v>6680</v>
      </c>
      <c r="K283" s="475" t="s">
        <v>6681</v>
      </c>
      <c r="L283" s="475" t="s">
        <v>6682</v>
      </c>
      <c r="M283" s="475" t="s">
        <v>6683</v>
      </c>
      <c r="N283" s="475" t="s">
        <v>6684</v>
      </c>
    </row>
    <row r="284" spans="1:14" ht="86.4">
      <c r="A284" s="2" t="s">
        <v>6685</v>
      </c>
      <c r="B284" s="474" t="str">
        <f t="shared" si="8"/>
        <v>Potential adverse effects of climate risks that may affect its financial performance or business operations in the short- medium- or long-term indicating whether it assesses the risks to be high medium or low</v>
      </c>
      <c r="C284" s="2" t="s">
        <v>6686</v>
      </c>
      <c r="D284" s="469" t="s">
        <v>6687</v>
      </c>
      <c r="E284" s="469" t="s">
        <v>6688</v>
      </c>
      <c r="F284" s="469" t="s">
        <v>6689</v>
      </c>
      <c r="G284" s="476" t="s">
        <v>6690</v>
      </c>
      <c r="H284" s="476" t="s">
        <v>6691</v>
      </c>
      <c r="I284" s="2" t="s">
        <v>6692</v>
      </c>
      <c r="J284" s="475" t="s">
        <v>6693</v>
      </c>
      <c r="K284" s="475" t="s">
        <v>6694</v>
      </c>
      <c r="L284" s="475" t="s">
        <v>6695</v>
      </c>
      <c r="M284" s="475" t="s">
        <v>6696</v>
      </c>
      <c r="N284" s="475" t="s">
        <v>6697</v>
      </c>
    </row>
    <row r="285" spans="1:14" ht="43.2">
      <c r="A285" s="2" t="s">
        <v>6698</v>
      </c>
      <c r="B285" s="474" t="str">
        <f t="shared" si="8"/>
        <v>Disclosure of any other environmental and/or entity specific environmental disclosures</v>
      </c>
      <c r="C285" s="2" t="s">
        <v>6699</v>
      </c>
      <c r="D285" s="2" t="s">
        <v>6700</v>
      </c>
      <c r="E285" s="2" t="s">
        <v>6701</v>
      </c>
      <c r="F285" s="2" t="s">
        <v>6702</v>
      </c>
      <c r="G285" s="2" t="s">
        <v>6703</v>
      </c>
      <c r="H285" s="2" t="s">
        <v>6704</v>
      </c>
      <c r="I285" s="2" t="s">
        <v>6705</v>
      </c>
      <c r="J285" s="2" t="s">
        <v>6706</v>
      </c>
      <c r="K285" s="2" t="s">
        <v>6707</v>
      </c>
      <c r="L285" s="2" t="s">
        <v>6708</v>
      </c>
      <c r="M285" s="2" t="s">
        <v>6709</v>
      </c>
      <c r="N285" s="2" t="s">
        <v>6710</v>
      </c>
    </row>
    <row r="286" spans="1:14" s="540" customFormat="1" ht="43.2">
      <c r="A286" s="589" t="s">
        <v>6711</v>
      </c>
      <c r="B286" s="590" t="str">
        <f t="shared" si="8"/>
        <v xml:space="preserve">Employee counting methodology (Headcount or Full time Equivalent  linked from B1) for the disclosures below except specified otherwise </v>
      </c>
      <c r="C286" s="589" t="s">
        <v>6712</v>
      </c>
      <c r="D286" s="576" t="s">
        <v>6713</v>
      </c>
      <c r="E286" s="576" t="s">
        <v>6714</v>
      </c>
      <c r="F286" s="576" t="s">
        <v>6715</v>
      </c>
      <c r="G286" s="591" t="s">
        <v>6716</v>
      </c>
      <c r="H286" s="591" t="s">
        <v>6717</v>
      </c>
      <c r="I286" s="589" t="s">
        <v>6718</v>
      </c>
      <c r="J286" s="579" t="s">
        <v>6719</v>
      </c>
      <c r="K286" s="579" t="s">
        <v>6720</v>
      </c>
      <c r="L286" s="579" t="s">
        <v>6721</v>
      </c>
      <c r="M286" s="579" t="s">
        <v>6722</v>
      </c>
      <c r="N286" s="579" t="s">
        <v>6723</v>
      </c>
    </row>
    <row r="287" spans="1:14" s="540" customFormat="1" ht="58.2" thickBot="1">
      <c r="A287" s="598" t="s">
        <v>6724</v>
      </c>
      <c r="B287" s="599" t="str">
        <f t="shared" si="8"/>
        <v>Employee counting methodology (At the end of the reporting period or as an average across the reporting period linked from B1) for the disclosures below except specified otherwise</v>
      </c>
      <c r="C287" s="598" t="s">
        <v>6725</v>
      </c>
      <c r="D287" s="600" t="s">
        <v>6726</v>
      </c>
      <c r="E287" s="600" t="s">
        <v>6727</v>
      </c>
      <c r="F287" s="600" t="s">
        <v>6728</v>
      </c>
      <c r="G287" s="601" t="s">
        <v>6729</v>
      </c>
      <c r="H287" s="601" t="s">
        <v>6730</v>
      </c>
      <c r="I287" s="598" t="s">
        <v>6731</v>
      </c>
      <c r="J287" s="602" t="s">
        <v>6732</v>
      </c>
      <c r="K287" s="602" t="s">
        <v>6733</v>
      </c>
      <c r="L287" s="602" t="s">
        <v>6734</v>
      </c>
      <c r="M287" s="602" t="s">
        <v>6735</v>
      </c>
      <c r="N287" s="602" t="s">
        <v>6736</v>
      </c>
    </row>
    <row r="288" spans="1:14" ht="28.8">
      <c r="A288" s="2" t="s">
        <v>6737</v>
      </c>
      <c r="B288" s="474" t="str">
        <f t="shared" si="8"/>
        <v>B8 - Workforce - General characteristics - Type of contract</v>
      </c>
      <c r="C288" s="2" t="s">
        <v>6738</v>
      </c>
      <c r="D288" s="469" t="s">
        <v>6739</v>
      </c>
      <c r="E288" s="469" t="s">
        <v>6740</v>
      </c>
      <c r="F288" s="469" t="s">
        <v>6741</v>
      </c>
      <c r="G288" s="476" t="s">
        <v>6742</v>
      </c>
      <c r="H288" s="476" t="s">
        <v>6743</v>
      </c>
      <c r="I288" s="2" t="s">
        <v>6744</v>
      </c>
      <c r="J288" s="475" t="s">
        <v>6745</v>
      </c>
      <c r="K288" s="475" t="s">
        <v>6746</v>
      </c>
      <c r="L288" s="475" t="s">
        <v>6747</v>
      </c>
      <c r="M288" s="475" t="s">
        <v>6748</v>
      </c>
      <c r="N288" s="475" t="s">
        <v>6749</v>
      </c>
    </row>
    <row r="289" spans="1:14">
      <c r="A289" s="2" t="s">
        <v>6750</v>
      </c>
      <c r="B289" s="474" t="str">
        <f t="shared" si="8"/>
        <v>Type of contract</v>
      </c>
      <c r="C289" s="2" t="s">
        <v>6751</v>
      </c>
      <c r="D289" s="469" t="s">
        <v>6752</v>
      </c>
      <c r="E289" s="469" t="s">
        <v>6753</v>
      </c>
      <c r="F289" s="469" t="s">
        <v>6754</v>
      </c>
      <c r="G289" s="476" t="s">
        <v>6755</v>
      </c>
      <c r="H289" s="476" t="s">
        <v>6756</v>
      </c>
      <c r="I289" s="2" t="s">
        <v>6757</v>
      </c>
      <c r="J289" s="475" t="s">
        <v>6758</v>
      </c>
      <c r="K289" s="475" t="s">
        <v>6759</v>
      </c>
      <c r="L289" s="475" t="s">
        <v>6760</v>
      </c>
      <c r="M289" s="475" t="s">
        <v>6761</v>
      </c>
      <c r="N289" s="475" t="s">
        <v>6760</v>
      </c>
    </row>
    <row r="290" spans="1:14">
      <c r="A290" s="2" t="s">
        <v>6762</v>
      </c>
      <c r="B290" s="474" t="str">
        <f t="shared" ref="B290:B357" si="9">INDEX(C290:N290,MATCH(template_selected_display_language,$C$3:$N$3,0))</f>
        <v>Permanent contract</v>
      </c>
      <c r="C290" s="2" t="s">
        <v>6763</v>
      </c>
      <c r="D290" s="469" t="s">
        <v>6764</v>
      </c>
      <c r="E290" s="469" t="s">
        <v>6765</v>
      </c>
      <c r="F290" s="469" t="s">
        <v>6766</v>
      </c>
      <c r="G290" s="476" t="s">
        <v>6767</v>
      </c>
      <c r="H290" s="476" t="s">
        <v>6768</v>
      </c>
      <c r="I290" s="2" t="s">
        <v>6769</v>
      </c>
      <c r="J290" s="475" t="s">
        <v>6770</v>
      </c>
      <c r="K290" s="475" t="s">
        <v>6771</v>
      </c>
      <c r="L290" s="475" t="s">
        <v>6772</v>
      </c>
      <c r="M290" s="475" t="s">
        <v>6773</v>
      </c>
      <c r="N290" s="475" t="s">
        <v>6774</v>
      </c>
    </row>
    <row r="291" spans="1:14">
      <c r="A291" s="2" t="s">
        <v>6775</v>
      </c>
      <c r="B291" s="474" t="str">
        <f t="shared" si="9"/>
        <v>Temporary contract</v>
      </c>
      <c r="C291" s="2" t="s">
        <v>6776</v>
      </c>
      <c r="D291" s="469" t="s">
        <v>6777</v>
      </c>
      <c r="E291" s="469" t="s">
        <v>6778</v>
      </c>
      <c r="F291" s="469" t="s">
        <v>6779</v>
      </c>
      <c r="G291" s="476" t="s">
        <v>6780</v>
      </c>
      <c r="H291" s="476" t="s">
        <v>6781</v>
      </c>
      <c r="I291" s="2" t="s">
        <v>6782</v>
      </c>
      <c r="J291" s="475" t="s">
        <v>6783</v>
      </c>
      <c r="K291" s="475" t="s">
        <v>6784</v>
      </c>
      <c r="L291" s="475" t="s">
        <v>6785</v>
      </c>
      <c r="M291" s="475" t="s">
        <v>6786</v>
      </c>
      <c r="N291" s="475" t="s">
        <v>6787</v>
      </c>
    </row>
    <row r="292" spans="1:14" ht="15" thickBot="1">
      <c r="A292" s="481" t="s">
        <v>6788</v>
      </c>
      <c r="B292" s="478" t="str">
        <f t="shared" si="9"/>
        <v>Total employees (linked to B1)</v>
      </c>
      <c r="C292" s="481" t="s">
        <v>6789</v>
      </c>
      <c r="D292" s="477" t="s">
        <v>6790</v>
      </c>
      <c r="E292" s="477" t="s">
        <v>6791</v>
      </c>
      <c r="F292" s="477" t="s">
        <v>6792</v>
      </c>
      <c r="G292" s="480" t="s">
        <v>6793</v>
      </c>
      <c r="H292" s="480" t="s">
        <v>6794</v>
      </c>
      <c r="I292" s="481" t="s">
        <v>6795</v>
      </c>
      <c r="J292" s="479" t="s">
        <v>6796</v>
      </c>
      <c r="K292" s="479" t="s">
        <v>6797</v>
      </c>
      <c r="L292" s="479" t="s">
        <v>6798</v>
      </c>
      <c r="M292" s="479" t="s">
        <v>6799</v>
      </c>
      <c r="N292" s="479" t="s">
        <v>6800</v>
      </c>
    </row>
    <row r="293" spans="1:14" ht="43.2">
      <c r="A293" s="2" t="s">
        <v>6801</v>
      </c>
      <c r="B293" s="474" t="str">
        <f t="shared" si="9"/>
        <v>B8 - Workforce - General characteristics - Gender</v>
      </c>
      <c r="C293" s="2" t="s">
        <v>6802</v>
      </c>
      <c r="D293" s="469" t="s">
        <v>6803</v>
      </c>
      <c r="E293" s="469" t="s">
        <v>6804</v>
      </c>
      <c r="F293" s="469" t="s">
        <v>6805</v>
      </c>
      <c r="G293" s="476" t="s">
        <v>6806</v>
      </c>
      <c r="H293" s="476" t="s">
        <v>6807</v>
      </c>
      <c r="I293" s="2" t="s">
        <v>6808</v>
      </c>
      <c r="J293" s="475" t="s">
        <v>6809</v>
      </c>
      <c r="K293" s="475" t="s">
        <v>6810</v>
      </c>
      <c r="L293" s="475" t="s">
        <v>6811</v>
      </c>
      <c r="M293" s="475" t="s">
        <v>6812</v>
      </c>
      <c r="N293" s="475" t="s">
        <v>6813</v>
      </c>
    </row>
    <row r="294" spans="1:14">
      <c r="A294" s="2" t="s">
        <v>6814</v>
      </c>
      <c r="B294" s="474" t="str">
        <f t="shared" si="9"/>
        <v>Gender</v>
      </c>
      <c r="C294" s="2" t="s">
        <v>6815</v>
      </c>
      <c r="D294" s="469" t="s">
        <v>6816</v>
      </c>
      <c r="E294" s="469" t="s">
        <v>6815</v>
      </c>
      <c r="F294" s="469" t="s">
        <v>6817</v>
      </c>
      <c r="G294" s="476" t="s">
        <v>6818</v>
      </c>
      <c r="H294" s="476" t="s">
        <v>6819</v>
      </c>
      <c r="I294" s="2" t="s">
        <v>6820</v>
      </c>
      <c r="J294" s="475" t="s">
        <v>6821</v>
      </c>
      <c r="K294" s="475" t="s">
        <v>6822</v>
      </c>
      <c r="L294" s="475" t="s">
        <v>6823</v>
      </c>
      <c r="M294" s="475" t="s">
        <v>6824</v>
      </c>
      <c r="N294" s="475" t="s">
        <v>6823</v>
      </c>
    </row>
    <row r="295" spans="1:14">
      <c r="A295" s="2" t="s">
        <v>6825</v>
      </c>
      <c r="B295" s="474" t="str">
        <f t="shared" si="9"/>
        <v>Male</v>
      </c>
      <c r="C295" s="2" t="s">
        <v>6826</v>
      </c>
      <c r="D295" s="469" t="s">
        <v>6827</v>
      </c>
      <c r="E295" s="469" t="s">
        <v>6828</v>
      </c>
      <c r="F295" s="469" t="s">
        <v>6829</v>
      </c>
      <c r="G295" s="476" t="s">
        <v>6830</v>
      </c>
      <c r="H295" s="476" t="s">
        <v>6831</v>
      </c>
      <c r="I295" s="2" t="s">
        <v>6832</v>
      </c>
      <c r="J295" s="475" t="s">
        <v>6833</v>
      </c>
      <c r="K295" s="475" t="s">
        <v>6834</v>
      </c>
      <c r="L295" s="475" t="s">
        <v>6835</v>
      </c>
      <c r="M295" s="475" t="s">
        <v>6836</v>
      </c>
      <c r="N295" s="475" t="s">
        <v>6835</v>
      </c>
    </row>
    <row r="296" spans="1:14">
      <c r="A296" s="2" t="s">
        <v>6837</v>
      </c>
      <c r="B296" s="474" t="str">
        <f t="shared" si="9"/>
        <v>Female</v>
      </c>
      <c r="C296" s="2" t="s">
        <v>6838</v>
      </c>
      <c r="D296" s="469" t="s">
        <v>6839</v>
      </c>
      <c r="E296" s="469" t="s">
        <v>6840</v>
      </c>
      <c r="F296" s="469" t="s">
        <v>6841</v>
      </c>
      <c r="G296" s="476" t="s">
        <v>6842</v>
      </c>
      <c r="H296" s="476" t="s">
        <v>6843</v>
      </c>
      <c r="I296" s="2" t="s">
        <v>6844</v>
      </c>
      <c r="J296" s="475" t="s">
        <v>6845</v>
      </c>
      <c r="K296" s="475" t="s">
        <v>6846</v>
      </c>
      <c r="L296" s="475" t="s">
        <v>6847</v>
      </c>
      <c r="M296" s="475" t="s">
        <v>6848</v>
      </c>
      <c r="N296" s="475" t="s">
        <v>6849</v>
      </c>
    </row>
    <row r="297" spans="1:14">
      <c r="A297" s="2" t="s">
        <v>6850</v>
      </c>
      <c r="B297" s="474" t="str">
        <f t="shared" si="9"/>
        <v>Other</v>
      </c>
      <c r="C297" s="2" t="s">
        <v>429</v>
      </c>
      <c r="D297" s="469" t="s">
        <v>6851</v>
      </c>
      <c r="E297" s="469" t="s">
        <v>6852</v>
      </c>
      <c r="F297" s="469" t="s">
        <v>6853</v>
      </c>
      <c r="G297" s="476" t="s">
        <v>6854</v>
      </c>
      <c r="H297" s="476" t="s">
        <v>6855</v>
      </c>
      <c r="I297" s="2" t="s">
        <v>6856</v>
      </c>
      <c r="J297" s="475" t="s">
        <v>6857</v>
      </c>
      <c r="K297" s="475" t="s">
        <v>6858</v>
      </c>
      <c r="L297" s="475" t="s">
        <v>6859</v>
      </c>
      <c r="M297" s="475" t="s">
        <v>6860</v>
      </c>
      <c r="N297" s="475" t="s">
        <v>6861</v>
      </c>
    </row>
    <row r="298" spans="1:14" ht="15" thickBot="1">
      <c r="A298" s="481" t="s">
        <v>6862</v>
      </c>
      <c r="B298" s="478" t="str">
        <f t="shared" si="9"/>
        <v>Not reported</v>
      </c>
      <c r="C298" s="481" t="s">
        <v>6863</v>
      </c>
      <c r="D298" s="477" t="s">
        <v>6864</v>
      </c>
      <c r="E298" s="477" t="s">
        <v>6865</v>
      </c>
      <c r="F298" s="477" t="s">
        <v>6866</v>
      </c>
      <c r="G298" s="480" t="s">
        <v>6867</v>
      </c>
      <c r="H298" s="480" t="s">
        <v>6868</v>
      </c>
      <c r="I298" s="481" t="s">
        <v>6869</v>
      </c>
      <c r="J298" s="479" t="s">
        <v>6870</v>
      </c>
      <c r="K298" s="479" t="s">
        <v>6871</v>
      </c>
      <c r="L298" s="479" t="s">
        <v>6872</v>
      </c>
      <c r="M298" s="479" t="s">
        <v>6873</v>
      </c>
      <c r="N298" s="479" t="s">
        <v>6874</v>
      </c>
    </row>
    <row r="299" spans="1:14" ht="57.6">
      <c r="A299" s="2" t="s">
        <v>6875</v>
      </c>
      <c r="B299" s="474" t="str">
        <f t="shared" si="9"/>
        <v>B8 - Workforce - General characteristics - Country of employment</v>
      </c>
      <c r="C299" s="2" t="s">
        <v>6876</v>
      </c>
      <c r="D299" s="469" t="s">
        <v>6877</v>
      </c>
      <c r="E299" s="469" t="s">
        <v>6878</v>
      </c>
      <c r="F299" s="469" t="s">
        <v>6879</v>
      </c>
      <c r="G299" s="476" t="s">
        <v>6880</v>
      </c>
      <c r="H299" s="476" t="s">
        <v>6881</v>
      </c>
      <c r="I299" s="2" t="s">
        <v>6882</v>
      </c>
      <c r="J299" s="475" t="s">
        <v>6883</v>
      </c>
      <c r="K299" s="475" t="s">
        <v>6884</v>
      </c>
      <c r="L299" s="475" t="s">
        <v>6885</v>
      </c>
      <c r="M299" s="475" t="s">
        <v>6886</v>
      </c>
      <c r="N299" s="475" t="s">
        <v>6887</v>
      </c>
    </row>
    <row r="300" spans="1:14" ht="43.2">
      <c r="A300" s="2" t="s">
        <v>6888</v>
      </c>
      <c r="B300" s="474" t="str">
        <f t="shared" si="9"/>
        <v>Country of employment contract</v>
      </c>
      <c r="C300" s="2" t="s">
        <v>6889</v>
      </c>
      <c r="D300" s="469" t="s">
        <v>6890</v>
      </c>
      <c r="E300" s="469" t="s">
        <v>6891</v>
      </c>
      <c r="F300" s="469" t="s">
        <v>6892</v>
      </c>
      <c r="G300" s="476" t="s">
        <v>6893</v>
      </c>
      <c r="H300" s="476" t="s">
        <v>6894</v>
      </c>
      <c r="I300" s="2" t="s">
        <v>6895</v>
      </c>
      <c r="J300" s="475" t="s">
        <v>6896</v>
      </c>
      <c r="K300" s="475" t="s">
        <v>6897</v>
      </c>
      <c r="L300" s="475" t="s">
        <v>6898</v>
      </c>
      <c r="M300" s="475" t="s">
        <v>6899</v>
      </c>
      <c r="N300" s="475" t="s">
        <v>6900</v>
      </c>
    </row>
    <row r="301" spans="1:14" ht="29.4" thickBot="1">
      <c r="A301" s="481" t="s">
        <v>6901</v>
      </c>
      <c r="B301" s="478" t="str">
        <f t="shared" si="9"/>
        <v>Does the undertaking operate in more than one country?</v>
      </c>
      <c r="C301" s="481" t="s">
        <v>6902</v>
      </c>
      <c r="D301" s="477" t="s">
        <v>6903</v>
      </c>
      <c r="E301" s="477" t="s">
        <v>6904</v>
      </c>
      <c r="F301" s="477" t="s">
        <v>6905</v>
      </c>
      <c r="G301" s="480" t="s">
        <v>6906</v>
      </c>
      <c r="H301" s="480" t="s">
        <v>6907</v>
      </c>
      <c r="I301" s="481" t="s">
        <v>6908</v>
      </c>
      <c r="J301" s="479" t="s">
        <v>6909</v>
      </c>
      <c r="K301" s="479" t="s">
        <v>6910</v>
      </c>
      <c r="L301" s="479" t="s">
        <v>6911</v>
      </c>
      <c r="M301" s="479" t="s">
        <v>6912</v>
      </c>
      <c r="N301" s="479" t="s">
        <v>6913</v>
      </c>
    </row>
    <row r="302" spans="1:14" ht="43.2">
      <c r="A302" s="2" t="s">
        <v>6914</v>
      </c>
      <c r="B302" s="474" t="str">
        <f t="shared" si="9"/>
        <v>B9 - Workforce - Health and safety</v>
      </c>
      <c r="C302" s="2" t="s">
        <v>4200</v>
      </c>
      <c r="D302" s="469" t="s">
        <v>4201</v>
      </c>
      <c r="E302" s="469" t="s">
        <v>6915</v>
      </c>
      <c r="F302" s="469" t="s">
        <v>4203</v>
      </c>
      <c r="G302" s="476" t="s">
        <v>6916</v>
      </c>
      <c r="H302" s="476" t="s">
        <v>6917</v>
      </c>
      <c r="I302" s="2" t="s">
        <v>4206</v>
      </c>
      <c r="J302" s="475" t="s">
        <v>6918</v>
      </c>
      <c r="K302" s="475" t="s">
        <v>6919</v>
      </c>
      <c r="L302" s="475" t="s">
        <v>4209</v>
      </c>
      <c r="M302" s="475" t="s">
        <v>4210</v>
      </c>
      <c r="N302" s="475" t="s">
        <v>6920</v>
      </c>
    </row>
    <row r="303" spans="1:14" ht="28.8">
      <c r="A303" s="2" t="s">
        <v>6921</v>
      </c>
      <c r="B303" s="474" t="str">
        <f t="shared" si="9"/>
        <v>Number of recordable work-related accidents in the reporting period</v>
      </c>
      <c r="C303" s="2" t="s">
        <v>6922</v>
      </c>
      <c r="D303" s="469" t="s">
        <v>6923</v>
      </c>
      <c r="E303" s="469" t="s">
        <v>6924</v>
      </c>
      <c r="F303" s="469" t="s">
        <v>6925</v>
      </c>
      <c r="G303" s="476" t="s">
        <v>6926</v>
      </c>
      <c r="H303" s="476" t="s">
        <v>6927</v>
      </c>
      <c r="I303" s="2" t="s">
        <v>6928</v>
      </c>
      <c r="J303" s="475" t="s">
        <v>6929</v>
      </c>
      <c r="K303" s="475" t="s">
        <v>6930</v>
      </c>
      <c r="L303" s="475" t="s">
        <v>6931</v>
      </c>
      <c r="M303" s="475" t="s">
        <v>6932</v>
      </c>
      <c r="N303" s="475" t="s">
        <v>6933</v>
      </c>
    </row>
    <row r="304" spans="1:14" ht="28.8">
      <c r="A304" s="2" t="s">
        <v>6934</v>
      </c>
      <c r="B304" s="474" t="str">
        <f t="shared" si="9"/>
        <v>Number of hours worked by  one full-time employee in the reporting period</v>
      </c>
      <c r="C304" s="2" t="s">
        <v>6935</v>
      </c>
      <c r="D304" s="469" t="s">
        <v>6936</v>
      </c>
      <c r="E304" s="469" t="s">
        <v>6937</v>
      </c>
      <c r="F304" s="469" t="s">
        <v>6938</v>
      </c>
      <c r="G304" s="476" t="s">
        <v>6939</v>
      </c>
      <c r="H304" s="476" t="s">
        <v>6940</v>
      </c>
      <c r="I304" s="2" t="s">
        <v>6941</v>
      </c>
      <c r="J304" s="475" t="s">
        <v>6942</v>
      </c>
      <c r="K304" s="475" t="s">
        <v>6943</v>
      </c>
      <c r="L304" s="475" t="s">
        <v>6944</v>
      </c>
      <c r="M304" s="475" t="s">
        <v>6945</v>
      </c>
      <c r="N304" s="475" t="s">
        <v>6946</v>
      </c>
    </row>
    <row r="305" spans="1:14" ht="28.8">
      <c r="A305" s="2" t="s">
        <v>6947</v>
      </c>
      <c r="B305" s="474" t="str">
        <f t="shared" si="9"/>
        <v>Total number of hours worked in a year by all employees in the reporting period</v>
      </c>
      <c r="C305" s="2" t="s">
        <v>6948</v>
      </c>
      <c r="D305" s="469" t="s">
        <v>6949</v>
      </c>
      <c r="E305" s="469" t="s">
        <v>6950</v>
      </c>
      <c r="F305" s="469" t="s">
        <v>6951</v>
      </c>
      <c r="G305" s="476" t="s">
        <v>6952</v>
      </c>
      <c r="H305" s="476" t="s">
        <v>6953</v>
      </c>
      <c r="I305" s="2" t="s">
        <v>6954</v>
      </c>
      <c r="J305" s="475" t="s">
        <v>6955</v>
      </c>
      <c r="K305" s="475" t="s">
        <v>6956</v>
      </c>
      <c r="L305" s="475" t="s">
        <v>6957</v>
      </c>
      <c r="M305" s="475" t="s">
        <v>6958</v>
      </c>
      <c r="N305" s="475" t="s">
        <v>6959</v>
      </c>
    </row>
    <row r="306" spans="1:14" s="540" customFormat="1" ht="28.8">
      <c r="A306" s="589" t="s">
        <v>6960</v>
      </c>
      <c r="B306" s="590" t="str">
        <f t="shared" si="9"/>
        <v xml:space="preserve">Select whether the rate is per 100 or 500  full-time workers over a yearly time frame </v>
      </c>
      <c r="C306" s="589" t="s">
        <v>6961</v>
      </c>
      <c r="D306" s="576"/>
      <c r="E306" s="576"/>
      <c r="F306" s="576"/>
      <c r="G306" s="591"/>
      <c r="H306" s="591"/>
      <c r="I306" s="589"/>
      <c r="J306" s="579"/>
      <c r="K306" s="579"/>
      <c r="L306" s="579"/>
      <c r="M306" s="579"/>
      <c r="N306" s="579"/>
    </row>
    <row r="307" spans="1:14" s="606" customFormat="1" ht="28.8">
      <c r="A307" s="592" t="s">
        <v>6962</v>
      </c>
      <c r="B307" s="590" t="str">
        <f t="shared" si="9"/>
        <v>Rate per 100 or 500 full-time workers over a yearly timeframe</v>
      </c>
      <c r="C307" s="592" t="s">
        <v>6963</v>
      </c>
      <c r="D307" s="576"/>
      <c r="E307" s="576"/>
      <c r="F307" s="576"/>
      <c r="G307" s="605"/>
      <c r="H307" s="605"/>
      <c r="I307" s="592"/>
      <c r="J307" s="576"/>
      <c r="K307" s="576"/>
      <c r="L307" s="576"/>
      <c r="M307" s="576"/>
      <c r="N307" s="576"/>
    </row>
    <row r="308" spans="1:14" ht="57.6">
      <c r="A308" s="2" t="s">
        <v>6964</v>
      </c>
      <c r="B308" s="474" t="str">
        <f t="shared" si="9"/>
        <v>Rate of recordable work-related accidents in the reporting period</v>
      </c>
      <c r="C308" s="2" t="s">
        <v>6965</v>
      </c>
      <c r="D308" s="469" t="s">
        <v>6966</v>
      </c>
      <c r="E308" s="469" t="s">
        <v>6967</v>
      </c>
      <c r="F308" s="469" t="s">
        <v>6968</v>
      </c>
      <c r="G308" s="476" t="s">
        <v>6969</v>
      </c>
      <c r="H308" s="476" t="s">
        <v>6970</v>
      </c>
      <c r="I308" s="2" t="s">
        <v>6971</v>
      </c>
      <c r="J308" s="475" t="s">
        <v>6972</v>
      </c>
      <c r="K308" s="475" t="s">
        <v>6973</v>
      </c>
      <c r="L308" s="475" t="s">
        <v>6974</v>
      </c>
      <c r="M308" s="475" t="s">
        <v>6975</v>
      </c>
      <c r="N308" s="475" t="s">
        <v>6976</v>
      </c>
    </row>
    <row r="309" spans="1:14" s="540" customFormat="1" ht="43.8" thickBot="1">
      <c r="A309" s="598" t="s">
        <v>6977</v>
      </c>
      <c r="B309" s="599" t="str">
        <f t="shared" si="9"/>
        <v>Subject to legal restrictions, the sum of the fatalities as a result of recordable work-related accidents  and recordable work-related ill health</v>
      </c>
      <c r="C309" s="598" t="s">
        <v>6978</v>
      </c>
      <c r="D309" s="600" t="s">
        <v>6979</v>
      </c>
      <c r="E309" s="600" t="s">
        <v>6980</v>
      </c>
      <c r="F309" s="600" t="s">
        <v>6981</v>
      </c>
      <c r="G309" s="601" t="s">
        <v>6982</v>
      </c>
      <c r="H309" s="601" t="s">
        <v>6983</v>
      </c>
      <c r="I309" s="598" t="s">
        <v>6984</v>
      </c>
      <c r="J309" s="602" t="s">
        <v>6985</v>
      </c>
      <c r="K309" s="602" t="s">
        <v>6986</v>
      </c>
      <c r="L309" s="602" t="s">
        <v>6987</v>
      </c>
      <c r="M309" s="602" t="s">
        <v>6988</v>
      </c>
      <c r="N309" s="602" t="s">
        <v>6989</v>
      </c>
    </row>
    <row r="310" spans="1:14" s="106" customFormat="1" ht="43.2">
      <c r="A310" s="330" t="s">
        <v>6990</v>
      </c>
      <c r="B310" s="474" t="str">
        <f t="shared" si="9"/>
        <v>B10 - Workforce - Remuneration and collective bargaining</v>
      </c>
      <c r="C310" s="330" t="s">
        <v>6991</v>
      </c>
      <c r="D310" s="469" t="s">
        <v>6992</v>
      </c>
      <c r="E310" s="469" t="s">
        <v>6993</v>
      </c>
      <c r="F310" s="469" t="s">
        <v>6994</v>
      </c>
      <c r="G310" s="607" t="s">
        <v>6995</v>
      </c>
      <c r="H310" s="607" t="s">
        <v>6996</v>
      </c>
      <c r="I310" s="330" t="s">
        <v>6997</v>
      </c>
      <c r="J310" s="469" t="s">
        <v>6998</v>
      </c>
      <c r="K310" s="469" t="s">
        <v>6999</v>
      </c>
      <c r="L310" s="469" t="s">
        <v>7000</v>
      </c>
      <c r="M310" s="469" t="s">
        <v>7001</v>
      </c>
      <c r="N310" s="469" t="s">
        <v>7002</v>
      </c>
    </row>
    <row r="311" spans="1:14" ht="100.8">
      <c r="A311" s="2" t="s">
        <v>7003</v>
      </c>
      <c r="B311" s="474" t="str">
        <f t="shared" si="9"/>
        <v>Employees receive pay that is equal or above applicable minimum wage determined directly by the national minimum wage law or through a collective bargaining agreement</v>
      </c>
      <c r="C311" s="2" t="s">
        <v>7004</v>
      </c>
      <c r="D311" s="469" t="s">
        <v>7005</v>
      </c>
      <c r="E311" s="469" t="s">
        <v>7006</v>
      </c>
      <c r="F311" s="469" t="s">
        <v>7007</v>
      </c>
      <c r="G311" s="476" t="s">
        <v>7008</v>
      </c>
      <c r="H311" s="476" t="s">
        <v>7009</v>
      </c>
      <c r="I311" s="2" t="s">
        <v>7010</v>
      </c>
      <c r="J311" s="475" t="s">
        <v>7011</v>
      </c>
      <c r="K311" s="475" t="s">
        <v>7012</v>
      </c>
      <c r="L311" s="475" t="s">
        <v>7013</v>
      </c>
      <c r="M311" s="475" t="s">
        <v>7014</v>
      </c>
      <c r="N311" s="475" t="s">
        <v>7015</v>
      </c>
    </row>
    <row r="312" spans="1:14" s="540" customFormat="1" ht="43.2">
      <c r="A312" s="589" t="s">
        <v>7016</v>
      </c>
      <c r="B312" s="590" t="str">
        <f t="shared" si="9"/>
        <v>Is the undertaking is already required by EU law or other national regulations to report the percentage gap in pay between its female and male employees ?</v>
      </c>
      <c r="C312" s="589" t="s">
        <v>7017</v>
      </c>
      <c r="D312" s="576"/>
      <c r="E312" s="576"/>
      <c r="F312" s="576"/>
      <c r="G312" s="591"/>
      <c r="H312" s="591"/>
      <c r="I312" s="589"/>
      <c r="J312" s="579"/>
      <c r="K312" s="579"/>
      <c r="L312" s="579"/>
      <c r="M312" s="579"/>
      <c r="N312" s="579"/>
    </row>
    <row r="313" spans="1:14" ht="28.8">
      <c r="A313" s="2" t="s">
        <v>7018</v>
      </c>
      <c r="B313" s="474" t="str">
        <f t="shared" si="9"/>
        <v>Average gross hourly pay level of male employees</v>
      </c>
      <c r="C313" s="2" t="s">
        <v>7019</v>
      </c>
      <c r="D313" s="469" t="s">
        <v>7020</v>
      </c>
      <c r="E313" s="469" t="s">
        <v>7021</v>
      </c>
      <c r="F313" s="469" t="s">
        <v>7022</v>
      </c>
      <c r="G313" s="476" t="s">
        <v>7023</v>
      </c>
      <c r="H313" s="476" t="s">
        <v>7024</v>
      </c>
      <c r="I313" s="2" t="s">
        <v>7025</v>
      </c>
      <c r="J313" s="475" t="s">
        <v>7026</v>
      </c>
      <c r="K313" s="475" t="s">
        <v>7027</v>
      </c>
      <c r="L313" s="475" t="s">
        <v>7028</v>
      </c>
      <c r="M313" s="475" t="s">
        <v>7029</v>
      </c>
      <c r="N313" s="475" t="s">
        <v>7030</v>
      </c>
    </row>
    <row r="314" spans="1:14" ht="28.8">
      <c r="A314" s="2" t="s">
        <v>7031</v>
      </c>
      <c r="B314" s="474" t="str">
        <f t="shared" si="9"/>
        <v>Average gross hourly pay level of female employees</v>
      </c>
      <c r="C314" s="2" t="s">
        <v>7032</v>
      </c>
      <c r="D314" s="469" t="s">
        <v>7033</v>
      </c>
      <c r="E314" s="469" t="s">
        <v>7034</v>
      </c>
      <c r="F314" s="469" t="s">
        <v>7035</v>
      </c>
      <c r="G314" s="476" t="s">
        <v>7036</v>
      </c>
      <c r="H314" s="476" t="s">
        <v>7037</v>
      </c>
      <c r="I314" s="2" t="s">
        <v>7038</v>
      </c>
      <c r="J314" s="475" t="s">
        <v>7039</v>
      </c>
      <c r="K314" s="475" t="s">
        <v>7040</v>
      </c>
      <c r="L314" s="475" t="s">
        <v>7041</v>
      </c>
      <c r="M314" s="475" t="s">
        <v>7042</v>
      </c>
      <c r="N314" s="475" t="s">
        <v>7043</v>
      </c>
    </row>
    <row r="315" spans="1:14" ht="72">
      <c r="A315" s="2" t="s">
        <v>7044</v>
      </c>
      <c r="B315" s="474" t="str">
        <f t="shared" si="9"/>
        <v>Percentage gap in pay between the  undertaking's female and male employees [%]</v>
      </c>
      <c r="C315" s="2" t="s">
        <v>7045</v>
      </c>
      <c r="D315" s="469" t="s">
        <v>7046</v>
      </c>
      <c r="E315" s="469" t="s">
        <v>7047</v>
      </c>
      <c r="F315" s="469" t="s">
        <v>7048</v>
      </c>
      <c r="G315" s="476" t="s">
        <v>7049</v>
      </c>
      <c r="H315" s="476" t="s">
        <v>7050</v>
      </c>
      <c r="I315" s="2" t="s">
        <v>7051</v>
      </c>
      <c r="J315" s="475" t="s">
        <v>7052</v>
      </c>
      <c r="K315" s="475" t="s">
        <v>7053</v>
      </c>
      <c r="L315" s="475" t="s">
        <v>7054</v>
      </c>
      <c r="M315" s="475" t="s">
        <v>7055</v>
      </c>
      <c r="N315" s="475" t="s">
        <v>7056</v>
      </c>
    </row>
    <row r="316" spans="1:14" s="540" customFormat="1" ht="28.8">
      <c r="A316" s="589" t="s">
        <v>7057</v>
      </c>
      <c r="B316" s="590" t="str">
        <f t="shared" si="9"/>
        <v>Number of employees covered by collective bargaining agreements (in headcount)</v>
      </c>
      <c r="C316" s="589" t="s">
        <v>7058</v>
      </c>
      <c r="D316" s="576" t="s">
        <v>7059</v>
      </c>
      <c r="E316" s="576" t="s">
        <v>7060</v>
      </c>
      <c r="F316" s="576" t="s">
        <v>7061</v>
      </c>
      <c r="G316" s="591" t="s">
        <v>7062</v>
      </c>
      <c r="H316" s="591" t="s">
        <v>7063</v>
      </c>
      <c r="I316" s="589" t="s">
        <v>7064</v>
      </c>
      <c r="J316" s="579" t="s">
        <v>7065</v>
      </c>
      <c r="K316" s="579" t="s">
        <v>7066</v>
      </c>
      <c r="L316" s="579" t="s">
        <v>7067</v>
      </c>
      <c r="M316" s="579" t="s">
        <v>7068</v>
      </c>
      <c r="N316" s="579" t="s">
        <v>7069</v>
      </c>
    </row>
    <row r="317" spans="1:14" ht="29.4" thickBot="1">
      <c r="A317" s="481" t="s">
        <v>7070</v>
      </c>
      <c r="B317" s="478" t="str">
        <f t="shared" si="9"/>
        <v>Percentage of employees covered by collective bargaining agreements [%]</v>
      </c>
      <c r="C317" s="481" t="s">
        <v>7071</v>
      </c>
      <c r="D317" s="477" t="s">
        <v>7072</v>
      </c>
      <c r="E317" s="477" t="s">
        <v>7073</v>
      </c>
      <c r="F317" s="477" t="s">
        <v>7074</v>
      </c>
      <c r="G317" s="480" t="s">
        <v>7075</v>
      </c>
      <c r="H317" s="480" t="s">
        <v>7076</v>
      </c>
      <c r="I317" s="481" t="s">
        <v>7077</v>
      </c>
      <c r="J317" s="479" t="s">
        <v>7078</v>
      </c>
      <c r="K317" s="479" t="s">
        <v>7079</v>
      </c>
      <c r="L317" s="479" t="s">
        <v>7080</v>
      </c>
      <c r="M317" s="479" t="s">
        <v>7081</v>
      </c>
      <c r="N317" s="479" t="s">
        <v>7082</v>
      </c>
    </row>
    <row r="318" spans="1:14" ht="57.6">
      <c r="A318" s="2" t="s">
        <v>7083</v>
      </c>
      <c r="B318" s="474" t="str">
        <f t="shared" si="9"/>
        <v>B10 - Workforce - Number of annual training hours per employee during the reporting period</v>
      </c>
      <c r="C318" s="2" t="s">
        <v>7084</v>
      </c>
      <c r="D318" s="469" t="s">
        <v>7085</v>
      </c>
      <c r="E318" s="469" t="s">
        <v>7086</v>
      </c>
      <c r="F318" s="469" t="s">
        <v>7087</v>
      </c>
      <c r="G318" s="476" t="s">
        <v>7088</v>
      </c>
      <c r="H318" s="476" t="s">
        <v>7089</v>
      </c>
      <c r="I318" s="2" t="s">
        <v>7090</v>
      </c>
      <c r="J318" s="475" t="s">
        <v>7091</v>
      </c>
      <c r="K318" s="475" t="s">
        <v>7092</v>
      </c>
      <c r="L318" s="475" t="s">
        <v>7093</v>
      </c>
      <c r="M318" s="475" t="s">
        <v>7094</v>
      </c>
      <c r="N318" s="475" t="s">
        <v>7095</v>
      </c>
    </row>
    <row r="319" spans="1:14" s="540" customFormat="1" ht="28.8">
      <c r="A319" s="589" t="s">
        <v>7096</v>
      </c>
      <c r="B319" s="590" t="str">
        <f t="shared" si="9"/>
        <v>Total number of training hours offered to and completed by employees</v>
      </c>
      <c r="C319" s="589" t="s">
        <v>7097</v>
      </c>
      <c r="D319" s="576"/>
      <c r="E319" s="576"/>
      <c r="F319" s="576"/>
      <c r="G319" s="591"/>
      <c r="H319" s="591"/>
      <c r="I319" s="589"/>
      <c r="J319" s="579"/>
      <c r="K319" s="579"/>
      <c r="L319" s="579"/>
      <c r="M319" s="579"/>
      <c r="N319" s="579"/>
    </row>
    <row r="320" spans="1:14" s="540" customFormat="1">
      <c r="A320" s="589" t="s">
        <v>7098</v>
      </c>
      <c r="B320" s="590" t="str">
        <f t="shared" si="9"/>
        <v>Total number of employees in headcount</v>
      </c>
      <c r="C320" s="589" t="s">
        <v>7099</v>
      </c>
      <c r="D320" s="576"/>
      <c r="E320" s="576"/>
      <c r="F320" s="576"/>
      <c r="G320" s="591"/>
      <c r="H320" s="591"/>
      <c r="I320" s="589"/>
      <c r="J320" s="579"/>
      <c r="K320" s="579"/>
      <c r="L320" s="579"/>
      <c r="M320" s="579"/>
      <c r="N320" s="579"/>
    </row>
    <row r="321" spans="1:14" ht="29.4" thickBot="1">
      <c r="A321" s="481" t="s">
        <v>7100</v>
      </c>
      <c r="B321" s="478" t="str">
        <f t="shared" si="9"/>
        <v>Average number of annual training hours per employee</v>
      </c>
      <c r="C321" s="481" t="s">
        <v>7101</v>
      </c>
      <c r="D321" s="477" t="s">
        <v>7102</v>
      </c>
      <c r="E321" s="477" t="s">
        <v>7103</v>
      </c>
      <c r="F321" s="477" t="s">
        <v>7104</v>
      </c>
      <c r="G321" s="480" t="s">
        <v>7105</v>
      </c>
      <c r="H321" s="480" t="s">
        <v>7106</v>
      </c>
      <c r="I321" s="481" t="s">
        <v>7107</v>
      </c>
      <c r="J321" s="479" t="s">
        <v>7108</v>
      </c>
      <c r="K321" s="479" t="s">
        <v>7109</v>
      </c>
      <c r="L321" s="479" t="s">
        <v>7110</v>
      </c>
      <c r="M321" s="479" t="s">
        <v>7111</v>
      </c>
      <c r="N321" s="479" t="s">
        <v>7112</v>
      </c>
    </row>
    <row r="322" spans="1:14" ht="28.8">
      <c r="A322" s="2" t="s">
        <v>7113</v>
      </c>
      <c r="B322" s="474" t="str">
        <f t="shared" si="9"/>
        <v>C5 - Additional (general) workforce characteristics</v>
      </c>
      <c r="C322" s="2" t="s">
        <v>4309</v>
      </c>
      <c r="D322" s="469" t="s">
        <v>7114</v>
      </c>
      <c r="E322" s="469" t="s">
        <v>7115</v>
      </c>
      <c r="F322" s="469" t="s">
        <v>4312</v>
      </c>
      <c r="G322" s="476" t="s">
        <v>7116</v>
      </c>
      <c r="H322" s="476" t="s">
        <v>7117</v>
      </c>
      <c r="I322" s="2" t="s">
        <v>4315</v>
      </c>
      <c r="J322" s="475" t="s">
        <v>7118</v>
      </c>
      <c r="K322" s="475" t="s">
        <v>4317</v>
      </c>
      <c r="L322" s="475" t="s">
        <v>7119</v>
      </c>
      <c r="M322" s="475" t="s">
        <v>7120</v>
      </c>
      <c r="N322" s="475" t="s">
        <v>4320</v>
      </c>
    </row>
    <row r="323" spans="1:14" s="540" customFormat="1" ht="57.6">
      <c r="A323" s="589" t="s">
        <v>7121</v>
      </c>
      <c r="B323" s="590" t="str">
        <f>INDEX(C323:N323,MATCH(template_selected_display_language,$C$3:$N$3,0))</f>
        <v>Number of employees who left during the reporting period (in headcount)</v>
      </c>
      <c r="C323" s="589" t="s">
        <v>7122</v>
      </c>
      <c r="D323" s="576" t="s">
        <v>7123</v>
      </c>
      <c r="E323" s="576" t="s">
        <v>7124</v>
      </c>
      <c r="F323" s="576" t="s">
        <v>7125</v>
      </c>
      <c r="G323" s="591" t="s">
        <v>7126</v>
      </c>
      <c r="H323" s="591" t="s">
        <v>7127</v>
      </c>
      <c r="I323" s="589" t="s">
        <v>7128</v>
      </c>
      <c r="J323" s="579" t="s">
        <v>7129</v>
      </c>
      <c r="K323" s="579" t="s">
        <v>7130</v>
      </c>
      <c r="L323" s="579" t="s">
        <v>7131</v>
      </c>
      <c r="M323" s="579" t="s">
        <v>7132</v>
      </c>
      <c r="N323" s="579" t="s">
        <v>7133</v>
      </c>
    </row>
    <row r="324" spans="1:14" s="540" customFormat="1" ht="28.8">
      <c r="A324" s="589" t="s">
        <v>7134</v>
      </c>
      <c r="B324" s="590" t="str">
        <f>INDEX(C324:N324,MATCH(template_selected_display_language,$C$3:$N$3,0))</f>
        <v>Number of employees at the beginning of the reporting period (in headcount)</v>
      </c>
      <c r="C324" s="589" t="s">
        <v>7135</v>
      </c>
      <c r="D324" s="576" t="s">
        <v>7136</v>
      </c>
      <c r="E324" s="576" t="s">
        <v>7137</v>
      </c>
      <c r="F324" s="576" t="s">
        <v>7138</v>
      </c>
      <c r="G324" s="591" t="s">
        <v>7139</v>
      </c>
      <c r="H324" s="591" t="s">
        <v>7140</v>
      </c>
      <c r="I324" s="589" t="s">
        <v>7141</v>
      </c>
      <c r="J324" s="579" t="s">
        <v>7142</v>
      </c>
      <c r="K324" s="579" t="s">
        <v>7143</v>
      </c>
      <c r="L324" s="579" t="s">
        <v>7144</v>
      </c>
      <c r="M324" s="579" t="s">
        <v>7145</v>
      </c>
      <c r="N324" s="579" t="s">
        <v>7146</v>
      </c>
    </row>
    <row r="325" spans="1:14" s="540" customFormat="1" ht="28.8">
      <c r="A325" s="589" t="s">
        <v>7147</v>
      </c>
      <c r="B325" s="590" t="str">
        <f>INDEX(C325:N325,MATCH(template_selected_display_language,$C$3:$N$3,0))</f>
        <v>Number of employees at the end of the reporting period (in headcount)</v>
      </c>
      <c r="C325" s="589" t="s">
        <v>7148</v>
      </c>
      <c r="D325" s="576" t="s">
        <v>7149</v>
      </c>
      <c r="E325" s="576" t="s">
        <v>7150</v>
      </c>
      <c r="F325" s="576" t="s">
        <v>7151</v>
      </c>
      <c r="G325" s="591" t="s">
        <v>7152</v>
      </c>
      <c r="H325" s="591" t="s">
        <v>7153</v>
      </c>
      <c r="I325" s="589" t="s">
        <v>7154</v>
      </c>
      <c r="J325" s="579" t="s">
        <v>7155</v>
      </c>
      <c r="K325" s="579" t="s">
        <v>7156</v>
      </c>
      <c r="L325" s="579" t="s">
        <v>7157</v>
      </c>
      <c r="M325" s="579" t="s">
        <v>7158</v>
      </c>
      <c r="N325" s="579" t="s">
        <v>7159</v>
      </c>
    </row>
    <row r="326" spans="1:14" ht="58.2" thickBot="1">
      <c r="A326" s="481" t="s">
        <v>7160</v>
      </c>
      <c r="B326" s="478" t="str">
        <f>INDEX(C326:N326,MATCH(template_selected_display_language,$C$3:$N$3,0))</f>
        <v>Employee turnover rate [%]  in the reporting period</v>
      </c>
      <c r="C326" s="481" t="s">
        <v>7161</v>
      </c>
      <c r="D326" s="477" t="s">
        <v>7162</v>
      </c>
      <c r="E326" s="477" t="s">
        <v>7163</v>
      </c>
      <c r="F326" s="477" t="s">
        <v>7164</v>
      </c>
      <c r="G326" s="480" t="s">
        <v>7165</v>
      </c>
      <c r="H326" s="480" t="s">
        <v>7166</v>
      </c>
      <c r="I326" s="481" t="s">
        <v>7167</v>
      </c>
      <c r="J326" s="479" t="s">
        <v>7168</v>
      </c>
      <c r="K326" s="479" t="s">
        <v>7169</v>
      </c>
      <c r="L326" s="479" t="s">
        <v>7170</v>
      </c>
      <c r="M326" s="479" t="s">
        <v>7171</v>
      </c>
      <c r="N326" s="479" t="s">
        <v>7172</v>
      </c>
    </row>
    <row r="327" spans="1:14" ht="28.8">
      <c r="A327" s="2" t="s">
        <v>7173</v>
      </c>
      <c r="B327" s="474" t="str">
        <f t="shared" si="9"/>
        <v>Number of male employees at management level</v>
      </c>
      <c r="C327" s="2" t="s">
        <v>7174</v>
      </c>
      <c r="D327" s="469" t="s">
        <v>7175</v>
      </c>
      <c r="E327" s="469" t="s">
        <v>7176</v>
      </c>
      <c r="F327" s="469" t="s">
        <v>7177</v>
      </c>
      <c r="G327" s="476" t="s">
        <v>7178</v>
      </c>
      <c r="H327" s="476" t="s">
        <v>7179</v>
      </c>
      <c r="I327" s="2" t="s">
        <v>7180</v>
      </c>
      <c r="J327" s="475" t="s">
        <v>7181</v>
      </c>
      <c r="K327" s="475" t="s">
        <v>7182</v>
      </c>
      <c r="L327" s="475" t="s">
        <v>7183</v>
      </c>
      <c r="M327" s="475" t="s">
        <v>7184</v>
      </c>
      <c r="N327" s="475" t="s">
        <v>7185</v>
      </c>
    </row>
    <row r="328" spans="1:14" ht="28.8">
      <c r="A328" s="2" t="s">
        <v>7186</v>
      </c>
      <c r="B328" s="474" t="str">
        <f t="shared" si="9"/>
        <v>Number of female employees at management level</v>
      </c>
      <c r="C328" s="2" t="s">
        <v>7187</v>
      </c>
      <c r="D328" s="469" t="s">
        <v>7188</v>
      </c>
      <c r="E328" s="469" t="s">
        <v>7189</v>
      </c>
      <c r="F328" s="469" t="s">
        <v>7190</v>
      </c>
      <c r="G328" s="476" t="s">
        <v>7191</v>
      </c>
      <c r="H328" s="476" t="s">
        <v>7192</v>
      </c>
      <c r="I328" s="2" t="s">
        <v>7193</v>
      </c>
      <c r="J328" s="475" t="s">
        <v>7194</v>
      </c>
      <c r="K328" s="475" t="s">
        <v>7195</v>
      </c>
      <c r="L328" s="475" t="s">
        <v>7196</v>
      </c>
      <c r="M328" s="475" t="s">
        <v>7197</v>
      </c>
      <c r="N328" s="475" t="s">
        <v>7198</v>
      </c>
    </row>
    <row r="329" spans="1:14" ht="28.8">
      <c r="A329" s="2" t="s">
        <v>7199</v>
      </c>
      <c r="B329" s="474" t="str">
        <f t="shared" si="9"/>
        <v>Female-to-male ratio at management level for the reporting period</v>
      </c>
      <c r="C329" s="2" t="s">
        <v>7200</v>
      </c>
      <c r="D329" s="469" t="s">
        <v>7201</v>
      </c>
      <c r="E329" s="469" t="s">
        <v>7202</v>
      </c>
      <c r="F329" s="469" t="s">
        <v>7203</v>
      </c>
      <c r="G329" s="476" t="s">
        <v>7204</v>
      </c>
      <c r="H329" s="476" t="s">
        <v>7205</v>
      </c>
      <c r="I329" s="2" t="s">
        <v>7206</v>
      </c>
      <c r="J329" s="475" t="s">
        <v>7207</v>
      </c>
      <c r="K329" s="475" t="s">
        <v>7208</v>
      </c>
      <c r="L329" s="475" t="s">
        <v>7209</v>
      </c>
      <c r="M329" s="475" t="s">
        <v>7210</v>
      </c>
      <c r="N329" s="475" t="s">
        <v>7211</v>
      </c>
    </row>
    <row r="330" spans="1:14" ht="28.8">
      <c r="A330" s="2" t="s">
        <v>7212</v>
      </c>
      <c r="B330" s="474" t="str">
        <f t="shared" si="9"/>
        <v>Total self-employed workers without personnel that are working exclusively for the undertaking</v>
      </c>
      <c r="C330" s="2" t="s">
        <v>7213</v>
      </c>
      <c r="D330" s="469" t="s">
        <v>7214</v>
      </c>
      <c r="E330" s="469" t="s">
        <v>7215</v>
      </c>
      <c r="F330" s="469" t="s">
        <v>7216</v>
      </c>
      <c r="G330" s="476" t="s">
        <v>7217</v>
      </c>
      <c r="H330" s="476" t="s">
        <v>7218</v>
      </c>
      <c r="I330" s="2" t="s">
        <v>7219</v>
      </c>
      <c r="J330" s="475" t="s">
        <v>7220</v>
      </c>
      <c r="K330" s="475" t="s">
        <v>7221</v>
      </c>
      <c r="L330" s="475" t="s">
        <v>7222</v>
      </c>
      <c r="M330" s="475" t="s">
        <v>7223</v>
      </c>
      <c r="N330" s="475" t="s">
        <v>7224</v>
      </c>
    </row>
    <row r="331" spans="1:14" ht="43.8" thickBot="1">
      <c r="A331" s="481" t="s">
        <v>7225</v>
      </c>
      <c r="B331" s="478" t="str">
        <f t="shared" si="9"/>
        <v>Total temporary workers provided by undertakings primarily engaged in employment activities</v>
      </c>
      <c r="C331" s="481" t="s">
        <v>7226</v>
      </c>
      <c r="D331" s="477" t="s">
        <v>7227</v>
      </c>
      <c r="E331" s="477" t="s">
        <v>7228</v>
      </c>
      <c r="F331" s="477" t="s">
        <v>7229</v>
      </c>
      <c r="G331" s="480" t="s">
        <v>7230</v>
      </c>
      <c r="H331" s="480" t="s">
        <v>7231</v>
      </c>
      <c r="I331" s="481" t="s">
        <v>7232</v>
      </c>
      <c r="J331" s="479" t="s">
        <v>7233</v>
      </c>
      <c r="K331" s="479" t="s">
        <v>7234</v>
      </c>
      <c r="L331" s="479" t="s">
        <v>7235</v>
      </c>
      <c r="M331" s="479" t="s">
        <v>7236</v>
      </c>
      <c r="N331" s="479" t="s">
        <v>7237</v>
      </c>
    </row>
    <row r="332" spans="1:14" ht="43.2">
      <c r="A332" s="2" t="s">
        <v>7238</v>
      </c>
      <c r="B332" s="474" t="str">
        <f t="shared" si="9"/>
        <v>C6 - Additional own workforce information - Human rights policies and processes</v>
      </c>
      <c r="C332" s="2" t="s">
        <v>4322</v>
      </c>
      <c r="D332" s="469" t="s">
        <v>7239</v>
      </c>
      <c r="E332" s="469" t="s">
        <v>7240</v>
      </c>
      <c r="F332" s="469" t="s">
        <v>7241</v>
      </c>
      <c r="G332" s="476" t="s">
        <v>7242</v>
      </c>
      <c r="H332" s="476" t="s">
        <v>7243</v>
      </c>
      <c r="I332" s="2" t="s">
        <v>7244</v>
      </c>
      <c r="J332" s="475" t="s">
        <v>7245</v>
      </c>
      <c r="K332" s="475" t="s">
        <v>4330</v>
      </c>
      <c r="L332" s="475" t="s">
        <v>7246</v>
      </c>
      <c r="M332" s="475" t="s">
        <v>7247</v>
      </c>
      <c r="N332" s="475" t="s">
        <v>4333</v>
      </c>
    </row>
    <row r="333" spans="1:14" ht="43.2">
      <c r="A333" s="2" t="s">
        <v>7248</v>
      </c>
      <c r="B333" s="474" t="str">
        <f t="shared" si="9"/>
        <v>Does the undertaking have a code of conduct or human rights policy for its own workforce?</v>
      </c>
      <c r="C333" s="2" t="s">
        <v>7249</v>
      </c>
      <c r="D333" s="469" t="s">
        <v>7250</v>
      </c>
      <c r="E333" s="469" t="s">
        <v>7251</v>
      </c>
      <c r="F333" s="469" t="s">
        <v>7252</v>
      </c>
      <c r="G333" s="476" t="s">
        <v>7253</v>
      </c>
      <c r="H333" s="476" t="s">
        <v>7254</v>
      </c>
      <c r="I333" s="2" t="s">
        <v>7255</v>
      </c>
      <c r="J333" s="475" t="s">
        <v>7256</v>
      </c>
      <c r="K333" s="475" t="s">
        <v>7257</v>
      </c>
      <c r="L333" s="475" t="s">
        <v>7258</v>
      </c>
      <c r="M333" s="475" t="s">
        <v>7259</v>
      </c>
      <c r="N333" s="475" t="s">
        <v>7260</v>
      </c>
    </row>
    <row r="334" spans="1:14">
      <c r="A334" s="2" t="s">
        <v>7261</v>
      </c>
      <c r="B334" s="474" t="str">
        <f t="shared" si="9"/>
        <v>If yes does this cover:</v>
      </c>
      <c r="C334" s="2" t="s">
        <v>7262</v>
      </c>
      <c r="D334" s="469" t="s">
        <v>7263</v>
      </c>
      <c r="E334" s="469" t="s">
        <v>7264</v>
      </c>
      <c r="F334" s="469" t="s">
        <v>7265</v>
      </c>
      <c r="G334" s="476" t="s">
        <v>7266</v>
      </c>
      <c r="H334" s="476" t="s">
        <v>7267</v>
      </c>
      <c r="I334" s="2" t="s">
        <v>7268</v>
      </c>
      <c r="J334" s="475" t="s">
        <v>7269</v>
      </c>
      <c r="K334" s="475" t="s">
        <v>7270</v>
      </c>
      <c r="L334" s="475" t="s">
        <v>7271</v>
      </c>
      <c r="M334" s="475" t="s">
        <v>7272</v>
      </c>
      <c r="N334" s="475" t="s">
        <v>7273</v>
      </c>
    </row>
    <row r="335" spans="1:14">
      <c r="A335" s="2" t="s">
        <v>7274</v>
      </c>
      <c r="B335" s="474" t="str">
        <f t="shared" si="9"/>
        <v>child labour</v>
      </c>
      <c r="C335" s="2" t="s">
        <v>7275</v>
      </c>
      <c r="D335" s="469" t="s">
        <v>7276</v>
      </c>
      <c r="E335" s="469" t="s">
        <v>7277</v>
      </c>
      <c r="F335" s="469" t="s">
        <v>7278</v>
      </c>
      <c r="G335" s="476" t="s">
        <v>7279</v>
      </c>
      <c r="H335" s="476" t="s">
        <v>7280</v>
      </c>
      <c r="I335" s="2" t="s">
        <v>7281</v>
      </c>
      <c r="J335" s="475" t="s">
        <v>7282</v>
      </c>
      <c r="K335" s="475" t="s">
        <v>7283</v>
      </c>
      <c r="L335" s="475" t="s">
        <v>7284</v>
      </c>
      <c r="M335" s="475" t="s">
        <v>7285</v>
      </c>
      <c r="N335" s="475" t="s">
        <v>7286</v>
      </c>
    </row>
    <row r="336" spans="1:14">
      <c r="A336" s="2" t="s">
        <v>7287</v>
      </c>
      <c r="B336" s="474" t="str">
        <f t="shared" si="9"/>
        <v>forced labour</v>
      </c>
      <c r="C336" s="2" t="s">
        <v>7288</v>
      </c>
      <c r="D336" s="469" t="s">
        <v>7289</v>
      </c>
      <c r="E336" s="469" t="s">
        <v>7290</v>
      </c>
      <c r="F336" s="469" t="s">
        <v>7291</v>
      </c>
      <c r="G336" s="476" t="s">
        <v>7292</v>
      </c>
      <c r="H336" s="476" t="s">
        <v>7293</v>
      </c>
      <c r="I336" s="2" t="s">
        <v>7294</v>
      </c>
      <c r="J336" s="475" t="s">
        <v>7295</v>
      </c>
      <c r="K336" s="475" t="s">
        <v>7296</v>
      </c>
      <c r="L336" s="475" t="s">
        <v>7297</v>
      </c>
      <c r="M336" s="475" t="s">
        <v>7298</v>
      </c>
      <c r="N336" s="475" t="s">
        <v>7299</v>
      </c>
    </row>
    <row r="337" spans="1:14">
      <c r="A337" s="2" t="s">
        <v>7300</v>
      </c>
      <c r="B337" s="474" t="str">
        <f t="shared" si="9"/>
        <v>human trafficking</v>
      </c>
      <c r="C337" s="2" t="s">
        <v>7301</v>
      </c>
      <c r="D337" s="469" t="s">
        <v>7302</v>
      </c>
      <c r="E337" s="469" t="s">
        <v>7303</v>
      </c>
      <c r="F337" s="469" t="s">
        <v>7304</v>
      </c>
      <c r="G337" s="476" t="s">
        <v>7305</v>
      </c>
      <c r="H337" s="476" t="s">
        <v>7306</v>
      </c>
      <c r="I337" s="2" t="s">
        <v>7307</v>
      </c>
      <c r="J337" s="475" t="s">
        <v>7308</v>
      </c>
      <c r="K337" s="475" t="s">
        <v>7309</v>
      </c>
      <c r="L337" s="475" t="s">
        <v>7310</v>
      </c>
      <c r="M337" s="475" t="s">
        <v>7311</v>
      </c>
      <c r="N337" s="475" t="s">
        <v>7312</v>
      </c>
    </row>
    <row r="338" spans="1:14">
      <c r="A338" s="2" t="s">
        <v>7313</v>
      </c>
      <c r="B338" s="474" t="str">
        <f t="shared" si="9"/>
        <v>discrimination</v>
      </c>
      <c r="C338" s="2" t="s">
        <v>7314</v>
      </c>
      <c r="D338" s="469" t="s">
        <v>7315</v>
      </c>
      <c r="E338" s="469" t="s">
        <v>7316</v>
      </c>
      <c r="F338" s="469" t="s">
        <v>7314</v>
      </c>
      <c r="G338" s="476" t="s">
        <v>7317</v>
      </c>
      <c r="H338" s="476" t="s">
        <v>7318</v>
      </c>
      <c r="I338" s="2" t="s">
        <v>7319</v>
      </c>
      <c r="J338" s="475" t="s">
        <v>7320</v>
      </c>
      <c r="K338" s="475" t="s">
        <v>7321</v>
      </c>
      <c r="L338" s="475" t="s">
        <v>7322</v>
      </c>
      <c r="M338" s="475" t="s">
        <v>7320</v>
      </c>
      <c r="N338" s="475" t="s">
        <v>7323</v>
      </c>
    </row>
    <row r="339" spans="1:14">
      <c r="A339" s="2" t="s">
        <v>7324</v>
      </c>
      <c r="B339" s="474" t="str">
        <f t="shared" si="9"/>
        <v>accident prevention</v>
      </c>
      <c r="C339" s="2" t="s">
        <v>7325</v>
      </c>
      <c r="D339" s="469" t="s">
        <v>7326</v>
      </c>
      <c r="E339" s="469" t="s">
        <v>7327</v>
      </c>
      <c r="F339" s="469" t="s">
        <v>7328</v>
      </c>
      <c r="G339" s="476" t="s">
        <v>7329</v>
      </c>
      <c r="H339" s="476" t="s">
        <v>7330</v>
      </c>
      <c r="I339" s="2" t="s">
        <v>7331</v>
      </c>
      <c r="J339" s="475" t="s">
        <v>7332</v>
      </c>
      <c r="K339" s="475" t="s">
        <v>7333</v>
      </c>
      <c r="L339" s="475" t="s">
        <v>7334</v>
      </c>
      <c r="M339" s="475" t="s">
        <v>7335</v>
      </c>
      <c r="N339" s="475" t="s">
        <v>7336</v>
      </c>
    </row>
    <row r="340" spans="1:14">
      <c r="A340" s="2" t="s">
        <v>7337</v>
      </c>
      <c r="B340" s="474" t="str">
        <f t="shared" si="9"/>
        <v>other? ( if yes specify)</v>
      </c>
      <c r="C340" s="2" t="s">
        <v>7338</v>
      </c>
      <c r="D340" s="469" t="s">
        <v>7339</v>
      </c>
      <c r="E340" s="469" t="s">
        <v>7340</v>
      </c>
      <c r="F340" s="469" t="s">
        <v>7341</v>
      </c>
      <c r="G340" s="476" t="s">
        <v>7342</v>
      </c>
      <c r="H340" s="476" t="s">
        <v>7343</v>
      </c>
      <c r="I340" s="2" t="s">
        <v>7344</v>
      </c>
      <c r="J340" s="475" t="s">
        <v>7345</v>
      </c>
      <c r="K340" s="475" t="s">
        <v>7346</v>
      </c>
      <c r="L340" s="475" t="s">
        <v>7347</v>
      </c>
      <c r="M340" s="475" t="s">
        <v>7348</v>
      </c>
      <c r="N340" s="475" t="s">
        <v>7349</v>
      </c>
    </row>
    <row r="341" spans="1:14" ht="43.2">
      <c r="A341" s="2" t="s">
        <v>7350</v>
      </c>
      <c r="B341" s="474" t="str">
        <f t="shared" si="9"/>
        <v>Specify other types of content covered by the code of conduct or human rights policy</v>
      </c>
      <c r="C341" s="2" t="s">
        <v>7351</v>
      </c>
      <c r="D341" s="469" t="s">
        <v>7352</v>
      </c>
      <c r="E341" s="469" t="s">
        <v>7353</v>
      </c>
      <c r="F341" s="469" t="s">
        <v>7354</v>
      </c>
      <c r="G341" s="476" t="s">
        <v>7355</v>
      </c>
      <c r="H341" s="476" t="s">
        <v>7356</v>
      </c>
      <c r="I341" s="2" t="s">
        <v>7357</v>
      </c>
      <c r="J341" s="475" t="s">
        <v>7358</v>
      </c>
      <c r="K341" s="475" t="s">
        <v>7359</v>
      </c>
      <c r="L341" s="475" t="s">
        <v>7360</v>
      </c>
      <c r="M341" s="475" t="s">
        <v>7361</v>
      </c>
      <c r="N341" s="475" t="s">
        <v>7362</v>
      </c>
    </row>
    <row r="342" spans="1:14" ht="43.8" thickBot="1">
      <c r="A342" s="481" t="s">
        <v>7363</v>
      </c>
      <c r="B342" s="478" t="str">
        <f t="shared" si="9"/>
        <v>Does the undertaking have a complaint-handling mechanism for its own workforce?</v>
      </c>
      <c r="C342" s="481" t="s">
        <v>7364</v>
      </c>
      <c r="D342" s="477" t="s">
        <v>7365</v>
      </c>
      <c r="E342" s="477" t="s">
        <v>7366</v>
      </c>
      <c r="F342" s="484" t="s">
        <v>7367</v>
      </c>
      <c r="G342" s="480" t="s">
        <v>7368</v>
      </c>
      <c r="H342" s="480" t="s">
        <v>7369</v>
      </c>
      <c r="I342" s="481" t="s">
        <v>7370</v>
      </c>
      <c r="J342" s="479" t="s">
        <v>7371</v>
      </c>
      <c r="K342" s="479" t="s">
        <v>7372</v>
      </c>
      <c r="L342" s="479" t="s">
        <v>7373</v>
      </c>
      <c r="M342" s="479" t="s">
        <v>7374</v>
      </c>
      <c r="N342" s="479" t="s">
        <v>7375</v>
      </c>
    </row>
    <row r="343" spans="1:14" s="540" customFormat="1" ht="28.8">
      <c r="A343" s="589" t="s">
        <v>7376</v>
      </c>
      <c r="B343" s="590" t="str">
        <f t="shared" si="9"/>
        <v>C7 - Human rights incidents</v>
      </c>
      <c r="C343" s="589" t="s">
        <v>4335</v>
      </c>
      <c r="D343" s="576" t="s">
        <v>4336</v>
      </c>
      <c r="E343" s="576" t="s">
        <v>7377</v>
      </c>
      <c r="F343" s="576" t="s">
        <v>4338</v>
      </c>
      <c r="G343" s="591" t="s">
        <v>7378</v>
      </c>
      <c r="H343" s="591" t="s">
        <v>7379</v>
      </c>
      <c r="I343" s="589" t="s">
        <v>7380</v>
      </c>
      <c r="J343" s="579" t="s">
        <v>7381</v>
      </c>
      <c r="K343" s="579" t="s">
        <v>4343</v>
      </c>
      <c r="L343" s="579" t="s">
        <v>7382</v>
      </c>
      <c r="M343" s="579" t="s">
        <v>7383</v>
      </c>
      <c r="N343" s="579" t="s">
        <v>7384</v>
      </c>
    </row>
    <row r="344" spans="1:14" ht="43.2">
      <c r="A344" s="2" t="s">
        <v>7385</v>
      </c>
      <c r="B344" s="474" t="str">
        <f t="shared" si="9"/>
        <v>Does the undertaking have confirmed incidents in its own workforce?</v>
      </c>
      <c r="C344" s="2" t="s">
        <v>7386</v>
      </c>
      <c r="D344" s="469" t="s">
        <v>7387</v>
      </c>
      <c r="E344" s="469" t="s">
        <v>7388</v>
      </c>
      <c r="F344" s="469" t="s">
        <v>7389</v>
      </c>
      <c r="G344" s="476" t="s">
        <v>7390</v>
      </c>
      <c r="H344" s="476" t="s">
        <v>7391</v>
      </c>
      <c r="I344" s="2" t="s">
        <v>7392</v>
      </c>
      <c r="J344" s="475" t="s">
        <v>7393</v>
      </c>
      <c r="K344" s="475" t="s">
        <v>7394</v>
      </c>
      <c r="L344" s="475" t="s">
        <v>7395</v>
      </c>
      <c r="M344" s="475" t="s">
        <v>7396</v>
      </c>
      <c r="N344" s="475" t="s">
        <v>7397</v>
      </c>
    </row>
    <row r="345" spans="1:14">
      <c r="A345" s="2" t="s">
        <v>7398</v>
      </c>
      <c r="B345" s="474" t="str">
        <f t="shared" si="9"/>
        <v>If yes are incidents related to:</v>
      </c>
      <c r="C345" s="2" t="s">
        <v>7399</v>
      </c>
      <c r="D345" s="469" t="s">
        <v>7400</v>
      </c>
      <c r="E345" s="469" t="s">
        <v>7401</v>
      </c>
      <c r="F345" s="469" t="s">
        <v>7402</v>
      </c>
      <c r="G345" s="476" t="s">
        <v>7403</v>
      </c>
      <c r="H345" s="476" t="s">
        <v>7404</v>
      </c>
      <c r="I345" s="2" t="s">
        <v>7405</v>
      </c>
      <c r="J345" s="475" t="s">
        <v>7406</v>
      </c>
      <c r="K345" s="475" t="s">
        <v>7407</v>
      </c>
      <c r="L345" s="475" t="s">
        <v>7408</v>
      </c>
      <c r="M345" s="475" t="s">
        <v>7409</v>
      </c>
      <c r="N345" s="475" t="s">
        <v>7410</v>
      </c>
    </row>
    <row r="346" spans="1:14" ht="57.6">
      <c r="A346" s="2" t="s">
        <v>7411</v>
      </c>
      <c r="B346" s="474" t="str">
        <f t="shared" si="9"/>
        <v>Specify other human rights related to the confirmed incidents</v>
      </c>
      <c r="C346" s="2" t="s">
        <v>7412</v>
      </c>
      <c r="D346" s="469" t="s">
        <v>7413</v>
      </c>
      <c r="E346" s="469" t="s">
        <v>7414</v>
      </c>
      <c r="F346" s="469" t="s">
        <v>7415</v>
      </c>
      <c r="G346" s="476" t="s">
        <v>7416</v>
      </c>
      <c r="H346" s="476" t="s">
        <v>7417</v>
      </c>
      <c r="I346" s="2" t="s">
        <v>7418</v>
      </c>
      <c r="J346" s="475" t="s">
        <v>7419</v>
      </c>
      <c r="K346" s="475" t="s">
        <v>7420</v>
      </c>
      <c r="L346" s="475" t="s">
        <v>7421</v>
      </c>
      <c r="M346" s="475" t="s">
        <v>7422</v>
      </c>
      <c r="N346" s="475" t="s">
        <v>7423</v>
      </c>
    </row>
    <row r="347" spans="1:14" ht="57.6">
      <c r="A347" s="2" t="s">
        <v>7424</v>
      </c>
      <c r="B347" s="474" t="str">
        <f t="shared" si="9"/>
        <v>Description of actions taken to address the confirmed incidents</v>
      </c>
      <c r="C347" s="2" t="s">
        <v>7425</v>
      </c>
      <c r="D347" s="469" t="s">
        <v>7426</v>
      </c>
      <c r="E347" s="469" t="s">
        <v>7427</v>
      </c>
      <c r="F347" s="469" t="s">
        <v>7428</v>
      </c>
      <c r="G347" s="476" t="s">
        <v>7429</v>
      </c>
      <c r="H347" s="476" t="s">
        <v>7430</v>
      </c>
      <c r="I347" s="2" t="s">
        <v>7431</v>
      </c>
      <c r="J347" s="475" t="s">
        <v>7432</v>
      </c>
      <c r="K347" s="475" t="s">
        <v>7433</v>
      </c>
      <c r="L347" s="475" t="s">
        <v>7434</v>
      </c>
      <c r="M347" s="475" t="s">
        <v>7435</v>
      </c>
      <c r="N347" s="475" t="s">
        <v>7436</v>
      </c>
    </row>
    <row r="348" spans="1:14" s="540" customFormat="1" ht="72">
      <c r="A348" s="589" t="s">
        <v>7437</v>
      </c>
      <c r="B348" s="590" t="str">
        <f t="shared" si="9"/>
        <v>Is the undertaking aware of any confirmed incidents involving workers in the value chain affected communities consumers and end-users identified in the reporting period?</v>
      </c>
      <c r="C348" s="589" t="s">
        <v>7438</v>
      </c>
      <c r="D348" s="576" t="s">
        <v>7439</v>
      </c>
      <c r="E348" s="576" t="s">
        <v>7440</v>
      </c>
      <c r="F348" s="576" t="s">
        <v>7441</v>
      </c>
      <c r="G348" s="591" t="s">
        <v>7442</v>
      </c>
      <c r="H348" s="591" t="s">
        <v>7443</v>
      </c>
      <c r="I348" s="589" t="s">
        <v>7444</v>
      </c>
      <c r="J348" s="579" t="s">
        <v>7445</v>
      </c>
      <c r="K348" s="579" t="s">
        <v>7446</v>
      </c>
      <c r="L348" s="579" t="s">
        <v>7447</v>
      </c>
      <c r="M348" s="579" t="s">
        <v>7448</v>
      </c>
      <c r="N348" s="579" t="s">
        <v>7449</v>
      </c>
    </row>
    <row r="349" spans="1:14" s="540" customFormat="1" ht="72.599999999999994" thickBot="1">
      <c r="A349" s="598" t="s">
        <v>7450</v>
      </c>
      <c r="B349" s="599" t="str">
        <f t="shared" si="9"/>
        <v>Specification of any confirmed incident identified in the reporitng period involving workers in the value chain affected communities consumers and end-users</v>
      </c>
      <c r="C349" s="598" t="s">
        <v>7451</v>
      </c>
      <c r="D349" s="600" t="s">
        <v>7452</v>
      </c>
      <c r="E349" s="600" t="s">
        <v>7453</v>
      </c>
      <c r="F349" s="600" t="s">
        <v>7454</v>
      </c>
      <c r="G349" s="601" t="s">
        <v>7455</v>
      </c>
      <c r="H349" s="601" t="s">
        <v>7456</v>
      </c>
      <c r="I349" s="598" t="s">
        <v>7457</v>
      </c>
      <c r="J349" s="602" t="s">
        <v>7458</v>
      </c>
      <c r="K349" s="602" t="s">
        <v>7459</v>
      </c>
      <c r="L349" s="602" t="s">
        <v>7460</v>
      </c>
      <c r="M349" s="602" t="s">
        <v>7461</v>
      </c>
      <c r="N349" s="602" t="s">
        <v>7462</v>
      </c>
    </row>
    <row r="350" spans="1:14" ht="57.6">
      <c r="A350" s="526" t="s">
        <v>7463</v>
      </c>
      <c r="B350" s="527" t="str">
        <f t="shared" si="9"/>
        <v>Disclosure of any other social and/or entity specific social disclosures</v>
      </c>
      <c r="C350" s="2" t="s">
        <v>7464</v>
      </c>
      <c r="D350" s="2" t="s">
        <v>7465</v>
      </c>
      <c r="E350" s="2" t="s">
        <v>7466</v>
      </c>
      <c r="F350" s="2" t="s">
        <v>7467</v>
      </c>
      <c r="G350" s="2" t="s">
        <v>7468</v>
      </c>
      <c r="H350" s="2" t="s">
        <v>7469</v>
      </c>
      <c r="I350" s="2" t="s">
        <v>7470</v>
      </c>
      <c r="J350" s="2" t="s">
        <v>7471</v>
      </c>
      <c r="K350" s="2" t="s">
        <v>7472</v>
      </c>
      <c r="L350" s="2" t="s">
        <v>7473</v>
      </c>
      <c r="M350" s="2" t="s">
        <v>7474</v>
      </c>
      <c r="N350" s="2" t="s">
        <v>7475</v>
      </c>
    </row>
    <row r="351" spans="1:14" ht="43.2">
      <c r="A351" s="2" t="s">
        <v>7476</v>
      </c>
      <c r="B351" s="2" t="str">
        <f t="shared" si="9"/>
        <v>B11 - Convictions and fines for corruption and bribery</v>
      </c>
      <c r="C351" s="2" t="s">
        <v>4239</v>
      </c>
      <c r="D351" s="469" t="s">
        <v>4240</v>
      </c>
      <c r="E351" s="469" t="s">
        <v>7477</v>
      </c>
      <c r="F351" s="469" t="s">
        <v>4242</v>
      </c>
      <c r="G351" s="476" t="s">
        <v>7478</v>
      </c>
      <c r="H351" s="476" t="s">
        <v>7479</v>
      </c>
      <c r="I351" s="2" t="s">
        <v>7480</v>
      </c>
      <c r="J351" s="475" t="s">
        <v>7481</v>
      </c>
      <c r="K351" s="475" t="s">
        <v>4247</v>
      </c>
      <c r="L351" s="475" t="s">
        <v>7482</v>
      </c>
      <c r="M351" s="475" t="s">
        <v>7483</v>
      </c>
      <c r="N351" s="475" t="s">
        <v>7484</v>
      </c>
    </row>
    <row r="352" spans="1:14" ht="28.8">
      <c r="A352" s="2" t="s">
        <v>7485</v>
      </c>
      <c r="B352" s="2" t="str">
        <f t="shared" si="9"/>
        <v>Has the undertaking incurred in convictions and fines in the reporting period?</v>
      </c>
      <c r="C352" s="2" t="s">
        <v>7486</v>
      </c>
      <c r="D352" s="469" t="s">
        <v>7487</v>
      </c>
      <c r="E352" s="469" t="s">
        <v>7488</v>
      </c>
      <c r="F352" s="469" t="s">
        <v>7489</v>
      </c>
      <c r="G352" s="476" t="s">
        <v>7490</v>
      </c>
      <c r="H352" s="476" t="s">
        <v>7491</v>
      </c>
      <c r="I352" s="2" t="s">
        <v>7492</v>
      </c>
      <c r="J352" s="475" t="s">
        <v>7493</v>
      </c>
      <c r="K352" s="475" t="s">
        <v>7494</v>
      </c>
      <c r="L352" s="475" t="s">
        <v>7495</v>
      </c>
      <c r="M352" s="475" t="s">
        <v>7496</v>
      </c>
      <c r="N352" s="475" t="s">
        <v>7497</v>
      </c>
    </row>
    <row r="353" spans="1:14" ht="57.6">
      <c r="A353" s="2" t="s">
        <v>7498</v>
      </c>
      <c r="B353" s="2" t="str">
        <f t="shared" si="9"/>
        <v>Total number of convictions  for the violation of anti-corruption and anti-bribery laws</v>
      </c>
      <c r="C353" s="2" t="s">
        <v>7499</v>
      </c>
      <c r="D353" s="469" t="s">
        <v>7500</v>
      </c>
      <c r="E353" s="469" t="s">
        <v>7501</v>
      </c>
      <c r="F353" s="469" t="s">
        <v>7502</v>
      </c>
      <c r="G353" s="476" t="s">
        <v>7503</v>
      </c>
      <c r="H353" s="476" t="s">
        <v>7504</v>
      </c>
      <c r="I353" s="2" t="s">
        <v>7505</v>
      </c>
      <c r="J353" s="475" t="s">
        <v>7506</v>
      </c>
      <c r="K353" s="475" t="s">
        <v>7507</v>
      </c>
      <c r="L353" s="475" t="s">
        <v>7508</v>
      </c>
      <c r="M353" s="475" t="s">
        <v>7509</v>
      </c>
      <c r="N353" s="475" t="s">
        <v>7510</v>
      </c>
    </row>
    <row r="354" spans="1:14" ht="58.2" thickBot="1">
      <c r="A354" s="481" t="s">
        <v>7511</v>
      </c>
      <c r="B354" s="481" t="str">
        <f t="shared" si="9"/>
        <v>Total amount of fines for the violation of anti-corruption and anti-bribery laws</v>
      </c>
      <c r="C354" s="481" t="s">
        <v>7512</v>
      </c>
      <c r="D354" s="477" t="s">
        <v>7513</v>
      </c>
      <c r="E354" s="477" t="s">
        <v>7514</v>
      </c>
      <c r="F354" s="477" t="s">
        <v>7515</v>
      </c>
      <c r="G354" s="480" t="s">
        <v>7516</v>
      </c>
      <c r="H354" s="480" t="s">
        <v>7517</v>
      </c>
      <c r="I354" s="481" t="s">
        <v>7518</v>
      </c>
      <c r="J354" s="479" t="s">
        <v>7519</v>
      </c>
      <c r="K354" s="479" t="s">
        <v>7520</v>
      </c>
      <c r="L354" s="479" t="s">
        <v>7521</v>
      </c>
      <c r="M354" s="479" t="s">
        <v>7522</v>
      </c>
      <c r="N354" s="479" t="s">
        <v>7523</v>
      </c>
    </row>
    <row r="355" spans="1:14">
      <c r="A355" s="2" t="s">
        <v>7524</v>
      </c>
      <c r="B355" s="2" t="str">
        <f t="shared" si="9"/>
        <v>C8 - Revenues from certain activities</v>
      </c>
      <c r="C355" s="2" t="s">
        <v>4348</v>
      </c>
      <c r="D355" s="469" t="s">
        <v>7525</v>
      </c>
      <c r="E355" s="469" t="s">
        <v>7526</v>
      </c>
      <c r="F355" s="469" t="s">
        <v>7527</v>
      </c>
      <c r="G355" s="476" t="s">
        <v>7528</v>
      </c>
      <c r="H355" s="476" t="s">
        <v>7529</v>
      </c>
      <c r="I355" s="2" t="s">
        <v>7530</v>
      </c>
      <c r="J355" s="475" t="s">
        <v>7531</v>
      </c>
      <c r="K355" s="475" t="s">
        <v>7532</v>
      </c>
      <c r="L355" s="475" t="s">
        <v>7533</v>
      </c>
      <c r="M355" s="475" t="s">
        <v>7534</v>
      </c>
      <c r="N355" s="475" t="s">
        <v>7535</v>
      </c>
    </row>
    <row r="356" spans="1:14" ht="28.8">
      <c r="A356" s="2" t="s">
        <v>7536</v>
      </c>
      <c r="B356" s="2" t="str">
        <f t="shared" si="9"/>
        <v>Is the undertaking deriving revenues from one of the activities listed below?</v>
      </c>
      <c r="C356" s="2" t="s">
        <v>7537</v>
      </c>
      <c r="D356" s="469" t="s">
        <v>7538</v>
      </c>
      <c r="E356" s="469" t="s">
        <v>7539</v>
      </c>
      <c r="F356" s="469" t="s">
        <v>7540</v>
      </c>
      <c r="G356" s="476" t="s">
        <v>7541</v>
      </c>
      <c r="H356" s="476" t="s">
        <v>7542</v>
      </c>
      <c r="I356" s="2" t="s">
        <v>7543</v>
      </c>
      <c r="J356" s="475" t="s">
        <v>7544</v>
      </c>
      <c r="K356" s="475" t="s">
        <v>7545</v>
      </c>
      <c r="L356" s="475" t="s">
        <v>7546</v>
      </c>
      <c r="M356" s="475" t="s">
        <v>7547</v>
      </c>
      <c r="N356" s="475" t="s">
        <v>7548</v>
      </c>
    </row>
    <row r="357" spans="1:14">
      <c r="A357" s="2" t="s">
        <v>7549</v>
      </c>
      <c r="B357" s="2" t="str">
        <f t="shared" si="9"/>
        <v>Monetary amount in</v>
      </c>
      <c r="C357" s="2" t="s">
        <v>7550</v>
      </c>
      <c r="D357" s="469" t="s">
        <v>7551</v>
      </c>
      <c r="E357" s="469" t="s">
        <v>7552</v>
      </c>
      <c r="F357" s="469" t="s">
        <v>7553</v>
      </c>
      <c r="G357" s="476" t="s">
        <v>4447</v>
      </c>
      <c r="H357" s="476" t="s">
        <v>7554</v>
      </c>
      <c r="I357" s="2" t="s">
        <v>7555</v>
      </c>
      <c r="J357" s="475" t="s">
        <v>7556</v>
      </c>
      <c r="K357" s="475" t="s">
        <v>7557</v>
      </c>
      <c r="L357" s="475" t="s">
        <v>7558</v>
      </c>
      <c r="M357" s="475" t="s">
        <v>7559</v>
      </c>
      <c r="N357" s="475" t="s">
        <v>7560</v>
      </c>
    </row>
    <row r="358" spans="1:14" s="540" customFormat="1" ht="43.2">
      <c r="A358" s="589" t="s">
        <v>7561</v>
      </c>
      <c r="B358" s="589" t="str">
        <f t="shared" ref="B358:B416" si="10">INDEX(C358:N358,MATCH(template_selected_display_language,$C$3:$N$3,0))</f>
        <v>Revenue derived from the prohibited weapons industry (anti-personnel mines, cluster munitions, chemical weapons and biological weapons)</v>
      </c>
      <c r="C358" s="589" t="s">
        <v>7562</v>
      </c>
      <c r="D358" s="576" t="s">
        <v>7563</v>
      </c>
      <c r="E358" s="576" t="s">
        <v>7564</v>
      </c>
      <c r="F358" s="576" t="s">
        <v>7565</v>
      </c>
      <c r="G358" s="591" t="s">
        <v>7566</v>
      </c>
      <c r="H358" s="591" t="s">
        <v>7567</v>
      </c>
      <c r="I358" s="589" t="s">
        <v>7568</v>
      </c>
      <c r="J358" s="579" t="s">
        <v>7569</v>
      </c>
      <c r="K358" s="579" t="s">
        <v>7570</v>
      </c>
      <c r="L358" s="579" t="s">
        <v>7571</v>
      </c>
      <c r="M358" s="579" t="s">
        <v>7572</v>
      </c>
      <c r="N358" s="579" t="s">
        <v>7573</v>
      </c>
    </row>
    <row r="359" spans="1:14" ht="43.2">
      <c r="A359" s="2" t="s">
        <v>7574</v>
      </c>
      <c r="B359" s="2" t="str">
        <f t="shared" si="10"/>
        <v>Revenue derived from cultivation and production of tobacco</v>
      </c>
      <c r="C359" s="2" t="s">
        <v>7575</v>
      </c>
      <c r="D359" s="469" t="s">
        <v>7576</v>
      </c>
      <c r="E359" s="469" t="s">
        <v>7577</v>
      </c>
      <c r="F359" s="469" t="s">
        <v>7578</v>
      </c>
      <c r="G359" s="476" t="s">
        <v>7579</v>
      </c>
      <c r="H359" s="476" t="s">
        <v>7580</v>
      </c>
      <c r="I359" s="2" t="s">
        <v>7581</v>
      </c>
      <c r="J359" s="475" t="s">
        <v>7582</v>
      </c>
      <c r="K359" s="475" t="s">
        <v>7583</v>
      </c>
      <c r="L359" s="475" t="s">
        <v>7584</v>
      </c>
      <c r="M359" s="475" t="s">
        <v>7585</v>
      </c>
      <c r="N359" s="475" t="s">
        <v>7586</v>
      </c>
    </row>
    <row r="360" spans="1:14">
      <c r="A360" s="2" t="s">
        <v>7587</v>
      </c>
      <c r="B360" s="2" t="str">
        <f t="shared" si="10"/>
        <v>Revenue derived from coal</v>
      </c>
      <c r="C360" s="2" t="s">
        <v>7588</v>
      </c>
      <c r="D360" s="469" t="s">
        <v>7589</v>
      </c>
      <c r="E360" s="469" t="s">
        <v>7590</v>
      </c>
      <c r="F360" s="469" t="s">
        <v>7591</v>
      </c>
      <c r="G360" s="476" t="s">
        <v>7592</v>
      </c>
      <c r="H360" s="476" t="s">
        <v>7593</v>
      </c>
      <c r="I360" s="2" t="s">
        <v>7594</v>
      </c>
      <c r="J360" s="475" t="s">
        <v>7595</v>
      </c>
      <c r="K360" s="475" t="s">
        <v>7596</v>
      </c>
      <c r="L360" s="475" t="s">
        <v>7597</v>
      </c>
      <c r="M360" s="475" t="s">
        <v>7598</v>
      </c>
      <c r="N360" s="475" t="s">
        <v>7599</v>
      </c>
    </row>
    <row r="361" spans="1:14">
      <c r="A361" s="2" t="s">
        <v>7600</v>
      </c>
      <c r="B361" s="2" t="str">
        <f t="shared" si="10"/>
        <v>Revenue derived from oil</v>
      </c>
      <c r="C361" s="2" t="s">
        <v>7601</v>
      </c>
      <c r="D361" s="469" t="s">
        <v>7602</v>
      </c>
      <c r="E361" s="469" t="s">
        <v>7603</v>
      </c>
      <c r="F361" s="469" t="s">
        <v>7604</v>
      </c>
      <c r="G361" s="476" t="s">
        <v>7605</v>
      </c>
      <c r="H361" s="476" t="s">
        <v>7606</v>
      </c>
      <c r="I361" s="2" t="s">
        <v>7607</v>
      </c>
      <c r="J361" s="475" t="s">
        <v>7608</v>
      </c>
      <c r="K361" s="475" t="s">
        <v>7609</v>
      </c>
      <c r="L361" s="475" t="s">
        <v>7610</v>
      </c>
      <c r="M361" s="475" t="s">
        <v>7611</v>
      </c>
      <c r="N361" s="475" t="s">
        <v>7612</v>
      </c>
    </row>
    <row r="362" spans="1:14" ht="28.8">
      <c r="A362" s="2" t="s">
        <v>7613</v>
      </c>
      <c r="B362" s="2" t="str">
        <f t="shared" si="10"/>
        <v>Revenue derived from gas</v>
      </c>
      <c r="C362" s="2" t="s">
        <v>7614</v>
      </c>
      <c r="D362" s="469" t="s">
        <v>7615</v>
      </c>
      <c r="E362" s="469" t="s">
        <v>7616</v>
      </c>
      <c r="F362" s="469" t="s">
        <v>7617</v>
      </c>
      <c r="G362" s="476" t="s">
        <v>7618</v>
      </c>
      <c r="H362" s="476" t="s">
        <v>7619</v>
      </c>
      <c r="I362" s="2" t="s">
        <v>7620</v>
      </c>
      <c r="J362" s="475" t="s">
        <v>7621</v>
      </c>
      <c r="K362" s="475" t="s">
        <v>7622</v>
      </c>
      <c r="L362" s="475" t="s">
        <v>7623</v>
      </c>
      <c r="M362" s="475" t="s">
        <v>7624</v>
      </c>
      <c r="N362" s="475" t="s">
        <v>7625</v>
      </c>
    </row>
    <row r="363" spans="1:14" s="540" customFormat="1" ht="144">
      <c r="A363" s="589" t="s">
        <v>7626</v>
      </c>
      <c r="B363" s="589" t="str">
        <f t="shared" si="10"/>
        <v xml:space="preserve">Total revenues derived from the fossil fuel (coal oil and gas) sector </v>
      </c>
      <c r="C363" s="589" t="s">
        <v>7627</v>
      </c>
      <c r="D363" s="576" t="s">
        <v>7628</v>
      </c>
      <c r="E363" s="576" t="s">
        <v>7629</v>
      </c>
      <c r="F363" s="576" t="s">
        <v>7630</v>
      </c>
      <c r="G363" s="591" t="s">
        <v>7631</v>
      </c>
      <c r="H363" s="591" t="s">
        <v>7632</v>
      </c>
      <c r="I363" s="589" t="s">
        <v>7633</v>
      </c>
      <c r="J363" s="579" t="s">
        <v>7634</v>
      </c>
      <c r="K363" s="579" t="s">
        <v>7635</v>
      </c>
      <c r="L363" s="579" t="s">
        <v>7636</v>
      </c>
      <c r="M363" s="579" t="s">
        <v>7637</v>
      </c>
      <c r="N363" s="579" t="s">
        <v>7638</v>
      </c>
    </row>
    <row r="364" spans="1:14" ht="29.4" thickBot="1">
      <c r="A364" s="481" t="s">
        <v>7639</v>
      </c>
      <c r="B364" s="481" t="str">
        <f t="shared" si="10"/>
        <v>Revenue derived from chemicals production</v>
      </c>
      <c r="C364" s="481" t="s">
        <v>7640</v>
      </c>
      <c r="D364" s="477" t="s">
        <v>7641</v>
      </c>
      <c r="E364" s="477" t="s">
        <v>7642</v>
      </c>
      <c r="F364" s="477" t="s">
        <v>7643</v>
      </c>
      <c r="G364" s="480" t="s">
        <v>7644</v>
      </c>
      <c r="H364" s="480" t="s">
        <v>7645</v>
      </c>
      <c r="I364" s="481" t="s">
        <v>7646</v>
      </c>
      <c r="J364" s="479" t="s">
        <v>7647</v>
      </c>
      <c r="K364" s="479" t="s">
        <v>7648</v>
      </c>
      <c r="L364" s="479" t="s">
        <v>7649</v>
      </c>
      <c r="M364" s="479" t="s">
        <v>7650</v>
      </c>
      <c r="N364" s="479" t="s">
        <v>7651</v>
      </c>
    </row>
    <row r="365" spans="1:14" ht="28.8">
      <c r="A365" s="2" t="s">
        <v>7652</v>
      </c>
      <c r="B365" s="2" t="str">
        <f t="shared" si="10"/>
        <v>None of the above</v>
      </c>
      <c r="C365" s="2" t="s">
        <v>7653</v>
      </c>
      <c r="D365" s="469" t="s">
        <v>7654</v>
      </c>
      <c r="E365" s="469" t="s">
        <v>7655</v>
      </c>
      <c r="F365" s="469" t="s">
        <v>7656</v>
      </c>
      <c r="G365" s="476" t="s">
        <v>7657</v>
      </c>
      <c r="H365" s="476" t="s">
        <v>7658</v>
      </c>
      <c r="I365" s="2" t="s">
        <v>7659</v>
      </c>
      <c r="J365" s="475" t="s">
        <v>7660</v>
      </c>
      <c r="K365" s="475" t="s">
        <v>7661</v>
      </c>
      <c r="L365" s="475" t="s">
        <v>7662</v>
      </c>
      <c r="M365" s="475" t="s">
        <v>7663</v>
      </c>
      <c r="N365" s="475" t="s">
        <v>7664</v>
      </c>
    </row>
    <row r="366" spans="1:14" ht="72">
      <c r="A366" s="2" t="s">
        <v>7665</v>
      </c>
      <c r="B366" s="2" t="str">
        <f t="shared" si="10"/>
        <v>C9 - Gender diversity ratio in the governance body</v>
      </c>
      <c r="C366" s="2" t="s">
        <v>4361</v>
      </c>
      <c r="D366" s="469" t="s">
        <v>4362</v>
      </c>
      <c r="E366" s="469" t="s">
        <v>7666</v>
      </c>
      <c r="F366" s="469" t="s">
        <v>4364</v>
      </c>
      <c r="G366" s="476" t="s">
        <v>7667</v>
      </c>
      <c r="H366" s="476" t="s">
        <v>7668</v>
      </c>
      <c r="I366" s="2" t="s">
        <v>7669</v>
      </c>
      <c r="J366" s="475" t="s">
        <v>7670</v>
      </c>
      <c r="K366" s="475" t="s">
        <v>7671</v>
      </c>
      <c r="L366" s="475" t="s">
        <v>7672</v>
      </c>
      <c r="M366" s="475" t="s">
        <v>7673</v>
      </c>
      <c r="N366" s="475" t="s">
        <v>4372</v>
      </c>
    </row>
    <row r="367" spans="1:14" ht="43.2">
      <c r="A367" s="2" t="s">
        <v>7674</v>
      </c>
      <c r="B367" s="2" t="str">
        <f t="shared" si="10"/>
        <v>Does the undertaking have a governance body in place?</v>
      </c>
      <c r="C367" s="2" t="s">
        <v>7675</v>
      </c>
      <c r="D367" s="469" t="s">
        <v>7676</v>
      </c>
      <c r="E367" s="469" t="s">
        <v>7677</v>
      </c>
      <c r="F367" s="469" t="s">
        <v>7678</v>
      </c>
      <c r="G367" s="476" t="s">
        <v>7679</v>
      </c>
      <c r="H367" s="476" t="s">
        <v>7680</v>
      </c>
      <c r="I367" s="2" t="s">
        <v>7681</v>
      </c>
      <c r="J367" s="475" t="s">
        <v>7682</v>
      </c>
      <c r="K367" s="475" t="s">
        <v>7683</v>
      </c>
      <c r="L367" s="475" t="s">
        <v>7684</v>
      </c>
      <c r="M367" s="475" t="s">
        <v>7685</v>
      </c>
      <c r="N367" s="475" t="s">
        <v>7686</v>
      </c>
    </row>
    <row r="368" spans="1:14" ht="57.6">
      <c r="A368" s="2" t="s">
        <v>7687</v>
      </c>
      <c r="B368" s="2" t="str">
        <f t="shared" si="10"/>
        <v>Number of female board members at the end of the reporting period</v>
      </c>
      <c r="C368" s="2" t="s">
        <v>7688</v>
      </c>
      <c r="D368" s="469" t="s">
        <v>7689</v>
      </c>
      <c r="E368" s="469" t="s">
        <v>7690</v>
      </c>
      <c r="F368" s="469" t="s">
        <v>7691</v>
      </c>
      <c r="G368" s="476" t="s">
        <v>7692</v>
      </c>
      <c r="H368" s="476" t="s">
        <v>7693</v>
      </c>
      <c r="I368" s="2" t="s">
        <v>7694</v>
      </c>
      <c r="J368" s="475" t="s">
        <v>7695</v>
      </c>
      <c r="K368" s="475" t="s">
        <v>7696</v>
      </c>
      <c r="L368" s="475" t="s">
        <v>7697</v>
      </c>
      <c r="M368" s="475" t="s">
        <v>7698</v>
      </c>
      <c r="N368" s="475" t="s">
        <v>7699</v>
      </c>
    </row>
    <row r="369" spans="1:14" ht="28.8">
      <c r="A369" s="2" t="s">
        <v>7700</v>
      </c>
      <c r="B369" s="2" t="str">
        <f t="shared" si="10"/>
        <v>Number of male board members at the end of the reporting period</v>
      </c>
      <c r="C369" s="2" t="s">
        <v>7701</v>
      </c>
      <c r="D369" s="469" t="s">
        <v>7702</v>
      </c>
      <c r="E369" s="469" t="s">
        <v>7703</v>
      </c>
      <c r="F369" s="469" t="s">
        <v>7704</v>
      </c>
      <c r="G369" s="476" t="s">
        <v>7705</v>
      </c>
      <c r="H369" s="476" t="s">
        <v>7706</v>
      </c>
      <c r="I369" s="2" t="s">
        <v>7707</v>
      </c>
      <c r="J369" s="475" t="s">
        <v>7708</v>
      </c>
      <c r="K369" s="475" t="s">
        <v>7709</v>
      </c>
      <c r="L369" s="475" t="s">
        <v>7710</v>
      </c>
      <c r="M369" s="475" t="s">
        <v>7711</v>
      </c>
      <c r="N369" s="475" t="s">
        <v>7712</v>
      </c>
    </row>
    <row r="370" spans="1:14" ht="29.4" thickBot="1">
      <c r="A370" s="481" t="s">
        <v>7713</v>
      </c>
      <c r="B370" s="481" t="str">
        <f t="shared" si="10"/>
        <v>Gender diversity ratio in governance body</v>
      </c>
      <c r="C370" s="481" t="s">
        <v>7714</v>
      </c>
      <c r="D370" s="477" t="s">
        <v>7715</v>
      </c>
      <c r="E370" s="477" t="s">
        <v>7716</v>
      </c>
      <c r="F370" s="477" t="s">
        <v>7717</v>
      </c>
      <c r="G370" s="480" t="s">
        <v>7718</v>
      </c>
      <c r="H370" s="480" t="s">
        <v>7719</v>
      </c>
      <c r="I370" s="481" t="s">
        <v>7669</v>
      </c>
      <c r="J370" s="479" t="s">
        <v>7720</v>
      </c>
      <c r="K370" s="479" t="s">
        <v>7721</v>
      </c>
      <c r="L370" s="479" t="s">
        <v>7722</v>
      </c>
      <c r="M370" s="479" t="s">
        <v>7723</v>
      </c>
      <c r="N370" s="479" t="s">
        <v>7724</v>
      </c>
    </row>
    <row r="371" spans="1:14" ht="43.2">
      <c r="A371" s="526" t="s">
        <v>7725</v>
      </c>
      <c r="B371" s="526" t="str">
        <f t="shared" si="10"/>
        <v>Disclosure of any other governance and/or entity specific governance disclosures</v>
      </c>
      <c r="C371" s="2" t="s">
        <v>7726</v>
      </c>
      <c r="D371" s="2" t="s">
        <v>7727</v>
      </c>
      <c r="E371" s="2" t="s">
        <v>7728</v>
      </c>
      <c r="F371" s="2" t="s">
        <v>7729</v>
      </c>
      <c r="G371" s="2" t="s">
        <v>7730</v>
      </c>
      <c r="H371" s="2" t="s">
        <v>7731</v>
      </c>
      <c r="I371" s="2" t="s">
        <v>7732</v>
      </c>
      <c r="J371" s="2" t="s">
        <v>7733</v>
      </c>
      <c r="K371" s="2" t="s">
        <v>7734</v>
      </c>
      <c r="L371" s="2" t="s">
        <v>7735</v>
      </c>
      <c r="M371" s="2" t="s">
        <v>7736</v>
      </c>
      <c r="N371" s="2" t="s">
        <v>7737</v>
      </c>
    </row>
    <row r="372" spans="1:14">
      <c r="A372" s="2" t="s">
        <v>7738</v>
      </c>
      <c r="B372" s="2" t="str">
        <f t="shared" si="10"/>
        <v>FUEL CONVERTER</v>
      </c>
      <c r="C372" s="2" t="s">
        <v>7739</v>
      </c>
      <c r="D372" s="469" t="s">
        <v>7740</v>
      </c>
      <c r="E372" s="469" t="s">
        <v>7741</v>
      </c>
      <c r="F372" s="469" t="s">
        <v>7742</v>
      </c>
      <c r="G372" s="476" t="s">
        <v>7743</v>
      </c>
      <c r="H372" s="476" t="s">
        <v>7744</v>
      </c>
      <c r="I372" s="2" t="s">
        <v>7745</v>
      </c>
      <c r="J372" s="475" t="s">
        <v>7746</v>
      </c>
      <c r="K372" s="475" t="s">
        <v>7747</v>
      </c>
      <c r="L372" s="475" t="s">
        <v>7748</v>
      </c>
      <c r="M372" s="475" t="s">
        <v>7749</v>
      </c>
      <c r="N372" s="475" t="s">
        <v>7750</v>
      </c>
    </row>
    <row r="373" spans="1:14" ht="43.2">
      <c r="A373" s="2" t="s">
        <v>7751</v>
      </c>
      <c r="B373" s="2" t="str">
        <f t="shared" si="10"/>
        <v>DISCLAIMER:</v>
      </c>
      <c r="C373" s="2" t="s">
        <v>7752</v>
      </c>
      <c r="D373" s="469" t="s">
        <v>7753</v>
      </c>
      <c r="E373" s="469" t="s">
        <v>7754</v>
      </c>
      <c r="F373" s="469" t="s">
        <v>7755</v>
      </c>
      <c r="G373" s="476" t="s">
        <v>7756</v>
      </c>
      <c r="H373" s="476" t="s">
        <v>7757</v>
      </c>
      <c r="I373" s="2" t="s">
        <v>7758</v>
      </c>
      <c r="J373" s="475" t="s">
        <v>7759</v>
      </c>
      <c r="K373" s="475" t="s">
        <v>7760</v>
      </c>
      <c r="L373" s="475" t="s">
        <v>7761</v>
      </c>
      <c r="M373" s="475" t="s">
        <v>7762</v>
      </c>
      <c r="N373" s="475" t="s">
        <v>7763</v>
      </c>
    </row>
    <row r="374" spans="1:14" ht="115.2">
      <c r="A374" s="2" t="s">
        <v>7764</v>
      </c>
      <c r="B374" s="2"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74" s="2" t="s">
        <v>7765</v>
      </c>
      <c r="D374" s="469" t="s">
        <v>7766</v>
      </c>
      <c r="E374" s="469" t="s">
        <v>7767</v>
      </c>
      <c r="F374" s="469" t="s">
        <v>7768</v>
      </c>
      <c r="G374" s="476" t="s">
        <v>7769</v>
      </c>
      <c r="H374" s="476" t="s">
        <v>7770</v>
      </c>
      <c r="I374" s="2" t="s">
        <v>7771</v>
      </c>
      <c r="J374" s="475" t="s">
        <v>7772</v>
      </c>
      <c r="K374" s="475" t="s">
        <v>7773</v>
      </c>
      <c r="L374" s="475" t="s">
        <v>7774</v>
      </c>
      <c r="M374" s="475" t="s">
        <v>7775</v>
      </c>
      <c r="N374" s="475" t="s">
        <v>7776</v>
      </c>
    </row>
    <row r="375" spans="1:14" ht="144">
      <c r="A375" s="2" t="s">
        <v>7777</v>
      </c>
      <c r="B375" s="2"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75" s="2" t="s">
        <v>7778</v>
      </c>
      <c r="D375" s="469" t="s">
        <v>7779</v>
      </c>
      <c r="E375" s="469" t="s">
        <v>7780</v>
      </c>
      <c r="F375" s="469" t="s">
        <v>7781</v>
      </c>
      <c r="G375" s="476" t="s">
        <v>7782</v>
      </c>
      <c r="H375" s="476" t="s">
        <v>7783</v>
      </c>
      <c r="I375" s="2" t="s">
        <v>7784</v>
      </c>
      <c r="J375" s="475" t="s">
        <v>7785</v>
      </c>
      <c r="K375" s="475" t="s">
        <v>7786</v>
      </c>
      <c r="L375" s="475" t="s">
        <v>7787</v>
      </c>
      <c r="M375" s="475" t="s">
        <v>7788</v>
      </c>
      <c r="N375" s="475" t="s">
        <v>7789</v>
      </c>
    </row>
    <row r="376" spans="1:14" ht="129.6">
      <c r="A376" s="2" t="s">
        <v>7790</v>
      </c>
      <c r="B376" s="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76" s="2" t="s">
        <v>7791</v>
      </c>
      <c r="D376" s="469" t="s">
        <v>7792</v>
      </c>
      <c r="E376" s="469" t="s">
        <v>7793</v>
      </c>
      <c r="F376" s="469" t="s">
        <v>7794</v>
      </c>
      <c r="G376" s="476" t="s">
        <v>7795</v>
      </c>
      <c r="H376" s="476" t="s">
        <v>7796</v>
      </c>
      <c r="I376" s="2" t="s">
        <v>7797</v>
      </c>
      <c r="J376" s="475" t="s">
        <v>7798</v>
      </c>
      <c r="K376" s="475" t="s">
        <v>7799</v>
      </c>
      <c r="L376" s="475" t="s">
        <v>7800</v>
      </c>
      <c r="M376" s="475" t="s">
        <v>7801</v>
      </c>
      <c r="N376" s="475" t="s">
        <v>7802</v>
      </c>
    </row>
    <row r="377" spans="1:14" ht="57.6">
      <c r="A377" s="2" t="s">
        <v>7803</v>
      </c>
      <c r="B377" s="2" t="str">
        <f t="shared" si="10"/>
        <v>Indicates that the cell should be filled either by selecting a value from the dropdown (e.g. Type of fuel or Unit of Measurement) or by entering an amount.</v>
      </c>
      <c r="C377" s="2" t="s">
        <v>7804</v>
      </c>
      <c r="D377" s="469" t="s">
        <v>7805</v>
      </c>
      <c r="E377" s="469" t="s">
        <v>7806</v>
      </c>
      <c r="F377" s="469" t="s">
        <v>7807</v>
      </c>
      <c r="G377" s="476" t="s">
        <v>7808</v>
      </c>
      <c r="H377" s="476" t="s">
        <v>7809</v>
      </c>
      <c r="I377" s="2" t="s">
        <v>7810</v>
      </c>
      <c r="J377" s="475" t="s">
        <v>7811</v>
      </c>
      <c r="K377" s="475" t="s">
        <v>7812</v>
      </c>
      <c r="L377" s="475" t="s">
        <v>7813</v>
      </c>
      <c r="M377" s="475" t="s">
        <v>7814</v>
      </c>
      <c r="N377" s="475" t="s">
        <v>7815</v>
      </c>
    </row>
    <row r="378" spans="1:14">
      <c r="A378" s="2" t="s">
        <v>7816</v>
      </c>
      <c r="B378" s="2" t="str">
        <f t="shared" si="10"/>
        <v>Fuel type</v>
      </c>
      <c r="C378" s="2" t="s">
        <v>7817</v>
      </c>
      <c r="D378" s="469" t="s">
        <v>7818</v>
      </c>
      <c r="E378" s="469" t="s">
        <v>7819</v>
      </c>
      <c r="F378" s="469" t="s">
        <v>7820</v>
      </c>
      <c r="G378" s="476" t="s">
        <v>7821</v>
      </c>
      <c r="H378" s="476" t="s">
        <v>7822</v>
      </c>
      <c r="I378" s="2" t="s">
        <v>7823</v>
      </c>
      <c r="J378" s="475" t="s">
        <v>7824</v>
      </c>
      <c r="K378" s="475" t="s">
        <v>7825</v>
      </c>
      <c r="L378" s="475" t="s">
        <v>7826</v>
      </c>
      <c r="M378" s="475" t="s">
        <v>7827</v>
      </c>
      <c r="N378" s="475" t="s">
        <v>7828</v>
      </c>
    </row>
    <row r="379" spans="1:14">
      <c r="A379" s="2" t="s">
        <v>7829</v>
      </c>
      <c r="B379" s="2" t="str">
        <f t="shared" si="10"/>
        <v>Amount</v>
      </c>
      <c r="C379" s="2" t="s">
        <v>73</v>
      </c>
      <c r="D379" s="469" t="s">
        <v>7830</v>
      </c>
      <c r="E379" s="469" t="s">
        <v>7831</v>
      </c>
      <c r="F379" s="469" t="s">
        <v>7832</v>
      </c>
      <c r="G379" s="476" t="s">
        <v>7833</v>
      </c>
      <c r="H379" s="476" t="s">
        <v>7834</v>
      </c>
      <c r="I379" s="2" t="s">
        <v>7835</v>
      </c>
      <c r="J379" s="475" t="s">
        <v>7836</v>
      </c>
      <c r="K379" s="475" t="s">
        <v>7837</v>
      </c>
      <c r="L379" s="475" t="s">
        <v>7838</v>
      </c>
      <c r="M379" s="475" t="s">
        <v>7839</v>
      </c>
      <c r="N379" s="475" t="s">
        <v>7840</v>
      </c>
    </row>
    <row r="380" spans="1:14">
      <c r="A380" s="2" t="s">
        <v>7841</v>
      </c>
      <c r="B380" s="2" t="str">
        <f t="shared" si="10"/>
        <v>State of matter</v>
      </c>
      <c r="C380" s="2" t="s">
        <v>70</v>
      </c>
      <c r="D380" s="469" t="s">
        <v>7842</v>
      </c>
      <c r="E380" s="469" t="s">
        <v>7843</v>
      </c>
      <c r="F380" s="469" t="s">
        <v>7844</v>
      </c>
      <c r="G380" s="476" t="s">
        <v>7845</v>
      </c>
      <c r="H380" s="476" t="s">
        <v>7846</v>
      </c>
      <c r="I380" s="2" t="s">
        <v>7847</v>
      </c>
      <c r="J380" s="475" t="s">
        <v>7848</v>
      </c>
      <c r="K380" s="475" t="s">
        <v>7849</v>
      </c>
      <c r="L380" s="475" t="s">
        <v>7850</v>
      </c>
      <c r="M380" s="475" t="s">
        <v>7851</v>
      </c>
      <c r="N380" s="475" t="s">
        <v>7852</v>
      </c>
    </row>
    <row r="381" spans="1:14">
      <c r="A381" s="2" t="s">
        <v>7853</v>
      </c>
      <c r="B381" s="2" t="str">
        <f t="shared" si="10"/>
        <v>Typical renewable state</v>
      </c>
      <c r="C381" s="2" t="s">
        <v>7854</v>
      </c>
      <c r="D381" s="469" t="s">
        <v>7855</v>
      </c>
      <c r="E381" s="469" t="s">
        <v>7856</v>
      </c>
      <c r="F381" s="469" t="s">
        <v>7857</v>
      </c>
      <c r="G381" s="476" t="s">
        <v>7858</v>
      </c>
      <c r="H381" s="476" t="s">
        <v>7859</v>
      </c>
      <c r="I381" s="2" t="s">
        <v>7860</v>
      </c>
      <c r="J381" s="475" t="s">
        <v>7861</v>
      </c>
      <c r="K381" s="475" t="s">
        <v>7862</v>
      </c>
      <c r="L381" s="475" t="s">
        <v>7863</v>
      </c>
      <c r="M381" s="475" t="s">
        <v>7864</v>
      </c>
      <c r="N381" s="475" t="s">
        <v>7865</v>
      </c>
    </row>
    <row r="382" spans="1:14">
      <c r="A382" s="2" t="s">
        <v>7866</v>
      </c>
      <c r="B382" s="2" t="str">
        <f t="shared" si="10"/>
        <v>Calculated Energy in MWh</v>
      </c>
      <c r="C382" s="2" t="s">
        <v>7867</v>
      </c>
      <c r="D382" s="469" t="s">
        <v>7868</v>
      </c>
      <c r="E382" s="469" t="s">
        <v>7869</v>
      </c>
      <c r="F382" s="469" t="s">
        <v>7870</v>
      </c>
      <c r="G382" s="476" t="s">
        <v>7871</v>
      </c>
      <c r="H382" s="476" t="s">
        <v>7872</v>
      </c>
      <c r="I382" s="2" t="s">
        <v>7873</v>
      </c>
      <c r="J382" s="475" t="s">
        <v>7874</v>
      </c>
      <c r="K382" s="475" t="s">
        <v>7875</v>
      </c>
      <c r="L382" s="475" t="s">
        <v>7876</v>
      </c>
      <c r="M382" s="475" t="s">
        <v>7877</v>
      </c>
      <c r="N382" s="475" t="s">
        <v>7878</v>
      </c>
    </row>
    <row r="383" spans="1:14">
      <c r="A383" s="2" t="s">
        <v>7879</v>
      </c>
      <c r="B383" s="2" t="str">
        <f t="shared" si="10"/>
        <v>Usage of Fuel Converter:</v>
      </c>
      <c r="C383" s="2" t="s">
        <v>7880</v>
      </c>
      <c r="D383" s="469" t="s">
        <v>7881</v>
      </c>
      <c r="E383" s="469" t="s">
        <v>7882</v>
      </c>
      <c r="F383" s="469" t="s">
        <v>7883</v>
      </c>
      <c r="G383" s="476" t="s">
        <v>7884</v>
      </c>
      <c r="H383" s="476" t="s">
        <v>7885</v>
      </c>
      <c r="I383" s="2" t="s">
        <v>7886</v>
      </c>
      <c r="J383" s="475" t="s">
        <v>7887</v>
      </c>
      <c r="K383" s="475" t="s">
        <v>7888</v>
      </c>
      <c r="L383" s="475" t="s">
        <v>7889</v>
      </c>
      <c r="M383" s="475" t="s">
        <v>7890</v>
      </c>
      <c r="N383" s="475" t="s">
        <v>7891</v>
      </c>
    </row>
    <row r="384" spans="1:14" ht="72">
      <c r="A384" s="2" t="s">
        <v>7892</v>
      </c>
      <c r="B384" s="2" t="str">
        <f t="shared" si="10"/>
        <v>1. In cell A10 select the Fuel used, searching for it or scrolling down the list displayed clicking the cell</v>
      </c>
      <c r="C384" s="2" t="s">
        <v>7893</v>
      </c>
      <c r="D384" s="469" t="s">
        <v>7894</v>
      </c>
      <c r="E384" s="469" t="s">
        <v>7895</v>
      </c>
      <c r="F384" s="469" t="s">
        <v>7896</v>
      </c>
      <c r="G384" s="476" t="s">
        <v>7897</v>
      </c>
      <c r="H384" s="476" t="s">
        <v>7898</v>
      </c>
      <c r="I384" s="2" t="s">
        <v>7899</v>
      </c>
      <c r="J384" s="475" t="s">
        <v>7900</v>
      </c>
      <c r="K384" s="475" t="s">
        <v>7901</v>
      </c>
      <c r="L384" s="475" t="s">
        <v>7902</v>
      </c>
      <c r="M384" s="475" t="s">
        <v>7903</v>
      </c>
      <c r="N384" s="475" t="s">
        <v>7904</v>
      </c>
    </row>
    <row r="385" spans="1:14" ht="28.8">
      <c r="A385" s="2" t="s">
        <v>7905</v>
      </c>
      <c r="B385" s="2" t="str">
        <f t="shared" si="10"/>
        <v>2. In cell B10 select the Unit of measurement used</v>
      </c>
      <c r="C385" s="2" t="s">
        <v>7906</v>
      </c>
      <c r="D385" s="469" t="s">
        <v>7907</v>
      </c>
      <c r="E385" s="469" t="s">
        <v>7908</v>
      </c>
      <c r="F385" s="469" t="s">
        <v>7909</v>
      </c>
      <c r="G385" s="476" t="s">
        <v>7910</v>
      </c>
      <c r="H385" s="476" t="s">
        <v>7911</v>
      </c>
      <c r="I385" s="2" t="s">
        <v>7912</v>
      </c>
      <c r="J385" s="475" t="s">
        <v>7913</v>
      </c>
      <c r="K385" s="475" t="s">
        <v>7914</v>
      </c>
      <c r="L385" s="475" t="s">
        <v>7915</v>
      </c>
      <c r="M385" s="475" t="s">
        <v>7916</v>
      </c>
      <c r="N385" s="475" t="s">
        <v>7917</v>
      </c>
    </row>
    <row r="386" spans="1:14" ht="28.8">
      <c r="A386" s="2" t="s">
        <v>7918</v>
      </c>
      <c r="B386" s="2" t="str">
        <f t="shared" si="10"/>
        <v>3. In cell C10 select the Amount of fuel used</v>
      </c>
      <c r="C386" s="2" t="s">
        <v>7919</v>
      </c>
      <c r="D386" s="469" t="s">
        <v>7920</v>
      </c>
      <c r="E386" s="469" t="s">
        <v>7921</v>
      </c>
      <c r="F386" s="469" t="s">
        <v>7922</v>
      </c>
      <c r="G386" s="476" t="s">
        <v>7923</v>
      </c>
      <c r="H386" s="476" t="s">
        <v>7924</v>
      </c>
      <c r="I386" s="2" t="s">
        <v>7925</v>
      </c>
      <c r="J386" s="475" t="s">
        <v>7926</v>
      </c>
      <c r="K386" s="475" t="s">
        <v>7927</v>
      </c>
      <c r="L386" s="475" t="s">
        <v>7928</v>
      </c>
      <c r="M386" s="475" t="s">
        <v>7929</v>
      </c>
      <c r="N386" s="475" t="s">
        <v>7930</v>
      </c>
    </row>
    <row r="387" spans="1:14" ht="57.6">
      <c r="A387" s="2" t="s">
        <v>7931</v>
      </c>
      <c r="B387" s="2" t="str">
        <f t="shared" si="10"/>
        <v>4. In cell D10 it is displayed the State of matter for the Fuel selected</v>
      </c>
      <c r="C387" s="2" t="s">
        <v>7932</v>
      </c>
      <c r="D387" s="469" t="s">
        <v>7933</v>
      </c>
      <c r="E387" s="469" t="s">
        <v>7934</v>
      </c>
      <c r="F387" s="469" t="s">
        <v>7935</v>
      </c>
      <c r="G387" s="476" t="s">
        <v>7936</v>
      </c>
      <c r="H387" s="476" t="s">
        <v>7937</v>
      </c>
      <c r="I387" s="2" t="s">
        <v>7938</v>
      </c>
      <c r="J387" s="475" t="s">
        <v>7939</v>
      </c>
      <c r="K387" s="475" t="s">
        <v>7940</v>
      </c>
      <c r="L387" s="475" t="s">
        <v>7941</v>
      </c>
      <c r="M387" s="475" t="s">
        <v>7942</v>
      </c>
      <c r="N387" s="475" t="s">
        <v>7943</v>
      </c>
    </row>
    <row r="388" spans="1:14" ht="57.6">
      <c r="A388" s="2" t="s">
        <v>7944</v>
      </c>
      <c r="B388" s="2" t="str">
        <f t="shared" si="10"/>
        <v>5. In cell E10 it is displayed the Typical renewability state for the Fuel selected</v>
      </c>
      <c r="C388" s="2" t="s">
        <v>7945</v>
      </c>
      <c r="D388" s="469" t="s">
        <v>7946</v>
      </c>
      <c r="E388" s="469" t="s">
        <v>7947</v>
      </c>
      <c r="F388" s="469" t="s">
        <v>7948</v>
      </c>
      <c r="G388" s="476" t="s">
        <v>7949</v>
      </c>
      <c r="H388" s="476" t="s">
        <v>7950</v>
      </c>
      <c r="I388" s="2" t="s">
        <v>7951</v>
      </c>
      <c r="J388" s="475" t="s">
        <v>7952</v>
      </c>
      <c r="K388" s="475" t="s">
        <v>7953</v>
      </c>
      <c r="L388" s="475" t="s">
        <v>7954</v>
      </c>
      <c r="M388" s="475" t="s">
        <v>7955</v>
      </c>
      <c r="N388" s="475" t="s">
        <v>7956</v>
      </c>
    </row>
    <row r="389" spans="1:14" ht="57.6">
      <c r="A389" s="2" t="s">
        <v>7957</v>
      </c>
      <c r="B389" s="2" t="str">
        <f t="shared" si="10"/>
        <v>6. In cell F10 is displayed the Energy produced in Mega Watt hours by the Amount of Fuel specified</v>
      </c>
      <c r="C389" s="2" t="s">
        <v>7958</v>
      </c>
      <c r="D389" s="469" t="s">
        <v>7959</v>
      </c>
      <c r="E389" s="469" t="s">
        <v>7960</v>
      </c>
      <c r="F389" s="469" t="s">
        <v>7961</v>
      </c>
      <c r="G389" s="476" t="s">
        <v>7962</v>
      </c>
      <c r="H389" s="476" t="s">
        <v>7963</v>
      </c>
      <c r="I389" s="2" t="s">
        <v>7964</v>
      </c>
      <c r="J389" s="475" t="s">
        <v>7965</v>
      </c>
      <c r="K389" s="475" t="s">
        <v>7966</v>
      </c>
      <c r="L389" s="475" t="s">
        <v>7967</v>
      </c>
      <c r="M389" s="475" t="s">
        <v>7968</v>
      </c>
      <c r="N389" s="475" t="s">
        <v>7969</v>
      </c>
    </row>
    <row r="390" spans="1:14" ht="28.8">
      <c r="A390" s="2" t="s">
        <v>7970</v>
      </c>
      <c r="B390" s="2" t="str">
        <f t="shared" si="10"/>
        <v>7. In cell A29 is displayed the Total Energy in Mega Watt hours</v>
      </c>
      <c r="C390" s="2" t="s">
        <v>7971</v>
      </c>
      <c r="D390" s="469" t="s">
        <v>7972</v>
      </c>
      <c r="E390" s="469" t="s">
        <v>7973</v>
      </c>
      <c r="F390" s="469" t="s">
        <v>7974</v>
      </c>
      <c r="G390" s="476" t="s">
        <v>7975</v>
      </c>
      <c r="H390" s="476" t="s">
        <v>7976</v>
      </c>
      <c r="I390" s="2" t="s">
        <v>7977</v>
      </c>
      <c r="J390" s="475" t="s">
        <v>7978</v>
      </c>
      <c r="K390" s="475" t="s">
        <v>7979</v>
      </c>
      <c r="L390" s="475" t="s">
        <v>7980</v>
      </c>
      <c r="M390" s="475" t="s">
        <v>7981</v>
      </c>
      <c r="N390" s="475" t="s">
        <v>7982</v>
      </c>
    </row>
    <row r="391" spans="1:14" ht="57.6">
      <c r="A391" s="2" t="s">
        <v>7983</v>
      </c>
      <c r="B391" s="2" t="str">
        <f t="shared" si="10"/>
        <v>8. In cell A32 is displayed the Total Renewable Energy in Mega Watt hours</v>
      </c>
      <c r="C391" s="2" t="s">
        <v>7984</v>
      </c>
      <c r="D391" s="469" t="s">
        <v>7985</v>
      </c>
      <c r="E391" s="469" t="s">
        <v>7986</v>
      </c>
      <c r="F391" s="469" t="s">
        <v>7987</v>
      </c>
      <c r="G391" s="476" t="s">
        <v>7988</v>
      </c>
      <c r="H391" s="476" t="s">
        <v>7989</v>
      </c>
      <c r="I391" s="2" t="s">
        <v>7990</v>
      </c>
      <c r="J391" s="475" t="s">
        <v>7991</v>
      </c>
      <c r="K391" s="475" t="s">
        <v>7992</v>
      </c>
      <c r="L391" s="475" t="s">
        <v>7993</v>
      </c>
      <c r="M391" s="475" t="s">
        <v>7994</v>
      </c>
      <c r="N391" s="475" t="s">
        <v>7995</v>
      </c>
    </row>
    <row r="392" spans="1:14" ht="28.8">
      <c r="A392" s="2" t="s">
        <v>7996</v>
      </c>
      <c r="B392" s="2" t="str">
        <f t="shared" si="10"/>
        <v>9. In cell B32 is displayed the Total Non-renewable Energy in Mega Watt hours</v>
      </c>
      <c r="C392" s="2" t="s">
        <v>7997</v>
      </c>
      <c r="D392" s="469" t="s">
        <v>7998</v>
      </c>
      <c r="E392" s="469" t="s">
        <v>7999</v>
      </c>
      <c r="F392" s="469" t="s">
        <v>8000</v>
      </c>
      <c r="G392" s="476" t="s">
        <v>8001</v>
      </c>
      <c r="H392" s="476" t="s">
        <v>8002</v>
      </c>
      <c r="I392" s="2" t="s">
        <v>8003</v>
      </c>
      <c r="J392" s="475" t="s">
        <v>8004</v>
      </c>
      <c r="K392" s="475" t="s">
        <v>8005</v>
      </c>
      <c r="L392" s="475" t="s">
        <v>8006</v>
      </c>
      <c r="M392" s="475" t="s">
        <v>8007</v>
      </c>
      <c r="N392" s="475" t="s">
        <v>8008</v>
      </c>
    </row>
    <row r="393" spans="1:14" ht="172.8">
      <c r="A393" s="2" t="s">
        <v>8009</v>
      </c>
      <c r="B393" s="2" t="str">
        <f t="shared" si="10"/>
        <v>10. Further notes can be found below</v>
      </c>
      <c r="C393" s="2" t="s">
        <v>8010</v>
      </c>
      <c r="D393" s="469" t="s">
        <v>8011</v>
      </c>
      <c r="E393" s="469" t="s">
        <v>8012</v>
      </c>
      <c r="F393" s="469" t="s">
        <v>8013</v>
      </c>
      <c r="G393" s="476" t="s">
        <v>8014</v>
      </c>
      <c r="H393" s="476" t="s">
        <v>8015</v>
      </c>
      <c r="I393" s="2" t="s">
        <v>8016</v>
      </c>
      <c r="J393" s="475" t="s">
        <v>8017</v>
      </c>
      <c r="K393" s="475" t="s">
        <v>8018</v>
      </c>
      <c r="L393" s="475" t="s">
        <v>8019</v>
      </c>
      <c r="M393" s="475" t="s">
        <v>8020</v>
      </c>
      <c r="N393" s="475" t="s">
        <v>8021</v>
      </c>
    </row>
    <row r="394" spans="1:14" ht="28.8">
      <c r="A394" s="2" t="s">
        <v>8022</v>
      </c>
      <c r="B394" s="2" t="str">
        <f t="shared" si="10"/>
        <v>Transfer the total calculated results to the B3 "Fuel Energy Consumption" reporting cell</v>
      </c>
      <c r="C394" s="2" t="s">
        <v>8023</v>
      </c>
      <c r="D394" s="469" t="s">
        <v>8024</v>
      </c>
      <c r="E394" s="469" t="s">
        <v>8025</v>
      </c>
      <c r="F394" s="469" t="s">
        <v>8026</v>
      </c>
      <c r="G394" s="476" t="s">
        <v>8027</v>
      </c>
      <c r="H394" s="476" t="s">
        <v>8028</v>
      </c>
      <c r="I394" s="2" t="s">
        <v>8029</v>
      </c>
      <c r="J394" s="475" t="s">
        <v>8030</v>
      </c>
      <c r="K394" s="475" t="s">
        <v>8031</v>
      </c>
      <c r="L394" s="475" t="s">
        <v>8032</v>
      </c>
      <c r="M394" s="475" t="s">
        <v>8033</v>
      </c>
      <c r="N394" s="475" t="s">
        <v>8034</v>
      </c>
    </row>
    <row r="395" spans="1:14">
      <c r="A395" s="2" t="s">
        <v>8035</v>
      </c>
      <c r="B395" s="2" t="str">
        <f t="shared" si="10"/>
        <v>Total Energy [MWh]</v>
      </c>
      <c r="C395" s="2" t="s">
        <v>8036</v>
      </c>
      <c r="D395" s="469" t="s">
        <v>8037</v>
      </c>
      <c r="E395" s="469" t="s">
        <v>8038</v>
      </c>
      <c r="F395" s="469" t="s">
        <v>8039</v>
      </c>
      <c r="G395" s="476" t="s">
        <v>8040</v>
      </c>
      <c r="H395" s="476" t="s">
        <v>8041</v>
      </c>
      <c r="I395" s="2" t="s">
        <v>8042</v>
      </c>
      <c r="J395" s="475" t="s">
        <v>8043</v>
      </c>
      <c r="K395" s="475" t="s">
        <v>8044</v>
      </c>
      <c r="L395" s="475" t="s">
        <v>8045</v>
      </c>
      <c r="M395" s="475" t="s">
        <v>8046</v>
      </c>
      <c r="N395" s="475" t="s">
        <v>8047</v>
      </c>
    </row>
    <row r="396" spans="1:14" ht="57.6">
      <c r="A396" s="2" t="s">
        <v>8048</v>
      </c>
      <c r="B396" s="2" t="str">
        <f t="shared" si="10"/>
        <v>Total Renewable Energy [MWh]</v>
      </c>
      <c r="C396" s="2" t="s">
        <v>8049</v>
      </c>
      <c r="D396" s="469" t="s">
        <v>8050</v>
      </c>
      <c r="E396" s="469" t="s">
        <v>8051</v>
      </c>
      <c r="F396" s="469" t="s">
        <v>8052</v>
      </c>
      <c r="G396" s="476" t="s">
        <v>8053</v>
      </c>
      <c r="H396" s="476" t="s">
        <v>8054</v>
      </c>
      <c r="I396" s="2" t="s">
        <v>8055</v>
      </c>
      <c r="J396" s="475" t="s">
        <v>8056</v>
      </c>
      <c r="K396" s="475" t="s">
        <v>8057</v>
      </c>
      <c r="L396" s="475" t="s">
        <v>8058</v>
      </c>
      <c r="M396" s="475" t="s">
        <v>8059</v>
      </c>
      <c r="N396" s="475" t="s">
        <v>8060</v>
      </c>
    </row>
    <row r="397" spans="1:14">
      <c r="A397" s="2" t="s">
        <v>8061</v>
      </c>
      <c r="B397" s="2" t="str">
        <f t="shared" si="10"/>
        <v>Total Non-renewable Energy [MWh]</v>
      </c>
      <c r="C397" s="2" t="s">
        <v>8062</v>
      </c>
      <c r="D397" s="469" t="s">
        <v>8063</v>
      </c>
      <c r="E397" s="469" t="s">
        <v>8064</v>
      </c>
      <c r="F397" s="469" t="s">
        <v>8065</v>
      </c>
      <c r="G397" s="476" t="s">
        <v>8066</v>
      </c>
      <c r="H397" s="476" t="s">
        <v>8067</v>
      </c>
      <c r="I397" s="2" t="s">
        <v>8068</v>
      </c>
      <c r="J397" s="475" t="s">
        <v>8069</v>
      </c>
      <c r="K397" s="475" t="s">
        <v>8070</v>
      </c>
      <c r="L397" s="475" t="s">
        <v>8071</v>
      </c>
      <c r="M397" s="475" t="s">
        <v>8072</v>
      </c>
      <c r="N397" s="475" t="s">
        <v>8073</v>
      </c>
    </row>
    <row r="398" spans="1:14">
      <c r="A398" s="2" t="s">
        <v>8074</v>
      </c>
      <c r="B398" s="2" t="str">
        <f t="shared" si="10"/>
        <v>Further notes:</v>
      </c>
      <c r="C398" s="2" t="s">
        <v>8075</v>
      </c>
      <c r="D398" s="469" t="s">
        <v>8076</v>
      </c>
      <c r="E398" s="469" t="s">
        <v>8077</v>
      </c>
      <c r="F398" s="469" t="s">
        <v>8078</v>
      </c>
      <c r="G398" s="476" t="s">
        <v>8079</v>
      </c>
      <c r="H398" s="476" t="s">
        <v>8080</v>
      </c>
      <c r="I398" s="2" t="s">
        <v>8081</v>
      </c>
      <c r="J398" s="475" t="s">
        <v>8082</v>
      </c>
      <c r="K398" s="475" t="s">
        <v>8083</v>
      </c>
      <c r="L398" s="475" t="s">
        <v>8084</v>
      </c>
      <c r="M398" s="475" t="s">
        <v>8085</v>
      </c>
      <c r="N398" s="475" t="s">
        <v>8086</v>
      </c>
    </row>
    <row r="399" spans="1:14" ht="15" customHeight="1" thickBot="1">
      <c r="A399" s="481" t="s">
        <v>8087</v>
      </c>
      <c r="B399" s="481"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399" s="481" t="s">
        <v>8088</v>
      </c>
      <c r="D399" s="477" t="s">
        <v>8089</v>
      </c>
      <c r="E399" s="477" t="s">
        <v>8090</v>
      </c>
      <c r="F399" s="477" t="s">
        <v>8091</v>
      </c>
      <c r="G399" s="480" t="s">
        <v>8092</v>
      </c>
      <c r="H399" s="480" t="s">
        <v>8093</v>
      </c>
      <c r="I399" s="481" t="s">
        <v>8094</v>
      </c>
      <c r="J399" s="479" t="s">
        <v>8095</v>
      </c>
      <c r="K399" s="479" t="s">
        <v>8096</v>
      </c>
      <c r="L399" s="479" t="s">
        <v>8097</v>
      </c>
      <c r="M399" s="479" t="s">
        <v>8098</v>
      </c>
      <c r="N399" s="479" t="s">
        <v>8099</v>
      </c>
    </row>
    <row r="400" spans="1:14" ht="28.8">
      <c r="A400" s="2" t="s">
        <v>8100</v>
      </c>
      <c r="B400" s="2" t="str">
        <f t="shared" si="10"/>
        <v>Energy Consumption per Hour in MWh for Solid Fuels:</v>
      </c>
      <c r="C400" s="2" t="s">
        <v>8101</v>
      </c>
      <c r="D400" s="469" t="s">
        <v>8102</v>
      </c>
      <c r="E400" s="469" t="s">
        <v>8103</v>
      </c>
      <c r="F400" s="469" t="s">
        <v>8104</v>
      </c>
      <c r="G400" s="476" t="s">
        <v>8105</v>
      </c>
      <c r="H400" s="476" t="s">
        <v>8106</v>
      </c>
      <c r="I400" s="2" t="s">
        <v>8107</v>
      </c>
      <c r="J400" s="475" t="s">
        <v>8108</v>
      </c>
      <c r="K400" s="475" t="s">
        <v>8109</v>
      </c>
      <c r="L400" s="475" t="s">
        <v>8110</v>
      </c>
      <c r="M400" s="475" t="s">
        <v>8111</v>
      </c>
      <c r="N400" s="475" t="s">
        <v>8112</v>
      </c>
    </row>
    <row r="401" spans="1:14" ht="43.2">
      <c r="A401" s="2" t="s">
        <v>8113</v>
      </c>
      <c r="B401" s="2" t="str">
        <f t="shared" si="10"/>
        <v>Energy [MWh] = Mass [t] * NCV [MWh/t]</v>
      </c>
      <c r="C401" s="2" t="s">
        <v>8114</v>
      </c>
      <c r="D401" s="469" t="s">
        <v>8115</v>
      </c>
      <c r="E401" s="469" t="s">
        <v>8116</v>
      </c>
      <c r="F401" s="469" t="s">
        <v>8117</v>
      </c>
      <c r="G401" s="476" t="s">
        <v>8118</v>
      </c>
      <c r="H401" s="476" t="s">
        <v>8119</v>
      </c>
      <c r="I401" s="2" t="s">
        <v>8120</v>
      </c>
      <c r="J401" s="475" t="s">
        <v>8121</v>
      </c>
      <c r="K401" s="475" t="s">
        <v>8122</v>
      </c>
      <c r="L401" s="475" t="s">
        <v>8123</v>
      </c>
      <c r="M401" s="475" t="s">
        <v>8124</v>
      </c>
      <c r="N401" s="475" t="s">
        <v>8125</v>
      </c>
    </row>
    <row r="402" spans="1:14" ht="28.8">
      <c r="A402" s="2" t="s">
        <v>8126</v>
      </c>
      <c r="B402" s="2" t="str">
        <f t="shared" si="10"/>
        <v>Energy Consumption per Hour in MWh for Liquid Fuels:</v>
      </c>
      <c r="C402" s="2" t="s">
        <v>8127</v>
      </c>
      <c r="D402" s="469" t="s">
        <v>8128</v>
      </c>
      <c r="E402" s="469" t="s">
        <v>8129</v>
      </c>
      <c r="F402" s="469" t="s">
        <v>8130</v>
      </c>
      <c r="G402" s="476" t="s">
        <v>8131</v>
      </c>
      <c r="H402" s="476" t="s">
        <v>8132</v>
      </c>
      <c r="I402" s="2" t="s">
        <v>8133</v>
      </c>
      <c r="J402" s="475" t="s">
        <v>8134</v>
      </c>
      <c r="K402" s="475" t="s">
        <v>8135</v>
      </c>
      <c r="L402" s="475" t="s">
        <v>8136</v>
      </c>
      <c r="M402" s="475" t="s">
        <v>8137</v>
      </c>
      <c r="N402" s="475" t="s">
        <v>8138</v>
      </c>
    </row>
    <row r="403" spans="1:14">
      <c r="A403" s="2" t="s">
        <v>8139</v>
      </c>
      <c r="B403" s="2" t="str">
        <f t="shared" si="10"/>
        <v>Mass [t] = Volume [L] * Density [t/L]</v>
      </c>
      <c r="C403" s="2" t="s">
        <v>8140</v>
      </c>
      <c r="D403" s="469" t="s">
        <v>8141</v>
      </c>
      <c r="E403" s="469" t="s">
        <v>8142</v>
      </c>
      <c r="F403" s="469" t="s">
        <v>8143</v>
      </c>
      <c r="G403" s="476" t="s">
        <v>8144</v>
      </c>
      <c r="H403" s="476" t="s">
        <v>8145</v>
      </c>
      <c r="I403" s="2" t="s">
        <v>8146</v>
      </c>
      <c r="J403" s="475" t="s">
        <v>8147</v>
      </c>
      <c r="K403" s="475" t="s">
        <v>8148</v>
      </c>
      <c r="L403" s="475" t="s">
        <v>8149</v>
      </c>
      <c r="M403" s="475" t="s">
        <v>8150</v>
      </c>
      <c r="N403" s="475" t="s">
        <v>8151</v>
      </c>
    </row>
    <row r="404" spans="1:14">
      <c r="A404" s="2" t="s">
        <v>8152</v>
      </c>
      <c r="B404" s="2" t="str">
        <f t="shared" si="10"/>
        <v>Energy [MWh] = Mass [t] * [MWh/t]</v>
      </c>
      <c r="C404" s="2" t="s">
        <v>8153</v>
      </c>
      <c r="D404" s="469" t="s">
        <v>8154</v>
      </c>
      <c r="E404" s="469" t="s">
        <v>8155</v>
      </c>
      <c r="F404" s="469" t="s">
        <v>8156</v>
      </c>
      <c r="G404" s="476" t="s">
        <v>8157</v>
      </c>
      <c r="H404" s="476" t="s">
        <v>8158</v>
      </c>
      <c r="I404" s="2" t="s">
        <v>8159</v>
      </c>
      <c r="J404" s="475" t="s">
        <v>8160</v>
      </c>
      <c r="K404" s="475" t="s">
        <v>8161</v>
      </c>
      <c r="L404" s="475" t="s">
        <v>8159</v>
      </c>
      <c r="M404" s="475" t="s">
        <v>8162</v>
      </c>
      <c r="N404" s="475" t="s">
        <v>8163</v>
      </c>
    </row>
    <row r="405" spans="1:14" ht="28.8">
      <c r="A405" s="2" t="s">
        <v>8164</v>
      </c>
      <c r="B405" s="2" t="str">
        <f t="shared" si="10"/>
        <v>Energy Consumption per Hour in MWh for Gaseous Fuels:</v>
      </c>
      <c r="C405" s="2" t="s">
        <v>8165</v>
      </c>
      <c r="D405" s="469" t="s">
        <v>8166</v>
      </c>
      <c r="E405" s="469" t="s">
        <v>8167</v>
      </c>
      <c r="F405" s="469" t="s">
        <v>8168</v>
      </c>
      <c r="G405" s="476" t="s">
        <v>8169</v>
      </c>
      <c r="H405" s="476" t="s">
        <v>8170</v>
      </c>
      <c r="I405" s="2" t="s">
        <v>8171</v>
      </c>
      <c r="J405" s="475" t="s">
        <v>8172</v>
      </c>
      <c r="K405" s="475" t="s">
        <v>8173</v>
      </c>
      <c r="L405" s="475" t="s">
        <v>8174</v>
      </c>
      <c r="M405" s="475" t="s">
        <v>8175</v>
      </c>
      <c r="N405" s="475" t="s">
        <v>8176</v>
      </c>
    </row>
    <row r="406" spans="1:14">
      <c r="A406" s="2" t="s">
        <v>8177</v>
      </c>
      <c r="B406" s="2" t="str">
        <f t="shared" si="10"/>
        <v>Mass [t] = Volume [m³] * Density [t/m³]</v>
      </c>
      <c r="C406" s="2" t="s">
        <v>8178</v>
      </c>
      <c r="D406" s="469" t="s">
        <v>8179</v>
      </c>
      <c r="E406" s="469" t="s">
        <v>8180</v>
      </c>
      <c r="F406" s="469" t="s">
        <v>8181</v>
      </c>
      <c r="G406" s="476" t="s">
        <v>8182</v>
      </c>
      <c r="H406" s="476" t="s">
        <v>8183</v>
      </c>
      <c r="I406" s="2" t="s">
        <v>8184</v>
      </c>
      <c r="J406" s="475" t="s">
        <v>8185</v>
      </c>
      <c r="K406" s="475" t="s">
        <v>8186</v>
      </c>
      <c r="L406" s="475" t="s">
        <v>8187</v>
      </c>
      <c r="M406" s="475" t="s">
        <v>8188</v>
      </c>
      <c r="N406" s="475" t="s">
        <v>8189</v>
      </c>
    </row>
    <row r="407" spans="1:14" ht="15" thickBot="1">
      <c r="A407" s="481" t="s">
        <v>8190</v>
      </c>
      <c r="B407" s="481" t="str">
        <f t="shared" si="10"/>
        <v>Energy [MWh] = Mass [t] * NCV [MWh/t]</v>
      </c>
      <c r="C407" s="481" t="s">
        <v>8114</v>
      </c>
      <c r="D407" s="477" t="s">
        <v>8115</v>
      </c>
      <c r="E407" s="477" t="s">
        <v>8116</v>
      </c>
      <c r="F407" s="477" t="s">
        <v>8191</v>
      </c>
      <c r="G407" s="480" t="s">
        <v>8118</v>
      </c>
      <c r="H407" s="480" t="s">
        <v>8119</v>
      </c>
      <c r="I407" s="481" t="s">
        <v>8120</v>
      </c>
      <c r="J407" s="479" t="s">
        <v>8121</v>
      </c>
      <c r="K407" s="479" t="s">
        <v>8122</v>
      </c>
      <c r="L407" s="479" t="s">
        <v>8123</v>
      </c>
      <c r="M407" s="479" t="s">
        <v>8124</v>
      </c>
      <c r="N407" s="479" t="s">
        <v>8192</v>
      </c>
    </row>
    <row r="408" spans="1:14">
      <c r="A408" s="2" t="s">
        <v>8193</v>
      </c>
      <c r="B408" s="2" t="str">
        <f t="shared" si="10"/>
        <v>UNIT OF MEASUREMENT CONVERTER</v>
      </c>
      <c r="C408" s="2" t="s">
        <v>8194</v>
      </c>
      <c r="D408" s="469" t="s">
        <v>8195</v>
      </c>
      <c r="E408" s="469" t="s">
        <v>8196</v>
      </c>
      <c r="F408" s="469" t="s">
        <v>8197</v>
      </c>
      <c r="G408" s="476" t="s">
        <v>8198</v>
      </c>
      <c r="H408" s="476" t="s">
        <v>8199</v>
      </c>
      <c r="I408" s="2" t="s">
        <v>8200</v>
      </c>
      <c r="J408" s="475" t="s">
        <v>8201</v>
      </c>
      <c r="K408" s="475" t="s">
        <v>8202</v>
      </c>
      <c r="L408" s="475" t="s">
        <v>8203</v>
      </c>
      <c r="M408" s="475" t="s">
        <v>8204</v>
      </c>
      <c r="N408" s="475" t="s">
        <v>8205</v>
      </c>
    </row>
    <row r="409" spans="1:14" ht="86.4">
      <c r="A409" s="2" t="s">
        <v>8206</v>
      </c>
      <c r="B409" s="2" t="str">
        <f t="shared" si="10"/>
        <v xml:space="preserve">From </v>
      </c>
      <c r="C409" s="2" t="s">
        <v>8207</v>
      </c>
      <c r="D409" s="469" t="s">
        <v>8208</v>
      </c>
      <c r="E409" s="469" t="s">
        <v>8209</v>
      </c>
      <c r="F409" s="469" t="s">
        <v>8210</v>
      </c>
      <c r="G409" s="476" t="s">
        <v>8211</v>
      </c>
      <c r="H409" s="476" t="s">
        <v>8212</v>
      </c>
      <c r="I409" s="2" t="s">
        <v>8213</v>
      </c>
      <c r="J409" s="475" t="s">
        <v>8214</v>
      </c>
      <c r="K409" s="475" t="s">
        <v>8215</v>
      </c>
      <c r="L409" s="475" t="s">
        <v>8210</v>
      </c>
      <c r="M409" s="475" t="s">
        <v>8216</v>
      </c>
      <c r="N409" s="475" t="s">
        <v>8217</v>
      </c>
    </row>
    <row r="410" spans="1:14">
      <c r="A410" s="2" t="s">
        <v>8218</v>
      </c>
      <c r="B410" s="2" t="str">
        <f t="shared" si="10"/>
        <v>Unit of measurement of Mass Converter</v>
      </c>
      <c r="C410" s="2" t="s">
        <v>8219</v>
      </c>
      <c r="D410" s="469" t="s">
        <v>8220</v>
      </c>
      <c r="E410" s="469" t="s">
        <v>8221</v>
      </c>
      <c r="F410" s="469" t="s">
        <v>8222</v>
      </c>
      <c r="G410" s="476" t="s">
        <v>8223</v>
      </c>
      <c r="H410" s="476" t="s">
        <v>8224</v>
      </c>
      <c r="I410" s="2" t="s">
        <v>8225</v>
      </c>
      <c r="J410" s="475" t="s">
        <v>8226</v>
      </c>
      <c r="K410" s="475" t="s">
        <v>8227</v>
      </c>
      <c r="L410" s="475" t="s">
        <v>8228</v>
      </c>
      <c r="M410" s="475" t="s">
        <v>8229</v>
      </c>
      <c r="N410" s="475" t="s">
        <v>8230</v>
      </c>
    </row>
    <row r="411" spans="1:14">
      <c r="A411" s="2" t="s">
        <v>8231</v>
      </c>
      <c r="B411" s="2" t="str">
        <f t="shared" si="10"/>
        <v>Unit of measurement of Volume Converter</v>
      </c>
      <c r="C411" s="2" t="s">
        <v>8232</v>
      </c>
      <c r="D411" s="469" t="s">
        <v>8233</v>
      </c>
      <c r="E411" s="469" t="s">
        <v>8234</v>
      </c>
      <c r="F411" s="469" t="s">
        <v>8235</v>
      </c>
      <c r="G411" s="476" t="s">
        <v>8236</v>
      </c>
      <c r="H411" s="476" t="s">
        <v>8237</v>
      </c>
      <c r="I411" s="2" t="s">
        <v>8238</v>
      </c>
      <c r="J411" s="475" t="s">
        <v>8239</v>
      </c>
      <c r="K411" s="475" t="s">
        <v>8240</v>
      </c>
      <c r="L411" s="475" t="s">
        <v>8241</v>
      </c>
      <c r="M411" s="475" t="s">
        <v>8242</v>
      </c>
      <c r="N411" s="475" t="s">
        <v>8243</v>
      </c>
    </row>
    <row r="412" spans="1:14" ht="28.8">
      <c r="A412" s="2" t="s">
        <v>8244</v>
      </c>
      <c r="B412" s="2" t="str">
        <f t="shared" si="10"/>
        <v>Unit of measurement of Energy Consumption per Hour</v>
      </c>
      <c r="C412" s="2" t="s">
        <v>8245</v>
      </c>
      <c r="D412" s="469" t="s">
        <v>8246</v>
      </c>
      <c r="E412" s="469" t="s">
        <v>8247</v>
      </c>
      <c r="F412" s="469" t="s">
        <v>8248</v>
      </c>
      <c r="G412" s="476" t="s">
        <v>8249</v>
      </c>
      <c r="H412" s="476" t="s">
        <v>8250</v>
      </c>
      <c r="I412" s="2" t="s">
        <v>8251</v>
      </c>
      <c r="J412" s="475" t="s">
        <v>8252</v>
      </c>
      <c r="K412" s="475" t="s">
        <v>8253</v>
      </c>
      <c r="L412" s="475" t="s">
        <v>8254</v>
      </c>
      <c r="M412" s="475" t="s">
        <v>8255</v>
      </c>
      <c r="N412" s="475" t="s">
        <v>8256</v>
      </c>
    </row>
    <row r="413" spans="1:14" ht="28.8">
      <c r="A413" s="2" t="s">
        <v>8257</v>
      </c>
      <c r="B413" s="2" t="str">
        <f t="shared" si="10"/>
        <v>Unit of measurement of NCV Converter</v>
      </c>
      <c r="C413" s="2" t="s">
        <v>8258</v>
      </c>
      <c r="D413" s="469" t="s">
        <v>8259</v>
      </c>
      <c r="E413" s="469" t="s">
        <v>8260</v>
      </c>
      <c r="F413" s="469" t="s">
        <v>8261</v>
      </c>
      <c r="G413" s="476" t="s">
        <v>8262</v>
      </c>
      <c r="H413" s="476" t="s">
        <v>8263</v>
      </c>
      <c r="I413" s="2" t="s">
        <v>8264</v>
      </c>
      <c r="J413" s="475" t="s">
        <v>8265</v>
      </c>
      <c r="K413" s="475" t="s">
        <v>8266</v>
      </c>
      <c r="L413" s="475" t="s">
        <v>8267</v>
      </c>
      <c r="M413" s="475" t="s">
        <v>8268</v>
      </c>
      <c r="N413" s="475" t="s">
        <v>8269</v>
      </c>
    </row>
    <row r="414" spans="1:14">
      <c r="A414" s="2" t="s">
        <v>8270</v>
      </c>
      <c r="B414" s="2" t="str">
        <f t="shared" si="10"/>
        <v>Mass to Volume Converter (or viceversa)</v>
      </c>
      <c r="C414" s="2" t="s">
        <v>8271</v>
      </c>
      <c r="D414" s="469" t="s">
        <v>8272</v>
      </c>
      <c r="E414" s="469" t="s">
        <v>8273</v>
      </c>
      <c r="F414" s="469" t="s">
        <v>8274</v>
      </c>
      <c r="G414" s="469" t="s">
        <v>8275</v>
      </c>
      <c r="H414" s="469" t="s">
        <v>8276</v>
      </c>
      <c r="I414" s="469" t="s">
        <v>8277</v>
      </c>
      <c r="J414" s="469" t="s">
        <v>8278</v>
      </c>
      <c r="K414" s="469" t="s">
        <v>8279</v>
      </c>
      <c r="L414" s="469" t="s">
        <v>8280</v>
      </c>
      <c r="M414" s="469" t="s">
        <v>8281</v>
      </c>
      <c r="N414" s="469" t="s">
        <v>8282</v>
      </c>
    </row>
    <row r="415" spans="1:14">
      <c r="A415" s="2" t="s">
        <v>8283</v>
      </c>
      <c r="B415" s="2" t="str">
        <f t="shared" si="10"/>
        <v>Density (Kg/L)</v>
      </c>
      <c r="C415" s="2" t="s">
        <v>8284</v>
      </c>
      <c r="D415" s="469" t="s">
        <v>8285</v>
      </c>
      <c r="E415" s="469" t="s">
        <v>8286</v>
      </c>
      <c r="F415" s="469" t="s">
        <v>8287</v>
      </c>
      <c r="G415" s="469" t="s">
        <v>8288</v>
      </c>
      <c r="H415" s="469" t="s">
        <v>8289</v>
      </c>
      <c r="I415" s="469" t="s">
        <v>8290</v>
      </c>
      <c r="J415" s="469" t="s">
        <v>8291</v>
      </c>
      <c r="K415" s="469" t="s">
        <v>8292</v>
      </c>
      <c r="L415" s="469" t="s">
        <v>8293</v>
      </c>
      <c r="M415" s="469" t="s">
        <v>8294</v>
      </c>
      <c r="N415" s="469" t="s">
        <v>8295</v>
      </c>
    </row>
    <row r="416" spans="1:14" ht="43.2">
      <c r="A416" s="2" t="s">
        <v>8296</v>
      </c>
      <c r="B416" s="2" t="str">
        <f t="shared" si="10"/>
        <v>Unit of measurement of Density Converter</v>
      </c>
      <c r="C416" s="2" t="s">
        <v>8297</v>
      </c>
      <c r="D416" s="469" t="s">
        <v>8298</v>
      </c>
      <c r="E416" s="469" t="s">
        <v>8299</v>
      </c>
      <c r="F416" s="469" t="s">
        <v>8300</v>
      </c>
      <c r="G416" s="476" t="s">
        <v>8301</v>
      </c>
      <c r="H416" s="476" t="s">
        <v>8302</v>
      </c>
      <c r="I416" s="2" t="s">
        <v>8303</v>
      </c>
      <c r="J416" s="475" t="s">
        <v>8304</v>
      </c>
      <c r="K416" s="475" t="s">
        <v>8305</v>
      </c>
      <c r="L416" s="475" t="s">
        <v>8306</v>
      </c>
      <c r="M416" s="475" t="s">
        <v>8307</v>
      </c>
      <c r="N416" s="475" t="s">
        <v>8308</v>
      </c>
    </row>
    <row r="417" spans="1:14">
      <c r="A417" s="2" t="s">
        <v>8309</v>
      </c>
      <c r="B417" s="2" t="str">
        <f t="shared" ref="B417:B462" si="11">INDEX(C417:N417,MATCH(template_selected_display_language,$C$3:$N$3,0))</f>
        <v>Usage of Unit of Measurement Converter</v>
      </c>
      <c r="C417" s="2" t="s">
        <v>8310</v>
      </c>
      <c r="D417" s="469" t="s">
        <v>8311</v>
      </c>
      <c r="E417" s="469" t="s">
        <v>8312</v>
      </c>
      <c r="F417" s="469" t="s">
        <v>8313</v>
      </c>
      <c r="G417" s="476" t="s">
        <v>8314</v>
      </c>
      <c r="H417" s="476" t="s">
        <v>8315</v>
      </c>
      <c r="I417" s="2" t="s">
        <v>8316</v>
      </c>
      <c r="J417" s="475" t="s">
        <v>8317</v>
      </c>
      <c r="K417" s="475" t="s">
        <v>8318</v>
      </c>
      <c r="L417" s="475" t="s">
        <v>8319</v>
      </c>
      <c r="M417" s="475" t="s">
        <v>8320</v>
      </c>
      <c r="N417" s="475" t="s">
        <v>8321</v>
      </c>
    </row>
    <row r="418" spans="1:14" ht="43.2">
      <c r="A418" s="2" t="s">
        <v>8322</v>
      </c>
      <c r="B418" s="2" t="str">
        <f t="shared" si="11"/>
        <v>Steps to follow for the Mass table:</v>
      </c>
      <c r="C418" s="2" t="s">
        <v>8323</v>
      </c>
      <c r="D418" s="469" t="s">
        <v>8324</v>
      </c>
      <c r="E418" s="469" t="s">
        <v>8325</v>
      </c>
      <c r="F418" s="469" t="s">
        <v>8326</v>
      </c>
      <c r="G418" s="476" t="s">
        <v>8327</v>
      </c>
      <c r="H418" s="476" t="s">
        <v>8328</v>
      </c>
      <c r="I418" s="2" t="s">
        <v>8329</v>
      </c>
      <c r="J418" s="475" t="s">
        <v>8330</v>
      </c>
      <c r="K418" s="475" t="s">
        <v>8331</v>
      </c>
      <c r="L418" s="475" t="s">
        <v>8332</v>
      </c>
      <c r="M418" s="475" t="s">
        <v>8333</v>
      </c>
      <c r="N418" s="475" t="s">
        <v>8334</v>
      </c>
    </row>
    <row r="419" spans="1:14" ht="57.6">
      <c r="A419" s="2" t="s">
        <v>8335</v>
      </c>
      <c r="B419" s="2" t="str">
        <f t="shared" si="11"/>
        <v>1. In the cell B5 of the table related to the Unit of measurement of Mass Converter should be inserted the Unit of measurement to convert.</v>
      </c>
      <c r="C419" s="2" t="s">
        <v>8336</v>
      </c>
      <c r="D419" s="469" t="s">
        <v>8337</v>
      </c>
      <c r="E419" s="469" t="s">
        <v>8338</v>
      </c>
      <c r="F419" s="469" t="s">
        <v>8339</v>
      </c>
      <c r="G419" s="476" t="s">
        <v>8340</v>
      </c>
      <c r="H419" s="476" t="s">
        <v>8341</v>
      </c>
      <c r="I419" s="2" t="s">
        <v>8342</v>
      </c>
      <c r="J419" s="475" t="s">
        <v>8343</v>
      </c>
      <c r="K419" s="475" t="s">
        <v>8344</v>
      </c>
      <c r="L419" s="475" t="s">
        <v>8345</v>
      </c>
      <c r="M419" s="475" t="s">
        <v>8346</v>
      </c>
      <c r="N419" s="475" t="s">
        <v>8347</v>
      </c>
    </row>
    <row r="420" spans="1:14" ht="28.8">
      <c r="A420" s="2" t="s">
        <v>8348</v>
      </c>
      <c r="B420" s="2" t="str">
        <f t="shared" si="11"/>
        <v>2. Then in the cell B6 the amount of mass can be inserted.</v>
      </c>
      <c r="C420" s="2" t="s">
        <v>8349</v>
      </c>
      <c r="D420" s="469" t="s">
        <v>8350</v>
      </c>
      <c r="E420" s="469" t="s">
        <v>8351</v>
      </c>
      <c r="F420" s="469" t="s">
        <v>8352</v>
      </c>
      <c r="G420" s="476" t="s">
        <v>8353</v>
      </c>
      <c r="H420" s="476" t="s">
        <v>8354</v>
      </c>
      <c r="I420" s="2" t="s">
        <v>8355</v>
      </c>
      <c r="J420" s="475" t="s">
        <v>8356</v>
      </c>
      <c r="K420" s="475" t="s">
        <v>8357</v>
      </c>
      <c r="L420" s="475" t="s">
        <v>8358</v>
      </c>
      <c r="M420" s="475" t="s">
        <v>8359</v>
      </c>
      <c r="N420" s="475" t="s">
        <v>8360</v>
      </c>
    </row>
    <row r="421" spans="1:14" ht="57.6">
      <c r="A421" s="2" t="s">
        <v>8361</v>
      </c>
      <c r="B421" s="2" t="str">
        <f t="shared" si="11"/>
        <v>3. Finally in the cell D5 there should be the unit of measurement of interest.</v>
      </c>
      <c r="C421" s="2" t="s">
        <v>8362</v>
      </c>
      <c r="D421" s="469" t="s">
        <v>8363</v>
      </c>
      <c r="E421" s="469" t="s">
        <v>8364</v>
      </c>
      <c r="F421" s="469" t="s">
        <v>8365</v>
      </c>
      <c r="G421" s="476" t="s">
        <v>8366</v>
      </c>
      <c r="H421" s="476" t="s">
        <v>8367</v>
      </c>
      <c r="I421" s="2" t="s">
        <v>8368</v>
      </c>
      <c r="J421" s="475" t="s">
        <v>8369</v>
      </c>
      <c r="K421" s="475" t="s">
        <v>8370</v>
      </c>
      <c r="L421" s="475" t="s">
        <v>8371</v>
      </c>
      <c r="M421" s="475" t="s">
        <v>8372</v>
      </c>
      <c r="N421" s="475" t="s">
        <v>8373</v>
      </c>
    </row>
    <row r="422" spans="1:14" ht="28.8">
      <c r="A422" s="2" t="s">
        <v>8374</v>
      </c>
      <c r="B422" s="2" t="str">
        <f t="shared" si="11"/>
        <v>4. The outcome of the conversion will be displayed in the cell D6.</v>
      </c>
      <c r="C422" s="2" t="s">
        <v>8375</v>
      </c>
      <c r="D422" s="469" t="s">
        <v>8376</v>
      </c>
      <c r="E422" s="469" t="s">
        <v>8377</v>
      </c>
      <c r="F422" s="469" t="s">
        <v>8378</v>
      </c>
      <c r="G422" s="476" t="s">
        <v>8379</v>
      </c>
      <c r="H422" s="476" t="s">
        <v>8380</v>
      </c>
      <c r="I422" s="2" t="s">
        <v>8381</v>
      </c>
      <c r="J422" s="475" t="s">
        <v>8382</v>
      </c>
      <c r="K422" s="475" t="s">
        <v>8383</v>
      </c>
      <c r="L422" s="475" t="s">
        <v>8384</v>
      </c>
      <c r="M422" s="475" t="s">
        <v>8385</v>
      </c>
      <c r="N422" s="475" t="s">
        <v>8386</v>
      </c>
    </row>
    <row r="423" spans="1:14" ht="72">
      <c r="A423" s="2" t="s">
        <v>8387</v>
      </c>
      <c r="B423" s="2" t="str">
        <f t="shared" si="11"/>
        <v>The steps to follow for the other tables (Volume, Energy Consumption, Density and NCV) are the same of the Mass table.</v>
      </c>
      <c r="C423" s="2" t="s">
        <v>8388</v>
      </c>
      <c r="D423" s="469" t="s">
        <v>8389</v>
      </c>
      <c r="E423" s="469" t="s">
        <v>8390</v>
      </c>
      <c r="F423" s="469" t="s">
        <v>8391</v>
      </c>
      <c r="G423" s="476" t="s">
        <v>8392</v>
      </c>
      <c r="H423" s="476" t="s">
        <v>8393</v>
      </c>
      <c r="I423" s="2" t="s">
        <v>8394</v>
      </c>
      <c r="J423" s="475" t="s">
        <v>8395</v>
      </c>
      <c r="K423" s="475" t="s">
        <v>8396</v>
      </c>
      <c r="L423" s="475" t="s">
        <v>8397</v>
      </c>
      <c r="M423" s="475" t="s">
        <v>8398</v>
      </c>
      <c r="N423" s="475" t="s">
        <v>8399</v>
      </c>
    </row>
    <row r="424" spans="1:14" ht="28.8">
      <c r="A424" s="2" t="s">
        <v>8400</v>
      </c>
      <c r="B424" s="2" t="str">
        <f t="shared" si="11"/>
        <v>Below are specified all the Units of measurement conversions of each table.</v>
      </c>
      <c r="C424" s="2" t="s">
        <v>8401</v>
      </c>
      <c r="D424" s="469" t="s">
        <v>8402</v>
      </c>
      <c r="E424" s="469" t="s">
        <v>8403</v>
      </c>
      <c r="F424" s="469" t="s">
        <v>8404</v>
      </c>
      <c r="G424" s="476" t="s">
        <v>8405</v>
      </c>
      <c r="H424" s="476" t="s">
        <v>8406</v>
      </c>
      <c r="I424" s="2" t="s">
        <v>8407</v>
      </c>
      <c r="J424" s="475" t="s">
        <v>8408</v>
      </c>
      <c r="K424" s="475" t="s">
        <v>8409</v>
      </c>
      <c r="L424" s="475" t="s">
        <v>8410</v>
      </c>
      <c r="M424" s="475" t="s">
        <v>8411</v>
      </c>
      <c r="N424" s="475" t="s">
        <v>8412</v>
      </c>
    </row>
    <row r="425" spans="1:14">
      <c r="A425" s="2" t="s">
        <v>8413</v>
      </c>
      <c r="B425" s="2" t="str">
        <f t="shared" si="11"/>
        <v>▪ Unit of measurement of Mass Converter:</v>
      </c>
      <c r="C425" s="2" t="s">
        <v>8414</v>
      </c>
      <c r="D425" s="469" t="s">
        <v>8415</v>
      </c>
      <c r="E425" s="469" t="s">
        <v>8416</v>
      </c>
      <c r="F425" s="469" t="s">
        <v>8417</v>
      </c>
      <c r="G425" s="476" t="s">
        <v>8418</v>
      </c>
      <c r="H425" s="476" t="s">
        <v>8419</v>
      </c>
      <c r="I425" s="2" t="s">
        <v>8420</v>
      </c>
      <c r="J425" s="475" t="s">
        <v>8226</v>
      </c>
      <c r="K425" s="475" t="s">
        <v>8421</v>
      </c>
      <c r="L425" s="475" t="s">
        <v>8422</v>
      </c>
      <c r="M425" s="475" t="s">
        <v>8423</v>
      </c>
      <c r="N425" s="475" t="s">
        <v>8424</v>
      </c>
    </row>
    <row r="426" spans="1:14">
      <c r="A426" s="2" t="s">
        <v>8425</v>
      </c>
      <c r="B426" s="2" t="str">
        <f t="shared" si="11"/>
        <v>▪ Unit of measurement of Volume Converter:</v>
      </c>
      <c r="C426" s="2" t="s">
        <v>8426</v>
      </c>
      <c r="D426" s="469" t="s">
        <v>8427</v>
      </c>
      <c r="E426" s="469" t="s">
        <v>8428</v>
      </c>
      <c r="F426" s="469" t="s">
        <v>8429</v>
      </c>
      <c r="G426" s="476" t="s">
        <v>8430</v>
      </c>
      <c r="H426" s="476" t="s">
        <v>8431</v>
      </c>
      <c r="I426" s="2" t="s">
        <v>8432</v>
      </c>
      <c r="J426" s="475" t="s">
        <v>8239</v>
      </c>
      <c r="K426" s="475" t="s">
        <v>8433</v>
      </c>
      <c r="L426" s="475" t="s">
        <v>8434</v>
      </c>
      <c r="M426" s="475" t="s">
        <v>8435</v>
      </c>
      <c r="N426" s="475" t="s">
        <v>8436</v>
      </c>
    </row>
    <row r="427" spans="1:14">
      <c r="A427" s="2" t="s">
        <v>8437</v>
      </c>
      <c r="B427" s="2" t="str">
        <f t="shared" si="11"/>
        <v>▪ Unit of measurement of Energy Converter:</v>
      </c>
      <c r="C427" s="2" t="s">
        <v>8438</v>
      </c>
      <c r="D427" s="469" t="s">
        <v>8439</v>
      </c>
      <c r="E427" s="469" t="s">
        <v>8440</v>
      </c>
      <c r="F427" s="469" t="s">
        <v>8441</v>
      </c>
      <c r="G427" s="476" t="s">
        <v>8442</v>
      </c>
      <c r="H427" s="476" t="s">
        <v>8443</v>
      </c>
      <c r="I427" s="2" t="s">
        <v>8444</v>
      </c>
      <c r="J427" s="475" t="s">
        <v>8445</v>
      </c>
      <c r="K427" s="475" t="s">
        <v>8446</v>
      </c>
      <c r="L427" s="475" t="s">
        <v>8447</v>
      </c>
      <c r="M427" s="475" t="s">
        <v>8448</v>
      </c>
      <c r="N427" s="475" t="s">
        <v>8449</v>
      </c>
    </row>
    <row r="428" spans="1:14">
      <c r="A428" s="2" t="s">
        <v>8450</v>
      </c>
      <c r="B428" s="2" t="str">
        <f t="shared" si="11"/>
        <v>▪ Unit of measurement of Density Converter:</v>
      </c>
      <c r="C428" s="2" t="s">
        <v>8451</v>
      </c>
      <c r="D428" s="469" t="s">
        <v>8452</v>
      </c>
      <c r="E428" s="469" t="s">
        <v>8453</v>
      </c>
      <c r="F428" s="469" t="s">
        <v>8454</v>
      </c>
      <c r="G428" s="476" t="s">
        <v>8455</v>
      </c>
      <c r="H428" s="476" t="s">
        <v>8456</v>
      </c>
      <c r="I428" s="2" t="s">
        <v>8457</v>
      </c>
      <c r="J428" s="475" t="s">
        <v>8304</v>
      </c>
      <c r="K428" s="475" t="s">
        <v>8458</v>
      </c>
      <c r="L428" s="475" t="s">
        <v>8459</v>
      </c>
      <c r="M428" s="475" t="s">
        <v>8460</v>
      </c>
      <c r="N428" s="475" t="s">
        <v>8461</v>
      </c>
    </row>
    <row r="429" spans="1:14">
      <c r="A429" s="2" t="s">
        <v>8462</v>
      </c>
      <c r="B429" s="2" t="str">
        <f t="shared" si="11"/>
        <v>▪ Unit of measurement of NCV Converter:</v>
      </c>
      <c r="C429" s="2" t="s">
        <v>8463</v>
      </c>
      <c r="D429" s="469" t="s">
        <v>8464</v>
      </c>
      <c r="E429" s="469" t="s">
        <v>8465</v>
      </c>
      <c r="F429" s="469" t="s">
        <v>8466</v>
      </c>
      <c r="G429" s="476" t="s">
        <v>8467</v>
      </c>
      <c r="H429" s="476" t="s">
        <v>8468</v>
      </c>
      <c r="I429" s="2" t="s">
        <v>8469</v>
      </c>
      <c r="J429" s="475" t="s">
        <v>8265</v>
      </c>
      <c r="K429" s="475" t="s">
        <v>8470</v>
      </c>
      <c r="L429" s="475" t="s">
        <v>8471</v>
      </c>
      <c r="M429" s="475" t="s">
        <v>8472</v>
      </c>
      <c r="N429" s="475" t="s">
        <v>8473</v>
      </c>
    </row>
    <row r="430" spans="1:14" ht="43.8" thickBot="1">
      <c r="A430" s="481" t="s">
        <v>8474</v>
      </c>
      <c r="B430" s="481" t="str">
        <f t="shared" si="11"/>
        <v>Similar steps, with also the specification of the denisty, can be applied to the last table for the conversion from Mass to Volumer (or viceversa).</v>
      </c>
      <c r="C430" s="481" t="s">
        <v>8475</v>
      </c>
      <c r="D430" s="477" t="s">
        <v>8476</v>
      </c>
      <c r="E430" s="477" t="s">
        <v>8477</v>
      </c>
      <c r="F430" s="477" t="s">
        <v>8478</v>
      </c>
      <c r="G430" s="477" t="s">
        <v>8479</v>
      </c>
      <c r="H430" s="477" t="s">
        <v>8480</v>
      </c>
      <c r="I430" s="477" t="s">
        <v>8481</v>
      </c>
      <c r="J430" s="477" t="s">
        <v>8482</v>
      </c>
      <c r="K430" s="477" t="s">
        <v>8483</v>
      </c>
      <c r="L430" s="477" t="s">
        <v>8484</v>
      </c>
      <c r="M430" s="477" t="s">
        <v>8485</v>
      </c>
      <c r="N430" s="477" t="s">
        <v>8486</v>
      </c>
    </row>
    <row r="431" spans="1:14">
      <c r="A431" s="2" t="s">
        <v>8487</v>
      </c>
      <c r="B431" s="2" t="str">
        <f t="shared" si="11"/>
        <v>INCOMPLETE</v>
      </c>
      <c r="C431" s="2" t="s">
        <v>8488</v>
      </c>
      <c r="D431" s="469" t="s">
        <v>8489</v>
      </c>
      <c r="E431" s="469" t="s">
        <v>8490</v>
      </c>
      <c r="F431" s="469" t="s">
        <v>8491</v>
      </c>
      <c r="G431" s="476" t="s">
        <v>8492</v>
      </c>
      <c r="H431" s="476" t="s">
        <v>8493</v>
      </c>
      <c r="I431" s="2" t="s">
        <v>8494</v>
      </c>
      <c r="J431" s="475" t="s">
        <v>8495</v>
      </c>
      <c r="K431" s="475" t="s">
        <v>8496</v>
      </c>
      <c r="L431" s="475" t="s">
        <v>8494</v>
      </c>
      <c r="M431" s="475" t="s">
        <v>8497</v>
      </c>
      <c r="N431" s="475" t="s">
        <v>8494</v>
      </c>
    </row>
    <row r="432" spans="1:14" ht="28.8">
      <c r="A432" s="2" t="s">
        <v>8498</v>
      </c>
      <c r="B432" s="2" t="str">
        <f t="shared" si="11"/>
        <v>COMPLETE</v>
      </c>
      <c r="C432" s="2" t="s">
        <v>8499</v>
      </c>
      <c r="D432" s="469" t="s">
        <v>8500</v>
      </c>
      <c r="E432" s="469" t="s">
        <v>8501</v>
      </c>
      <c r="F432" s="469" t="s">
        <v>8502</v>
      </c>
      <c r="G432" s="476" t="s">
        <v>8503</v>
      </c>
      <c r="H432" s="476" t="s">
        <v>8504</v>
      </c>
      <c r="I432" s="2" t="s">
        <v>8505</v>
      </c>
      <c r="J432" s="475" t="s">
        <v>8506</v>
      </c>
      <c r="K432" s="475" t="s">
        <v>8507</v>
      </c>
      <c r="L432" s="475" t="s">
        <v>8505</v>
      </c>
      <c r="M432" s="475" t="s">
        <v>8508</v>
      </c>
      <c r="N432" s="475" t="s">
        <v>8505</v>
      </c>
    </row>
    <row r="433" spans="1:14" ht="43.2">
      <c r="A433" s="2" t="s">
        <v>8509</v>
      </c>
      <c r="B433" s="2" t="str">
        <f t="shared" si="11"/>
        <v>MISSING VALUE</v>
      </c>
      <c r="C433" s="2" t="s">
        <v>8510</v>
      </c>
      <c r="D433" s="469" t="s">
        <v>8511</v>
      </c>
      <c r="E433" s="469" t="s">
        <v>8512</v>
      </c>
      <c r="F433" s="469" t="s">
        <v>8513</v>
      </c>
      <c r="G433" s="476" t="s">
        <v>8514</v>
      </c>
      <c r="H433" s="476" t="s">
        <v>8515</v>
      </c>
      <c r="I433" s="2" t="s">
        <v>8516</v>
      </c>
      <c r="J433" s="475" t="s">
        <v>8517</v>
      </c>
      <c r="K433" s="475" t="s">
        <v>8518</v>
      </c>
      <c r="L433" s="475" t="s">
        <v>8519</v>
      </c>
      <c r="M433" s="475" t="s">
        <v>8520</v>
      </c>
      <c r="N433" s="475" t="s">
        <v>8521</v>
      </c>
    </row>
    <row r="434" spans="1:14">
      <c r="A434" s="2" t="s">
        <v>8522</v>
      </c>
      <c r="B434" s="2" t="str">
        <f t="shared" si="11"/>
        <v>ERROR</v>
      </c>
      <c r="C434" s="2" t="s">
        <v>8523</v>
      </c>
      <c r="D434" s="469" t="s">
        <v>8524</v>
      </c>
      <c r="E434" s="469" t="s">
        <v>8525</v>
      </c>
      <c r="F434" s="469" t="s">
        <v>8526</v>
      </c>
      <c r="G434" s="476" t="s">
        <v>8527</v>
      </c>
      <c r="H434" s="476" t="s">
        <v>8528</v>
      </c>
      <c r="I434" s="2" t="s">
        <v>8529</v>
      </c>
      <c r="J434" s="475" t="s">
        <v>8530</v>
      </c>
      <c r="K434" s="475" t="s">
        <v>8531</v>
      </c>
      <c r="L434" s="475" t="s">
        <v>8532</v>
      </c>
      <c r="M434" s="475" t="s">
        <v>8533</v>
      </c>
      <c r="N434" s="475" t="s">
        <v>8523</v>
      </c>
    </row>
    <row r="435" spans="1:14" ht="43.2">
      <c r="A435" s="2" t="s">
        <v>8534</v>
      </c>
      <c r="B435" s="2" t="str">
        <f t="shared" si="11"/>
        <v>VALUE INCONSISTENCY</v>
      </c>
      <c r="C435" s="2" t="s">
        <v>8535</v>
      </c>
      <c r="D435" s="469" t="s">
        <v>8536</v>
      </c>
      <c r="E435" s="469" t="s">
        <v>8537</v>
      </c>
      <c r="F435" s="469" t="s">
        <v>8538</v>
      </c>
      <c r="G435" s="476" t="s">
        <v>8539</v>
      </c>
      <c r="H435" s="476" t="s">
        <v>8540</v>
      </c>
      <c r="I435" s="2" t="s">
        <v>8541</v>
      </c>
      <c r="J435" s="475" t="s">
        <v>8542</v>
      </c>
      <c r="K435" s="475" t="s">
        <v>8543</v>
      </c>
      <c r="L435" s="475" t="s">
        <v>8544</v>
      </c>
      <c r="M435" s="475" t="s">
        <v>8545</v>
      </c>
      <c r="N435" s="475" t="s">
        <v>8546</v>
      </c>
    </row>
    <row r="436" spans="1:14">
      <c r="A436" s="2" t="s">
        <v>8547</v>
      </c>
      <c r="B436" s="2" t="str">
        <f t="shared" si="11"/>
        <v>ERROR + VALUE INCONSISTENCY</v>
      </c>
      <c r="C436" s="2" t="s">
        <v>8548</v>
      </c>
      <c r="D436" s="469" t="s">
        <v>8549</v>
      </c>
      <c r="E436" s="469" t="s">
        <v>8550</v>
      </c>
      <c r="F436" s="469" t="s">
        <v>8551</v>
      </c>
      <c r="G436" s="476" t="s">
        <v>8552</v>
      </c>
      <c r="H436" s="476" t="s">
        <v>8553</v>
      </c>
      <c r="I436" s="2" t="s">
        <v>8554</v>
      </c>
      <c r="J436" s="475" t="s">
        <v>8555</v>
      </c>
      <c r="K436" s="475" t="s">
        <v>8556</v>
      </c>
      <c r="L436" s="475" t="s">
        <v>8557</v>
      </c>
      <c r="M436" s="475" t="s">
        <v>8558</v>
      </c>
      <c r="N436" s="475" t="s">
        <v>8559</v>
      </c>
    </row>
    <row r="437" spans="1:14" ht="28.8">
      <c r="A437" s="2" t="s">
        <v>8560</v>
      </c>
      <c r="B437" s="2" t="str">
        <f t="shared" si="11"/>
        <v>ERROR + MISSING VALUE + VALUE INCONSISTENCY</v>
      </c>
      <c r="C437" s="2" t="s">
        <v>8561</v>
      </c>
      <c r="D437" s="469" t="s">
        <v>8562</v>
      </c>
      <c r="E437" s="469" t="s">
        <v>8563</v>
      </c>
      <c r="F437" s="469" t="s">
        <v>8564</v>
      </c>
      <c r="G437" s="476" t="s">
        <v>8565</v>
      </c>
      <c r="H437" s="476" t="s">
        <v>8566</v>
      </c>
      <c r="I437" s="2" t="s">
        <v>8567</v>
      </c>
      <c r="J437" s="475" t="s">
        <v>8568</v>
      </c>
      <c r="K437" s="475" t="s">
        <v>8569</v>
      </c>
      <c r="L437" s="475" t="s">
        <v>8570</v>
      </c>
      <c r="M437" s="475" t="s">
        <v>8571</v>
      </c>
      <c r="N437" s="475" t="s">
        <v>8572</v>
      </c>
    </row>
    <row r="438" spans="1:14">
      <c r="A438" s="2" t="s">
        <v>8573</v>
      </c>
      <c r="B438" s="2" t="str">
        <f t="shared" si="11"/>
        <v>ERROR + MISSING VALUE</v>
      </c>
      <c r="C438" s="2" t="s">
        <v>8574</v>
      </c>
      <c r="D438" s="469" t="s">
        <v>8575</v>
      </c>
      <c r="E438" s="469" t="s">
        <v>8576</v>
      </c>
      <c r="F438" s="469" t="s">
        <v>8577</v>
      </c>
      <c r="G438" s="476" t="s">
        <v>8578</v>
      </c>
      <c r="H438" s="476" t="s">
        <v>8579</v>
      </c>
      <c r="I438" s="2" t="s">
        <v>8580</v>
      </c>
      <c r="J438" s="475" t="s">
        <v>8581</v>
      </c>
      <c r="K438" s="475" t="s">
        <v>8582</v>
      </c>
      <c r="L438" s="475" t="s">
        <v>8583</v>
      </c>
      <c r="M438" s="475" t="s">
        <v>8584</v>
      </c>
      <c r="N438" s="475" t="s">
        <v>8585</v>
      </c>
    </row>
    <row r="439" spans="1:14">
      <c r="A439" s="2" t="s">
        <v>8586</v>
      </c>
      <c r="B439" s="2" t="str">
        <f t="shared" si="11"/>
        <v>MISSING VALUE + VALUE INCONSISTENCY</v>
      </c>
      <c r="C439" s="2" t="s">
        <v>8587</v>
      </c>
      <c r="D439" s="469" t="s">
        <v>8588</v>
      </c>
      <c r="E439" s="469" t="s">
        <v>8589</v>
      </c>
      <c r="F439" s="469" t="s">
        <v>8590</v>
      </c>
      <c r="G439" s="476" t="s">
        <v>8591</v>
      </c>
      <c r="H439" s="476" t="s">
        <v>8592</v>
      </c>
      <c r="I439" s="2" t="s">
        <v>8593</v>
      </c>
      <c r="J439" s="475" t="s">
        <v>8594</v>
      </c>
      <c r="K439" s="475" t="s">
        <v>8595</v>
      </c>
      <c r="L439" s="475" t="s">
        <v>8596</v>
      </c>
      <c r="M439" s="475" t="s">
        <v>8597</v>
      </c>
      <c r="N439" s="475" t="s">
        <v>8598</v>
      </c>
    </row>
    <row r="440" spans="1:14">
      <c r="A440" s="2" t="s">
        <v>8599</v>
      </c>
      <c r="B440" s="2" t="str">
        <f t="shared" si="11"/>
        <v>INVALID URL</v>
      </c>
      <c r="C440" s="2" t="s">
        <v>8600</v>
      </c>
      <c r="D440" s="469" t="s">
        <v>8601</v>
      </c>
      <c r="E440" s="469" t="s">
        <v>8602</v>
      </c>
      <c r="F440" s="469" t="s">
        <v>8603</v>
      </c>
      <c r="G440" s="476" t="s">
        <v>8604</v>
      </c>
      <c r="H440" s="476" t="s">
        <v>8605</v>
      </c>
      <c r="I440" s="2" t="s">
        <v>8606</v>
      </c>
      <c r="J440" s="475" t="s">
        <v>8607</v>
      </c>
      <c r="K440" s="475" t="s">
        <v>8608</v>
      </c>
      <c r="L440" s="475" t="s">
        <v>8609</v>
      </c>
      <c r="M440" s="475" t="s">
        <v>8610</v>
      </c>
      <c r="N440" s="475" t="s">
        <v>8611</v>
      </c>
    </row>
    <row r="441" spans="1:14">
      <c r="A441" s="2" t="s">
        <v>8612</v>
      </c>
      <c r="B441" s="2" t="str">
        <f t="shared" si="11"/>
        <v>OK</v>
      </c>
      <c r="C441" s="2" t="s">
        <v>8613</v>
      </c>
      <c r="D441" s="469" t="s">
        <v>8613</v>
      </c>
      <c r="E441" s="469" t="s">
        <v>8613</v>
      </c>
      <c r="F441" s="469" t="s">
        <v>8613</v>
      </c>
      <c r="G441" s="476" t="s">
        <v>8613</v>
      </c>
      <c r="H441" s="476" t="s">
        <v>8614</v>
      </c>
      <c r="I441" s="2" t="s">
        <v>8613</v>
      </c>
      <c r="J441" s="475" t="s">
        <v>8615</v>
      </c>
      <c r="K441" s="475" t="s">
        <v>8613</v>
      </c>
      <c r="L441" s="475" t="s">
        <v>8613</v>
      </c>
      <c r="M441" s="475" t="s">
        <v>8616</v>
      </c>
      <c r="N441" s="475" t="s">
        <v>8617</v>
      </c>
    </row>
    <row r="442" spans="1:14">
      <c r="A442" s="2" t="s">
        <v>8618</v>
      </c>
      <c r="B442" s="2" t="str">
        <f t="shared" si="11"/>
        <v>CLASSIFIED OR SENSITIVE INFORMATION</v>
      </c>
      <c r="C442" s="2" t="s">
        <v>8619</v>
      </c>
      <c r="D442" s="469" t="s">
        <v>8620</v>
      </c>
      <c r="E442" s="469" t="s">
        <v>8621</v>
      </c>
      <c r="F442" s="469" t="s">
        <v>8622</v>
      </c>
      <c r="G442" s="469" t="s">
        <v>8623</v>
      </c>
      <c r="H442" s="469" t="s">
        <v>8624</v>
      </c>
      <c r="I442" s="469" t="s">
        <v>8625</v>
      </c>
      <c r="J442" s="469" t="s">
        <v>8626</v>
      </c>
      <c r="K442" s="469" t="s">
        <v>8627</v>
      </c>
      <c r="L442" s="469" t="s">
        <v>8628</v>
      </c>
      <c r="M442" s="469" t="s">
        <v>8629</v>
      </c>
      <c r="N442" s="469" t="s">
        <v>8630</v>
      </c>
    </row>
    <row r="443" spans="1:14" ht="28.8">
      <c r="A443" s="2" t="s">
        <v>8631</v>
      </c>
      <c r="B443" s="2" t="str">
        <f t="shared" si="11"/>
        <v>ℹ️ Liquid fuel: please select one unit of measurement among m³ and L</v>
      </c>
      <c r="C443" s="2" t="s">
        <v>8632</v>
      </c>
      <c r="D443" s="469" t="s">
        <v>8633</v>
      </c>
      <c r="E443" s="469" t="s">
        <v>8634</v>
      </c>
      <c r="F443" s="469" t="s">
        <v>8635</v>
      </c>
      <c r="G443" s="476" t="s">
        <v>8636</v>
      </c>
      <c r="H443" s="476" t="s">
        <v>8637</v>
      </c>
      <c r="I443" s="2" t="s">
        <v>8638</v>
      </c>
      <c r="J443" s="475" t="s">
        <v>8639</v>
      </c>
      <c r="K443" s="475" t="s">
        <v>8640</v>
      </c>
      <c r="L443" s="475" t="s">
        <v>8641</v>
      </c>
      <c r="M443" s="475" t="s">
        <v>8642</v>
      </c>
      <c r="N443" s="475" t="s">
        <v>8643</v>
      </c>
    </row>
    <row r="444" spans="1:14" ht="28.8">
      <c r="A444" s="2" t="s">
        <v>8644</v>
      </c>
      <c r="B444" s="2" t="str">
        <f t="shared" si="11"/>
        <v>ℹ️ Solid fuel: please select one unit of measurement among Gg, t, Kg and g</v>
      </c>
      <c r="C444" s="2" t="s">
        <v>8645</v>
      </c>
      <c r="D444" s="469" t="s">
        <v>8646</v>
      </c>
      <c r="E444" s="469" t="s">
        <v>8647</v>
      </c>
      <c r="F444" s="469" t="s">
        <v>8648</v>
      </c>
      <c r="G444" s="476" t="s">
        <v>8649</v>
      </c>
      <c r="H444" s="476" t="s">
        <v>8650</v>
      </c>
      <c r="I444" s="2" t="s">
        <v>8651</v>
      </c>
      <c r="J444" s="475" t="s">
        <v>8652</v>
      </c>
      <c r="K444" s="475" t="s">
        <v>8653</v>
      </c>
      <c r="L444" s="475" t="s">
        <v>8654</v>
      </c>
      <c r="M444" s="475" t="s">
        <v>8655</v>
      </c>
      <c r="N444" s="475" t="s">
        <v>8656</v>
      </c>
    </row>
    <row r="445" spans="1:14" ht="28.8">
      <c r="A445" s="2" t="s">
        <v>8657</v>
      </c>
      <c r="B445" s="2" t="str">
        <f t="shared" si="11"/>
        <v>ℹ️ Gaseous fuel: please select one unit of measurement among m³ and L</v>
      </c>
      <c r="C445" s="2" t="s">
        <v>8658</v>
      </c>
      <c r="D445" s="469" t="s">
        <v>8659</v>
      </c>
      <c r="E445" s="469" t="s">
        <v>8660</v>
      </c>
      <c r="F445" s="469" t="s">
        <v>8661</v>
      </c>
      <c r="G445" s="476" t="s">
        <v>8662</v>
      </c>
      <c r="H445" s="476" t="s">
        <v>8663</v>
      </c>
      <c r="I445" s="2" t="s">
        <v>8664</v>
      </c>
      <c r="J445" s="475" t="s">
        <v>8665</v>
      </c>
      <c r="K445" s="475" t="s">
        <v>8666</v>
      </c>
      <c r="L445" s="475" t="s">
        <v>8667</v>
      </c>
      <c r="M445" s="475" t="s">
        <v>8668</v>
      </c>
      <c r="N445" s="475" t="s">
        <v>8669</v>
      </c>
    </row>
    <row r="446" spans="1:14" s="540" customFormat="1" ht="100.8">
      <c r="A446" s="589" t="s">
        <v>8670</v>
      </c>
      <c r="B446" s="589" t="str">
        <f t="shared" si="11"/>
        <v xml:space="preserve">ℹ️  The entity identifier is a unique ID, that will enable identifying the company that has reported the information. The Voluntary Standard does not require any specific identifier. An entity identifier is required for the digital reporting. </v>
      </c>
      <c r="C446" s="589" t="s">
        <v>8671</v>
      </c>
      <c r="D446" s="576" t="s">
        <v>8672</v>
      </c>
      <c r="E446" s="576" t="s">
        <v>8673</v>
      </c>
      <c r="F446" s="576" t="s">
        <v>8674</v>
      </c>
      <c r="G446" s="591" t="s">
        <v>8675</v>
      </c>
      <c r="H446" s="591" t="s">
        <v>8676</v>
      </c>
      <c r="I446" s="589" t="s">
        <v>8677</v>
      </c>
      <c r="J446" s="579" t="s">
        <v>8678</v>
      </c>
      <c r="K446" s="579" t="s">
        <v>8679</v>
      </c>
      <c r="L446" s="579" t="s">
        <v>8680</v>
      </c>
      <c r="M446" s="579" t="s">
        <v>8681</v>
      </c>
      <c r="N446" s="579" t="s">
        <v>8682</v>
      </c>
    </row>
    <row r="447" spans="1:14" ht="72">
      <c r="A447" s="2" t="s">
        <v>8683</v>
      </c>
      <c r="B447" s="2" t="str">
        <f t="shared" si="11"/>
        <v>ℹ️ If VALUE INCONSISTENCY message appears on the right, please ensure that the reporting period end date is greater than the reporting period start date.</v>
      </c>
      <c r="C447" s="2" t="s">
        <v>8684</v>
      </c>
      <c r="D447" s="469" t="s">
        <v>8685</v>
      </c>
      <c r="E447" s="469" t="s">
        <v>8686</v>
      </c>
      <c r="F447" s="469" t="s">
        <v>8687</v>
      </c>
      <c r="G447" s="476" t="s">
        <v>8688</v>
      </c>
      <c r="H447" s="476" t="s">
        <v>8689</v>
      </c>
      <c r="I447" s="2" t="s">
        <v>8690</v>
      </c>
      <c r="J447" s="475" t="s">
        <v>8691</v>
      </c>
      <c r="K447" s="475" t="s">
        <v>8692</v>
      </c>
      <c r="L447" s="475" t="s">
        <v>8693</v>
      </c>
      <c r="M447" s="475" t="s">
        <v>8694</v>
      </c>
      <c r="N447" s="475" t="s">
        <v>8695</v>
      </c>
    </row>
    <row r="448" spans="1:14" ht="72">
      <c r="A448" s="2" t="s">
        <v>8696</v>
      </c>
      <c r="B448" s="2" t="str">
        <f t="shared" si="11"/>
        <v>ℹ️  Lists can be expanded using the little [+] button on the left.  If the number of rows is not sufficient, those can be added by right clicking the second row and selecting "Insert row".</v>
      </c>
      <c r="C448" s="2" t="s">
        <v>8697</v>
      </c>
      <c r="D448" s="469" t="s">
        <v>8698</v>
      </c>
      <c r="E448" s="469" t="s">
        <v>8699</v>
      </c>
      <c r="F448" s="469" t="s">
        <v>8700</v>
      </c>
      <c r="G448" s="476" t="s">
        <v>8701</v>
      </c>
      <c r="H448" s="476" t="s">
        <v>8702</v>
      </c>
      <c r="I448" s="2" t="s">
        <v>8703</v>
      </c>
      <c r="J448" s="475" t="s">
        <v>8704</v>
      </c>
      <c r="K448" s="475" t="s">
        <v>8705</v>
      </c>
      <c r="L448" s="475" t="s">
        <v>8706</v>
      </c>
      <c r="M448" s="475" t="s">
        <v>8707</v>
      </c>
      <c r="N448" s="475" t="s">
        <v>8708</v>
      </c>
    </row>
    <row r="449" spans="1:14" ht="57.6">
      <c r="A449" s="2" t="s">
        <v>8709</v>
      </c>
      <c r="B449" s="2" t="str">
        <f t="shared" si="11"/>
        <v>ℹ️ When "other" is chosen as undertaking legal form please fill the row below</v>
      </c>
      <c r="C449" s="2" t="s">
        <v>8710</v>
      </c>
      <c r="D449" s="469" t="s">
        <v>8711</v>
      </c>
      <c r="E449" s="469" t="s">
        <v>8712</v>
      </c>
      <c r="F449" s="469" t="s">
        <v>8713</v>
      </c>
      <c r="G449" s="476" t="s">
        <v>8714</v>
      </c>
      <c r="H449" s="476" t="s">
        <v>8715</v>
      </c>
      <c r="I449" s="2" t="s">
        <v>8716</v>
      </c>
      <c r="J449" s="475" t="s">
        <v>8717</v>
      </c>
      <c r="K449" s="475" t="s">
        <v>8718</v>
      </c>
      <c r="L449" s="475" t="s">
        <v>8719</v>
      </c>
      <c r="M449" s="475" t="s">
        <v>8720</v>
      </c>
      <c r="N449" s="475" t="s">
        <v>8721</v>
      </c>
    </row>
    <row r="450" spans="1:14" ht="57.6">
      <c r="A450" s="2" t="s">
        <v>8722</v>
      </c>
      <c r="B450" s="2" t="str">
        <f t="shared" si="11"/>
        <v>ℹ️  Please select a NACE code rather than a category else an ERROR message will appear.</v>
      </c>
      <c r="C450" s="2" t="s">
        <v>8723</v>
      </c>
      <c r="D450" s="469" t="s">
        <v>8724</v>
      </c>
      <c r="E450" s="469" t="s">
        <v>8725</v>
      </c>
      <c r="F450" s="469" t="s">
        <v>8726</v>
      </c>
      <c r="G450" s="476" t="s">
        <v>8727</v>
      </c>
      <c r="H450" s="476" t="s">
        <v>8728</v>
      </c>
      <c r="I450" s="2" t="s">
        <v>8729</v>
      </c>
      <c r="J450" s="475" t="s">
        <v>8730</v>
      </c>
      <c r="K450" s="475" t="s">
        <v>8731</v>
      </c>
      <c r="L450" s="475" t="s">
        <v>8732</v>
      </c>
      <c r="M450" s="475" t="s">
        <v>8733</v>
      </c>
      <c r="N450" s="475" t="s">
        <v>8734</v>
      </c>
    </row>
    <row r="451" spans="1:14" ht="43.2">
      <c r="A451" s="2" t="s">
        <v>8735</v>
      </c>
      <c r="B451" s="2" t="str">
        <f t="shared" si="11"/>
        <v>ℹ️  Please be careful to separate each street number and house number using the slash symbol "/" and not the comma ","</v>
      </c>
      <c r="C451" s="2" t="s">
        <v>8736</v>
      </c>
      <c r="D451" s="469" t="s">
        <v>8737</v>
      </c>
      <c r="E451" s="469" t="s">
        <v>8738</v>
      </c>
      <c r="F451" s="469" t="s">
        <v>8739</v>
      </c>
      <c r="G451" s="476" t="s">
        <v>8740</v>
      </c>
      <c r="H451" s="476" t="s">
        <v>8741</v>
      </c>
      <c r="I451" s="2" t="s">
        <v>8742</v>
      </c>
      <c r="J451" s="475" t="s">
        <v>8743</v>
      </c>
      <c r="K451" s="475" t="s">
        <v>8744</v>
      </c>
      <c r="L451" s="475" t="s">
        <v>8745</v>
      </c>
      <c r="M451" s="475" t="s">
        <v>8746</v>
      </c>
      <c r="N451" s="475" t="s">
        <v>8747</v>
      </c>
    </row>
    <row r="452" spans="1:14" ht="43.2">
      <c r="A452" s="2" t="s">
        <v>8748</v>
      </c>
      <c r="B452" s="2" t="str">
        <f t="shared" si="11"/>
        <v xml:space="preserve">ℹ️  Please note that the formula present in this cell may be overwritten in case the undertaking wants to directly provide the value. </v>
      </c>
      <c r="C452" s="2" t="s">
        <v>8749</v>
      </c>
      <c r="D452" s="469" t="s">
        <v>8750</v>
      </c>
      <c r="E452" s="469" t="s">
        <v>8751</v>
      </c>
      <c r="F452" s="469" t="s">
        <v>8752</v>
      </c>
      <c r="G452" s="476" t="s">
        <v>8753</v>
      </c>
      <c r="H452" s="476" t="s">
        <v>8754</v>
      </c>
      <c r="I452" s="2" t="s">
        <v>8755</v>
      </c>
      <c r="J452" s="475" t="s">
        <v>8756</v>
      </c>
      <c r="K452" s="475" t="s">
        <v>8757</v>
      </c>
      <c r="L452" s="475" t="s">
        <v>8758</v>
      </c>
      <c r="M452" s="475" t="s">
        <v>8759</v>
      </c>
      <c r="N452" s="475" t="s">
        <v>8760</v>
      </c>
    </row>
    <row r="453" spans="1:14" ht="100.8">
      <c r="A453" s="2" t="s">
        <v>8761</v>
      </c>
      <c r="B453" s="2" t="str">
        <f t="shared" si="11"/>
        <v>ℹ️  Scope 3 categories according to the GHG protocol might help to calculate the total Scope 3 GHG emissions. In case the undertaking wants to, it can directly provide the Total Scope 3 GHG emissions in the respective cell.</v>
      </c>
      <c r="C453" s="2" t="s">
        <v>8762</v>
      </c>
      <c r="D453" s="469" t="s">
        <v>8763</v>
      </c>
      <c r="E453" s="469" t="s">
        <v>8764</v>
      </c>
      <c r="F453" s="469" t="s">
        <v>8765</v>
      </c>
      <c r="G453" s="476" t="s">
        <v>8766</v>
      </c>
      <c r="H453" s="476" t="s">
        <v>8767</v>
      </c>
      <c r="I453" s="2" t="s">
        <v>8768</v>
      </c>
      <c r="J453" s="475" t="s">
        <v>8769</v>
      </c>
      <c r="K453" s="475" t="s">
        <v>8770</v>
      </c>
      <c r="L453" s="475" t="s">
        <v>8771</v>
      </c>
      <c r="M453" s="475" t="s">
        <v>8772</v>
      </c>
      <c r="N453" s="475" t="s">
        <v>8773</v>
      </c>
    </row>
    <row r="454" spans="1:14" ht="57.6">
      <c r="A454" s="2" t="s">
        <v>8774</v>
      </c>
      <c r="B454" s="2" t="str">
        <f t="shared" si="11"/>
        <v>ℹ️  If a validation related to value inconsistency is displayed, please select a site ID that is different from one of those previously selected.</v>
      </c>
      <c r="C454" s="2" t="s">
        <v>8775</v>
      </c>
      <c r="D454" s="469" t="s">
        <v>8776</v>
      </c>
      <c r="E454" s="469" t="s">
        <v>8777</v>
      </c>
      <c r="F454" s="469" t="s">
        <v>8778</v>
      </c>
      <c r="G454" s="476" t="s">
        <v>8779</v>
      </c>
      <c r="H454" s="476" t="s">
        <v>8780</v>
      </c>
      <c r="I454" s="2" t="s">
        <v>8781</v>
      </c>
      <c r="J454" s="475" t="s">
        <v>8782</v>
      </c>
      <c r="K454" s="475" t="s">
        <v>8783</v>
      </c>
      <c r="L454" s="475" t="s">
        <v>8784</v>
      </c>
      <c r="M454" s="475" t="s">
        <v>8785</v>
      </c>
      <c r="N454" s="475" t="s">
        <v>8786</v>
      </c>
    </row>
    <row r="455" spans="1:14" ht="57.6">
      <c r="A455" s="2" t="s">
        <v>8787</v>
      </c>
      <c r="B455" s="2" t="str">
        <f t="shared" si="11"/>
        <v>ℹ️  Please select a Type of waste (Hazardous or Non-Hazardous) rather than a category else an ERROR message will appear.</v>
      </c>
      <c r="C455" s="2" t="s">
        <v>8788</v>
      </c>
      <c r="D455" s="469" t="s">
        <v>8789</v>
      </c>
      <c r="E455" s="469" t="s">
        <v>8790</v>
      </c>
      <c r="F455" s="469" t="s">
        <v>8791</v>
      </c>
      <c r="G455" s="476" t="s">
        <v>8792</v>
      </c>
      <c r="H455" s="476" t="s">
        <v>8793</v>
      </c>
      <c r="I455" s="2" t="s">
        <v>8794</v>
      </c>
      <c r="J455" s="475" t="s">
        <v>8795</v>
      </c>
      <c r="K455" s="475" t="s">
        <v>8796</v>
      </c>
      <c r="L455" s="475" t="s">
        <v>8797</v>
      </c>
      <c r="M455" s="475" t="s">
        <v>8798</v>
      </c>
      <c r="N455" s="475" t="s">
        <v>8799</v>
      </c>
    </row>
    <row r="456" spans="1:14" ht="72">
      <c r="A456" s="2" t="s">
        <v>8800</v>
      </c>
      <c r="B456" s="2" t="str">
        <f t="shared" si="11"/>
        <v xml:space="preserve">ℹ️  Please make sure that the total number of employees is the same as the one provided in the "General Information" sheet cell E55
</v>
      </c>
      <c r="C456" s="2" t="s">
        <v>8801</v>
      </c>
      <c r="D456" s="469" t="s">
        <v>8802</v>
      </c>
      <c r="E456" s="469" t="s">
        <v>8803</v>
      </c>
      <c r="F456" s="469" t="s">
        <v>8804</v>
      </c>
      <c r="G456" s="476" t="s">
        <v>8805</v>
      </c>
      <c r="H456" s="476" t="s">
        <v>8806</v>
      </c>
      <c r="I456" s="2" t="s">
        <v>8807</v>
      </c>
      <c r="J456" s="475" t="s">
        <v>8808</v>
      </c>
      <c r="K456" s="475" t="s">
        <v>8809</v>
      </c>
      <c r="L456" s="475" t="s">
        <v>8810</v>
      </c>
      <c r="M456" s="475" t="s">
        <v>8811</v>
      </c>
      <c r="N456" s="475" t="s">
        <v>8812</v>
      </c>
    </row>
    <row r="457" spans="1:14" s="540" customFormat="1" ht="288">
      <c r="A457" s="589" t="s">
        <v>8813</v>
      </c>
      <c r="B457" s="589" t="str">
        <f t="shared" si="11"/>
        <v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v>
      </c>
      <c r="C457" s="589" t="s">
        <v>8814</v>
      </c>
      <c r="D457" s="576" t="s">
        <v>8815</v>
      </c>
      <c r="E457" s="576" t="s">
        <v>8816</v>
      </c>
      <c r="F457" s="576" t="s">
        <v>8817</v>
      </c>
      <c r="G457" s="591" t="s">
        <v>8818</v>
      </c>
      <c r="H457" s="591" t="s">
        <v>8819</v>
      </c>
      <c r="I457" s="589" t="s">
        <v>8820</v>
      </c>
      <c r="J457" s="579" t="s">
        <v>8821</v>
      </c>
      <c r="K457" s="579" t="s">
        <v>8822</v>
      </c>
      <c r="L457" s="579" t="s">
        <v>8823</v>
      </c>
      <c r="M457" s="579" t="s">
        <v>8824</v>
      </c>
      <c r="N457" s="579" t="s">
        <v>8825</v>
      </c>
    </row>
    <row r="458" spans="1:14" ht="43.2">
      <c r="A458" s="2" t="s">
        <v>8826</v>
      </c>
      <c r="B458" s="2" t="str">
        <f t="shared" si="11"/>
        <v>ℹ️  Whenever a disclosure is fully omitted because sensitive or classfied, it will be highligted in bold</v>
      </c>
      <c r="C458" s="2" t="s">
        <v>8827</v>
      </c>
      <c r="D458" s="469" t="s">
        <v>8828</v>
      </c>
      <c r="E458" s="469" t="s">
        <v>8829</v>
      </c>
      <c r="F458" s="469" t="s">
        <v>8830</v>
      </c>
      <c r="G458" s="469" t="s">
        <v>8831</v>
      </c>
      <c r="H458" s="469" t="s">
        <v>8832</v>
      </c>
      <c r="I458" s="469" t="s">
        <v>8833</v>
      </c>
      <c r="J458" s="469" t="s">
        <v>8834</v>
      </c>
      <c r="K458" s="469" t="s">
        <v>8835</v>
      </c>
      <c r="L458" s="469" t="s">
        <v>8836</v>
      </c>
      <c r="M458" s="469" t="s">
        <v>8837</v>
      </c>
      <c r="N458" s="469" t="s">
        <v>8838</v>
      </c>
    </row>
    <row r="459" spans="1:14" ht="43.8" thickBot="1">
      <c r="A459" s="481" t="s">
        <v>8839</v>
      </c>
      <c r="B459" s="481" t="str">
        <f t="shared" si="11"/>
        <v>ℹ️ Check EFRAG website for a non-exhaustive list of GHG calculators.</v>
      </c>
      <c r="C459" s="481" t="s">
        <v>8840</v>
      </c>
      <c r="D459" s="477" t="s">
        <v>8841</v>
      </c>
      <c r="E459" s="477" t="s">
        <v>8842</v>
      </c>
      <c r="F459" s="481" t="s">
        <v>8843</v>
      </c>
      <c r="G459" s="481" t="s">
        <v>8844</v>
      </c>
      <c r="H459" s="481" t="s">
        <v>8845</v>
      </c>
      <c r="I459" s="481" t="s">
        <v>8846</v>
      </c>
      <c r="J459" s="481" t="s">
        <v>8847</v>
      </c>
      <c r="K459" s="481" t="s">
        <v>8848</v>
      </c>
      <c r="L459" s="481" t="s">
        <v>8849</v>
      </c>
      <c r="M459" s="481" t="s">
        <v>8850</v>
      </c>
      <c r="N459" s="481" t="s">
        <v>8851</v>
      </c>
    </row>
    <row r="460" spans="1:14" ht="43.2">
      <c r="A460" s="2" t="s">
        <v>8852</v>
      </c>
      <c r="B460" s="330" t="str">
        <f t="shared" si="11"/>
        <v>ℹ️ VSME Supporting Guidance on Disclosure C2 - Comprehensive Module (Practices, Policies, and Future Initiatives)</v>
      </c>
      <c r="C460" s="2" t="s">
        <v>8853</v>
      </c>
      <c r="D460" s="469" t="s">
        <v>8854</v>
      </c>
      <c r="E460" s="469" t="s">
        <v>8855</v>
      </c>
      <c r="F460" s="469" t="s">
        <v>8856</v>
      </c>
      <c r="G460" s="469" t="s">
        <v>8857</v>
      </c>
      <c r="H460" s="469" t="s">
        <v>8858</v>
      </c>
      <c r="I460" s="469" t="s">
        <v>8859</v>
      </c>
      <c r="J460" s="469" t="s">
        <v>8860</v>
      </c>
      <c r="K460" s="469" t="s">
        <v>8861</v>
      </c>
      <c r="L460" s="469" t="s">
        <v>8862</v>
      </c>
      <c r="M460" s="469" t="s">
        <v>8863</v>
      </c>
      <c r="N460" s="469" t="s">
        <v>8864</v>
      </c>
    </row>
    <row r="461" spans="1:14" ht="43.2">
      <c r="A461" s="2" t="s">
        <v>8865</v>
      </c>
      <c r="B461" s="330" t="str">
        <f t="shared" si="11"/>
        <v>ℹ️ VSME Supporting guide on Disclosure C3 - Comprehensive Module (GHG reduction targets and climate transition)</v>
      </c>
      <c r="C461" s="2" t="s">
        <v>8866</v>
      </c>
      <c r="D461" s="469" t="s">
        <v>8867</v>
      </c>
      <c r="E461" s="469" t="s">
        <v>8868</v>
      </c>
      <c r="F461" s="469" t="s">
        <v>8869</v>
      </c>
      <c r="G461" s="469" t="s">
        <v>8870</v>
      </c>
      <c r="H461" s="469" t="s">
        <v>8871</v>
      </c>
      <c r="I461" s="469" t="s">
        <v>8872</v>
      </c>
      <c r="J461" s="469" t="s">
        <v>8873</v>
      </c>
      <c r="K461" s="469" t="s">
        <v>8874</v>
      </c>
      <c r="L461" s="469" t="s">
        <v>8875</v>
      </c>
      <c r="M461" s="469" t="s">
        <v>8876</v>
      </c>
      <c r="N461" s="469" t="s">
        <v>8877</v>
      </c>
    </row>
    <row r="462" spans="1:14" ht="43.2">
      <c r="A462" s="2" t="s">
        <v>8878</v>
      </c>
      <c r="B462" s="330" t="str">
        <f t="shared" si="11"/>
        <v>ℹ️ VSME Supporting Guide to Disclosure C7 - Comprehensive Module (Severe negative human rights incidents (paragraph 62(c))</v>
      </c>
      <c r="C462" s="2" t="s">
        <v>8879</v>
      </c>
      <c r="D462" s="469" t="s">
        <v>8880</v>
      </c>
      <c r="E462" s="469" t="s">
        <v>8881</v>
      </c>
      <c r="F462" s="469" t="s">
        <v>8882</v>
      </c>
      <c r="G462" s="469" t="s">
        <v>8883</v>
      </c>
      <c r="H462" s="469" t="s">
        <v>8884</v>
      </c>
      <c r="I462" s="469" t="s">
        <v>8885</v>
      </c>
      <c r="J462" s="469" t="s">
        <v>8886</v>
      </c>
      <c r="K462" s="469" t="s">
        <v>8887</v>
      </c>
      <c r="L462" s="469" t="s">
        <v>8888</v>
      </c>
      <c r="M462" s="469" t="s">
        <v>8889</v>
      </c>
      <c r="N462" s="469" t="s">
        <v>8890</v>
      </c>
    </row>
    <row r="463" spans="1:14" s="540" customFormat="1" ht="72">
      <c r="A463" s="589" t="s">
        <v>8891</v>
      </c>
      <c r="B463" s="592" t="str">
        <f t="shared" ref="B463:B477" si="12">INDEX(C463:N463,MATCH(template_selected_display_language,$C$3:$N$3,0))</f>
        <v>ℹ️ WARNING: Information inserted in VSME Digital Template but marked as classified or sensitive information. Please make sure to remove such information from the VS Digital Template, else it will converted in the Inline XBRL report.</v>
      </c>
      <c r="C463" s="589" t="s">
        <v>8892</v>
      </c>
      <c r="D463" s="576" t="s">
        <v>8893</v>
      </c>
      <c r="E463" s="576" t="s">
        <v>8894</v>
      </c>
      <c r="F463" s="576" t="s">
        <v>8895</v>
      </c>
      <c r="G463" s="576" t="s">
        <v>8896</v>
      </c>
      <c r="H463" s="576" t="s">
        <v>8897</v>
      </c>
      <c r="I463" s="576" t="s">
        <v>8898</v>
      </c>
      <c r="J463" s="576" t="s">
        <v>8899</v>
      </c>
      <c r="K463" s="576" t="s">
        <v>8900</v>
      </c>
      <c r="L463" s="576" t="s">
        <v>8901</v>
      </c>
      <c r="M463" s="576" t="s">
        <v>8902</v>
      </c>
      <c r="N463" s="576" t="s">
        <v>8903</v>
      </c>
    </row>
    <row r="464" spans="1:14" ht="72">
      <c r="A464" s="2" t="s">
        <v>8904</v>
      </c>
      <c r="B464" s="330" t="str">
        <f t="shared" si="12"/>
        <v>ℹ️ WARNING: The Digital Template was developed and tested using Microsoft Excel 365. Functionality may be limited or incorrect when using other spreadsheet applications or older versions of Excel.</v>
      </c>
      <c r="C464" s="2" t="s">
        <v>8905</v>
      </c>
      <c r="D464" s="469" t="s">
        <v>8906</v>
      </c>
      <c r="E464" s="469" t="s">
        <v>8907</v>
      </c>
      <c r="F464" s="469" t="s">
        <v>8908</v>
      </c>
      <c r="G464" s="469" t="s">
        <v>8909</v>
      </c>
      <c r="H464" s="469" t="s">
        <v>8910</v>
      </c>
      <c r="I464" s="469" t="s">
        <v>8911</v>
      </c>
      <c r="J464" s="469" t="s">
        <v>8912</v>
      </c>
      <c r="K464" s="469" t="s">
        <v>8913</v>
      </c>
      <c r="L464" s="469" t="s">
        <v>8914</v>
      </c>
      <c r="M464" s="469" t="s">
        <v>8915</v>
      </c>
      <c r="N464" s="469" t="s">
        <v>8916</v>
      </c>
    </row>
    <row r="465" spans="1:14" ht="58.2" thickBot="1">
      <c r="A465" s="481" t="s">
        <v>8917</v>
      </c>
      <c r="B465" s="524" t="str">
        <f>INDEX(C465:N465,MATCH(template_selected_display_language,$C$3:$N$3,0))</f>
        <v>ℹ️ If needed, the expansion buttons of the left can be used to increase the number of rows and associate the same footnote to several disclosures</v>
      </c>
      <c r="C465" s="481" t="s">
        <v>8918</v>
      </c>
      <c r="D465" s="477" t="s">
        <v>8919</v>
      </c>
      <c r="E465" s="477" t="s">
        <v>8920</v>
      </c>
      <c r="F465" s="477" t="s">
        <v>8921</v>
      </c>
      <c r="G465" s="477" t="s">
        <v>8922</v>
      </c>
      <c r="H465" s="477" t="s">
        <v>8923</v>
      </c>
      <c r="I465" s="477" t="s">
        <v>8924</v>
      </c>
      <c r="J465" s="477" t="s">
        <v>8925</v>
      </c>
      <c r="K465" s="477" t="s">
        <v>8926</v>
      </c>
      <c r="L465" s="477" t="s">
        <v>8927</v>
      </c>
      <c r="M465" s="477" t="s">
        <v>8928</v>
      </c>
      <c r="N465" s="477" t="s">
        <v>8929</v>
      </c>
    </row>
    <row r="466" spans="1:14" s="540" customFormat="1">
      <c r="A466" s="589" t="s">
        <v>8930</v>
      </c>
      <c r="B466" s="592" t="str">
        <f t="shared" si="12"/>
        <v>VS Digital Template Sample</v>
      </c>
      <c r="C466" s="589" t="s">
        <v>8931</v>
      </c>
      <c r="D466" s="576" t="s">
        <v>8932</v>
      </c>
      <c r="E466" s="576" t="s">
        <v>8933</v>
      </c>
      <c r="F466" s="576" t="s">
        <v>8934</v>
      </c>
      <c r="G466" s="576" t="s">
        <v>8935</v>
      </c>
      <c r="H466" s="576" t="s">
        <v>8936</v>
      </c>
      <c r="I466" s="576" t="s">
        <v>8937</v>
      </c>
      <c r="J466" s="576" t="s">
        <v>8938</v>
      </c>
      <c r="K466" s="576" t="s">
        <v>8939</v>
      </c>
      <c r="L466" s="576" t="s">
        <v>8940</v>
      </c>
      <c r="M466" s="576" t="s">
        <v>8941</v>
      </c>
      <c r="N466" s="576" t="s">
        <v>8942</v>
      </c>
    </row>
    <row r="467" spans="1:14" ht="101.4" thickBot="1">
      <c r="A467" s="481" t="s">
        <v>8943</v>
      </c>
      <c r="B467" s="524" t="str">
        <f t="shared" si="12"/>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467" s="481" t="s">
        <v>8944</v>
      </c>
      <c r="D467" s="477" t="s">
        <v>8945</v>
      </c>
      <c r="E467" s="477" t="s">
        <v>8946</v>
      </c>
      <c r="F467" s="477" t="s">
        <v>8947</v>
      </c>
      <c r="G467" s="477" t="s">
        <v>8948</v>
      </c>
      <c r="H467" s="477" t="s">
        <v>8949</v>
      </c>
      <c r="I467" s="477" t="s">
        <v>8950</v>
      </c>
      <c r="J467" s="477" t="s">
        <v>8951</v>
      </c>
      <c r="K467" s="477" t="s">
        <v>8952</v>
      </c>
      <c r="L467" s="477" t="s">
        <v>8953</v>
      </c>
      <c r="M467" s="477" t="s">
        <v>8954</v>
      </c>
      <c r="N467" s="477" t="s">
        <v>8955</v>
      </c>
    </row>
    <row r="468" spans="1:14">
      <c r="A468" s="2" t="s">
        <v>8956</v>
      </c>
      <c r="B468" s="330" t="str">
        <f t="shared" si="12"/>
        <v>Mass</v>
      </c>
      <c r="C468" s="2" t="s">
        <v>79</v>
      </c>
      <c r="D468" s="469" t="s">
        <v>8957</v>
      </c>
      <c r="E468" s="469" t="s">
        <v>8958</v>
      </c>
      <c r="F468" s="2" t="s">
        <v>8957</v>
      </c>
      <c r="G468" s="2" t="s">
        <v>8957</v>
      </c>
      <c r="H468" s="2" t="s">
        <v>8959</v>
      </c>
      <c r="I468" s="2" t="s">
        <v>8958</v>
      </c>
      <c r="J468" s="2" t="s">
        <v>8960</v>
      </c>
      <c r="K468" s="2" t="s">
        <v>8961</v>
      </c>
      <c r="L468" s="2" t="s">
        <v>8958</v>
      </c>
      <c r="M468" s="2" t="s">
        <v>8962</v>
      </c>
      <c r="N468" s="2" t="s">
        <v>8962</v>
      </c>
    </row>
    <row r="469" spans="1:14" ht="15" thickBot="1">
      <c r="A469" s="481" t="s">
        <v>8963</v>
      </c>
      <c r="B469" s="524" t="str">
        <f t="shared" si="12"/>
        <v>Volume</v>
      </c>
      <c r="C469" s="481" t="s">
        <v>80</v>
      </c>
      <c r="D469" s="477" t="s">
        <v>8964</v>
      </c>
      <c r="E469" s="477" t="s">
        <v>80</v>
      </c>
      <c r="F469" s="481" t="s">
        <v>80</v>
      </c>
      <c r="G469" s="481" t="s">
        <v>8965</v>
      </c>
      <c r="H469" s="481" t="s">
        <v>8966</v>
      </c>
      <c r="I469" s="481" t="s">
        <v>80</v>
      </c>
      <c r="J469" s="481" t="s">
        <v>8967</v>
      </c>
      <c r="K469" s="481" t="s">
        <v>8968</v>
      </c>
      <c r="L469" s="481" t="s">
        <v>80</v>
      </c>
      <c r="M469" s="481" t="s">
        <v>8969</v>
      </c>
      <c r="N469" s="481" t="s">
        <v>8965</v>
      </c>
    </row>
    <row r="470" spans="1:14" ht="15" thickBot="1">
      <c r="A470" s="525" t="s">
        <v>8970</v>
      </c>
      <c r="B470" s="524" t="str">
        <f t="shared" si="12"/>
        <v>None</v>
      </c>
      <c r="C470" s="525" t="s">
        <v>298</v>
      </c>
      <c r="D470" s="525" t="s">
        <v>8971</v>
      </c>
      <c r="E470" s="525" t="s">
        <v>8972</v>
      </c>
      <c r="F470" s="525" t="s">
        <v>8973</v>
      </c>
      <c r="G470" s="525" t="s">
        <v>8974</v>
      </c>
      <c r="H470" s="525" t="s">
        <v>8975</v>
      </c>
      <c r="I470" s="525" t="s">
        <v>8976</v>
      </c>
      <c r="J470" s="525" t="s">
        <v>8977</v>
      </c>
      <c r="K470" s="525" t="s">
        <v>8978</v>
      </c>
      <c r="L470" s="525" t="s">
        <v>8979</v>
      </c>
      <c r="M470" s="525" t="s">
        <v>8980</v>
      </c>
      <c r="N470" s="525" t="s">
        <v>8981</v>
      </c>
    </row>
    <row r="471" spans="1:14" s="540" customFormat="1" ht="57.6">
      <c r="A471" s="589" t="s">
        <v>8982</v>
      </c>
      <c r="B471" s="592" t="str">
        <f t="shared" si="12"/>
        <v>If you need to add footnotes for the converted VS Digital Template, please select the disclosures in column E and write the related footnote in column C.</v>
      </c>
      <c r="C471" s="589" t="s">
        <v>8983</v>
      </c>
      <c r="D471" s="589" t="s">
        <v>8984</v>
      </c>
      <c r="E471" s="589" t="s">
        <v>8985</v>
      </c>
      <c r="F471" s="589" t="s">
        <v>8986</v>
      </c>
      <c r="G471" s="589" t="s">
        <v>8987</v>
      </c>
      <c r="H471" s="589" t="s">
        <v>8988</v>
      </c>
      <c r="I471" s="589" t="s">
        <v>8989</v>
      </c>
      <c r="J471" s="589" t="s">
        <v>8990</v>
      </c>
      <c r="K471" s="589" t="s">
        <v>8991</v>
      </c>
      <c r="L471" s="589" t="s">
        <v>8992</v>
      </c>
      <c r="M471" s="589" t="s">
        <v>8993</v>
      </c>
      <c r="N471" s="589" t="s">
        <v>8994</v>
      </c>
    </row>
    <row r="472" spans="1:14">
      <c r="A472" s="2" t="s">
        <v>8995</v>
      </c>
      <c r="B472" s="330" t="str">
        <f t="shared" si="12"/>
        <v>Footnote ID</v>
      </c>
      <c r="C472" s="2" t="s">
        <v>8996</v>
      </c>
      <c r="D472" s="469" t="s">
        <v>8997</v>
      </c>
      <c r="E472" s="469" t="s">
        <v>8998</v>
      </c>
      <c r="F472" s="469" t="s">
        <v>8999</v>
      </c>
      <c r="G472" s="469" t="s">
        <v>9000</v>
      </c>
      <c r="H472" s="469" t="s">
        <v>9001</v>
      </c>
      <c r="I472" s="469" t="s">
        <v>9002</v>
      </c>
      <c r="J472" s="469" t="s">
        <v>9003</v>
      </c>
      <c r="K472" s="469" t="s">
        <v>9004</v>
      </c>
      <c r="L472" s="469" t="s">
        <v>9005</v>
      </c>
      <c r="M472" s="469" t="s">
        <v>9006</v>
      </c>
      <c r="N472" s="469" t="s">
        <v>9007</v>
      </c>
    </row>
    <row r="473" spans="1:14">
      <c r="A473" s="2" t="s">
        <v>9008</v>
      </c>
      <c r="B473" s="330" t="str">
        <f>INDEX(C473:N473,MATCH(template_selected_display_language,$C$3:$N$3,0))</f>
        <v>Cell to which footnote is associated</v>
      </c>
      <c r="C473" s="2" t="s">
        <v>9009</v>
      </c>
      <c r="D473" s="469" t="s">
        <v>9010</v>
      </c>
      <c r="E473" s="469" t="s">
        <v>9011</v>
      </c>
      <c r="F473" s="469" t="s">
        <v>9012</v>
      </c>
      <c r="G473" s="469" t="s">
        <v>9013</v>
      </c>
      <c r="H473" s="469" t="s">
        <v>9014</v>
      </c>
      <c r="I473" s="469" t="s">
        <v>9015</v>
      </c>
      <c r="J473" s="469" t="s">
        <v>9016</v>
      </c>
      <c r="K473" s="469" t="s">
        <v>9017</v>
      </c>
      <c r="L473" s="469" t="s">
        <v>9018</v>
      </c>
      <c r="M473" s="469" t="s">
        <v>9019</v>
      </c>
      <c r="N473" s="469" t="s">
        <v>9020</v>
      </c>
    </row>
    <row r="474" spans="1:14">
      <c r="A474" s="2" t="s">
        <v>9021</v>
      </c>
      <c r="B474" s="330" t="str">
        <f t="shared" si="12"/>
        <v>Footnote text</v>
      </c>
      <c r="C474" s="2" t="s">
        <v>9022</v>
      </c>
      <c r="D474" s="469" t="s">
        <v>9023</v>
      </c>
      <c r="E474" s="469" t="s">
        <v>9024</v>
      </c>
      <c r="F474" s="469" t="s">
        <v>9025</v>
      </c>
      <c r="G474" s="469" t="s">
        <v>9026</v>
      </c>
      <c r="H474" s="469" t="s">
        <v>9027</v>
      </c>
      <c r="I474" s="469" t="s">
        <v>9028</v>
      </c>
      <c r="J474" s="469" t="s">
        <v>9029</v>
      </c>
      <c r="K474" s="469" t="s">
        <v>9030</v>
      </c>
      <c r="L474" s="469" t="s">
        <v>9031</v>
      </c>
      <c r="M474" s="469" t="s">
        <v>9032</v>
      </c>
      <c r="N474" s="469" t="s">
        <v>9033</v>
      </c>
    </row>
    <row r="475" spans="1:14">
      <c r="A475" s="2" t="s">
        <v>9034</v>
      </c>
      <c r="B475" s="330" t="str">
        <f t="shared" si="12"/>
        <v>Dimension (technical name)</v>
      </c>
      <c r="C475" s="2" t="s">
        <v>9035</v>
      </c>
      <c r="D475" s="469" t="s">
        <v>9036</v>
      </c>
      <c r="E475" s="469" t="s">
        <v>9037</v>
      </c>
      <c r="F475" s="469" t="s">
        <v>9038</v>
      </c>
      <c r="G475" s="469" t="s">
        <v>9039</v>
      </c>
      <c r="H475" s="469" t="s">
        <v>9040</v>
      </c>
      <c r="I475" s="469" t="s">
        <v>9041</v>
      </c>
      <c r="J475" s="469" t="s">
        <v>9042</v>
      </c>
      <c r="K475" s="469" t="s">
        <v>9043</v>
      </c>
      <c r="L475" s="469" t="s">
        <v>9044</v>
      </c>
      <c r="M475" s="469" t="s">
        <v>9045</v>
      </c>
      <c r="N475" s="469" t="s">
        <v>9046</v>
      </c>
    </row>
    <row r="476" spans="1:14" ht="28.8">
      <c r="A476" s="2" t="s">
        <v>9047</v>
      </c>
      <c r="B476" s="330" t="str">
        <f t="shared" si="12"/>
        <v>Click on the expansion button on the left if you need to include more footnotes</v>
      </c>
      <c r="C476" s="2" t="s">
        <v>9048</v>
      </c>
      <c r="D476" s="469" t="s">
        <v>9049</v>
      </c>
      <c r="E476" s="469" t="s">
        <v>9050</v>
      </c>
      <c r="F476" s="469" t="s">
        <v>9051</v>
      </c>
      <c r="G476" s="469" t="s">
        <v>9052</v>
      </c>
      <c r="H476" s="469" t="s">
        <v>9053</v>
      </c>
      <c r="I476" s="469" t="s">
        <v>9054</v>
      </c>
      <c r="J476" s="469" t="s">
        <v>9055</v>
      </c>
      <c r="K476" s="469" t="s">
        <v>9056</v>
      </c>
      <c r="L476" s="469" t="s">
        <v>9057</v>
      </c>
      <c r="M476" s="469" t="s">
        <v>9058</v>
      </c>
      <c r="N476" s="469" t="s">
        <v>9059</v>
      </c>
    </row>
    <row r="477" spans="1:14" s="540" customFormat="1">
      <c r="A477" s="589" t="s">
        <v>10820</v>
      </c>
      <c r="B477" s="592" t="str">
        <f t="shared" si="12"/>
        <v>[Disclosure stemming from EFRAG non-mandatory guidance]</v>
      </c>
      <c r="C477" s="589" t="s">
        <v>10821</v>
      </c>
      <c r="D477" s="576"/>
      <c r="E477" s="576"/>
      <c r="F477" s="589"/>
      <c r="G477" s="589"/>
      <c r="H477" s="589"/>
      <c r="I477" s="589"/>
      <c r="J477" s="589"/>
      <c r="K477" s="589"/>
      <c r="L477" s="589"/>
      <c r="M477" s="589"/>
      <c r="N477" s="589"/>
    </row>
    <row r="478" spans="1:14">
      <c r="D478" s="469"/>
      <c r="E478" s="469"/>
    </row>
    <row r="479" spans="1:14">
      <c r="D479" s="469"/>
      <c r="E479" s="469"/>
    </row>
    <row r="480" spans="1:14">
      <c r="D480" s="469"/>
      <c r="E480" s="469"/>
    </row>
    <row r="481" spans="4:5">
      <c r="D481" s="469"/>
      <c r="E481" s="469"/>
    </row>
    <row r="482" spans="4:5">
      <c r="D482" s="469"/>
      <c r="E482" s="469"/>
    </row>
    <row r="483" spans="4:5">
      <c r="D483" s="469"/>
      <c r="E483" s="469"/>
    </row>
    <row r="484" spans="4:5">
      <c r="D484" s="469"/>
      <c r="E484" s="469"/>
    </row>
    <row r="485" spans="4:5">
      <c r="D485" s="469"/>
      <c r="E485" s="469"/>
    </row>
    <row r="486" spans="4:5">
      <c r="D486" s="469"/>
      <c r="E486" s="469"/>
    </row>
    <row r="487" spans="4:5">
      <c r="D487" s="469"/>
      <c r="E487" s="469"/>
    </row>
    <row r="488" spans="4:5">
      <c r="D488" s="469"/>
      <c r="E488" s="469"/>
    </row>
    <row r="489" spans="4:5">
      <c r="D489" s="469"/>
      <c r="E489" s="469"/>
    </row>
    <row r="490" spans="4:5">
      <c r="D490" s="469"/>
      <c r="E490" s="469"/>
    </row>
    <row r="491" spans="4:5">
      <c r="D491" s="469"/>
      <c r="E491" s="469"/>
    </row>
    <row r="492" spans="4:5">
      <c r="D492" s="469"/>
      <c r="E492" s="469"/>
    </row>
    <row r="493" spans="4:5">
      <c r="D493" s="469"/>
      <c r="E493" s="469"/>
    </row>
    <row r="494" spans="4:5">
      <c r="D494" s="469"/>
      <c r="E494" s="469"/>
    </row>
    <row r="495" spans="4:5">
      <c r="D495" s="469"/>
      <c r="E495" s="469"/>
    </row>
    <row r="496" spans="4:5">
      <c r="D496" s="469"/>
      <c r="E496" s="469"/>
    </row>
    <row r="497" spans="4:5">
      <c r="D497" s="469"/>
      <c r="E497" s="469"/>
    </row>
    <row r="498" spans="4:5">
      <c r="D498" s="469"/>
      <c r="E498" s="469"/>
    </row>
    <row r="499" spans="4:5">
      <c r="D499" s="469"/>
      <c r="E499" s="469"/>
    </row>
    <row r="500" spans="4:5">
      <c r="D500" s="469"/>
      <c r="E500" s="469"/>
    </row>
    <row r="501" spans="4:5">
      <c r="D501" s="469"/>
      <c r="E501" s="469"/>
    </row>
    <row r="502" spans="4:5">
      <c r="D502" s="469"/>
      <c r="E502" s="469"/>
    </row>
    <row r="503" spans="4:5">
      <c r="D503" s="469"/>
      <c r="E503" s="469"/>
    </row>
    <row r="504" spans="4:5">
      <c r="D504" s="469"/>
      <c r="E504" s="469"/>
    </row>
    <row r="505" spans="4:5">
      <c r="D505" s="469"/>
      <c r="E505" s="469"/>
    </row>
    <row r="506" spans="4:5">
      <c r="D506" s="469"/>
      <c r="E506" s="469"/>
    </row>
    <row r="507" spans="4:5">
      <c r="D507" s="469"/>
      <c r="E507" s="469"/>
    </row>
    <row r="508" spans="4:5">
      <c r="D508" s="469"/>
      <c r="E508" s="469"/>
    </row>
    <row r="509" spans="4:5">
      <c r="D509" s="469"/>
      <c r="E509" s="469"/>
    </row>
    <row r="510" spans="4:5">
      <c r="D510" s="469"/>
      <c r="E510" s="469"/>
    </row>
    <row r="511" spans="4:5">
      <c r="D511" s="469"/>
      <c r="E511" s="469"/>
    </row>
    <row r="512" spans="4:5">
      <c r="D512" s="469"/>
      <c r="E512" s="469"/>
    </row>
    <row r="513" spans="4:5">
      <c r="D513" s="469"/>
      <c r="E513" s="469"/>
    </row>
    <row r="514" spans="4:5">
      <c r="D514" s="469"/>
      <c r="E514" s="469"/>
    </row>
    <row r="515" spans="4:5">
      <c r="D515" s="469"/>
      <c r="E515" s="469"/>
    </row>
    <row r="516" spans="4:5">
      <c r="D516" s="469"/>
      <c r="E516" s="469"/>
    </row>
    <row r="517" spans="4:5">
      <c r="D517" s="469"/>
      <c r="E517" s="469"/>
    </row>
    <row r="518" spans="4:5">
      <c r="D518" s="469"/>
      <c r="E518" s="469"/>
    </row>
    <row r="519" spans="4:5">
      <c r="D519" s="469"/>
      <c r="E519" s="469"/>
    </row>
    <row r="520" spans="4:5">
      <c r="D520" s="469"/>
      <c r="E520" s="469"/>
    </row>
    <row r="521" spans="4:5">
      <c r="D521" s="469"/>
      <c r="E521" s="469"/>
    </row>
    <row r="522" spans="4:5">
      <c r="D522" s="469"/>
      <c r="E522" s="469"/>
    </row>
    <row r="523" spans="4:5">
      <c r="D523" s="469"/>
      <c r="E523" s="469"/>
    </row>
    <row r="524" spans="4:5">
      <c r="D524" s="469"/>
      <c r="E524" s="469"/>
    </row>
    <row r="525" spans="4:5">
      <c r="D525" s="469"/>
      <c r="E525" s="469"/>
    </row>
    <row r="526" spans="4:5">
      <c r="D526" s="469"/>
      <c r="E526" s="469"/>
    </row>
    <row r="527" spans="4:5">
      <c r="D527" s="469"/>
      <c r="E527" s="469"/>
    </row>
    <row r="528" spans="4:5">
      <c r="D528" s="469"/>
      <c r="E528" s="469"/>
    </row>
    <row r="529" spans="4:5">
      <c r="D529" s="469"/>
      <c r="E529" s="469"/>
    </row>
    <row r="530" spans="4:5">
      <c r="D530" s="469"/>
      <c r="E530" s="469"/>
    </row>
    <row r="531" spans="4:5">
      <c r="D531" s="469"/>
      <c r="E531" s="469"/>
    </row>
    <row r="532" spans="4:5">
      <c r="D532" s="469"/>
      <c r="E532" s="469"/>
    </row>
    <row r="533" spans="4:5">
      <c r="D533" s="469"/>
      <c r="E533" s="469"/>
    </row>
    <row r="534" spans="4:5">
      <c r="D534" s="469"/>
      <c r="E534" s="469"/>
    </row>
    <row r="535" spans="4:5">
      <c r="D535" s="469"/>
      <c r="E535" s="469"/>
    </row>
    <row r="536" spans="4:5">
      <c r="D536" s="469"/>
      <c r="E536" s="469"/>
    </row>
    <row r="537" spans="4:5">
      <c r="D537" s="469"/>
      <c r="E537" s="469"/>
    </row>
    <row r="538" spans="4:5">
      <c r="D538" s="469"/>
      <c r="E538" s="469"/>
    </row>
    <row r="539" spans="4:5">
      <c r="D539" s="469"/>
      <c r="E539" s="469"/>
    </row>
    <row r="540" spans="4:5">
      <c r="D540" s="469"/>
      <c r="E540" s="469"/>
    </row>
    <row r="541" spans="4:5">
      <c r="D541" s="469"/>
      <c r="E541" s="469"/>
    </row>
    <row r="542" spans="4:5">
      <c r="D542" s="469"/>
      <c r="E542" s="469"/>
    </row>
    <row r="543" spans="4:5">
      <c r="D543" s="469"/>
      <c r="E543" s="469"/>
    </row>
    <row r="544" spans="4:5">
      <c r="D544" s="469"/>
      <c r="E544" s="469"/>
    </row>
    <row r="545" spans="4:5">
      <c r="D545" s="469"/>
      <c r="E545" s="469"/>
    </row>
    <row r="546" spans="4:5">
      <c r="D546" s="469"/>
      <c r="E546" s="469"/>
    </row>
    <row r="547" spans="4:5">
      <c r="D547" s="469"/>
      <c r="E547" s="469"/>
    </row>
    <row r="548" spans="4:5">
      <c r="D548" s="469"/>
      <c r="E548" s="469"/>
    </row>
    <row r="549" spans="4:5">
      <c r="D549" s="469"/>
      <c r="E549" s="469"/>
    </row>
    <row r="550" spans="4:5">
      <c r="D550" s="469"/>
      <c r="E550" s="469"/>
    </row>
    <row r="551" spans="4:5">
      <c r="D551" s="469"/>
      <c r="E551" s="469"/>
    </row>
    <row r="552" spans="4:5">
      <c r="D552" s="469"/>
      <c r="E552" s="469"/>
    </row>
    <row r="553" spans="4:5">
      <c r="D553" s="469"/>
      <c r="E553" s="469"/>
    </row>
    <row r="554" spans="4:5">
      <c r="D554" s="469"/>
      <c r="E554" s="469"/>
    </row>
    <row r="555" spans="4:5">
      <c r="D555" s="469"/>
      <c r="E555" s="469"/>
    </row>
    <row r="556" spans="4:5">
      <c r="D556" s="469"/>
      <c r="E556" s="469"/>
    </row>
    <row r="557" spans="4:5">
      <c r="D557" s="469"/>
      <c r="E557" s="469"/>
    </row>
    <row r="558" spans="4:5">
      <c r="D558" s="469"/>
      <c r="E558" s="469"/>
    </row>
    <row r="559" spans="4:5">
      <c r="D559" s="469"/>
      <c r="E559" s="469"/>
    </row>
    <row r="560" spans="4:5">
      <c r="D560" s="469"/>
      <c r="E560" s="469"/>
    </row>
    <row r="561" spans="4:5">
      <c r="D561" s="469"/>
      <c r="E561" s="469"/>
    </row>
    <row r="562" spans="4:5">
      <c r="D562" s="469"/>
      <c r="E562" s="469"/>
    </row>
    <row r="563" spans="4:5">
      <c r="D563" s="469"/>
      <c r="E563" s="469"/>
    </row>
    <row r="564" spans="4:5">
      <c r="D564" s="469"/>
      <c r="E564" s="469"/>
    </row>
    <row r="565" spans="4:5">
      <c r="D565" s="469"/>
      <c r="E565" s="469"/>
    </row>
    <row r="566" spans="4:5">
      <c r="D566" s="469"/>
      <c r="E566" s="469"/>
    </row>
    <row r="567" spans="4:5">
      <c r="D567" s="469"/>
      <c r="E567" s="469"/>
    </row>
    <row r="568" spans="4:5">
      <c r="D568" s="469"/>
      <c r="E568" s="469"/>
    </row>
    <row r="569" spans="4:5">
      <c r="D569" s="469"/>
      <c r="E569" s="469"/>
    </row>
    <row r="570" spans="4:5">
      <c r="D570" s="469"/>
      <c r="E570" s="469"/>
    </row>
    <row r="571" spans="4:5">
      <c r="D571" s="469"/>
      <c r="E571" s="469"/>
    </row>
    <row r="572" spans="4:5">
      <c r="D572" s="469"/>
      <c r="E572" s="469"/>
    </row>
    <row r="573" spans="4:5">
      <c r="D573" s="469"/>
      <c r="E573" s="469"/>
    </row>
    <row r="574" spans="4:5">
      <c r="D574" s="469"/>
      <c r="E574" s="469"/>
    </row>
    <row r="575" spans="4:5">
      <c r="D575" s="469"/>
      <c r="E575" s="469"/>
    </row>
    <row r="576" spans="4:5">
      <c r="D576" s="469"/>
      <c r="E576" s="469"/>
    </row>
    <row r="577" spans="4:5">
      <c r="D577" s="469"/>
      <c r="E577" s="469"/>
    </row>
    <row r="578" spans="4:5">
      <c r="D578" s="469"/>
      <c r="E578" s="469"/>
    </row>
    <row r="579" spans="4:5">
      <c r="D579" s="469"/>
      <c r="E579" s="469"/>
    </row>
    <row r="580" spans="4:5">
      <c r="D580" s="469"/>
      <c r="E580" s="469"/>
    </row>
    <row r="581" spans="4:5">
      <c r="D581" s="469"/>
      <c r="E581" s="469"/>
    </row>
    <row r="582" spans="4:5">
      <c r="D582" s="469"/>
      <c r="E582" s="469"/>
    </row>
    <row r="583" spans="4:5">
      <c r="D583" s="469"/>
      <c r="E583" s="469"/>
    </row>
    <row r="584" spans="4:5">
      <c r="D584" s="469"/>
      <c r="E584" s="469"/>
    </row>
    <row r="585" spans="4:5">
      <c r="D585" s="469"/>
      <c r="E585" s="469"/>
    </row>
    <row r="586" spans="4:5">
      <c r="D586" s="469"/>
      <c r="E586" s="469"/>
    </row>
    <row r="587" spans="4:5">
      <c r="D587" s="469"/>
      <c r="E587" s="469"/>
    </row>
    <row r="588" spans="4:5">
      <c r="D588" s="469"/>
      <c r="E588" s="469"/>
    </row>
    <row r="589" spans="4:5">
      <c r="D589" s="469"/>
      <c r="E589" s="469"/>
    </row>
    <row r="590" spans="4:5">
      <c r="D590" s="469"/>
      <c r="E590" s="469"/>
    </row>
    <row r="591" spans="4:5">
      <c r="D591" s="469"/>
      <c r="E591" s="469"/>
    </row>
    <row r="592" spans="4:5">
      <c r="D592" s="469"/>
      <c r="E592" s="469"/>
    </row>
    <row r="593" spans="4:5">
      <c r="D593" s="469"/>
      <c r="E593" s="469"/>
    </row>
    <row r="594" spans="4:5">
      <c r="D594" s="469"/>
      <c r="E594" s="469"/>
    </row>
    <row r="595" spans="4:5">
      <c r="D595" s="469"/>
      <c r="E595" s="469"/>
    </row>
    <row r="596" spans="4:5">
      <c r="D596" s="469"/>
      <c r="E596" s="469"/>
    </row>
    <row r="597" spans="4:5">
      <c r="D597" s="469"/>
      <c r="E597" s="469"/>
    </row>
    <row r="598" spans="4:5">
      <c r="D598" s="469"/>
      <c r="E598" s="469"/>
    </row>
    <row r="599" spans="4:5">
      <c r="D599" s="469"/>
      <c r="E599" s="469"/>
    </row>
    <row r="600" spans="4:5">
      <c r="D600" s="469"/>
      <c r="E600" s="469"/>
    </row>
    <row r="601" spans="4:5">
      <c r="D601" s="469"/>
      <c r="E601" s="469"/>
    </row>
    <row r="602" spans="4:5">
      <c r="D602" s="469"/>
      <c r="E602" s="469"/>
    </row>
    <row r="603" spans="4:5">
      <c r="D603" s="469"/>
      <c r="E603" s="469"/>
    </row>
    <row r="604" spans="4:5">
      <c r="D604" s="469"/>
      <c r="E604" s="469"/>
    </row>
    <row r="605" spans="4:5">
      <c r="D605" s="469"/>
      <c r="E605" s="469"/>
    </row>
    <row r="606" spans="4:5">
      <c r="D606" s="469"/>
      <c r="E606" s="469"/>
    </row>
    <row r="607" spans="4:5">
      <c r="D607" s="469"/>
      <c r="E607" s="469"/>
    </row>
    <row r="608" spans="4:5">
      <c r="D608" s="469"/>
      <c r="E608" s="469"/>
    </row>
    <row r="609" spans="4:5">
      <c r="D609" s="469"/>
      <c r="E609" s="469"/>
    </row>
    <row r="610" spans="4:5">
      <c r="D610" s="469"/>
      <c r="E610" s="469"/>
    </row>
    <row r="611" spans="4:5">
      <c r="D611" s="469"/>
      <c r="E611" s="469"/>
    </row>
    <row r="612" spans="4:5">
      <c r="D612" s="469"/>
      <c r="E612" s="469"/>
    </row>
    <row r="613" spans="4:5">
      <c r="D613" s="469"/>
      <c r="E613" s="469"/>
    </row>
    <row r="614" spans="4:5">
      <c r="D614" s="469"/>
      <c r="E614" s="469"/>
    </row>
    <row r="615" spans="4:5">
      <c r="D615" s="469"/>
      <c r="E615" s="469"/>
    </row>
    <row r="616" spans="4:5">
      <c r="D616" s="469"/>
      <c r="E616" s="469"/>
    </row>
    <row r="617" spans="4:5">
      <c r="D617" s="469"/>
      <c r="E617" s="469"/>
    </row>
    <row r="618" spans="4:5">
      <c r="D618" s="469"/>
      <c r="E618" s="469"/>
    </row>
    <row r="619" spans="4:5">
      <c r="D619" s="469"/>
      <c r="E619" s="469"/>
    </row>
    <row r="620" spans="4:5">
      <c r="D620" s="469"/>
      <c r="E620" s="469"/>
    </row>
    <row r="621" spans="4:5">
      <c r="D621" s="469"/>
      <c r="E621" s="469"/>
    </row>
    <row r="622" spans="4:5">
      <c r="D622" s="469"/>
      <c r="E622" s="469"/>
    </row>
    <row r="623" spans="4:5">
      <c r="D623" s="469"/>
      <c r="E623" s="469"/>
    </row>
    <row r="624" spans="4:5">
      <c r="D624" s="469"/>
      <c r="E624" s="469"/>
    </row>
    <row r="625" spans="4:5">
      <c r="D625" s="469"/>
      <c r="E625" s="469"/>
    </row>
    <row r="626" spans="4:5">
      <c r="D626" s="469"/>
      <c r="E626" s="469"/>
    </row>
    <row r="627" spans="4:5">
      <c r="D627" s="469"/>
      <c r="E627" s="469"/>
    </row>
    <row r="628" spans="4:5">
      <c r="D628" s="469"/>
      <c r="E628" s="469"/>
    </row>
    <row r="629" spans="4:5">
      <c r="D629" s="469"/>
      <c r="E629" s="469"/>
    </row>
    <row r="630" spans="4:5">
      <c r="D630" s="469"/>
      <c r="E630" s="469"/>
    </row>
    <row r="631" spans="4:5">
      <c r="D631" s="469"/>
      <c r="E631" s="469"/>
    </row>
    <row r="632" spans="4:5">
      <c r="D632" s="469"/>
      <c r="E632" s="469"/>
    </row>
    <row r="633" spans="4:5">
      <c r="D633" s="469"/>
      <c r="E633" s="469"/>
    </row>
    <row r="634" spans="4:5">
      <c r="D634" s="469"/>
      <c r="E634" s="469"/>
    </row>
    <row r="635" spans="4:5">
      <c r="D635" s="469"/>
      <c r="E635" s="469"/>
    </row>
    <row r="636" spans="4:5">
      <c r="D636" s="469"/>
      <c r="E636" s="469"/>
    </row>
    <row r="637" spans="4:5">
      <c r="D637" s="469"/>
      <c r="E637" s="469"/>
    </row>
    <row r="638" spans="4:5">
      <c r="D638" s="469"/>
      <c r="E638" s="469"/>
    </row>
    <row r="639" spans="4:5">
      <c r="D639" s="469"/>
      <c r="E639" s="469"/>
    </row>
    <row r="640" spans="4:5">
      <c r="D640" s="469"/>
      <c r="E640" s="469"/>
    </row>
    <row r="641" spans="4:5">
      <c r="D641" s="469"/>
      <c r="E641" s="469"/>
    </row>
    <row r="642" spans="4:5">
      <c r="D642" s="469"/>
      <c r="E642" s="469"/>
    </row>
    <row r="643" spans="4:5">
      <c r="D643" s="469"/>
      <c r="E643" s="469"/>
    </row>
    <row r="644" spans="4:5">
      <c r="D644" s="469"/>
      <c r="E644" s="469"/>
    </row>
    <row r="645" spans="4:5">
      <c r="D645" s="469"/>
      <c r="E645" s="469"/>
    </row>
    <row r="646" spans="4:5">
      <c r="D646" s="469"/>
      <c r="E646" s="469"/>
    </row>
    <row r="647" spans="4:5">
      <c r="D647" s="469"/>
      <c r="E647" s="469"/>
    </row>
    <row r="648" spans="4:5">
      <c r="D648" s="469"/>
      <c r="E648" s="469"/>
    </row>
    <row r="649" spans="4:5">
      <c r="D649" s="469"/>
      <c r="E649" s="469"/>
    </row>
    <row r="650" spans="4:5">
      <c r="D650" s="469"/>
      <c r="E650" s="469"/>
    </row>
    <row r="651" spans="4:5">
      <c r="D651" s="469"/>
      <c r="E651" s="469"/>
    </row>
    <row r="652" spans="4:5">
      <c r="D652" s="469"/>
      <c r="E652" s="469"/>
    </row>
    <row r="653" spans="4:5">
      <c r="D653" s="469"/>
      <c r="E653" s="469"/>
    </row>
    <row r="654" spans="4:5">
      <c r="D654" s="469"/>
      <c r="E654" s="469"/>
    </row>
    <row r="655" spans="4:5">
      <c r="D655" s="469"/>
      <c r="E655" s="469"/>
    </row>
    <row r="656" spans="4:5">
      <c r="D656" s="469"/>
      <c r="E656" s="469"/>
    </row>
    <row r="657" spans="4:5">
      <c r="D657" s="469"/>
      <c r="E657" s="469"/>
    </row>
    <row r="658" spans="4:5">
      <c r="D658" s="469"/>
      <c r="E658" s="469"/>
    </row>
    <row r="659" spans="4:5">
      <c r="D659" s="469"/>
      <c r="E659" s="469"/>
    </row>
    <row r="660" spans="4:5">
      <c r="D660" s="469"/>
      <c r="E660" s="469"/>
    </row>
    <row r="661" spans="4:5">
      <c r="D661" s="469"/>
      <c r="E661" s="469"/>
    </row>
    <row r="662" spans="4:5">
      <c r="D662" s="469"/>
      <c r="E662" s="469"/>
    </row>
    <row r="663" spans="4:5">
      <c r="D663" s="469"/>
      <c r="E663" s="469"/>
    </row>
    <row r="664" spans="4:5">
      <c r="D664" s="469"/>
      <c r="E664" s="469"/>
    </row>
    <row r="665" spans="4:5">
      <c r="D665" s="469"/>
      <c r="E665" s="469"/>
    </row>
    <row r="666" spans="4:5">
      <c r="D666" s="469"/>
      <c r="E666" s="469"/>
    </row>
    <row r="667" spans="4:5">
      <c r="D667" s="469"/>
      <c r="E667" s="469"/>
    </row>
    <row r="668" spans="4:5">
      <c r="D668" s="469"/>
      <c r="E668" s="469"/>
    </row>
    <row r="669" spans="4:5">
      <c r="D669" s="469"/>
      <c r="E669" s="469"/>
    </row>
    <row r="670" spans="4:5">
      <c r="D670" s="469"/>
      <c r="E670" s="469"/>
    </row>
    <row r="671" spans="4:5">
      <c r="D671" s="469"/>
      <c r="E671" s="469"/>
    </row>
    <row r="672" spans="4:5">
      <c r="D672" s="469"/>
      <c r="E672" s="469"/>
    </row>
    <row r="673" spans="4:5">
      <c r="D673" s="469"/>
      <c r="E673" s="469"/>
    </row>
    <row r="674" spans="4:5">
      <c r="D674" s="469"/>
      <c r="E674" s="469"/>
    </row>
    <row r="675" spans="4:5">
      <c r="D675" s="469"/>
      <c r="E675" s="469"/>
    </row>
    <row r="676" spans="4:5">
      <c r="D676" s="469"/>
      <c r="E676" s="469"/>
    </row>
    <row r="677" spans="4:5">
      <c r="D677" s="469"/>
      <c r="E677" s="469"/>
    </row>
    <row r="678" spans="4:5">
      <c r="D678" s="469"/>
      <c r="E678" s="469"/>
    </row>
    <row r="679" spans="4:5">
      <c r="D679" s="469"/>
      <c r="E679" s="469"/>
    </row>
    <row r="680" spans="4:5">
      <c r="D680" s="469"/>
      <c r="E680" s="469"/>
    </row>
    <row r="681" spans="4:5">
      <c r="D681" s="469"/>
      <c r="E681" s="469"/>
    </row>
    <row r="682" spans="4:5">
      <c r="D682" s="469"/>
      <c r="E682" s="469"/>
    </row>
    <row r="683" spans="4:5">
      <c r="D683" s="469"/>
      <c r="E683" s="469"/>
    </row>
    <row r="684" spans="4:5">
      <c r="D684" s="469"/>
      <c r="E684" s="469"/>
    </row>
    <row r="685" spans="4:5">
      <c r="D685" s="469"/>
      <c r="E685" s="469"/>
    </row>
    <row r="686" spans="4:5">
      <c r="D686" s="469"/>
      <c r="E686" s="469"/>
    </row>
    <row r="687" spans="4:5">
      <c r="D687" s="469"/>
      <c r="E687" s="469"/>
    </row>
    <row r="688" spans="4:5">
      <c r="D688" s="469"/>
      <c r="E688" s="469"/>
    </row>
    <row r="689" spans="4:5">
      <c r="D689" s="469"/>
      <c r="E689" s="469"/>
    </row>
    <row r="690" spans="4:5">
      <c r="D690" s="469"/>
      <c r="E690" s="469"/>
    </row>
    <row r="691" spans="4:5">
      <c r="D691" s="469"/>
      <c r="E691" s="469"/>
    </row>
    <row r="692" spans="4:5">
      <c r="D692" s="469"/>
      <c r="E692" s="469"/>
    </row>
    <row r="693" spans="4:5">
      <c r="D693" s="469"/>
      <c r="E693" s="469"/>
    </row>
    <row r="694" spans="4:5">
      <c r="D694" s="469"/>
      <c r="E694" s="469"/>
    </row>
    <row r="695" spans="4:5">
      <c r="D695" s="469"/>
      <c r="E695" s="469"/>
    </row>
    <row r="696" spans="4:5">
      <c r="D696" s="469"/>
      <c r="E696" s="469"/>
    </row>
    <row r="697" spans="4:5">
      <c r="D697" s="469"/>
      <c r="E697" s="469"/>
    </row>
    <row r="698" spans="4:5">
      <c r="D698" s="469"/>
      <c r="E698" s="469"/>
    </row>
    <row r="699" spans="4:5">
      <c r="D699" s="469"/>
      <c r="E699" s="469"/>
    </row>
    <row r="700" spans="4:5">
      <c r="D700" s="469"/>
      <c r="E700" s="469"/>
    </row>
    <row r="701" spans="4:5">
      <c r="D701" s="469"/>
      <c r="E701" s="469"/>
    </row>
    <row r="702" spans="4:5">
      <c r="D702" s="469"/>
      <c r="E702" s="469"/>
    </row>
    <row r="703" spans="4:5">
      <c r="D703" s="469"/>
      <c r="E703" s="469"/>
    </row>
    <row r="704" spans="4:5">
      <c r="D704" s="469"/>
      <c r="E704" s="469"/>
    </row>
    <row r="705" spans="4:5">
      <c r="D705" s="469"/>
      <c r="E705" s="469"/>
    </row>
    <row r="706" spans="4:5">
      <c r="D706" s="469"/>
      <c r="E706" s="469"/>
    </row>
    <row r="707" spans="4:5">
      <c r="D707" s="469"/>
      <c r="E707" s="469"/>
    </row>
    <row r="708" spans="4:5">
      <c r="D708" s="469"/>
      <c r="E708" s="469"/>
    </row>
    <row r="709" spans="4:5">
      <c r="D709" s="469"/>
      <c r="E709" s="469"/>
    </row>
    <row r="710" spans="4:5">
      <c r="D710" s="469"/>
      <c r="E710" s="469"/>
    </row>
    <row r="711" spans="4:5">
      <c r="D711" s="469"/>
      <c r="E711" s="469"/>
    </row>
    <row r="712" spans="4:5">
      <c r="D712" s="469"/>
      <c r="E712" s="469"/>
    </row>
    <row r="713" spans="4:5">
      <c r="D713" s="469"/>
      <c r="E713" s="469"/>
    </row>
    <row r="714" spans="4:5">
      <c r="D714" s="469"/>
      <c r="E714" s="469"/>
    </row>
    <row r="715" spans="4:5">
      <c r="D715" s="469"/>
      <c r="E715" s="469"/>
    </row>
    <row r="716" spans="4:5">
      <c r="D716" s="469"/>
      <c r="E716" s="469"/>
    </row>
    <row r="717" spans="4:5">
      <c r="D717" s="469"/>
      <c r="E717" s="469"/>
    </row>
    <row r="718" spans="4:5">
      <c r="D718" s="469"/>
      <c r="E718" s="469"/>
    </row>
    <row r="719" spans="4:5">
      <c r="D719" s="469"/>
      <c r="E719" s="469"/>
    </row>
    <row r="720" spans="4:5">
      <c r="D720" s="469"/>
      <c r="E720" s="469"/>
    </row>
    <row r="721" spans="4:5">
      <c r="D721" s="469"/>
      <c r="E721" s="469"/>
    </row>
    <row r="722" spans="4:5">
      <c r="D722" s="469"/>
      <c r="E722" s="469"/>
    </row>
    <row r="723" spans="4:5">
      <c r="D723" s="469"/>
      <c r="E723" s="469"/>
    </row>
    <row r="724" spans="4:5">
      <c r="D724" s="469"/>
      <c r="E724" s="469"/>
    </row>
    <row r="725" spans="4:5">
      <c r="D725" s="469"/>
      <c r="E725" s="469"/>
    </row>
    <row r="726" spans="4:5">
      <c r="D726" s="469"/>
      <c r="E726" s="469"/>
    </row>
    <row r="727" spans="4:5">
      <c r="D727" s="469"/>
      <c r="E727" s="469"/>
    </row>
    <row r="728" spans="4:5">
      <c r="D728" s="469"/>
      <c r="E728" s="469"/>
    </row>
    <row r="729" spans="4:5">
      <c r="D729" s="469"/>
      <c r="E729" s="469"/>
    </row>
    <row r="730" spans="4:5">
      <c r="D730" s="469"/>
      <c r="E730" s="469"/>
    </row>
    <row r="731" spans="4:5">
      <c r="D731" s="469"/>
      <c r="E731" s="469"/>
    </row>
    <row r="732" spans="4:5">
      <c r="D732" s="469"/>
      <c r="E732" s="469"/>
    </row>
    <row r="733" spans="4:5">
      <c r="D733" s="469"/>
      <c r="E733" s="469"/>
    </row>
    <row r="734" spans="4:5">
      <c r="D734" s="469"/>
      <c r="E734" s="469"/>
    </row>
    <row r="735" spans="4:5">
      <c r="D735" s="469"/>
      <c r="E735" s="469"/>
    </row>
    <row r="736" spans="4:5">
      <c r="D736" s="469"/>
      <c r="E736" s="469"/>
    </row>
    <row r="737" spans="4:5">
      <c r="D737" s="469"/>
      <c r="E737" s="469"/>
    </row>
    <row r="738" spans="4:5">
      <c r="D738" s="469"/>
      <c r="E738" s="469"/>
    </row>
    <row r="739" spans="4:5">
      <c r="D739" s="469"/>
      <c r="E739" s="469"/>
    </row>
    <row r="740" spans="4:5">
      <c r="D740" s="469"/>
      <c r="E740" s="469"/>
    </row>
    <row r="741" spans="4:5">
      <c r="D741" s="469"/>
      <c r="E741" s="469"/>
    </row>
    <row r="742" spans="4:5">
      <c r="D742" s="469"/>
      <c r="E742" s="469"/>
    </row>
    <row r="743" spans="4:5">
      <c r="D743" s="469"/>
      <c r="E743" s="469"/>
    </row>
    <row r="744" spans="4:5">
      <c r="D744" s="469"/>
      <c r="E744" s="469"/>
    </row>
    <row r="745" spans="4:5">
      <c r="D745" s="469"/>
      <c r="E745" s="469"/>
    </row>
    <row r="746" spans="4:5">
      <c r="D746" s="469"/>
      <c r="E746" s="469"/>
    </row>
    <row r="747" spans="4:5">
      <c r="D747" s="469"/>
      <c r="E747" s="469"/>
    </row>
    <row r="748" spans="4:5">
      <c r="D748" s="469"/>
      <c r="E748" s="469"/>
    </row>
    <row r="749" spans="4:5">
      <c r="D749" s="469"/>
      <c r="E749" s="469"/>
    </row>
    <row r="750" spans="4:5">
      <c r="D750" s="469"/>
      <c r="E750" s="469"/>
    </row>
    <row r="751" spans="4:5">
      <c r="D751" s="469"/>
      <c r="E751" s="469"/>
    </row>
    <row r="752" spans="4:5">
      <c r="D752" s="469"/>
      <c r="E752" s="469"/>
    </row>
    <row r="753" spans="4:5">
      <c r="D753" s="469"/>
      <c r="E753" s="469"/>
    </row>
    <row r="754" spans="4:5">
      <c r="D754" s="469"/>
      <c r="E754" s="469"/>
    </row>
    <row r="755" spans="4:5">
      <c r="D755" s="469"/>
      <c r="E755" s="469"/>
    </row>
    <row r="756" spans="4:5">
      <c r="D756" s="469"/>
      <c r="E756" s="469"/>
    </row>
    <row r="757" spans="4:5">
      <c r="D757" s="469"/>
      <c r="E757" s="469"/>
    </row>
    <row r="758" spans="4:5">
      <c r="D758" s="469"/>
      <c r="E758" s="469"/>
    </row>
    <row r="759" spans="4:5">
      <c r="D759" s="469"/>
      <c r="E759" s="469"/>
    </row>
    <row r="760" spans="4:5">
      <c r="D760" s="469"/>
      <c r="E760" s="469"/>
    </row>
    <row r="761" spans="4:5">
      <c r="D761" s="469"/>
      <c r="E761" s="469"/>
    </row>
    <row r="762" spans="4:5">
      <c r="D762" s="469"/>
      <c r="E762" s="469"/>
    </row>
    <row r="763" spans="4:5">
      <c r="D763" s="469"/>
      <c r="E763" s="469"/>
    </row>
    <row r="764" spans="4:5">
      <c r="D764" s="469"/>
      <c r="E764" s="469"/>
    </row>
    <row r="765" spans="4:5">
      <c r="D765" s="469"/>
      <c r="E765" s="469"/>
    </row>
    <row r="766" spans="4:5">
      <c r="D766" s="469"/>
      <c r="E766" s="469"/>
    </row>
    <row r="767" spans="4:5">
      <c r="D767" s="469"/>
      <c r="E767" s="469"/>
    </row>
    <row r="768" spans="4:5">
      <c r="D768" s="469"/>
      <c r="E768" s="469"/>
    </row>
    <row r="769" spans="4:5">
      <c r="D769" s="469"/>
      <c r="E769" s="469"/>
    </row>
    <row r="770" spans="4:5">
      <c r="D770" s="469"/>
      <c r="E770" s="469"/>
    </row>
    <row r="771" spans="4:5">
      <c r="D771" s="469"/>
      <c r="E771" s="469"/>
    </row>
    <row r="772" spans="4:5">
      <c r="D772" s="469"/>
      <c r="E772" s="469"/>
    </row>
    <row r="773" spans="4:5">
      <c r="D773" s="469"/>
      <c r="E773" s="469"/>
    </row>
    <row r="774" spans="4:5">
      <c r="D774" s="469"/>
      <c r="E774" s="469"/>
    </row>
    <row r="775" spans="4:5">
      <c r="D775" s="469"/>
      <c r="E775" s="469"/>
    </row>
    <row r="776" spans="4:5">
      <c r="D776" s="469"/>
      <c r="E776" s="469"/>
    </row>
    <row r="777" spans="4:5">
      <c r="D777" s="469"/>
      <c r="E777" s="469"/>
    </row>
    <row r="778" spans="4:5">
      <c r="D778" s="469"/>
      <c r="E778" s="469"/>
    </row>
    <row r="779" spans="4:5">
      <c r="D779" s="469"/>
      <c r="E779" s="469"/>
    </row>
    <row r="780" spans="4:5">
      <c r="D780" s="469"/>
      <c r="E780" s="469"/>
    </row>
    <row r="781" spans="4:5">
      <c r="D781" s="469"/>
      <c r="E781" s="469"/>
    </row>
    <row r="782" spans="4:5">
      <c r="D782" s="469"/>
      <c r="E782" s="469"/>
    </row>
    <row r="783" spans="4:5">
      <c r="D783" s="469"/>
      <c r="E783" s="469"/>
    </row>
    <row r="784" spans="4:5">
      <c r="D784" s="469"/>
      <c r="E784" s="469"/>
    </row>
    <row r="785" spans="4:5">
      <c r="D785" s="469"/>
      <c r="E785" s="469"/>
    </row>
    <row r="786" spans="4:5">
      <c r="D786" s="469"/>
      <c r="E786" s="469"/>
    </row>
    <row r="787" spans="4:5">
      <c r="D787" s="469"/>
      <c r="E787" s="469"/>
    </row>
    <row r="788" spans="4:5">
      <c r="D788" s="469"/>
      <c r="E788" s="469"/>
    </row>
    <row r="789" spans="4:5">
      <c r="D789" s="469"/>
      <c r="E789" s="469"/>
    </row>
    <row r="790" spans="4:5">
      <c r="D790" s="469"/>
      <c r="E790" s="469"/>
    </row>
    <row r="791" spans="4:5">
      <c r="D791" s="469"/>
      <c r="E791" s="469"/>
    </row>
    <row r="792" spans="4:5">
      <c r="D792" s="469"/>
      <c r="E792" s="469"/>
    </row>
    <row r="793" spans="4:5">
      <c r="D793" s="469"/>
      <c r="E793" s="469"/>
    </row>
  </sheetData>
  <autoFilter ref="A1:N476" xr:uid="{DA085A03-4878-4426-A2CC-5DD7C0041933}"/>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511BF-1AF4-4CB7-A650-382B5F6B4245}">
  <dimension ref="A1:F123"/>
  <sheetViews>
    <sheetView zoomScale="77" workbookViewId="0">
      <pane ySplit="1" topLeftCell="A2" activePane="bottomLeft" state="frozen"/>
      <selection pane="bottomLeft"/>
    </sheetView>
  </sheetViews>
  <sheetFormatPr defaultColWidth="8.6640625" defaultRowHeight="15" customHeight="1"/>
  <cols>
    <col min="1" max="1" width="44.44140625" style="2" customWidth="1"/>
    <col min="2" max="2" width="75.88671875" style="2" customWidth="1"/>
    <col min="3" max="3" width="105.33203125" style="2" customWidth="1"/>
    <col min="4" max="4" width="24.44140625" style="2" customWidth="1"/>
    <col min="5" max="5" width="28.88671875" style="2" customWidth="1"/>
    <col min="6" max="6" width="12.33203125" style="2" customWidth="1"/>
    <col min="7" max="16384" width="8.6640625" style="2"/>
  </cols>
  <sheetData>
    <row r="1" spans="1:6" ht="45.9" customHeight="1">
      <c r="A1" s="578" t="s">
        <v>9060</v>
      </c>
      <c r="B1" s="577" t="s">
        <v>9061</v>
      </c>
      <c r="C1" s="578" t="s">
        <v>9062</v>
      </c>
      <c r="D1" s="578" t="s">
        <v>9063</v>
      </c>
      <c r="E1" s="578" t="s">
        <v>9064</v>
      </c>
      <c r="F1" s="203" t="s">
        <v>9065</v>
      </c>
    </row>
    <row r="2" spans="1:6" ht="28.8">
      <c r="A2" s="330" t="s">
        <v>3499</v>
      </c>
      <c r="B2" s="2" t="s">
        <v>9066</v>
      </c>
      <c r="C2" s="2" t="s">
        <v>9067</v>
      </c>
      <c r="D2" s="582" t="b">
        <v>1</v>
      </c>
      <c r="F2" s="330"/>
    </row>
    <row r="3" spans="1:6" ht="43.2">
      <c r="A3" s="2" t="s">
        <v>3551</v>
      </c>
      <c r="B3" s="2" t="s">
        <v>9068</v>
      </c>
      <c r="C3" s="2" t="s">
        <v>9069</v>
      </c>
      <c r="D3" s="582" t="b">
        <v>1</v>
      </c>
      <c r="F3" s="330"/>
    </row>
    <row r="4" spans="1:6" ht="14.4">
      <c r="A4" s="2" t="s">
        <v>9070</v>
      </c>
      <c r="B4" s="2" t="s">
        <v>9071</v>
      </c>
      <c r="C4" s="2" t="s">
        <v>9072</v>
      </c>
      <c r="D4" s="582" t="b">
        <v>1</v>
      </c>
      <c r="F4" s="330"/>
    </row>
    <row r="5" spans="1:6" ht="403.2">
      <c r="A5" s="330" t="s">
        <v>9073</v>
      </c>
      <c r="B5" s="2" t="s">
        <v>9074</v>
      </c>
      <c r="C5" s="2" t="s">
        <v>9075</v>
      </c>
      <c r="D5" s="582" t="b">
        <v>1</v>
      </c>
      <c r="F5" s="330"/>
    </row>
    <row r="6" spans="1:6" ht="28.8">
      <c r="A6" s="2" t="s">
        <v>9076</v>
      </c>
      <c r="B6" s="2" t="s">
        <v>9077</v>
      </c>
      <c r="C6" s="2" t="s">
        <v>9078</v>
      </c>
      <c r="D6" s="582" t="b">
        <v>1</v>
      </c>
      <c r="F6" s="330"/>
    </row>
    <row r="7" spans="1:6" ht="43.2">
      <c r="A7" s="2" t="s">
        <v>9079</v>
      </c>
      <c r="B7" s="2" t="s">
        <v>9080</v>
      </c>
      <c r="C7" s="2" t="s">
        <v>9081</v>
      </c>
      <c r="D7" s="582" t="b">
        <v>1</v>
      </c>
      <c r="F7" s="330"/>
    </row>
    <row r="8" spans="1:6" ht="28.8">
      <c r="A8" s="2" t="s">
        <v>9082</v>
      </c>
      <c r="B8" s="2" t="s">
        <v>9083</v>
      </c>
      <c r="C8" s="2" t="s">
        <v>9084</v>
      </c>
      <c r="D8" s="582" t="b">
        <v>1</v>
      </c>
      <c r="F8" s="330"/>
    </row>
    <row r="9" spans="1:6" ht="28.8">
      <c r="A9" s="2" t="s">
        <v>9085</v>
      </c>
      <c r="B9" s="2" t="s">
        <v>9086</v>
      </c>
      <c r="C9" s="2" t="s">
        <v>9087</v>
      </c>
      <c r="D9" s="582" t="b">
        <v>1</v>
      </c>
      <c r="F9" s="330"/>
    </row>
    <row r="10" spans="1:6" ht="28.8">
      <c r="A10" s="2" t="s">
        <v>9088</v>
      </c>
      <c r="B10" s="2" t="s">
        <v>9089</v>
      </c>
      <c r="C10" s="2" t="s">
        <v>9090</v>
      </c>
      <c r="D10" s="582" t="b">
        <v>1</v>
      </c>
      <c r="F10" s="330"/>
    </row>
    <row r="11" spans="1:6" ht="72">
      <c r="A11" s="330" t="s">
        <v>9091</v>
      </c>
      <c r="B11" s="2" t="s">
        <v>9092</v>
      </c>
      <c r="C11" s="2" t="s">
        <v>9093</v>
      </c>
      <c r="D11" s="582" t="b">
        <v>1</v>
      </c>
      <c r="F11" s="330"/>
    </row>
    <row r="12" spans="1:6" ht="43.2">
      <c r="A12" s="2" t="s">
        <v>9094</v>
      </c>
      <c r="B12" s="330" t="s">
        <v>9095</v>
      </c>
      <c r="C12" s="330" t="s">
        <v>9096</v>
      </c>
      <c r="D12" s="582" t="b">
        <v>1</v>
      </c>
      <c r="E12" s="582" t="b">
        <v>1</v>
      </c>
      <c r="F12" s="330" t="s">
        <v>9097</v>
      </c>
    </row>
    <row r="13" spans="1:6" ht="57.6">
      <c r="A13" s="2" t="s">
        <v>9098</v>
      </c>
      <c r="C13" s="2" t="s">
        <v>9099</v>
      </c>
      <c r="E13" s="582" t="b">
        <v>1</v>
      </c>
      <c r="F13" s="330" t="s">
        <v>9097</v>
      </c>
    </row>
    <row r="14" spans="1:6" ht="14.4">
      <c r="A14" s="2" t="s">
        <v>9100</v>
      </c>
      <c r="C14" s="2" t="s">
        <v>9099</v>
      </c>
      <c r="F14" s="330"/>
    </row>
    <row r="15" spans="1:6" ht="28.8">
      <c r="A15" s="2" t="s">
        <v>9101</v>
      </c>
      <c r="B15" s="2" t="s">
        <v>283</v>
      </c>
      <c r="C15" s="2" t="s">
        <v>9102</v>
      </c>
      <c r="D15" s="582" t="b">
        <v>1</v>
      </c>
      <c r="E15" s="582" t="b">
        <v>1</v>
      </c>
      <c r="F15" s="330" t="s">
        <v>9097</v>
      </c>
    </row>
    <row r="16" spans="1:6" ht="14.4">
      <c r="A16" s="2" t="s">
        <v>4683</v>
      </c>
      <c r="B16" s="2" t="s">
        <v>9103</v>
      </c>
      <c r="C16" s="2" t="s">
        <v>4684</v>
      </c>
      <c r="D16" s="582" t="b">
        <v>1</v>
      </c>
      <c r="E16" s="582" t="b">
        <v>1</v>
      </c>
      <c r="F16" s="330"/>
    </row>
    <row r="17" spans="1:6" ht="14.4">
      <c r="A17" s="2" t="s">
        <v>9104</v>
      </c>
      <c r="B17" s="2" t="s">
        <v>367</v>
      </c>
      <c r="C17" s="2" t="s">
        <v>9105</v>
      </c>
      <c r="D17" s="582" t="b">
        <v>1</v>
      </c>
      <c r="E17" s="582" t="b">
        <v>1</v>
      </c>
      <c r="F17" s="330" t="s">
        <v>9097</v>
      </c>
    </row>
    <row r="18" spans="1:6" ht="14.4">
      <c r="A18" s="2" t="s">
        <v>9104</v>
      </c>
      <c r="B18" s="2" t="s">
        <v>9106</v>
      </c>
      <c r="C18" s="2" t="s">
        <v>9107</v>
      </c>
      <c r="D18" s="582" t="b">
        <v>1</v>
      </c>
      <c r="E18" s="582" t="b">
        <v>1</v>
      </c>
      <c r="F18" s="330" t="s">
        <v>9097</v>
      </c>
    </row>
    <row r="19" spans="1:6" ht="28.8">
      <c r="A19" s="2" t="s">
        <v>9108</v>
      </c>
      <c r="B19" s="2" t="s">
        <v>9109</v>
      </c>
      <c r="C19" s="2" t="s">
        <v>9110</v>
      </c>
      <c r="D19" s="582" t="b">
        <v>1</v>
      </c>
      <c r="F19" s="330"/>
    </row>
    <row r="20" spans="1:6" ht="28.8">
      <c r="A20" s="2" t="s">
        <v>9108</v>
      </c>
      <c r="B20" s="2" t="s">
        <v>9106</v>
      </c>
      <c r="C20" s="2" t="s">
        <v>9111</v>
      </c>
      <c r="D20" s="582" t="b">
        <v>1</v>
      </c>
      <c r="E20" s="582" t="b">
        <v>1</v>
      </c>
      <c r="F20" s="330" t="s">
        <v>9097</v>
      </c>
    </row>
    <row r="21" spans="1:6" ht="43.2">
      <c r="A21" s="2" t="s">
        <v>9112</v>
      </c>
      <c r="B21" s="2" t="s">
        <v>9113</v>
      </c>
      <c r="C21" s="2" t="s">
        <v>9114</v>
      </c>
      <c r="D21" s="582" t="b">
        <v>1</v>
      </c>
      <c r="F21" s="330"/>
    </row>
    <row r="22" spans="1:6" ht="43.2">
      <c r="A22" s="2" t="s">
        <v>9112</v>
      </c>
      <c r="B22" s="2" t="s">
        <v>9106</v>
      </c>
      <c r="C22" s="2" t="s">
        <v>9115</v>
      </c>
      <c r="E22" s="582" t="b">
        <v>1</v>
      </c>
      <c r="F22" s="623" t="s">
        <v>9116</v>
      </c>
    </row>
    <row r="23" spans="1:6" ht="14.4">
      <c r="A23" s="2" t="s">
        <v>9117</v>
      </c>
      <c r="B23" s="2" t="s">
        <v>9106</v>
      </c>
      <c r="C23" s="2" t="s">
        <v>6176</v>
      </c>
      <c r="E23" s="582" t="b">
        <v>1</v>
      </c>
      <c r="F23" s="330" t="s">
        <v>9097</v>
      </c>
    </row>
    <row r="24" spans="1:6" ht="14.4">
      <c r="A24" s="2" t="s">
        <v>9117</v>
      </c>
      <c r="B24" s="2" t="s">
        <v>9118</v>
      </c>
      <c r="C24" s="2" t="s">
        <v>9119</v>
      </c>
      <c r="D24" s="582" t="b">
        <v>1</v>
      </c>
      <c r="E24" s="582" t="b">
        <v>1</v>
      </c>
      <c r="F24" s="330" t="s">
        <v>9097</v>
      </c>
    </row>
    <row r="25" spans="1:6" ht="43.2">
      <c r="A25" s="2" t="s">
        <v>9094</v>
      </c>
      <c r="B25" s="330" t="s">
        <v>9106</v>
      </c>
      <c r="C25" s="2" t="s">
        <v>4347</v>
      </c>
      <c r="F25" s="330"/>
    </row>
    <row r="26" spans="1:6" ht="28.8">
      <c r="A26" s="2" t="s">
        <v>9120</v>
      </c>
      <c r="C26" s="2" t="s">
        <v>9121</v>
      </c>
      <c r="F26" s="330"/>
    </row>
    <row r="27" spans="1:6" ht="14.4">
      <c r="A27" s="2" t="s">
        <v>9070</v>
      </c>
      <c r="B27" s="330" t="s">
        <v>9106</v>
      </c>
      <c r="C27" s="2" t="s">
        <v>9122</v>
      </c>
      <c r="F27" s="330"/>
    </row>
    <row r="28" spans="1:6" ht="43.2">
      <c r="A28" s="2" t="s">
        <v>9073</v>
      </c>
      <c r="B28" s="330" t="s">
        <v>9106</v>
      </c>
      <c r="C28" s="2" t="s">
        <v>9123</v>
      </c>
      <c r="F28" s="330"/>
    </row>
    <row r="29" spans="1:6" ht="28.8">
      <c r="A29" s="2" t="s">
        <v>9124</v>
      </c>
      <c r="B29" s="2" t="s">
        <v>9125</v>
      </c>
      <c r="C29" s="2" t="s">
        <v>9099</v>
      </c>
      <c r="F29" s="330"/>
    </row>
    <row r="30" spans="1:6" ht="72">
      <c r="A30" s="2" t="s">
        <v>9126</v>
      </c>
      <c r="C30" s="2" t="s">
        <v>9099</v>
      </c>
      <c r="E30" s="582" t="b">
        <v>1</v>
      </c>
      <c r="F30" s="330" t="s">
        <v>9097</v>
      </c>
    </row>
    <row r="31" spans="1:6" ht="28.8">
      <c r="A31" s="2" t="s">
        <v>9076</v>
      </c>
      <c r="B31" s="2" t="s">
        <v>9106</v>
      </c>
      <c r="C31" s="2" t="s">
        <v>9127</v>
      </c>
      <c r="F31" s="330"/>
    </row>
    <row r="32" spans="1:6" ht="28.8">
      <c r="A32" s="2" t="s">
        <v>9079</v>
      </c>
      <c r="B32" s="2" t="s">
        <v>9106</v>
      </c>
      <c r="C32" s="2" t="s">
        <v>9128</v>
      </c>
      <c r="F32" s="330"/>
    </row>
    <row r="33" spans="1:6" ht="28.8">
      <c r="A33" s="2" t="s">
        <v>9082</v>
      </c>
      <c r="B33" s="2" t="s">
        <v>9106</v>
      </c>
      <c r="C33" s="2" t="s">
        <v>9129</v>
      </c>
      <c r="F33" s="330"/>
    </row>
    <row r="34" spans="1:6" ht="28.8">
      <c r="A34" s="2" t="s">
        <v>9085</v>
      </c>
      <c r="B34" s="2" t="s">
        <v>9106</v>
      </c>
      <c r="C34" s="2" t="s">
        <v>9130</v>
      </c>
      <c r="F34" s="330"/>
    </row>
    <row r="35" spans="1:6" ht="28.8">
      <c r="A35" s="2" t="s">
        <v>9088</v>
      </c>
      <c r="B35" s="2" t="s">
        <v>9106</v>
      </c>
      <c r="C35" s="2" t="s">
        <v>9131</v>
      </c>
      <c r="F35" s="330"/>
    </row>
    <row r="36" spans="1:6" ht="43.2">
      <c r="A36" s="2" t="s">
        <v>9091</v>
      </c>
      <c r="B36" s="2" t="s">
        <v>9106</v>
      </c>
      <c r="C36" s="2" t="s">
        <v>9132</v>
      </c>
      <c r="F36" s="330"/>
    </row>
    <row r="37" spans="1:6" ht="28.8">
      <c r="A37" s="2" t="s">
        <v>9133</v>
      </c>
      <c r="B37" s="2" t="s">
        <v>9106</v>
      </c>
      <c r="C37" s="2" t="s">
        <v>9134</v>
      </c>
      <c r="E37" s="582" t="b">
        <v>1</v>
      </c>
      <c r="F37" s="330" t="s">
        <v>9097</v>
      </c>
    </row>
    <row r="38" spans="1:6" ht="28.8">
      <c r="A38" s="2" t="s">
        <v>9133</v>
      </c>
      <c r="B38" s="2" t="s">
        <v>9135</v>
      </c>
      <c r="C38" s="2" t="s">
        <v>9136</v>
      </c>
      <c r="D38" s="582" t="b">
        <v>1</v>
      </c>
      <c r="F38" s="330"/>
    </row>
    <row r="39" spans="1:6" ht="28.8">
      <c r="A39" s="2" t="s">
        <v>9137</v>
      </c>
      <c r="B39" s="2" t="s">
        <v>9106</v>
      </c>
      <c r="C39" s="2" t="s">
        <v>3936</v>
      </c>
      <c r="F39" s="330"/>
    </row>
    <row r="40" spans="1:6" ht="28.8">
      <c r="A40" s="2" t="s">
        <v>3936</v>
      </c>
      <c r="B40" s="2" t="s">
        <v>9138</v>
      </c>
      <c r="C40" s="2" t="s">
        <v>9139</v>
      </c>
      <c r="D40" s="582" t="b">
        <v>1</v>
      </c>
      <c r="F40" s="330"/>
    </row>
    <row r="41" spans="1:6" ht="28.8">
      <c r="A41" s="2" t="s">
        <v>6272</v>
      </c>
      <c r="B41" s="2" t="s">
        <v>9140</v>
      </c>
      <c r="C41" s="2" t="s">
        <v>9141</v>
      </c>
      <c r="D41" s="582" t="b">
        <v>1</v>
      </c>
      <c r="F41" s="330"/>
    </row>
    <row r="42" spans="1:6" ht="28.8">
      <c r="A42" s="2" t="s">
        <v>6272</v>
      </c>
      <c r="B42" s="2" t="s">
        <v>9106</v>
      </c>
      <c r="C42" s="2" t="s">
        <v>9142</v>
      </c>
      <c r="E42" s="582" t="b">
        <v>1</v>
      </c>
      <c r="F42" s="330" t="s">
        <v>9097</v>
      </c>
    </row>
    <row r="43" spans="1:6" ht="28.8">
      <c r="A43" s="2" t="s">
        <v>9142</v>
      </c>
      <c r="B43" s="2" t="s">
        <v>9140</v>
      </c>
      <c r="C43" s="2" t="s">
        <v>9143</v>
      </c>
      <c r="D43" s="582" t="b">
        <v>1</v>
      </c>
      <c r="E43" s="582" t="b">
        <v>1</v>
      </c>
      <c r="F43" s="330" t="s">
        <v>9097</v>
      </c>
    </row>
    <row r="44" spans="1:6" ht="28.8">
      <c r="A44" s="2" t="s">
        <v>9144</v>
      </c>
      <c r="B44" s="2" t="s">
        <v>9106</v>
      </c>
      <c r="C44" s="2" t="s">
        <v>9145</v>
      </c>
      <c r="E44" s="582" t="b">
        <v>1</v>
      </c>
      <c r="F44" s="330" t="s">
        <v>9097</v>
      </c>
    </row>
    <row r="45" spans="1:6" s="589" customFormat="1" ht="100.8">
      <c r="A45" s="589" t="s">
        <v>9146</v>
      </c>
      <c r="B45" s="592" t="s">
        <v>9147</v>
      </c>
      <c r="F45" s="592"/>
    </row>
    <row r="46" spans="1:6" ht="14.4">
      <c r="A46" s="2" t="s">
        <v>9148</v>
      </c>
      <c r="B46" s="2" t="s">
        <v>9149</v>
      </c>
      <c r="C46" s="603" t="s">
        <v>9150</v>
      </c>
      <c r="D46" s="582" t="b">
        <v>1</v>
      </c>
      <c r="E46" s="582" t="b">
        <v>1</v>
      </c>
      <c r="F46" s="330" t="s">
        <v>9097</v>
      </c>
    </row>
    <row r="47" spans="1:6" ht="14.4">
      <c r="A47" s="2" t="s">
        <v>9148</v>
      </c>
      <c r="B47" s="2" t="s">
        <v>9106</v>
      </c>
      <c r="C47" s="2" t="s">
        <v>6375</v>
      </c>
      <c r="F47" s="330"/>
    </row>
    <row r="48" spans="1:6" ht="14.4">
      <c r="A48" s="2" t="s">
        <v>9151</v>
      </c>
      <c r="B48" s="2" t="s">
        <v>9152</v>
      </c>
      <c r="C48" s="2" t="s">
        <v>9153</v>
      </c>
      <c r="D48" s="582" t="b">
        <v>1</v>
      </c>
      <c r="F48" s="330"/>
    </row>
    <row r="49" spans="1:6" ht="14.4">
      <c r="A49" s="2" t="s">
        <v>9151</v>
      </c>
      <c r="B49" s="2" t="s">
        <v>9106</v>
      </c>
      <c r="C49" s="2" t="s">
        <v>6388</v>
      </c>
      <c r="F49" s="330"/>
    </row>
    <row r="50" spans="1:6" ht="28.8">
      <c r="A50" s="2" t="s">
        <v>6401</v>
      </c>
      <c r="B50" s="2" t="s">
        <v>9103</v>
      </c>
      <c r="C50" s="2" t="s">
        <v>9154</v>
      </c>
      <c r="D50" s="582" t="b">
        <v>1</v>
      </c>
      <c r="E50" s="582" t="b">
        <v>1</v>
      </c>
      <c r="F50" s="330" t="s">
        <v>9097</v>
      </c>
    </row>
    <row r="51" spans="1:6" ht="28.8">
      <c r="A51" s="2" t="s">
        <v>9155</v>
      </c>
      <c r="B51" s="2" t="s">
        <v>9156</v>
      </c>
      <c r="C51" s="2" t="s">
        <v>9099</v>
      </c>
      <c r="E51" s="582" t="b">
        <v>1</v>
      </c>
      <c r="F51" s="330" t="s">
        <v>9097</v>
      </c>
    </row>
    <row r="52" spans="1:6" ht="14.4">
      <c r="A52" s="2" t="s">
        <v>9157</v>
      </c>
      <c r="B52" s="2" t="s">
        <v>9156</v>
      </c>
      <c r="C52" s="2" t="s">
        <v>9099</v>
      </c>
      <c r="E52" s="582" t="b">
        <v>1</v>
      </c>
      <c r="F52" s="330" t="s">
        <v>9097</v>
      </c>
    </row>
    <row r="53" spans="1:6" ht="14.4">
      <c r="A53" s="2" t="s">
        <v>9158</v>
      </c>
      <c r="B53" s="2" t="s">
        <v>9156</v>
      </c>
      <c r="C53" s="2" t="s">
        <v>9099</v>
      </c>
      <c r="E53" s="582" t="b">
        <v>1</v>
      </c>
      <c r="F53" s="330" t="s">
        <v>9097</v>
      </c>
    </row>
    <row r="54" spans="1:6" ht="14.4">
      <c r="A54" s="2" t="s">
        <v>9159</v>
      </c>
      <c r="B54" s="2" t="s">
        <v>9156</v>
      </c>
      <c r="C54" s="2" t="s">
        <v>9099</v>
      </c>
      <c r="E54" s="582" t="b">
        <v>1</v>
      </c>
      <c r="F54" s="330" t="s">
        <v>9097</v>
      </c>
    </row>
    <row r="55" spans="1:6" ht="14.4">
      <c r="A55" s="2" t="s">
        <v>9160</v>
      </c>
      <c r="B55" s="2" t="s">
        <v>9156</v>
      </c>
      <c r="C55" s="2" t="s">
        <v>9099</v>
      </c>
      <c r="E55" s="582" t="b">
        <v>1</v>
      </c>
      <c r="F55" s="330" t="s">
        <v>9097</v>
      </c>
    </row>
    <row r="56" spans="1:6" ht="14.4">
      <c r="A56" s="2" t="s">
        <v>9161</v>
      </c>
      <c r="B56" s="2" t="s">
        <v>9162</v>
      </c>
      <c r="C56" s="2" t="s">
        <v>9163</v>
      </c>
      <c r="E56" s="582" t="b">
        <v>1</v>
      </c>
      <c r="F56" s="330" t="s">
        <v>9097</v>
      </c>
    </row>
    <row r="57" spans="1:6" ht="14.4">
      <c r="A57" s="2" t="s">
        <v>9164</v>
      </c>
      <c r="B57" s="2" t="s">
        <v>9162</v>
      </c>
      <c r="C57" s="2" t="s">
        <v>9163</v>
      </c>
      <c r="E57" s="582" t="b">
        <v>1</v>
      </c>
      <c r="F57" s="330" t="s">
        <v>9097</v>
      </c>
    </row>
    <row r="58" spans="1:6" ht="14.4">
      <c r="A58" s="2" t="s">
        <v>9165</v>
      </c>
      <c r="B58" s="2" t="s">
        <v>9162</v>
      </c>
      <c r="C58" s="2" t="s">
        <v>9163</v>
      </c>
      <c r="E58" s="582" t="b">
        <v>1</v>
      </c>
      <c r="F58" s="330" t="s">
        <v>9097</v>
      </c>
    </row>
    <row r="59" spans="1:6" ht="14.4">
      <c r="A59" s="2" t="s">
        <v>9166</v>
      </c>
      <c r="B59" s="2" t="s">
        <v>9162</v>
      </c>
      <c r="C59" s="2" t="s">
        <v>9163</v>
      </c>
      <c r="E59" s="582" t="b">
        <v>1</v>
      </c>
      <c r="F59" s="330" t="s">
        <v>9097</v>
      </c>
    </row>
    <row r="60" spans="1:6" ht="14.4">
      <c r="A60" s="2" t="s">
        <v>9167</v>
      </c>
      <c r="B60" s="2" t="s">
        <v>9162</v>
      </c>
      <c r="C60" s="2" t="s">
        <v>9163</v>
      </c>
      <c r="E60" s="582" t="b">
        <v>1</v>
      </c>
      <c r="F60" s="330" t="s">
        <v>9097</v>
      </c>
    </row>
    <row r="61" spans="1:6" ht="14.4">
      <c r="A61" s="2" t="s">
        <v>9168</v>
      </c>
      <c r="B61" s="2" t="s">
        <v>9162</v>
      </c>
      <c r="C61" s="2" t="s">
        <v>9163</v>
      </c>
      <c r="E61" s="582" t="b">
        <v>1</v>
      </c>
      <c r="F61" s="330" t="s">
        <v>9097</v>
      </c>
    </row>
    <row r="62" spans="1:6" ht="28.8">
      <c r="A62" s="2" t="s">
        <v>9169</v>
      </c>
      <c r="B62" s="330" t="s">
        <v>9156</v>
      </c>
      <c r="C62" s="2" t="s">
        <v>9099</v>
      </c>
      <c r="E62" s="582" t="b">
        <v>1</v>
      </c>
      <c r="F62" s="330" t="s">
        <v>9097</v>
      </c>
    </row>
    <row r="63" spans="1:6" ht="28.8">
      <c r="A63" s="2" t="s">
        <v>9170</v>
      </c>
      <c r="B63" s="2" t="s">
        <v>9156</v>
      </c>
      <c r="C63" s="2" t="s">
        <v>9099</v>
      </c>
      <c r="E63" s="582" t="b">
        <v>1</v>
      </c>
      <c r="F63" s="330" t="s">
        <v>9097</v>
      </c>
    </row>
    <row r="64" spans="1:6" ht="28.8">
      <c r="A64" s="2" t="s">
        <v>9171</v>
      </c>
      <c r="B64" s="2" t="s">
        <v>9172</v>
      </c>
      <c r="C64" s="2" t="s">
        <v>9173</v>
      </c>
      <c r="E64" s="582" t="b">
        <v>1</v>
      </c>
      <c r="F64" s="330" t="s">
        <v>9097</v>
      </c>
    </row>
    <row r="65" spans="1:6" ht="28.8">
      <c r="A65" s="2" t="s">
        <v>7134</v>
      </c>
      <c r="B65" s="2" t="s">
        <v>9174</v>
      </c>
      <c r="C65" s="2" t="s">
        <v>9175</v>
      </c>
      <c r="D65" s="582" t="b">
        <v>1</v>
      </c>
      <c r="F65" s="330"/>
    </row>
    <row r="66" spans="1:6" ht="28.8">
      <c r="A66" s="2" t="s">
        <v>7147</v>
      </c>
      <c r="B66" s="2" t="s">
        <v>9176</v>
      </c>
      <c r="C66" s="2" t="s">
        <v>9177</v>
      </c>
      <c r="D66" s="582" t="b">
        <v>1</v>
      </c>
      <c r="F66" s="330"/>
    </row>
    <row r="67" spans="1:6" ht="216">
      <c r="A67" s="2" t="s">
        <v>8813</v>
      </c>
      <c r="B67" s="2" t="s">
        <v>9178</v>
      </c>
      <c r="C67" s="2" t="s">
        <v>8814</v>
      </c>
      <c r="D67" s="582" t="b">
        <v>1</v>
      </c>
      <c r="F67" s="330"/>
    </row>
    <row r="68" spans="1:6" ht="28.8">
      <c r="A68" s="2" t="s">
        <v>6962</v>
      </c>
      <c r="B68" s="330" t="s">
        <v>9179</v>
      </c>
      <c r="C68" s="330" t="s">
        <v>6963</v>
      </c>
      <c r="D68" s="582" t="b">
        <v>1</v>
      </c>
      <c r="F68" s="330"/>
    </row>
    <row r="69" spans="1:6" ht="28.8">
      <c r="A69" s="2" t="s">
        <v>6960</v>
      </c>
      <c r="B69" s="330" t="s">
        <v>9179</v>
      </c>
      <c r="C69" s="2" t="s">
        <v>6961</v>
      </c>
      <c r="D69" s="582" t="b">
        <v>1</v>
      </c>
      <c r="F69" s="330"/>
    </row>
    <row r="70" spans="1:6" ht="28.8">
      <c r="A70" s="2" t="s">
        <v>6977</v>
      </c>
      <c r="B70" s="2" t="s">
        <v>9180</v>
      </c>
      <c r="C70" s="603" t="s">
        <v>9181</v>
      </c>
      <c r="D70" s="582" t="b">
        <v>1</v>
      </c>
      <c r="F70" s="330"/>
    </row>
    <row r="71" spans="1:6" ht="28.8">
      <c r="A71" s="2" t="s">
        <v>6977</v>
      </c>
      <c r="B71" s="2" t="s">
        <v>9182</v>
      </c>
      <c r="C71" s="2" t="s">
        <v>9183</v>
      </c>
      <c r="F71" s="330"/>
    </row>
    <row r="72" spans="1:6" ht="28.8">
      <c r="A72" s="2" t="s">
        <v>9184</v>
      </c>
      <c r="B72" s="2" t="s">
        <v>9182</v>
      </c>
      <c r="C72" s="2" t="s">
        <v>9185</v>
      </c>
      <c r="E72" s="582" t="b">
        <v>1</v>
      </c>
      <c r="F72" s="330" t="s">
        <v>9097</v>
      </c>
    </row>
    <row r="73" spans="1:6" ht="28.8">
      <c r="A73" s="2" t="s">
        <v>7016</v>
      </c>
      <c r="B73" s="2" t="s">
        <v>9103</v>
      </c>
      <c r="C73" s="2" t="s">
        <v>9163</v>
      </c>
      <c r="D73" s="582" t="b">
        <v>1</v>
      </c>
      <c r="F73" s="330"/>
    </row>
    <row r="74" spans="1:6" ht="28.8">
      <c r="A74" s="2" t="s">
        <v>7057</v>
      </c>
      <c r="B74" s="2" t="s">
        <v>9186</v>
      </c>
      <c r="C74" s="2" t="s">
        <v>9187</v>
      </c>
      <c r="D74" s="582" t="b">
        <v>1</v>
      </c>
      <c r="F74" s="330"/>
    </row>
    <row r="75" spans="1:6" ht="28.8">
      <c r="A75" s="2" t="s">
        <v>9188</v>
      </c>
      <c r="B75" s="2" t="s">
        <v>9172</v>
      </c>
      <c r="C75" s="2" t="s">
        <v>9099</v>
      </c>
      <c r="E75" s="582" t="b">
        <v>1</v>
      </c>
      <c r="F75" s="330" t="s">
        <v>9097</v>
      </c>
    </row>
    <row r="76" spans="1:6" ht="28.8">
      <c r="A76" s="2" t="s">
        <v>9189</v>
      </c>
      <c r="B76" s="2" t="s">
        <v>9172</v>
      </c>
      <c r="C76" s="2" t="s">
        <v>9099</v>
      </c>
      <c r="E76" s="582" t="b">
        <v>1</v>
      </c>
      <c r="F76" s="330" t="s">
        <v>9097</v>
      </c>
    </row>
    <row r="77" spans="1:6" ht="28.8">
      <c r="A77" s="2" t="s">
        <v>9190</v>
      </c>
      <c r="B77" s="2" t="s">
        <v>9172</v>
      </c>
      <c r="C77" s="2" t="s">
        <v>9099</v>
      </c>
      <c r="E77" s="582" t="b">
        <v>1</v>
      </c>
      <c r="F77" s="330" t="s">
        <v>9097</v>
      </c>
    </row>
    <row r="78" spans="1:6" ht="28.8">
      <c r="A78" s="2" t="s">
        <v>9191</v>
      </c>
      <c r="B78" s="2" t="s">
        <v>9172</v>
      </c>
      <c r="C78" s="2" t="s">
        <v>9099</v>
      </c>
      <c r="E78" s="582" t="b">
        <v>1</v>
      </c>
      <c r="F78" s="330" t="s">
        <v>9097</v>
      </c>
    </row>
    <row r="79" spans="1:6" ht="28.8">
      <c r="A79" s="2" t="s">
        <v>7096</v>
      </c>
      <c r="B79" s="2" t="s">
        <v>9162</v>
      </c>
      <c r="C79" s="2" t="s">
        <v>9163</v>
      </c>
      <c r="D79" s="582" t="b">
        <v>1</v>
      </c>
      <c r="F79" s="330"/>
    </row>
    <row r="80" spans="1:6" ht="28.8">
      <c r="A80" s="2" t="s">
        <v>7098</v>
      </c>
      <c r="B80" s="2" t="s">
        <v>9162</v>
      </c>
      <c r="C80" s="2" t="s">
        <v>9192</v>
      </c>
      <c r="D80" s="582" t="b">
        <v>1</v>
      </c>
      <c r="F80" s="330"/>
    </row>
    <row r="81" spans="1:6" ht="14.4">
      <c r="A81" s="2" t="s">
        <v>9193</v>
      </c>
      <c r="B81" s="2" t="s">
        <v>9162</v>
      </c>
      <c r="C81" s="2" t="s">
        <v>9163</v>
      </c>
      <c r="E81" s="582" t="b">
        <v>1</v>
      </c>
      <c r="F81" s="330" t="s">
        <v>9097</v>
      </c>
    </row>
    <row r="82" spans="1:6" ht="28.8">
      <c r="A82" s="2" t="s">
        <v>7121</v>
      </c>
      <c r="B82" s="2" t="s">
        <v>9194</v>
      </c>
      <c r="C82" s="2" t="s">
        <v>9195</v>
      </c>
      <c r="D82" s="582" t="b">
        <v>1</v>
      </c>
      <c r="F82" s="330"/>
    </row>
    <row r="83" spans="1:6" ht="43.2">
      <c r="A83" s="2" t="s">
        <v>6711</v>
      </c>
      <c r="B83" s="2" t="s">
        <v>9196</v>
      </c>
      <c r="C83" s="2" t="s">
        <v>9197</v>
      </c>
      <c r="D83" s="582" t="b">
        <v>1</v>
      </c>
      <c r="F83" s="330"/>
    </row>
    <row r="84" spans="1:6" ht="28.8">
      <c r="A84" s="2" t="s">
        <v>6724</v>
      </c>
      <c r="B84" s="2" t="s">
        <v>9198</v>
      </c>
      <c r="C84" s="2" t="s">
        <v>9199</v>
      </c>
      <c r="D84" s="582" t="b">
        <v>1</v>
      </c>
      <c r="F84" s="330"/>
    </row>
    <row r="85" spans="1:6" ht="28.8">
      <c r="A85" s="2" t="s">
        <v>9200</v>
      </c>
      <c r="B85" s="2" t="s">
        <v>9135</v>
      </c>
      <c r="C85" s="2" t="s">
        <v>9201</v>
      </c>
      <c r="D85" s="582" t="b">
        <v>1</v>
      </c>
      <c r="F85" s="330"/>
    </row>
    <row r="86" spans="1:6" ht="28.8">
      <c r="A86" s="2" t="s">
        <v>9200</v>
      </c>
      <c r="B86" s="2" t="s">
        <v>9106</v>
      </c>
      <c r="C86" s="2" t="s">
        <v>7376</v>
      </c>
      <c r="F86" s="330"/>
    </row>
    <row r="87" spans="1:6" ht="28.8">
      <c r="A87" s="2" t="s">
        <v>7437</v>
      </c>
      <c r="B87" s="2" t="s">
        <v>9202</v>
      </c>
      <c r="C87" s="2" t="s">
        <v>9203</v>
      </c>
      <c r="D87" s="582" t="b">
        <v>1</v>
      </c>
      <c r="F87" s="330"/>
    </row>
    <row r="88" spans="1:6" ht="28.8">
      <c r="A88" s="2" t="s">
        <v>7450</v>
      </c>
      <c r="B88" s="2" t="s">
        <v>9204</v>
      </c>
      <c r="C88" s="2" t="s">
        <v>9205</v>
      </c>
      <c r="D88" s="582" t="b">
        <v>1</v>
      </c>
      <c r="F88" s="330"/>
    </row>
    <row r="89" spans="1:6" ht="28.8">
      <c r="A89" s="2" t="s">
        <v>9206</v>
      </c>
      <c r="B89" s="2" t="s">
        <v>9207</v>
      </c>
      <c r="C89" s="2" t="s">
        <v>9208</v>
      </c>
      <c r="D89" s="582" t="b">
        <v>1</v>
      </c>
      <c r="F89" s="330"/>
    </row>
    <row r="90" spans="1:6" ht="28.8">
      <c r="A90" s="2" t="s">
        <v>9206</v>
      </c>
      <c r="B90" s="2" t="s">
        <v>9106</v>
      </c>
      <c r="C90" s="2" t="s">
        <v>7561</v>
      </c>
      <c r="F90" s="330"/>
    </row>
    <row r="91" spans="1:6" ht="57.6">
      <c r="A91" s="2" t="s">
        <v>7626</v>
      </c>
      <c r="B91" s="2" t="s">
        <v>9209</v>
      </c>
      <c r="C91" s="2" t="s">
        <v>9210</v>
      </c>
      <c r="D91" s="582" t="b">
        <v>1</v>
      </c>
      <c r="F91" s="330"/>
    </row>
    <row r="92" spans="1:6" ht="28.8">
      <c r="A92" s="2" t="s">
        <v>9211</v>
      </c>
      <c r="B92" s="2" t="s">
        <v>9172</v>
      </c>
      <c r="C92" s="2" t="s">
        <v>9099</v>
      </c>
      <c r="E92" s="582" t="b">
        <v>1</v>
      </c>
      <c r="F92" s="330" t="s">
        <v>9097</v>
      </c>
    </row>
    <row r="93" spans="1:6" ht="28.8">
      <c r="A93" s="2" t="s">
        <v>9212</v>
      </c>
      <c r="B93" s="2" t="s">
        <v>9172</v>
      </c>
      <c r="C93" s="2" t="s">
        <v>9099</v>
      </c>
      <c r="F93" s="330"/>
    </row>
    <row r="94" spans="1:6" ht="28.8">
      <c r="A94" s="2" t="s">
        <v>9213</v>
      </c>
      <c r="B94" s="2" t="s">
        <v>9172</v>
      </c>
      <c r="C94" s="2" t="s">
        <v>9099</v>
      </c>
      <c r="F94" s="330"/>
    </row>
    <row r="95" spans="1:6" ht="43.2">
      <c r="A95" s="2" t="s">
        <v>9214</v>
      </c>
      <c r="B95" s="2" t="s">
        <v>9172</v>
      </c>
      <c r="C95" s="2" t="s">
        <v>9099</v>
      </c>
      <c r="F95" s="330"/>
    </row>
    <row r="96" spans="1:6" ht="43.2">
      <c r="A96" s="2" t="s">
        <v>9215</v>
      </c>
      <c r="B96" s="2" t="s">
        <v>9172</v>
      </c>
      <c r="C96" s="2" t="s">
        <v>9099</v>
      </c>
      <c r="F96" s="330"/>
    </row>
    <row r="97" spans="1:6" ht="43.2">
      <c r="A97" s="2" t="s">
        <v>9216</v>
      </c>
      <c r="B97" s="2" t="s">
        <v>9172</v>
      </c>
      <c r="C97" s="2" t="s">
        <v>9099</v>
      </c>
      <c r="F97" s="330"/>
    </row>
    <row r="98" spans="1:6" ht="28.8">
      <c r="A98" s="2" t="s">
        <v>9217</v>
      </c>
      <c r="B98" s="2" t="s">
        <v>9172</v>
      </c>
      <c r="C98" s="2" t="s">
        <v>9099</v>
      </c>
      <c r="F98" s="330"/>
    </row>
    <row r="99" spans="1:6" ht="14.4">
      <c r="A99" s="2" t="s">
        <v>7652</v>
      </c>
      <c r="B99" s="2" t="s">
        <v>9172</v>
      </c>
      <c r="C99" s="2" t="s">
        <v>9099</v>
      </c>
      <c r="F99" s="330"/>
    </row>
    <row r="100" spans="1:6" ht="43.2">
      <c r="A100" s="2" t="s">
        <v>9218</v>
      </c>
      <c r="B100" s="2" t="s">
        <v>9172</v>
      </c>
      <c r="C100" s="2" t="s">
        <v>9099</v>
      </c>
      <c r="F100" s="330"/>
    </row>
    <row r="101" spans="1:6" ht="43.2">
      <c r="A101" s="2" t="s">
        <v>9219</v>
      </c>
      <c r="B101" s="2" t="s">
        <v>9220</v>
      </c>
      <c r="C101" s="2" t="s">
        <v>9221</v>
      </c>
      <c r="E101" s="582" t="b">
        <v>1</v>
      </c>
      <c r="F101" s="330" t="s">
        <v>9097</v>
      </c>
    </row>
    <row r="102" spans="1:6" ht="43.2">
      <c r="A102" s="2" t="s">
        <v>8670</v>
      </c>
      <c r="B102" s="2" t="s">
        <v>9222</v>
      </c>
      <c r="C102" s="2" t="s">
        <v>9223</v>
      </c>
      <c r="D102" s="582" t="b">
        <v>1</v>
      </c>
      <c r="F102" s="330"/>
    </row>
    <row r="103" spans="1:6" ht="43.2">
      <c r="A103" s="2" t="s">
        <v>8891</v>
      </c>
      <c r="B103" s="2" t="s">
        <v>9224</v>
      </c>
      <c r="C103" s="2" t="s">
        <v>9225</v>
      </c>
      <c r="D103" s="582" t="b">
        <v>1</v>
      </c>
      <c r="F103" s="330"/>
    </row>
    <row r="104" spans="1:6" ht="14.4">
      <c r="A104" s="2" t="s">
        <v>8930</v>
      </c>
      <c r="B104" s="2" t="s">
        <v>9226</v>
      </c>
      <c r="C104" s="2" t="s">
        <v>9227</v>
      </c>
      <c r="D104" s="582" t="b">
        <v>1</v>
      </c>
      <c r="F104" s="330"/>
    </row>
    <row r="105" spans="1:6" ht="14.4">
      <c r="A105" s="2" t="s">
        <v>8930</v>
      </c>
      <c r="B105" s="2" t="s">
        <v>9182</v>
      </c>
      <c r="C105" s="2" t="s">
        <v>9228</v>
      </c>
      <c r="F105" s="330"/>
    </row>
    <row r="106" spans="1:6" ht="28.8">
      <c r="A106" s="2" t="s">
        <v>8982</v>
      </c>
      <c r="B106" s="2" t="s">
        <v>9229</v>
      </c>
      <c r="C106" s="2" t="s">
        <v>9230</v>
      </c>
      <c r="F106" s="330"/>
    </row>
    <row r="107" spans="1:6" ht="28.8">
      <c r="A107" s="2" t="s">
        <v>9231</v>
      </c>
      <c r="B107" s="2" t="s">
        <v>9232</v>
      </c>
      <c r="C107" s="2" t="s">
        <v>9099</v>
      </c>
      <c r="E107" s="582" t="b">
        <v>1</v>
      </c>
      <c r="F107" s="330" t="s">
        <v>9097</v>
      </c>
    </row>
    <row r="108" spans="1:6" ht="28.8">
      <c r="A108" s="2" t="s">
        <v>9233</v>
      </c>
      <c r="B108" s="2" t="s">
        <v>9232</v>
      </c>
      <c r="C108" s="2" t="s">
        <v>9099</v>
      </c>
      <c r="E108" s="582" t="b">
        <v>1</v>
      </c>
      <c r="F108" s="330" t="s">
        <v>9097</v>
      </c>
    </row>
    <row r="109" spans="1:6" ht="14.4">
      <c r="A109" s="2" t="s">
        <v>9234</v>
      </c>
      <c r="B109" s="2" t="s">
        <v>9232</v>
      </c>
      <c r="C109" s="2" t="s">
        <v>9099</v>
      </c>
      <c r="E109" s="582" t="b">
        <v>1</v>
      </c>
      <c r="F109" s="330" t="s">
        <v>9097</v>
      </c>
    </row>
    <row r="110" spans="1:6" ht="14.4">
      <c r="A110" s="2" t="s">
        <v>9235</v>
      </c>
      <c r="B110" s="2" t="s">
        <v>9232</v>
      </c>
      <c r="C110" s="2" t="s">
        <v>9099</v>
      </c>
      <c r="E110" s="582" t="b">
        <v>1</v>
      </c>
      <c r="F110" s="330" t="s">
        <v>9097</v>
      </c>
    </row>
    <row r="111" spans="1:6" ht="14.4">
      <c r="A111" s="2" t="s">
        <v>9236</v>
      </c>
      <c r="B111" s="2" t="s">
        <v>9232</v>
      </c>
      <c r="C111" s="2" t="s">
        <v>9099</v>
      </c>
      <c r="E111" s="582" t="b">
        <v>1</v>
      </c>
      <c r="F111" s="330" t="s">
        <v>9097</v>
      </c>
    </row>
    <row r="112" spans="1:6" ht="14.4">
      <c r="A112" s="2" t="s">
        <v>9237</v>
      </c>
      <c r="B112" s="2" t="s">
        <v>9232</v>
      </c>
      <c r="C112" s="2" t="s">
        <v>9099</v>
      </c>
      <c r="E112" s="582" t="b">
        <v>1</v>
      </c>
      <c r="F112" s="330" t="s">
        <v>9097</v>
      </c>
    </row>
    <row r="113" spans="1:6" ht="28.8">
      <c r="A113" s="2" t="s">
        <v>9238</v>
      </c>
      <c r="B113" s="2" t="s">
        <v>9239</v>
      </c>
      <c r="C113" s="2" t="s">
        <v>9240</v>
      </c>
      <c r="E113" s="582" t="b">
        <v>1</v>
      </c>
      <c r="F113" s="330" t="s">
        <v>9097</v>
      </c>
    </row>
    <row r="114" spans="1:6" ht="14.4">
      <c r="A114" s="2" t="s">
        <v>9241</v>
      </c>
      <c r="B114" s="2" t="s">
        <v>9162</v>
      </c>
      <c r="C114" s="2" t="s">
        <v>9163</v>
      </c>
      <c r="E114" s="582" t="b">
        <v>1</v>
      </c>
      <c r="F114" s="330" t="s">
        <v>9097</v>
      </c>
    </row>
    <row r="115" spans="1:6" ht="374.4">
      <c r="A115" s="589" t="s">
        <v>10819</v>
      </c>
      <c r="C115" s="330" t="s">
        <v>9243</v>
      </c>
      <c r="F115" s="592"/>
    </row>
    <row r="116" spans="1:6" ht="28.8">
      <c r="A116" s="589" t="s">
        <v>9242</v>
      </c>
      <c r="C116" s="330" t="s">
        <v>9244</v>
      </c>
      <c r="F116" s="592"/>
    </row>
    <row r="117" spans="1:6" ht="34.5" customHeight="1">
      <c r="A117" s="2" t="s">
        <v>9245</v>
      </c>
      <c r="F117" s="330"/>
    </row>
    <row r="118" spans="1:6" ht="34.5" customHeight="1">
      <c r="A118" s="589" t="s">
        <v>9246</v>
      </c>
      <c r="C118" s="2" t="s">
        <v>9247</v>
      </c>
      <c r="F118" s="592"/>
    </row>
    <row r="119" spans="1:6" ht="28.8">
      <c r="A119" s="589" t="s">
        <v>9248</v>
      </c>
      <c r="C119" s="2" t="s">
        <v>9249</v>
      </c>
      <c r="F119" s="592"/>
    </row>
    <row r="120" spans="1:6" ht="43.2">
      <c r="A120" s="589" t="s">
        <v>9250</v>
      </c>
      <c r="F120" s="330"/>
    </row>
    <row r="121" spans="1:6" ht="43.2">
      <c r="A121" s="2" t="s">
        <v>5262</v>
      </c>
      <c r="B121" s="2" t="s">
        <v>9251</v>
      </c>
      <c r="C121" s="2" t="s">
        <v>9252</v>
      </c>
      <c r="D121" s="582" t="b">
        <v>1</v>
      </c>
      <c r="F121" s="330"/>
    </row>
    <row r="122" spans="1:6" ht="28.8">
      <c r="A122" s="2" t="s">
        <v>9253</v>
      </c>
      <c r="B122" s="2" t="s">
        <v>9239</v>
      </c>
      <c r="C122" s="2" t="s">
        <v>9254</v>
      </c>
      <c r="E122" s="582" t="b">
        <v>1</v>
      </c>
      <c r="F122" s="330" t="s">
        <v>9097</v>
      </c>
    </row>
    <row r="123" spans="1:6" ht="14.4">
      <c r="A123" s="2" t="s">
        <v>10820</v>
      </c>
      <c r="B123" s="2" t="s">
        <v>9162</v>
      </c>
      <c r="C123" s="2" t="s">
        <v>10823</v>
      </c>
      <c r="D123" s="582" t="b">
        <v>1</v>
      </c>
    </row>
  </sheetData>
  <autoFilter ref="A1:F123" xr:uid="{D49511BF-1AF4-4CB7-A650-382B5F6B4245}"/>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329"/>
  <sheetViews>
    <sheetView zoomScale="54" zoomScaleNormal="100" workbookViewId="0">
      <selection activeCell="G262" sqref="G262"/>
    </sheetView>
  </sheetViews>
  <sheetFormatPr defaultColWidth="8.88671875" defaultRowHeight="14.4"/>
  <cols>
    <col min="1" max="1" width="8.44140625" customWidth="1"/>
    <col min="2" max="2" width="103.44140625" customWidth="1"/>
    <col min="3" max="3" width="46.5546875" bestFit="1" customWidth="1"/>
    <col min="4" max="4" width="89" customWidth="1"/>
    <col min="5" max="5" width="35.88671875" customWidth="1"/>
    <col min="6" max="6" width="41.44140625" customWidth="1"/>
    <col min="7" max="7" width="44.44140625" bestFit="1" customWidth="1"/>
  </cols>
  <sheetData>
    <row r="1" spans="1:7">
      <c r="A1" t="s">
        <v>9255</v>
      </c>
      <c r="B1" t="str">
        <f>template_reporting_period_startdate &amp; " - " &amp; template_reporting_period_enddate</f>
        <v>- - -</v>
      </c>
      <c r="C1" t="s">
        <v>9256</v>
      </c>
      <c r="D1" t="s">
        <v>9257</v>
      </c>
      <c r="E1" t="s">
        <v>9258</v>
      </c>
      <c r="F1" t="s">
        <v>9259</v>
      </c>
      <c r="G1" t="s">
        <v>9260</v>
      </c>
    </row>
    <row r="2" spans="1:7" ht="14.1" customHeight="1">
      <c r="A2" t="s">
        <v>9261</v>
      </c>
      <c r="B2" t="str">
        <f>template_reporting_period_startdate</f>
        <v>-</v>
      </c>
      <c r="C2" t="s">
        <v>9262</v>
      </c>
      <c r="D2" s="253" t="str">
        <f>IF(AND('General Information'!$H$401=TRUE, 'General Information'!D402&lt;&gt;"", 'General Information'!E402&lt;&gt;"", 'General Information'!F402&lt;&gt;"", 'General Information'!G402&lt;&gt;""), _xlfn.WEBSERVICE("https://nominatim.openstreetmap.org/search?q=" &amp; 'General Information'!K402 &amp; "&amp;format=json&amp;polygon=1&amp;addressdetails=1"), "")</f>
        <v/>
      </c>
      <c r="E2" s="254" t="e">
        <f t="shared" ref="E2:E117" si="0">MID(D2,SEARCH("""lat"":""",D2)+7,SEARCH("""lon"":""",D2)-SEARCH("""lat"":""",D2)-9)</f>
        <v>#VALUE!</v>
      </c>
      <c r="F2" s="254" t="e">
        <f t="shared" ref="F2:F117" si="1">MID(D2, SEARCH("""lon"":""", D2) + 7, SEARCH("""class""", D2) - SEARCH("""lon"":""", D2) - 9)</f>
        <v>#VALUE!</v>
      </c>
      <c r="G2" t="e">
        <f t="shared" ref="G2:G117" si="2">E2 &amp; "," &amp; F2</f>
        <v>#VALUE!</v>
      </c>
    </row>
    <row r="3" spans="1:7" ht="15.6" customHeight="1">
      <c r="A3" t="s">
        <v>9263</v>
      </c>
      <c r="B3" t="str">
        <f>template_reporting_period_enddate</f>
        <v>-</v>
      </c>
      <c r="C3" t="s">
        <v>9264</v>
      </c>
      <c r="D3" s="253" t="str">
        <f>IF(AND('General Information'!$H$401=TRUE, 'General Information'!D403&lt;&gt;"", 'General Information'!E403&lt;&gt;"", 'General Information'!F403&lt;&gt;"", 'General Information'!G403&lt;&gt;""), _xlfn.WEBSERVICE("https://nominatim.openstreetmap.org/search?q=" &amp; 'General Information'!K403 &amp; "&amp;format=json&amp;polygon=1&amp;addressdetails=1"), "")</f>
        <v/>
      </c>
      <c r="E3" s="254" t="e">
        <f t="shared" si="0"/>
        <v>#VALUE!</v>
      </c>
      <c r="F3" s="254" t="e">
        <f t="shared" si="1"/>
        <v>#VALUE!</v>
      </c>
      <c r="G3" t="e">
        <f t="shared" si="2"/>
        <v>#VALUE!</v>
      </c>
    </row>
    <row r="4" spans="1:7">
      <c r="D4" s="253" t="str">
        <f>IF(AND('General Information'!$H$401=TRUE, 'General Information'!D404&lt;&gt;"", 'General Information'!E404&lt;&gt;"", 'General Information'!F404&lt;&gt;"", 'General Information'!G404&lt;&gt;""), _xlfn.WEBSERVICE("https://nominatim.openstreetmap.org/search?q=" &amp; 'General Information'!K404 &amp; "&amp;format=json&amp;polygon=1&amp;addressdetails=1"), "")</f>
        <v/>
      </c>
      <c r="E4" s="254" t="e">
        <f t="shared" si="0"/>
        <v>#VALUE!</v>
      </c>
      <c r="F4" s="254" t="e">
        <f t="shared" si="1"/>
        <v>#VALUE!</v>
      </c>
      <c r="G4" t="e">
        <f t="shared" si="2"/>
        <v>#VALUE!</v>
      </c>
    </row>
    <row r="5" spans="1:7">
      <c r="D5" s="253" t="str">
        <f>IF(AND('General Information'!$H$401=TRUE, 'General Information'!D405&lt;&gt;"", 'General Information'!E405&lt;&gt;"", 'General Information'!F405&lt;&gt;"", 'General Information'!G405&lt;&gt;""), _xlfn.WEBSERVICE("https://nominatim.openstreetmap.org/search?q=" &amp; 'General Information'!K405 &amp; "&amp;format=json&amp;polygon=1&amp;addressdetails=1"), "")</f>
        <v/>
      </c>
      <c r="E5" s="254" t="e">
        <f t="shared" si="0"/>
        <v>#VALUE!</v>
      </c>
      <c r="F5" s="254" t="e">
        <f t="shared" si="1"/>
        <v>#VALUE!</v>
      </c>
      <c r="G5" t="e">
        <f t="shared" si="2"/>
        <v>#VALUE!</v>
      </c>
    </row>
    <row r="6" spans="1:7">
      <c r="D6" s="253" t="str">
        <f>IF(AND('General Information'!$H$401=TRUE, 'General Information'!D406&lt;&gt;"", 'General Information'!E406&lt;&gt;"", 'General Information'!F406&lt;&gt;"", 'General Information'!G406&lt;&gt;""), _xlfn.WEBSERVICE("https://nominatim.openstreetmap.org/search?q=" &amp; 'General Information'!K406 &amp; "&amp;format=json&amp;polygon=1&amp;addressdetails=1"), "")</f>
        <v/>
      </c>
      <c r="E6" s="254" t="e">
        <f t="shared" si="0"/>
        <v>#VALUE!</v>
      </c>
      <c r="F6" s="254" t="e">
        <f t="shared" si="1"/>
        <v>#VALUE!</v>
      </c>
      <c r="G6" t="e">
        <f t="shared" si="2"/>
        <v>#VALUE!</v>
      </c>
    </row>
    <row r="7" spans="1:7">
      <c r="D7" s="253" t="str">
        <f>IF(AND('General Information'!$H$401=TRUE, 'General Information'!D407&lt;&gt;"", 'General Information'!E407&lt;&gt;"", 'General Information'!F407&lt;&gt;"", 'General Information'!G407&lt;&gt;""), _xlfn.WEBSERVICE("https://nominatim.openstreetmap.org/search?q=" &amp; 'General Information'!K407 &amp; "&amp;format=json&amp;polygon=1&amp;addressdetails=1"), "")</f>
        <v/>
      </c>
      <c r="E7" s="254" t="e">
        <f t="shared" si="0"/>
        <v>#VALUE!</v>
      </c>
      <c r="F7" s="254" t="e">
        <f t="shared" si="1"/>
        <v>#VALUE!</v>
      </c>
      <c r="G7" t="e">
        <f t="shared" si="2"/>
        <v>#VALUE!</v>
      </c>
    </row>
    <row r="8" spans="1:7">
      <c r="D8" s="253" t="str">
        <f>IF(AND('General Information'!$H$401=TRUE, 'General Information'!D408&lt;&gt;"", 'General Information'!E408&lt;&gt;"", 'General Information'!F408&lt;&gt;"", 'General Information'!G408&lt;&gt;""), _xlfn.WEBSERVICE("https://nominatim.openstreetmap.org/search?q=" &amp; 'General Information'!K408 &amp; "&amp;format=json&amp;polygon=1&amp;addressdetails=1"), "")</f>
        <v/>
      </c>
      <c r="E8" s="254" t="e">
        <f t="shared" si="0"/>
        <v>#VALUE!</v>
      </c>
      <c r="F8" s="254" t="e">
        <f t="shared" si="1"/>
        <v>#VALUE!</v>
      </c>
      <c r="G8" t="e">
        <f t="shared" si="2"/>
        <v>#VALUE!</v>
      </c>
    </row>
    <row r="9" spans="1:7">
      <c r="D9" s="253" t="str">
        <f>IF(AND('General Information'!$H$401=TRUE, 'General Information'!D409&lt;&gt;"", 'General Information'!E409&lt;&gt;"", 'General Information'!F409&lt;&gt;"", 'General Information'!G409&lt;&gt;""), _xlfn.WEBSERVICE("https://nominatim.openstreetmap.org/search?q=" &amp; 'General Information'!K409 &amp; "&amp;format=json&amp;polygon=1&amp;addressdetails=1"), "")</f>
        <v/>
      </c>
      <c r="E9" s="254" t="e">
        <f t="shared" si="0"/>
        <v>#VALUE!</v>
      </c>
      <c r="F9" s="254" t="e">
        <f t="shared" si="1"/>
        <v>#VALUE!</v>
      </c>
      <c r="G9" t="e">
        <f t="shared" si="2"/>
        <v>#VALUE!</v>
      </c>
    </row>
    <row r="10" spans="1:7">
      <c r="D10" s="253" t="str">
        <f>IF(AND('General Information'!$H$401=TRUE, 'General Information'!D410&lt;&gt;"", 'General Information'!E410&lt;&gt;"", 'General Information'!F410&lt;&gt;"", 'General Information'!G410&lt;&gt;""), _xlfn.WEBSERVICE("https://nominatim.openstreetmap.org/search?q=" &amp; 'General Information'!K410 &amp; "&amp;format=json&amp;polygon=1&amp;addressdetails=1"), "")</f>
        <v/>
      </c>
      <c r="E10" s="254" t="e">
        <f t="shared" si="0"/>
        <v>#VALUE!</v>
      </c>
      <c r="F10" s="254" t="e">
        <f t="shared" si="1"/>
        <v>#VALUE!</v>
      </c>
      <c r="G10" t="e">
        <f t="shared" si="2"/>
        <v>#VALUE!</v>
      </c>
    </row>
    <row r="11" spans="1:7">
      <c r="D11" s="253" t="str">
        <f>IF(AND('General Information'!$H$401=TRUE, 'General Information'!D411&lt;&gt;"", 'General Information'!E411&lt;&gt;"", 'General Information'!F411&lt;&gt;"", 'General Information'!G411&lt;&gt;""), _xlfn.WEBSERVICE("https://nominatim.openstreetmap.org/search?q=" &amp; 'General Information'!K411 &amp; "&amp;format=json&amp;polygon=1&amp;addressdetails=1"), "")</f>
        <v/>
      </c>
      <c r="E11" s="254" t="e">
        <f t="shared" si="0"/>
        <v>#VALUE!</v>
      </c>
      <c r="F11" s="254" t="e">
        <f t="shared" si="1"/>
        <v>#VALUE!</v>
      </c>
      <c r="G11" t="e">
        <f t="shared" si="2"/>
        <v>#VALUE!</v>
      </c>
    </row>
    <row r="12" spans="1:7">
      <c r="D12" s="253" t="str">
        <f>IF(AND('General Information'!$H$401=TRUE, 'General Information'!D412&lt;&gt;"", 'General Information'!E412&lt;&gt;"", 'General Information'!F412&lt;&gt;"", 'General Information'!G412&lt;&gt;""), _xlfn.WEBSERVICE("https://nominatim.openstreetmap.org/search?q=" &amp; 'General Information'!K412 &amp; "&amp;format=json&amp;polygon=1&amp;addressdetails=1"), "")</f>
        <v/>
      </c>
      <c r="E12" s="254" t="e">
        <f t="shared" si="0"/>
        <v>#VALUE!</v>
      </c>
      <c r="F12" s="254" t="e">
        <f t="shared" si="1"/>
        <v>#VALUE!</v>
      </c>
      <c r="G12" t="e">
        <f t="shared" si="2"/>
        <v>#VALUE!</v>
      </c>
    </row>
    <row r="13" spans="1:7">
      <c r="D13" s="253" t="str">
        <f>IF(AND('General Information'!$H$401=TRUE, 'General Information'!D413&lt;&gt;"", 'General Information'!E413&lt;&gt;"", 'General Information'!F413&lt;&gt;"", 'General Information'!G413&lt;&gt;""), _xlfn.WEBSERVICE("https://nominatim.openstreetmap.org/search?q=" &amp; 'General Information'!K413 &amp; "&amp;format=json&amp;polygon=1&amp;addressdetails=1"), "")</f>
        <v/>
      </c>
      <c r="E13" s="254" t="e">
        <f t="shared" si="0"/>
        <v>#VALUE!</v>
      </c>
      <c r="F13" s="254" t="e">
        <f t="shared" si="1"/>
        <v>#VALUE!</v>
      </c>
      <c r="G13" t="e">
        <f t="shared" si="2"/>
        <v>#VALUE!</v>
      </c>
    </row>
    <row r="14" spans="1:7">
      <c r="D14" s="253" t="str">
        <f>IF(AND('General Information'!$H$401=TRUE, 'General Information'!D414&lt;&gt;"", 'General Information'!E414&lt;&gt;"", 'General Information'!F414&lt;&gt;"", 'General Information'!G414&lt;&gt;""), _xlfn.WEBSERVICE("https://nominatim.openstreetmap.org/search?q=" &amp; 'General Information'!K414 &amp; "&amp;format=json&amp;polygon=1&amp;addressdetails=1"), "")</f>
        <v/>
      </c>
      <c r="E14" s="254" t="e">
        <f t="shared" si="0"/>
        <v>#VALUE!</v>
      </c>
      <c r="F14" s="254" t="e">
        <f t="shared" si="1"/>
        <v>#VALUE!</v>
      </c>
      <c r="G14" t="e">
        <f t="shared" si="2"/>
        <v>#VALUE!</v>
      </c>
    </row>
    <row r="15" spans="1:7">
      <c r="D15" s="253" t="str">
        <f>IF(AND('General Information'!$H$401=TRUE, 'General Information'!D415&lt;&gt;"", 'General Information'!E415&lt;&gt;"", 'General Information'!F415&lt;&gt;"", 'General Information'!G415&lt;&gt;""), _xlfn.WEBSERVICE("https://nominatim.openstreetmap.org/search?q=" &amp; 'General Information'!K415 &amp; "&amp;format=json&amp;polygon=1&amp;addressdetails=1"), "")</f>
        <v/>
      </c>
      <c r="E15" s="254" t="e">
        <f t="shared" si="0"/>
        <v>#VALUE!</v>
      </c>
      <c r="F15" s="254" t="e">
        <f t="shared" si="1"/>
        <v>#VALUE!</v>
      </c>
      <c r="G15" t="e">
        <f t="shared" si="2"/>
        <v>#VALUE!</v>
      </c>
    </row>
    <row r="16" spans="1:7">
      <c r="D16" s="253" t="str">
        <f>IF(AND('General Information'!$H$401=TRUE, 'General Information'!D416&lt;&gt;"", 'General Information'!E416&lt;&gt;"", 'General Information'!F416&lt;&gt;"", 'General Information'!G416&lt;&gt;""), _xlfn.WEBSERVICE("https://nominatim.openstreetmap.org/search?q=" &amp; 'General Information'!K416 &amp; "&amp;format=json&amp;polygon=1&amp;addressdetails=1"), "")</f>
        <v/>
      </c>
      <c r="E16" s="254" t="e">
        <f t="shared" si="0"/>
        <v>#VALUE!</v>
      </c>
      <c r="F16" s="254" t="e">
        <f t="shared" si="1"/>
        <v>#VALUE!</v>
      </c>
      <c r="G16" t="e">
        <f t="shared" si="2"/>
        <v>#VALUE!</v>
      </c>
    </row>
    <row r="17" spans="1:7">
      <c r="A17" s="844" t="s">
        <v>9265</v>
      </c>
      <c r="B17" s="844"/>
      <c r="D17" s="253" t="str">
        <f>IF(AND('General Information'!$H$401=TRUE, 'General Information'!D417&lt;&gt;"", 'General Information'!E417&lt;&gt;"", 'General Information'!F417&lt;&gt;"", 'General Information'!G417&lt;&gt;""), _xlfn.WEBSERVICE("https://nominatim.openstreetmap.org/search?q=" &amp; 'General Information'!K417 &amp; "&amp;format=json&amp;polygon=1&amp;addressdetails=1"), "")</f>
        <v/>
      </c>
      <c r="E17" s="254" t="e">
        <f t="shared" si="0"/>
        <v>#VALUE!</v>
      </c>
      <c r="F17" s="254" t="e">
        <f t="shared" si="1"/>
        <v>#VALUE!</v>
      </c>
      <c r="G17" t="e">
        <f t="shared" si="2"/>
        <v>#VALUE!</v>
      </c>
    </row>
    <row r="18" spans="1:7">
      <c r="A18" s="844"/>
      <c r="B18" s="844"/>
      <c r="D18" s="253" t="str">
        <f>IF(AND('General Information'!$H$401=TRUE, 'General Information'!D418&lt;&gt;"", 'General Information'!E418&lt;&gt;"", 'General Information'!F418&lt;&gt;"", 'General Information'!G418&lt;&gt;""), _xlfn.WEBSERVICE("https://nominatim.openstreetmap.org/search?q=" &amp; 'General Information'!K418 &amp; "&amp;format=json&amp;polygon=1&amp;addressdetails=1"), "")</f>
        <v/>
      </c>
      <c r="E18" s="254" t="e">
        <f t="shared" si="0"/>
        <v>#VALUE!</v>
      </c>
      <c r="F18" s="254" t="e">
        <f t="shared" si="1"/>
        <v>#VALUE!</v>
      </c>
      <c r="G18" t="e">
        <f t="shared" si="2"/>
        <v>#VALUE!</v>
      </c>
    </row>
    <row r="19" spans="1:7">
      <c r="A19" s="844"/>
      <c r="B19" s="844"/>
      <c r="D19" s="253" t="str">
        <f>IF(AND('General Information'!$H$401=TRUE, 'General Information'!D419&lt;&gt;"", 'General Information'!E419&lt;&gt;"", 'General Information'!F419&lt;&gt;"", 'General Information'!G419&lt;&gt;""), _xlfn.WEBSERVICE("https://nominatim.openstreetmap.org/search?q=" &amp; 'General Information'!K419 &amp; "&amp;format=json&amp;polygon=1&amp;addressdetails=1"), "")</f>
        <v/>
      </c>
      <c r="E19" s="254" t="e">
        <f t="shared" si="0"/>
        <v>#VALUE!</v>
      </c>
      <c r="F19" s="254" t="e">
        <f t="shared" si="1"/>
        <v>#VALUE!</v>
      </c>
      <c r="G19" t="e">
        <f t="shared" si="2"/>
        <v>#VALUE!</v>
      </c>
    </row>
    <row r="20" spans="1:7">
      <c r="D20" s="253" t="str">
        <f>IF(AND('General Information'!$H$401=TRUE, 'General Information'!D420&lt;&gt;"", 'General Information'!E420&lt;&gt;"", 'General Information'!F420&lt;&gt;"", 'General Information'!G420&lt;&gt;""), _xlfn.WEBSERVICE("https://nominatim.openstreetmap.org/search?q=" &amp; 'General Information'!K420 &amp; "&amp;format=json&amp;polygon=1&amp;addressdetails=1"), "")</f>
        <v/>
      </c>
      <c r="E20" s="254" t="e">
        <f t="shared" si="0"/>
        <v>#VALUE!</v>
      </c>
      <c r="F20" s="254" t="e">
        <f t="shared" si="1"/>
        <v>#VALUE!</v>
      </c>
      <c r="G20" t="e">
        <f t="shared" si="2"/>
        <v>#VALUE!</v>
      </c>
    </row>
    <row r="21" spans="1:7">
      <c r="D21" s="253" t="str">
        <f>IF(AND('General Information'!$H$401=TRUE, 'General Information'!D421&lt;&gt;"", 'General Information'!E421&lt;&gt;"", 'General Information'!F421&lt;&gt;"", 'General Information'!G421&lt;&gt;""), _xlfn.WEBSERVICE("https://nominatim.openstreetmap.org/search?q=" &amp; 'General Information'!K421 &amp; "&amp;format=json&amp;polygon=1&amp;addressdetails=1"), "")</f>
        <v/>
      </c>
      <c r="E21" s="254" t="e">
        <f t="shared" si="0"/>
        <v>#VALUE!</v>
      </c>
      <c r="F21" s="254" t="e">
        <f t="shared" si="1"/>
        <v>#VALUE!</v>
      </c>
      <c r="G21" t="e">
        <f t="shared" si="2"/>
        <v>#VALUE!</v>
      </c>
    </row>
    <row r="22" spans="1:7">
      <c r="D22" s="253" t="str">
        <f>IF(AND('General Information'!$H$401=TRUE, 'General Information'!D422&lt;&gt;"", 'General Information'!E422&lt;&gt;"", 'General Information'!F422&lt;&gt;"", 'General Information'!G422&lt;&gt;""), _xlfn.WEBSERVICE("https://nominatim.openstreetmap.org/search?q=" &amp; 'General Information'!K422 &amp; "&amp;format=json&amp;polygon=1&amp;addressdetails=1"), "")</f>
        <v/>
      </c>
      <c r="E22" s="254" t="e">
        <f t="shared" si="0"/>
        <v>#VALUE!</v>
      </c>
      <c r="F22" s="254" t="e">
        <f t="shared" si="1"/>
        <v>#VALUE!</v>
      </c>
      <c r="G22" t="e">
        <f t="shared" si="2"/>
        <v>#VALUE!</v>
      </c>
    </row>
    <row r="23" spans="1:7">
      <c r="D23" s="253" t="str">
        <f>IF(AND('General Information'!$H$401=TRUE, 'General Information'!D423&lt;&gt;"", 'General Information'!E423&lt;&gt;"", 'General Information'!F423&lt;&gt;"", 'General Information'!G423&lt;&gt;""), _xlfn.WEBSERVICE("https://nominatim.openstreetmap.org/search?q=" &amp; 'General Information'!K423 &amp; "&amp;format=json&amp;polygon=1&amp;addressdetails=1"), "")</f>
        <v/>
      </c>
      <c r="E23" s="254" t="e">
        <f t="shared" si="0"/>
        <v>#VALUE!</v>
      </c>
      <c r="F23" s="254" t="e">
        <f t="shared" si="1"/>
        <v>#VALUE!</v>
      </c>
      <c r="G23" t="e">
        <f t="shared" si="2"/>
        <v>#VALUE!</v>
      </c>
    </row>
    <row r="24" spans="1:7">
      <c r="D24" s="253" t="str">
        <f>IF(AND('General Information'!$H$401=TRUE, 'General Information'!D424&lt;&gt;"", 'General Information'!E424&lt;&gt;"", 'General Information'!F424&lt;&gt;"", 'General Information'!G424&lt;&gt;""), _xlfn.WEBSERVICE("https://nominatim.openstreetmap.org/search?q=" &amp; 'General Information'!K424 &amp; "&amp;format=json&amp;polygon=1&amp;addressdetails=1"), "")</f>
        <v/>
      </c>
      <c r="E24" s="254" t="e">
        <f t="shared" si="0"/>
        <v>#VALUE!</v>
      </c>
      <c r="F24" s="254" t="e">
        <f t="shared" si="1"/>
        <v>#VALUE!</v>
      </c>
      <c r="G24" t="e">
        <f t="shared" si="2"/>
        <v>#VALUE!</v>
      </c>
    </row>
    <row r="25" spans="1:7">
      <c r="D25" s="253" t="str">
        <f>IF(AND('General Information'!$H$401=TRUE, 'General Information'!D425&lt;&gt;"", 'General Information'!E425&lt;&gt;"", 'General Information'!F425&lt;&gt;"", 'General Information'!G425&lt;&gt;""), _xlfn.WEBSERVICE("https://nominatim.openstreetmap.org/search?q=" &amp; 'General Information'!K425 &amp; "&amp;format=json&amp;polygon=1&amp;addressdetails=1"), "")</f>
        <v/>
      </c>
      <c r="E25" s="254" t="e">
        <f t="shared" si="0"/>
        <v>#VALUE!</v>
      </c>
      <c r="F25" s="254" t="e">
        <f t="shared" si="1"/>
        <v>#VALUE!</v>
      </c>
      <c r="G25" t="e">
        <f t="shared" si="2"/>
        <v>#VALUE!</v>
      </c>
    </row>
    <row r="26" spans="1:7">
      <c r="D26" s="253" t="str">
        <f>IF(AND('General Information'!$H$401=TRUE, 'General Information'!D426&lt;&gt;"", 'General Information'!E426&lt;&gt;"", 'General Information'!F426&lt;&gt;"", 'General Information'!G426&lt;&gt;""), _xlfn.WEBSERVICE("https://nominatim.openstreetmap.org/search?q=" &amp; 'General Information'!K426 &amp; "&amp;format=json&amp;polygon=1&amp;addressdetails=1"), "")</f>
        <v/>
      </c>
      <c r="E26" s="254" t="e">
        <f t="shared" si="0"/>
        <v>#VALUE!</v>
      </c>
      <c r="F26" s="254" t="e">
        <f t="shared" si="1"/>
        <v>#VALUE!</v>
      </c>
      <c r="G26" t="e">
        <f t="shared" si="2"/>
        <v>#VALUE!</v>
      </c>
    </row>
    <row r="27" spans="1:7">
      <c r="D27" s="253" t="str">
        <f>IF(AND('General Information'!$H$401=TRUE, 'General Information'!D427&lt;&gt;"", 'General Information'!E427&lt;&gt;"", 'General Information'!F427&lt;&gt;"", 'General Information'!G427&lt;&gt;""), _xlfn.WEBSERVICE("https://nominatim.openstreetmap.org/search?q=" &amp; 'General Information'!K427 &amp; "&amp;format=json&amp;polygon=1&amp;addressdetails=1"), "")</f>
        <v/>
      </c>
      <c r="E27" s="254" t="e">
        <f t="shared" si="0"/>
        <v>#VALUE!</v>
      </c>
      <c r="F27" s="254" t="e">
        <f t="shared" si="1"/>
        <v>#VALUE!</v>
      </c>
      <c r="G27" t="e">
        <f t="shared" si="2"/>
        <v>#VALUE!</v>
      </c>
    </row>
    <row r="28" spans="1:7">
      <c r="D28" s="253" t="str">
        <f>IF(AND('General Information'!$H$401=TRUE, 'General Information'!D428&lt;&gt;"", 'General Information'!E428&lt;&gt;"", 'General Information'!F428&lt;&gt;"", 'General Information'!G428&lt;&gt;""), _xlfn.WEBSERVICE("https://nominatim.openstreetmap.org/search?q=" &amp; 'General Information'!K428 &amp; "&amp;format=json&amp;polygon=1&amp;addressdetails=1"), "")</f>
        <v/>
      </c>
      <c r="E28" s="254" t="e">
        <f t="shared" si="0"/>
        <v>#VALUE!</v>
      </c>
      <c r="F28" s="254" t="e">
        <f t="shared" si="1"/>
        <v>#VALUE!</v>
      </c>
      <c r="G28" t="e">
        <f t="shared" si="2"/>
        <v>#VALUE!</v>
      </c>
    </row>
    <row r="29" spans="1:7">
      <c r="D29" s="253" t="str">
        <f>IF(AND('General Information'!$H$401=TRUE, 'General Information'!D429&lt;&gt;"", 'General Information'!E429&lt;&gt;"", 'General Information'!F429&lt;&gt;"", 'General Information'!G429&lt;&gt;""), _xlfn.WEBSERVICE("https://nominatim.openstreetmap.org/search?q=" &amp; 'General Information'!K429 &amp; "&amp;format=json&amp;polygon=1&amp;addressdetails=1"), "")</f>
        <v/>
      </c>
      <c r="E29" s="254" t="e">
        <f t="shared" si="0"/>
        <v>#VALUE!</v>
      </c>
      <c r="F29" s="254" t="e">
        <f t="shared" si="1"/>
        <v>#VALUE!</v>
      </c>
      <c r="G29" t="e">
        <f t="shared" si="2"/>
        <v>#VALUE!</v>
      </c>
    </row>
    <row r="30" spans="1:7">
      <c r="D30" s="253" t="str">
        <f>IF(AND('General Information'!$H$401=TRUE, 'General Information'!D430&lt;&gt;"", 'General Information'!E430&lt;&gt;"", 'General Information'!F430&lt;&gt;"", 'General Information'!G430&lt;&gt;""), _xlfn.WEBSERVICE("https://nominatim.openstreetmap.org/search?q=" &amp; 'General Information'!K430 &amp; "&amp;format=json&amp;polygon=1&amp;addressdetails=1"), "")</f>
        <v/>
      </c>
      <c r="E30" s="254" t="e">
        <f t="shared" si="0"/>
        <v>#VALUE!</v>
      </c>
      <c r="F30" s="254" t="e">
        <f t="shared" si="1"/>
        <v>#VALUE!</v>
      </c>
      <c r="G30" t="e">
        <f t="shared" si="2"/>
        <v>#VALUE!</v>
      </c>
    </row>
    <row r="31" spans="1:7">
      <c r="D31" s="253" t="str">
        <f>IF(AND('General Information'!$H$401=TRUE, 'General Information'!D431&lt;&gt;"", 'General Information'!E431&lt;&gt;"", 'General Information'!F431&lt;&gt;"", 'General Information'!G431&lt;&gt;""), _xlfn.WEBSERVICE("https://nominatim.openstreetmap.org/search?q=" &amp; 'General Information'!K431 &amp; "&amp;format=json&amp;polygon=1&amp;addressdetails=1"), "")</f>
        <v/>
      </c>
      <c r="E31" s="254" t="e">
        <f t="shared" si="0"/>
        <v>#VALUE!</v>
      </c>
      <c r="F31" s="254" t="e">
        <f t="shared" si="1"/>
        <v>#VALUE!</v>
      </c>
      <c r="G31" t="e">
        <f t="shared" si="2"/>
        <v>#VALUE!</v>
      </c>
    </row>
    <row r="32" spans="1:7">
      <c r="D32" s="253" t="str">
        <f>IF(AND('General Information'!$H$401=TRUE, 'General Information'!D432&lt;&gt;"", 'General Information'!E432&lt;&gt;"", 'General Information'!F432&lt;&gt;"", 'General Information'!G432&lt;&gt;""), _xlfn.WEBSERVICE("https://nominatim.openstreetmap.org/search?q=" &amp; 'General Information'!K432 &amp; "&amp;format=json&amp;polygon=1&amp;addressdetails=1"), "")</f>
        <v/>
      </c>
      <c r="E32" s="254" t="e">
        <f t="shared" si="0"/>
        <v>#VALUE!</v>
      </c>
      <c r="F32" s="254" t="e">
        <f t="shared" si="1"/>
        <v>#VALUE!</v>
      </c>
      <c r="G32" t="e">
        <f t="shared" si="2"/>
        <v>#VALUE!</v>
      </c>
    </row>
    <row r="33" spans="4:7">
      <c r="D33" s="253" t="str">
        <f>IF(AND('General Information'!$H$401=TRUE, 'General Information'!D433&lt;&gt;"", 'General Information'!E433&lt;&gt;"", 'General Information'!F433&lt;&gt;"", 'General Information'!G433&lt;&gt;""), _xlfn.WEBSERVICE("https://nominatim.openstreetmap.org/search?q=" &amp; 'General Information'!K433 &amp; "&amp;format=json&amp;polygon=1&amp;addressdetails=1"), "")</f>
        <v/>
      </c>
      <c r="E33" s="254" t="e">
        <f t="shared" si="0"/>
        <v>#VALUE!</v>
      </c>
      <c r="F33" s="254" t="e">
        <f t="shared" si="1"/>
        <v>#VALUE!</v>
      </c>
      <c r="G33" t="e">
        <f t="shared" si="2"/>
        <v>#VALUE!</v>
      </c>
    </row>
    <row r="34" spans="4:7">
      <c r="D34" s="253" t="str">
        <f>IF(AND('General Information'!$H$401=TRUE, 'General Information'!D434&lt;&gt;"", 'General Information'!E434&lt;&gt;"", 'General Information'!F434&lt;&gt;"", 'General Information'!G434&lt;&gt;""), _xlfn.WEBSERVICE("https://nominatim.openstreetmap.org/search?q=" &amp; 'General Information'!K434 &amp; "&amp;format=json&amp;polygon=1&amp;addressdetails=1"), "")</f>
        <v/>
      </c>
      <c r="E34" s="254" t="e">
        <f t="shared" si="0"/>
        <v>#VALUE!</v>
      </c>
      <c r="F34" s="254" t="e">
        <f t="shared" si="1"/>
        <v>#VALUE!</v>
      </c>
      <c r="G34" t="e">
        <f t="shared" si="2"/>
        <v>#VALUE!</v>
      </c>
    </row>
    <row r="35" spans="4:7">
      <c r="D35" s="253" t="str">
        <f>IF(AND('General Information'!$H$401=TRUE, 'General Information'!D435&lt;&gt;"", 'General Information'!E435&lt;&gt;"", 'General Information'!F435&lt;&gt;"", 'General Information'!G435&lt;&gt;""), _xlfn.WEBSERVICE("https://nominatim.openstreetmap.org/search?q=" &amp; 'General Information'!K435 &amp; "&amp;format=json&amp;polygon=1&amp;addressdetails=1"), "")</f>
        <v/>
      </c>
      <c r="E35" s="254" t="e">
        <f t="shared" si="0"/>
        <v>#VALUE!</v>
      </c>
      <c r="F35" s="254" t="e">
        <f t="shared" si="1"/>
        <v>#VALUE!</v>
      </c>
      <c r="G35" t="e">
        <f t="shared" si="2"/>
        <v>#VALUE!</v>
      </c>
    </row>
    <row r="36" spans="4:7">
      <c r="D36" s="253" t="str">
        <f>IF(AND('General Information'!$H$401=TRUE, 'General Information'!D436&lt;&gt;"", 'General Information'!E436&lt;&gt;"", 'General Information'!F436&lt;&gt;"", 'General Information'!G436&lt;&gt;""), _xlfn.WEBSERVICE("https://nominatim.openstreetmap.org/search?q=" &amp; 'General Information'!K436 &amp; "&amp;format=json&amp;polygon=1&amp;addressdetails=1"), "")</f>
        <v/>
      </c>
      <c r="E36" s="254" t="e">
        <f t="shared" si="0"/>
        <v>#VALUE!</v>
      </c>
      <c r="F36" s="254" t="e">
        <f t="shared" si="1"/>
        <v>#VALUE!</v>
      </c>
      <c r="G36" t="e">
        <f t="shared" si="2"/>
        <v>#VALUE!</v>
      </c>
    </row>
    <row r="37" spans="4:7">
      <c r="D37" s="253" t="str">
        <f>IF(AND('General Information'!$H$401=TRUE, 'General Information'!D437&lt;&gt;"", 'General Information'!E437&lt;&gt;"", 'General Information'!F437&lt;&gt;"", 'General Information'!G437&lt;&gt;""), _xlfn.WEBSERVICE("https://nominatim.openstreetmap.org/search?q=" &amp; 'General Information'!K437 &amp; "&amp;format=json&amp;polygon=1&amp;addressdetails=1"), "")</f>
        <v/>
      </c>
      <c r="E37" s="254" t="e">
        <f t="shared" si="0"/>
        <v>#VALUE!</v>
      </c>
      <c r="F37" s="254" t="e">
        <f t="shared" si="1"/>
        <v>#VALUE!</v>
      </c>
      <c r="G37" t="e">
        <f t="shared" si="2"/>
        <v>#VALUE!</v>
      </c>
    </row>
    <row r="38" spans="4:7">
      <c r="D38" s="253" t="str">
        <f>IF(AND('General Information'!$H$401=TRUE, 'General Information'!D438&lt;&gt;"", 'General Information'!E438&lt;&gt;"", 'General Information'!F438&lt;&gt;"", 'General Information'!G438&lt;&gt;""), _xlfn.WEBSERVICE("https://nominatim.openstreetmap.org/search?q=" &amp; 'General Information'!K438 &amp; "&amp;format=json&amp;polygon=1&amp;addressdetails=1"), "")</f>
        <v/>
      </c>
      <c r="E38" s="254" t="e">
        <f t="shared" si="0"/>
        <v>#VALUE!</v>
      </c>
      <c r="F38" s="254" t="e">
        <f t="shared" si="1"/>
        <v>#VALUE!</v>
      </c>
      <c r="G38" t="e">
        <f t="shared" si="2"/>
        <v>#VALUE!</v>
      </c>
    </row>
    <row r="39" spans="4:7">
      <c r="D39" s="253" t="str">
        <f>IF(AND('General Information'!$H$401=TRUE, 'General Information'!D439&lt;&gt;"", 'General Information'!E439&lt;&gt;"", 'General Information'!F439&lt;&gt;"", 'General Information'!G439&lt;&gt;""), _xlfn.WEBSERVICE("https://nominatim.openstreetmap.org/search?q=" &amp; 'General Information'!K439 &amp; "&amp;format=json&amp;polygon=1&amp;addressdetails=1"), "")</f>
        <v/>
      </c>
      <c r="E39" s="254" t="e">
        <f t="shared" si="0"/>
        <v>#VALUE!</v>
      </c>
      <c r="F39" s="254" t="e">
        <f t="shared" si="1"/>
        <v>#VALUE!</v>
      </c>
      <c r="G39" t="e">
        <f t="shared" si="2"/>
        <v>#VALUE!</v>
      </c>
    </row>
    <row r="40" spans="4:7">
      <c r="D40" s="253" t="str">
        <f>IF(AND('General Information'!$H$401=TRUE, 'General Information'!D440&lt;&gt;"", 'General Information'!E440&lt;&gt;"", 'General Information'!F440&lt;&gt;"", 'General Information'!G440&lt;&gt;""), _xlfn.WEBSERVICE("https://nominatim.openstreetmap.org/search?q=" &amp; 'General Information'!K440 &amp; "&amp;format=json&amp;polygon=1&amp;addressdetails=1"), "")</f>
        <v/>
      </c>
      <c r="E40" s="254" t="e">
        <f t="shared" si="0"/>
        <v>#VALUE!</v>
      </c>
      <c r="F40" s="254" t="e">
        <f t="shared" si="1"/>
        <v>#VALUE!</v>
      </c>
      <c r="G40" t="e">
        <f t="shared" si="2"/>
        <v>#VALUE!</v>
      </c>
    </row>
    <row r="41" spans="4:7">
      <c r="D41" s="253" t="str">
        <f>IF(AND('General Information'!$H$401=TRUE, 'General Information'!D441&lt;&gt;"", 'General Information'!E441&lt;&gt;"", 'General Information'!F441&lt;&gt;"", 'General Information'!G441&lt;&gt;""), _xlfn.WEBSERVICE("https://nominatim.openstreetmap.org/search?q=" &amp; 'General Information'!K441 &amp; "&amp;format=json&amp;polygon=1&amp;addressdetails=1"), "")</f>
        <v/>
      </c>
      <c r="E41" s="254" t="e">
        <f t="shared" si="0"/>
        <v>#VALUE!</v>
      </c>
      <c r="F41" s="254" t="e">
        <f t="shared" si="1"/>
        <v>#VALUE!</v>
      </c>
      <c r="G41" t="e">
        <f t="shared" si="2"/>
        <v>#VALUE!</v>
      </c>
    </row>
    <row r="42" spans="4:7">
      <c r="D42" s="253" t="str">
        <f>IF(AND('General Information'!$H$401=TRUE, 'General Information'!D442&lt;&gt;"", 'General Information'!E442&lt;&gt;"", 'General Information'!F442&lt;&gt;"", 'General Information'!G442&lt;&gt;""), _xlfn.WEBSERVICE("https://nominatim.openstreetmap.org/search?q=" &amp; 'General Information'!K442 &amp; "&amp;format=json&amp;polygon=1&amp;addressdetails=1"), "")</f>
        <v/>
      </c>
      <c r="E42" s="254" t="e">
        <f t="shared" si="0"/>
        <v>#VALUE!</v>
      </c>
      <c r="F42" s="254" t="e">
        <f t="shared" si="1"/>
        <v>#VALUE!</v>
      </c>
      <c r="G42" t="e">
        <f t="shared" si="2"/>
        <v>#VALUE!</v>
      </c>
    </row>
    <row r="43" spans="4:7">
      <c r="D43" s="253" t="str">
        <f>IF(AND('General Information'!$H$401=TRUE, 'General Information'!D443&lt;&gt;"", 'General Information'!E443&lt;&gt;"", 'General Information'!F443&lt;&gt;"", 'General Information'!G443&lt;&gt;""), _xlfn.WEBSERVICE("https://nominatim.openstreetmap.org/search?q=" &amp; 'General Information'!K443 &amp; "&amp;format=json&amp;polygon=1&amp;addressdetails=1"), "")</f>
        <v/>
      </c>
      <c r="E43" s="254" t="e">
        <f t="shared" si="0"/>
        <v>#VALUE!</v>
      </c>
      <c r="F43" s="254" t="e">
        <f t="shared" si="1"/>
        <v>#VALUE!</v>
      </c>
      <c r="G43" t="e">
        <f t="shared" si="2"/>
        <v>#VALUE!</v>
      </c>
    </row>
    <row r="44" spans="4:7">
      <c r="D44" s="253" t="str">
        <f>IF(AND('General Information'!$H$401=TRUE, 'General Information'!D444&lt;&gt;"", 'General Information'!E444&lt;&gt;"", 'General Information'!F444&lt;&gt;"", 'General Information'!G444&lt;&gt;""), _xlfn.WEBSERVICE("https://nominatim.openstreetmap.org/search?q=" &amp; 'General Information'!K444 &amp; "&amp;format=json&amp;polygon=1&amp;addressdetails=1"), "")</f>
        <v/>
      </c>
      <c r="E44" s="254" t="e">
        <f t="shared" si="0"/>
        <v>#VALUE!</v>
      </c>
      <c r="F44" s="254" t="e">
        <f t="shared" si="1"/>
        <v>#VALUE!</v>
      </c>
      <c r="G44" t="e">
        <f t="shared" si="2"/>
        <v>#VALUE!</v>
      </c>
    </row>
    <row r="45" spans="4:7">
      <c r="D45" s="253" t="str">
        <f>IF(AND('General Information'!$H$401=TRUE, 'General Information'!D445&lt;&gt;"", 'General Information'!E445&lt;&gt;"", 'General Information'!F445&lt;&gt;"", 'General Information'!G445&lt;&gt;""), _xlfn.WEBSERVICE("https://nominatim.openstreetmap.org/search?q=" &amp; 'General Information'!K445 &amp; "&amp;format=json&amp;polygon=1&amp;addressdetails=1"), "")</f>
        <v/>
      </c>
      <c r="E45" s="254" t="e">
        <f t="shared" si="0"/>
        <v>#VALUE!</v>
      </c>
      <c r="F45" s="254" t="e">
        <f t="shared" si="1"/>
        <v>#VALUE!</v>
      </c>
      <c r="G45" t="e">
        <f t="shared" si="2"/>
        <v>#VALUE!</v>
      </c>
    </row>
    <row r="46" spans="4:7">
      <c r="D46" s="253" t="str">
        <f>IF(AND('General Information'!$H$401=TRUE, 'General Information'!D446&lt;&gt;"", 'General Information'!E446&lt;&gt;"", 'General Information'!F446&lt;&gt;"", 'General Information'!G446&lt;&gt;""), _xlfn.WEBSERVICE("https://nominatim.openstreetmap.org/search?q=" &amp; 'General Information'!K446 &amp; "&amp;format=json&amp;polygon=1&amp;addressdetails=1"), "")</f>
        <v/>
      </c>
      <c r="E46" s="254" t="e">
        <f t="shared" si="0"/>
        <v>#VALUE!</v>
      </c>
      <c r="F46" s="254" t="e">
        <f t="shared" si="1"/>
        <v>#VALUE!</v>
      </c>
      <c r="G46" t="e">
        <f t="shared" si="2"/>
        <v>#VALUE!</v>
      </c>
    </row>
    <row r="47" spans="4:7">
      <c r="D47" s="253" t="str">
        <f>IF(AND('General Information'!$H$401=TRUE, 'General Information'!D447&lt;&gt;"", 'General Information'!E447&lt;&gt;"", 'General Information'!F447&lt;&gt;"", 'General Information'!G447&lt;&gt;""), _xlfn.WEBSERVICE("https://nominatim.openstreetmap.org/search?q=" &amp; 'General Information'!K447 &amp; "&amp;format=json&amp;polygon=1&amp;addressdetails=1"), "")</f>
        <v/>
      </c>
      <c r="E47" s="254" t="e">
        <f t="shared" si="0"/>
        <v>#VALUE!</v>
      </c>
      <c r="F47" s="254" t="e">
        <f t="shared" si="1"/>
        <v>#VALUE!</v>
      </c>
      <c r="G47" t="e">
        <f t="shared" si="2"/>
        <v>#VALUE!</v>
      </c>
    </row>
    <row r="48" spans="4:7">
      <c r="D48" s="253" t="str">
        <f>IF(AND('General Information'!$H$401=TRUE, 'General Information'!D448&lt;&gt;"", 'General Information'!E448&lt;&gt;"", 'General Information'!F448&lt;&gt;"", 'General Information'!G448&lt;&gt;""), _xlfn.WEBSERVICE("https://nominatim.openstreetmap.org/search?q=" &amp; 'General Information'!K448 &amp; "&amp;format=json&amp;polygon=1&amp;addressdetails=1"), "")</f>
        <v/>
      </c>
      <c r="E48" s="254" t="e">
        <f t="shared" si="0"/>
        <v>#VALUE!</v>
      </c>
      <c r="F48" s="254" t="e">
        <f t="shared" si="1"/>
        <v>#VALUE!</v>
      </c>
      <c r="G48" t="e">
        <f t="shared" si="2"/>
        <v>#VALUE!</v>
      </c>
    </row>
    <row r="49" spans="4:7">
      <c r="D49" s="253" t="str">
        <f>IF(AND('General Information'!$H$401=TRUE, 'General Information'!D449&lt;&gt;"", 'General Information'!E449&lt;&gt;"", 'General Information'!F449&lt;&gt;"", 'General Information'!G449&lt;&gt;""), _xlfn.WEBSERVICE("https://nominatim.openstreetmap.org/search?q=" &amp; 'General Information'!K449 &amp; "&amp;format=json&amp;polygon=1&amp;addressdetails=1"), "")</f>
        <v/>
      </c>
      <c r="E49" s="254" t="e">
        <f t="shared" si="0"/>
        <v>#VALUE!</v>
      </c>
      <c r="F49" s="254" t="e">
        <f t="shared" si="1"/>
        <v>#VALUE!</v>
      </c>
      <c r="G49" t="e">
        <f t="shared" si="2"/>
        <v>#VALUE!</v>
      </c>
    </row>
    <row r="50" spans="4:7">
      <c r="D50" s="253" t="str">
        <f>IF(AND('General Information'!$H$401=TRUE, 'General Information'!D450&lt;&gt;"", 'General Information'!E450&lt;&gt;"", 'General Information'!F450&lt;&gt;"", 'General Information'!G450&lt;&gt;""), _xlfn.WEBSERVICE("https://nominatim.openstreetmap.org/search?q=" &amp; 'General Information'!K450 &amp; "&amp;format=json&amp;polygon=1&amp;addressdetails=1"), "")</f>
        <v/>
      </c>
      <c r="E50" s="254" t="e">
        <f t="shared" si="0"/>
        <v>#VALUE!</v>
      </c>
      <c r="F50" s="254" t="e">
        <f t="shared" si="1"/>
        <v>#VALUE!</v>
      </c>
      <c r="G50" t="e">
        <f t="shared" si="2"/>
        <v>#VALUE!</v>
      </c>
    </row>
    <row r="51" spans="4:7">
      <c r="D51" s="253" t="str">
        <f>IF(AND('General Information'!$H$401=TRUE, 'General Information'!D451&lt;&gt;"", 'General Information'!E451&lt;&gt;"", 'General Information'!F451&lt;&gt;"", 'General Information'!G451&lt;&gt;""), _xlfn.WEBSERVICE("https://nominatim.openstreetmap.org/search?q=" &amp; 'General Information'!K451 &amp; "&amp;format=json&amp;polygon=1&amp;addressdetails=1"), "")</f>
        <v/>
      </c>
      <c r="E51" s="254" t="e">
        <f t="shared" si="0"/>
        <v>#VALUE!</v>
      </c>
      <c r="F51" s="254" t="e">
        <f t="shared" si="1"/>
        <v>#VALUE!</v>
      </c>
      <c r="G51" t="e">
        <f t="shared" si="2"/>
        <v>#VALUE!</v>
      </c>
    </row>
    <row r="52" spans="4:7">
      <c r="D52" s="253" t="str">
        <f>IF(AND('General Information'!$H$401=TRUE, 'General Information'!D452&lt;&gt;"", 'General Information'!E452&lt;&gt;"", 'General Information'!F452&lt;&gt;"", 'General Information'!G452&lt;&gt;""), _xlfn.WEBSERVICE("https://nominatim.openstreetmap.org/search?q=" &amp; 'General Information'!K452 &amp; "&amp;format=json&amp;polygon=1&amp;addressdetails=1"), "")</f>
        <v/>
      </c>
      <c r="E52" s="254" t="e">
        <f t="shared" si="0"/>
        <v>#VALUE!</v>
      </c>
      <c r="F52" s="254" t="e">
        <f t="shared" si="1"/>
        <v>#VALUE!</v>
      </c>
      <c r="G52" t="e">
        <f t="shared" si="2"/>
        <v>#VALUE!</v>
      </c>
    </row>
    <row r="53" spans="4:7">
      <c r="D53" s="253" t="str">
        <f>IF(AND('General Information'!$H$401=TRUE, 'General Information'!D453&lt;&gt;"", 'General Information'!E453&lt;&gt;"", 'General Information'!F453&lt;&gt;"", 'General Information'!G453&lt;&gt;""), _xlfn.WEBSERVICE("https://nominatim.openstreetmap.org/search?q=" &amp; 'General Information'!K453 &amp; "&amp;format=json&amp;polygon=1&amp;addressdetails=1"), "")</f>
        <v/>
      </c>
      <c r="E53" s="254" t="e">
        <f t="shared" si="0"/>
        <v>#VALUE!</v>
      </c>
      <c r="F53" s="254" t="e">
        <f t="shared" si="1"/>
        <v>#VALUE!</v>
      </c>
      <c r="G53" t="e">
        <f t="shared" si="2"/>
        <v>#VALUE!</v>
      </c>
    </row>
    <row r="54" spans="4:7">
      <c r="D54" s="253" t="str">
        <f>IF(AND('General Information'!$H$401=TRUE, 'General Information'!D454&lt;&gt;"", 'General Information'!E454&lt;&gt;"", 'General Information'!F454&lt;&gt;"", 'General Information'!G454&lt;&gt;""), _xlfn.WEBSERVICE("https://nominatim.openstreetmap.org/search?q=" &amp; 'General Information'!K454 &amp; "&amp;format=json&amp;polygon=1&amp;addressdetails=1"), "")</f>
        <v/>
      </c>
      <c r="E54" s="254" t="e">
        <f t="shared" si="0"/>
        <v>#VALUE!</v>
      </c>
      <c r="F54" s="254" t="e">
        <f t="shared" si="1"/>
        <v>#VALUE!</v>
      </c>
      <c r="G54" t="e">
        <f t="shared" si="2"/>
        <v>#VALUE!</v>
      </c>
    </row>
    <row r="55" spans="4:7">
      <c r="D55" s="253" t="str">
        <f>IF(AND('General Information'!$H$401=TRUE, 'General Information'!D455&lt;&gt;"", 'General Information'!E455&lt;&gt;"", 'General Information'!F455&lt;&gt;"", 'General Information'!G455&lt;&gt;""), _xlfn.WEBSERVICE("https://nominatim.openstreetmap.org/search?q=" &amp; 'General Information'!K455 &amp; "&amp;format=json&amp;polygon=1&amp;addressdetails=1"), "")</f>
        <v/>
      </c>
      <c r="E55" s="254" t="e">
        <f t="shared" si="0"/>
        <v>#VALUE!</v>
      </c>
      <c r="F55" s="254" t="e">
        <f t="shared" si="1"/>
        <v>#VALUE!</v>
      </c>
      <c r="G55" t="e">
        <f t="shared" si="2"/>
        <v>#VALUE!</v>
      </c>
    </row>
    <row r="56" spans="4:7">
      <c r="D56" s="253" t="str">
        <f>IF(AND('General Information'!$H$401=TRUE, 'General Information'!D456&lt;&gt;"", 'General Information'!E456&lt;&gt;"", 'General Information'!F456&lt;&gt;"", 'General Information'!G456&lt;&gt;""), _xlfn.WEBSERVICE("https://nominatim.openstreetmap.org/search?q=" &amp; 'General Information'!K456 &amp; "&amp;format=json&amp;polygon=1&amp;addressdetails=1"), "")</f>
        <v/>
      </c>
      <c r="E56" s="254" t="e">
        <f t="shared" si="0"/>
        <v>#VALUE!</v>
      </c>
      <c r="F56" s="254" t="e">
        <f t="shared" si="1"/>
        <v>#VALUE!</v>
      </c>
      <c r="G56" t="e">
        <f t="shared" si="2"/>
        <v>#VALUE!</v>
      </c>
    </row>
    <row r="57" spans="4:7">
      <c r="D57" s="253" t="str">
        <f>IF(AND('General Information'!$H$401=TRUE, 'General Information'!D457&lt;&gt;"", 'General Information'!E457&lt;&gt;"", 'General Information'!F457&lt;&gt;"", 'General Information'!G457&lt;&gt;""), _xlfn.WEBSERVICE("https://nominatim.openstreetmap.org/search?q=" &amp; 'General Information'!K457 &amp; "&amp;format=json&amp;polygon=1&amp;addressdetails=1"), "")</f>
        <v/>
      </c>
      <c r="E57" s="254" t="e">
        <f t="shared" si="0"/>
        <v>#VALUE!</v>
      </c>
      <c r="F57" s="254" t="e">
        <f t="shared" si="1"/>
        <v>#VALUE!</v>
      </c>
      <c r="G57" t="e">
        <f t="shared" si="2"/>
        <v>#VALUE!</v>
      </c>
    </row>
    <row r="58" spans="4:7">
      <c r="D58" s="253" t="str">
        <f>IF(AND('General Information'!$H$401=TRUE, 'General Information'!D458&lt;&gt;"", 'General Information'!E458&lt;&gt;"", 'General Information'!F458&lt;&gt;"", 'General Information'!G458&lt;&gt;""), _xlfn.WEBSERVICE("https://nominatim.openstreetmap.org/search?q=" &amp; 'General Information'!K458 &amp; "&amp;format=json&amp;polygon=1&amp;addressdetails=1"), "")</f>
        <v/>
      </c>
      <c r="E58" s="254" t="e">
        <f t="shared" si="0"/>
        <v>#VALUE!</v>
      </c>
      <c r="F58" s="254" t="e">
        <f t="shared" si="1"/>
        <v>#VALUE!</v>
      </c>
      <c r="G58" t="e">
        <f t="shared" si="2"/>
        <v>#VALUE!</v>
      </c>
    </row>
    <row r="59" spans="4:7">
      <c r="D59" s="253" t="str">
        <f>IF(AND('General Information'!$H$401=TRUE, 'General Information'!D459&lt;&gt;"", 'General Information'!E459&lt;&gt;"", 'General Information'!F459&lt;&gt;"", 'General Information'!G459&lt;&gt;""), _xlfn.WEBSERVICE("https://nominatim.openstreetmap.org/search?q=" &amp; 'General Information'!K459 &amp; "&amp;format=json&amp;polygon=1&amp;addressdetails=1"), "")</f>
        <v/>
      </c>
      <c r="E59" s="254" t="e">
        <f t="shared" si="0"/>
        <v>#VALUE!</v>
      </c>
      <c r="F59" s="254" t="e">
        <f t="shared" si="1"/>
        <v>#VALUE!</v>
      </c>
      <c r="G59" t="e">
        <f t="shared" si="2"/>
        <v>#VALUE!</v>
      </c>
    </row>
    <row r="60" spans="4:7">
      <c r="D60" s="253" t="str">
        <f>IF(AND('General Information'!$H$401=TRUE, 'General Information'!D460&lt;&gt;"", 'General Information'!E460&lt;&gt;"", 'General Information'!F460&lt;&gt;"", 'General Information'!G460&lt;&gt;""), _xlfn.WEBSERVICE("https://nominatim.openstreetmap.org/search?q=" &amp; 'General Information'!K460 &amp; "&amp;format=json&amp;polygon=1&amp;addressdetails=1"), "")</f>
        <v/>
      </c>
      <c r="E60" s="254" t="e">
        <f t="shared" si="0"/>
        <v>#VALUE!</v>
      </c>
      <c r="F60" s="254" t="e">
        <f t="shared" si="1"/>
        <v>#VALUE!</v>
      </c>
      <c r="G60" t="e">
        <f t="shared" si="2"/>
        <v>#VALUE!</v>
      </c>
    </row>
    <row r="61" spans="4:7">
      <c r="D61" s="253" t="str">
        <f>IF(AND('General Information'!$H$401=TRUE, 'General Information'!D461&lt;&gt;"", 'General Information'!E461&lt;&gt;"", 'General Information'!F461&lt;&gt;"", 'General Information'!G461&lt;&gt;""), _xlfn.WEBSERVICE("https://nominatim.openstreetmap.org/search?q=" &amp; 'General Information'!K461 &amp; "&amp;format=json&amp;polygon=1&amp;addressdetails=1"), "")</f>
        <v/>
      </c>
      <c r="E61" s="254" t="e">
        <f t="shared" si="0"/>
        <v>#VALUE!</v>
      </c>
      <c r="F61" s="254" t="e">
        <f t="shared" si="1"/>
        <v>#VALUE!</v>
      </c>
      <c r="G61" t="e">
        <f t="shared" si="2"/>
        <v>#VALUE!</v>
      </c>
    </row>
    <row r="62" spans="4:7">
      <c r="D62" s="253" t="str">
        <f>IF(AND('General Information'!$H$401=TRUE, 'General Information'!D462&lt;&gt;"", 'General Information'!E462&lt;&gt;"", 'General Information'!F462&lt;&gt;"", 'General Information'!G462&lt;&gt;""), _xlfn.WEBSERVICE("https://nominatim.openstreetmap.org/search?q=" &amp; 'General Information'!K462 &amp; "&amp;format=json&amp;polygon=1&amp;addressdetails=1"), "")</f>
        <v/>
      </c>
      <c r="E62" s="254" t="e">
        <f t="shared" si="0"/>
        <v>#VALUE!</v>
      </c>
      <c r="F62" s="254" t="e">
        <f t="shared" si="1"/>
        <v>#VALUE!</v>
      </c>
      <c r="G62" t="e">
        <f t="shared" si="2"/>
        <v>#VALUE!</v>
      </c>
    </row>
    <row r="63" spans="4:7">
      <c r="D63" s="253" t="str">
        <f>IF(AND('General Information'!$H$401=TRUE, 'General Information'!D463&lt;&gt;"", 'General Information'!E463&lt;&gt;"", 'General Information'!F463&lt;&gt;"", 'General Information'!G463&lt;&gt;""), _xlfn.WEBSERVICE("https://nominatim.openstreetmap.org/search?q=" &amp; 'General Information'!K463 &amp; "&amp;format=json&amp;polygon=1&amp;addressdetails=1"), "")</f>
        <v/>
      </c>
      <c r="E63" s="254" t="e">
        <f t="shared" si="0"/>
        <v>#VALUE!</v>
      </c>
      <c r="F63" s="254" t="e">
        <f t="shared" si="1"/>
        <v>#VALUE!</v>
      </c>
      <c r="G63" t="e">
        <f t="shared" si="2"/>
        <v>#VALUE!</v>
      </c>
    </row>
    <row r="64" spans="4:7">
      <c r="D64" s="253" t="str">
        <f>IF(AND('General Information'!$H$401=TRUE, 'General Information'!D464&lt;&gt;"", 'General Information'!E464&lt;&gt;"", 'General Information'!F464&lt;&gt;"", 'General Information'!G464&lt;&gt;""), _xlfn.WEBSERVICE("https://nominatim.openstreetmap.org/search?q=" &amp; 'General Information'!K464 &amp; "&amp;format=json&amp;polygon=1&amp;addressdetails=1"), "")</f>
        <v/>
      </c>
      <c r="E64" s="254" t="e">
        <f t="shared" si="0"/>
        <v>#VALUE!</v>
      </c>
      <c r="F64" s="254" t="e">
        <f t="shared" si="1"/>
        <v>#VALUE!</v>
      </c>
      <c r="G64" t="e">
        <f t="shared" si="2"/>
        <v>#VALUE!</v>
      </c>
    </row>
    <row r="65" spans="4:7">
      <c r="D65" s="253" t="str">
        <f>IF(AND('General Information'!$H$401=TRUE, 'General Information'!D465&lt;&gt;"", 'General Information'!E465&lt;&gt;"", 'General Information'!F465&lt;&gt;"", 'General Information'!G465&lt;&gt;""), _xlfn.WEBSERVICE("https://nominatim.openstreetmap.org/search?q=" &amp; 'General Information'!K465 &amp; "&amp;format=json&amp;polygon=1&amp;addressdetails=1"), "")</f>
        <v/>
      </c>
      <c r="E65" s="254" t="e">
        <f t="shared" si="0"/>
        <v>#VALUE!</v>
      </c>
      <c r="F65" s="254" t="e">
        <f t="shared" si="1"/>
        <v>#VALUE!</v>
      </c>
      <c r="G65" t="e">
        <f t="shared" si="2"/>
        <v>#VALUE!</v>
      </c>
    </row>
    <row r="66" spans="4:7">
      <c r="D66" s="253" t="str">
        <f>IF(AND('General Information'!$H$401=TRUE, 'General Information'!D466&lt;&gt;"", 'General Information'!E466&lt;&gt;"", 'General Information'!F466&lt;&gt;"", 'General Information'!G466&lt;&gt;""), _xlfn.WEBSERVICE("https://nominatim.openstreetmap.org/search?q=" &amp; 'General Information'!K466 &amp; "&amp;format=json&amp;polygon=1&amp;addressdetails=1"), "")</f>
        <v/>
      </c>
      <c r="E66" s="254" t="e">
        <f t="shared" si="0"/>
        <v>#VALUE!</v>
      </c>
      <c r="F66" s="254" t="e">
        <f t="shared" si="1"/>
        <v>#VALUE!</v>
      </c>
      <c r="G66" t="e">
        <f t="shared" si="2"/>
        <v>#VALUE!</v>
      </c>
    </row>
    <row r="67" spans="4:7">
      <c r="D67" s="253" t="str">
        <f>IF(AND('General Information'!$H$401=TRUE, 'General Information'!D467&lt;&gt;"", 'General Information'!E467&lt;&gt;"", 'General Information'!F467&lt;&gt;"", 'General Information'!G467&lt;&gt;""), _xlfn.WEBSERVICE("https://nominatim.openstreetmap.org/search?q=" &amp; 'General Information'!K467 &amp; "&amp;format=json&amp;polygon=1&amp;addressdetails=1"), "")</f>
        <v/>
      </c>
      <c r="E67" s="254" t="e">
        <f t="shared" si="0"/>
        <v>#VALUE!</v>
      </c>
      <c r="F67" s="254" t="e">
        <f t="shared" si="1"/>
        <v>#VALUE!</v>
      </c>
      <c r="G67" t="e">
        <f t="shared" si="2"/>
        <v>#VALUE!</v>
      </c>
    </row>
    <row r="68" spans="4:7">
      <c r="D68" s="253" t="str">
        <f>IF(AND('General Information'!$H$401=TRUE, 'General Information'!D468&lt;&gt;"", 'General Information'!E468&lt;&gt;"", 'General Information'!F468&lt;&gt;"", 'General Information'!G468&lt;&gt;""), _xlfn.WEBSERVICE("https://nominatim.openstreetmap.org/search?q=" &amp; 'General Information'!K468 &amp; "&amp;format=json&amp;polygon=1&amp;addressdetails=1"), "")</f>
        <v/>
      </c>
      <c r="E68" s="254" t="e">
        <f t="shared" si="0"/>
        <v>#VALUE!</v>
      </c>
      <c r="F68" s="254" t="e">
        <f t="shared" si="1"/>
        <v>#VALUE!</v>
      </c>
      <c r="G68" t="e">
        <f t="shared" si="2"/>
        <v>#VALUE!</v>
      </c>
    </row>
    <row r="69" spans="4:7">
      <c r="D69" s="253" t="str">
        <f>IF(AND('General Information'!$H$401=TRUE, 'General Information'!D469&lt;&gt;"", 'General Information'!E469&lt;&gt;"", 'General Information'!F469&lt;&gt;"", 'General Information'!G469&lt;&gt;""), _xlfn.WEBSERVICE("https://nominatim.openstreetmap.org/search?q=" &amp; 'General Information'!K469 &amp; "&amp;format=json&amp;polygon=1&amp;addressdetails=1"), "")</f>
        <v/>
      </c>
      <c r="E69" s="254" t="e">
        <f t="shared" si="0"/>
        <v>#VALUE!</v>
      </c>
      <c r="F69" s="254" t="e">
        <f t="shared" si="1"/>
        <v>#VALUE!</v>
      </c>
      <c r="G69" t="e">
        <f t="shared" si="2"/>
        <v>#VALUE!</v>
      </c>
    </row>
    <row r="70" spans="4:7">
      <c r="D70" s="253" t="str">
        <f>IF(AND('General Information'!$H$401=TRUE, 'General Information'!D470&lt;&gt;"", 'General Information'!E470&lt;&gt;"", 'General Information'!F470&lt;&gt;"", 'General Information'!G470&lt;&gt;""), _xlfn.WEBSERVICE("https://nominatim.openstreetmap.org/search?q=" &amp; 'General Information'!K470 &amp; "&amp;format=json&amp;polygon=1&amp;addressdetails=1"), "")</f>
        <v/>
      </c>
      <c r="E70" s="254" t="e">
        <f t="shared" si="0"/>
        <v>#VALUE!</v>
      </c>
      <c r="F70" s="254" t="e">
        <f t="shared" si="1"/>
        <v>#VALUE!</v>
      </c>
      <c r="G70" t="e">
        <f t="shared" si="2"/>
        <v>#VALUE!</v>
      </c>
    </row>
    <row r="71" spans="4:7">
      <c r="D71" s="253" t="str">
        <f>IF(AND('General Information'!$H$401=TRUE, 'General Information'!D471&lt;&gt;"", 'General Information'!E471&lt;&gt;"", 'General Information'!F471&lt;&gt;"", 'General Information'!G471&lt;&gt;""), _xlfn.WEBSERVICE("https://nominatim.openstreetmap.org/search?q=" &amp; 'General Information'!K471 &amp; "&amp;format=json&amp;polygon=1&amp;addressdetails=1"), "")</f>
        <v/>
      </c>
      <c r="E71" s="254" t="e">
        <f t="shared" si="0"/>
        <v>#VALUE!</v>
      </c>
      <c r="F71" s="254" t="e">
        <f t="shared" si="1"/>
        <v>#VALUE!</v>
      </c>
      <c r="G71" t="e">
        <f t="shared" si="2"/>
        <v>#VALUE!</v>
      </c>
    </row>
    <row r="72" spans="4:7">
      <c r="D72" s="253" t="str">
        <f>IF(AND('General Information'!$H$401=TRUE, 'General Information'!D472&lt;&gt;"", 'General Information'!E472&lt;&gt;"", 'General Information'!F472&lt;&gt;"", 'General Information'!G472&lt;&gt;""), _xlfn.WEBSERVICE("https://nominatim.openstreetmap.org/search?q=" &amp; 'General Information'!K472 &amp; "&amp;format=json&amp;polygon=1&amp;addressdetails=1"), "")</f>
        <v/>
      </c>
      <c r="E72" s="254" t="e">
        <f t="shared" si="0"/>
        <v>#VALUE!</v>
      </c>
      <c r="F72" s="254" t="e">
        <f t="shared" si="1"/>
        <v>#VALUE!</v>
      </c>
      <c r="G72" t="e">
        <f t="shared" si="2"/>
        <v>#VALUE!</v>
      </c>
    </row>
    <row r="73" spans="4:7">
      <c r="D73" s="253" t="str">
        <f>IF(AND('General Information'!$H$401=TRUE, 'General Information'!D473&lt;&gt;"", 'General Information'!E473&lt;&gt;"", 'General Information'!F473&lt;&gt;"", 'General Information'!G473&lt;&gt;""), _xlfn.WEBSERVICE("https://nominatim.openstreetmap.org/search?q=" &amp; 'General Information'!K473 &amp; "&amp;format=json&amp;polygon=1&amp;addressdetails=1"), "")</f>
        <v/>
      </c>
      <c r="E73" s="254" t="e">
        <f t="shared" si="0"/>
        <v>#VALUE!</v>
      </c>
      <c r="F73" s="254" t="e">
        <f t="shared" si="1"/>
        <v>#VALUE!</v>
      </c>
      <c r="G73" t="e">
        <f t="shared" si="2"/>
        <v>#VALUE!</v>
      </c>
    </row>
    <row r="74" spans="4:7">
      <c r="D74" s="253" t="str">
        <f>IF(AND('General Information'!$H$401=TRUE, 'General Information'!D474&lt;&gt;"", 'General Information'!E474&lt;&gt;"", 'General Information'!F474&lt;&gt;"", 'General Information'!G474&lt;&gt;""), _xlfn.WEBSERVICE("https://nominatim.openstreetmap.org/search?q=" &amp; 'General Information'!K474 &amp; "&amp;format=json&amp;polygon=1&amp;addressdetails=1"), "")</f>
        <v/>
      </c>
      <c r="E74" s="254" t="e">
        <f t="shared" si="0"/>
        <v>#VALUE!</v>
      </c>
      <c r="F74" s="254" t="e">
        <f t="shared" si="1"/>
        <v>#VALUE!</v>
      </c>
      <c r="G74" t="e">
        <f t="shared" si="2"/>
        <v>#VALUE!</v>
      </c>
    </row>
    <row r="75" spans="4:7">
      <c r="D75" s="253" t="str">
        <f>IF(AND('General Information'!$H$401=TRUE, 'General Information'!D475&lt;&gt;"", 'General Information'!E475&lt;&gt;"", 'General Information'!F475&lt;&gt;"", 'General Information'!G475&lt;&gt;""), _xlfn.WEBSERVICE("https://nominatim.openstreetmap.org/search?q=" &amp; 'General Information'!K475 &amp; "&amp;format=json&amp;polygon=1&amp;addressdetails=1"), "")</f>
        <v/>
      </c>
      <c r="E75" s="254" t="e">
        <f t="shared" si="0"/>
        <v>#VALUE!</v>
      </c>
      <c r="F75" s="254" t="e">
        <f t="shared" si="1"/>
        <v>#VALUE!</v>
      </c>
      <c r="G75" t="e">
        <f t="shared" si="2"/>
        <v>#VALUE!</v>
      </c>
    </row>
    <row r="76" spans="4:7">
      <c r="D76" s="253" t="str">
        <f>IF(AND('General Information'!$H$401=TRUE, 'General Information'!D476&lt;&gt;"", 'General Information'!E476&lt;&gt;"", 'General Information'!F476&lt;&gt;"", 'General Information'!G476&lt;&gt;""), _xlfn.WEBSERVICE("https://nominatim.openstreetmap.org/search?q=" &amp; 'General Information'!K476 &amp; "&amp;format=json&amp;polygon=1&amp;addressdetails=1"), "")</f>
        <v/>
      </c>
      <c r="E76" s="254" t="e">
        <f t="shared" si="0"/>
        <v>#VALUE!</v>
      </c>
      <c r="F76" s="254" t="e">
        <f t="shared" si="1"/>
        <v>#VALUE!</v>
      </c>
      <c r="G76" t="e">
        <f t="shared" si="2"/>
        <v>#VALUE!</v>
      </c>
    </row>
    <row r="77" spans="4:7">
      <c r="D77" s="253" t="str">
        <f>IF(AND('General Information'!$H$401=TRUE, 'General Information'!D477&lt;&gt;"", 'General Information'!E477&lt;&gt;"", 'General Information'!F477&lt;&gt;"", 'General Information'!G477&lt;&gt;""), _xlfn.WEBSERVICE("https://nominatim.openstreetmap.org/search?q=" &amp; 'General Information'!K477 &amp; "&amp;format=json&amp;polygon=1&amp;addressdetails=1"), "")</f>
        <v/>
      </c>
      <c r="E77" s="254" t="e">
        <f t="shared" si="0"/>
        <v>#VALUE!</v>
      </c>
      <c r="F77" s="254" t="e">
        <f t="shared" si="1"/>
        <v>#VALUE!</v>
      </c>
      <c r="G77" t="e">
        <f t="shared" si="2"/>
        <v>#VALUE!</v>
      </c>
    </row>
    <row r="78" spans="4:7">
      <c r="D78" s="253" t="str">
        <f>IF(AND('General Information'!$H$401=TRUE, 'General Information'!D478&lt;&gt;"", 'General Information'!E478&lt;&gt;"", 'General Information'!F478&lt;&gt;"", 'General Information'!G478&lt;&gt;""), _xlfn.WEBSERVICE("https://nominatim.openstreetmap.org/search?q=" &amp; 'General Information'!K478 &amp; "&amp;format=json&amp;polygon=1&amp;addressdetails=1"), "")</f>
        <v/>
      </c>
      <c r="E78" s="254" t="e">
        <f t="shared" si="0"/>
        <v>#VALUE!</v>
      </c>
      <c r="F78" s="254" t="e">
        <f t="shared" si="1"/>
        <v>#VALUE!</v>
      </c>
      <c r="G78" t="e">
        <f t="shared" si="2"/>
        <v>#VALUE!</v>
      </c>
    </row>
    <row r="79" spans="4:7">
      <c r="D79" s="253" t="str">
        <f>IF(AND('General Information'!$H$401=TRUE, 'General Information'!D479&lt;&gt;"", 'General Information'!E479&lt;&gt;"", 'General Information'!F479&lt;&gt;"", 'General Information'!G479&lt;&gt;""), _xlfn.WEBSERVICE("https://nominatim.openstreetmap.org/search?q=" &amp; 'General Information'!K479 &amp; "&amp;format=json&amp;polygon=1&amp;addressdetails=1"), "")</f>
        <v/>
      </c>
      <c r="E79" s="254" t="e">
        <f t="shared" si="0"/>
        <v>#VALUE!</v>
      </c>
      <c r="F79" s="254" t="e">
        <f t="shared" si="1"/>
        <v>#VALUE!</v>
      </c>
      <c r="G79" t="e">
        <f t="shared" si="2"/>
        <v>#VALUE!</v>
      </c>
    </row>
    <row r="80" spans="4:7">
      <c r="D80" s="253" t="str">
        <f>IF(AND('General Information'!$H$401=TRUE, 'General Information'!D480&lt;&gt;"", 'General Information'!E480&lt;&gt;"", 'General Information'!F480&lt;&gt;"", 'General Information'!G480&lt;&gt;""), _xlfn.WEBSERVICE("https://nominatim.openstreetmap.org/search?q=" &amp; 'General Information'!K480 &amp; "&amp;format=json&amp;polygon=1&amp;addressdetails=1"), "")</f>
        <v/>
      </c>
      <c r="E80" s="254" t="e">
        <f t="shared" si="0"/>
        <v>#VALUE!</v>
      </c>
      <c r="F80" s="254" t="e">
        <f t="shared" si="1"/>
        <v>#VALUE!</v>
      </c>
      <c r="G80" t="e">
        <f t="shared" si="2"/>
        <v>#VALUE!</v>
      </c>
    </row>
    <row r="81" spans="4:7">
      <c r="D81" s="253" t="str">
        <f>IF(AND('General Information'!$H$401=TRUE, 'General Information'!D481&lt;&gt;"", 'General Information'!E481&lt;&gt;"", 'General Information'!F481&lt;&gt;"", 'General Information'!G481&lt;&gt;""), _xlfn.WEBSERVICE("https://nominatim.openstreetmap.org/search?q=" &amp; 'General Information'!K481 &amp; "&amp;format=json&amp;polygon=1&amp;addressdetails=1"), "")</f>
        <v/>
      </c>
      <c r="E81" s="254" t="e">
        <f t="shared" si="0"/>
        <v>#VALUE!</v>
      </c>
      <c r="F81" s="254" t="e">
        <f t="shared" si="1"/>
        <v>#VALUE!</v>
      </c>
      <c r="G81" t="e">
        <f t="shared" si="2"/>
        <v>#VALUE!</v>
      </c>
    </row>
    <row r="82" spans="4:7">
      <c r="D82" s="253" t="str">
        <f>IF(AND('General Information'!$H$401=TRUE, 'General Information'!D482&lt;&gt;"", 'General Information'!E482&lt;&gt;"", 'General Information'!F482&lt;&gt;"", 'General Information'!G482&lt;&gt;""), _xlfn.WEBSERVICE("https://nominatim.openstreetmap.org/search?q=" &amp; 'General Information'!K482 &amp; "&amp;format=json&amp;polygon=1&amp;addressdetails=1"), "")</f>
        <v/>
      </c>
      <c r="E82" s="254" t="e">
        <f t="shared" si="0"/>
        <v>#VALUE!</v>
      </c>
      <c r="F82" s="254" t="e">
        <f t="shared" si="1"/>
        <v>#VALUE!</v>
      </c>
      <c r="G82" t="e">
        <f t="shared" si="2"/>
        <v>#VALUE!</v>
      </c>
    </row>
    <row r="83" spans="4:7">
      <c r="D83" s="253" t="str">
        <f>IF(AND('General Information'!$H$401=TRUE, 'General Information'!D483&lt;&gt;"", 'General Information'!E483&lt;&gt;"", 'General Information'!F483&lt;&gt;"", 'General Information'!G483&lt;&gt;""), _xlfn.WEBSERVICE("https://nominatim.openstreetmap.org/search?q=" &amp; 'General Information'!K483 &amp; "&amp;format=json&amp;polygon=1&amp;addressdetails=1"), "")</f>
        <v/>
      </c>
      <c r="E83" s="254" t="e">
        <f t="shared" si="0"/>
        <v>#VALUE!</v>
      </c>
      <c r="F83" s="254" t="e">
        <f t="shared" si="1"/>
        <v>#VALUE!</v>
      </c>
      <c r="G83" t="e">
        <f t="shared" si="2"/>
        <v>#VALUE!</v>
      </c>
    </row>
    <row r="84" spans="4:7">
      <c r="D84" s="253" t="str">
        <f>IF(AND('General Information'!$H$401=TRUE, 'General Information'!D484&lt;&gt;"", 'General Information'!E484&lt;&gt;"", 'General Information'!F484&lt;&gt;"", 'General Information'!G484&lt;&gt;""), _xlfn.WEBSERVICE("https://nominatim.openstreetmap.org/search?q=" &amp; 'General Information'!K484 &amp; "&amp;format=json&amp;polygon=1&amp;addressdetails=1"), "")</f>
        <v/>
      </c>
      <c r="E84" s="254" t="e">
        <f t="shared" si="0"/>
        <v>#VALUE!</v>
      </c>
      <c r="F84" s="254" t="e">
        <f t="shared" si="1"/>
        <v>#VALUE!</v>
      </c>
      <c r="G84" t="e">
        <f t="shared" si="2"/>
        <v>#VALUE!</v>
      </c>
    </row>
    <row r="85" spans="4:7">
      <c r="D85" s="253" t="str">
        <f>IF(AND('General Information'!$H$401=TRUE, 'General Information'!D485&lt;&gt;"", 'General Information'!E485&lt;&gt;"", 'General Information'!F485&lt;&gt;"", 'General Information'!G485&lt;&gt;""), _xlfn.WEBSERVICE("https://nominatim.openstreetmap.org/search?q=" &amp; 'General Information'!K485 &amp; "&amp;format=json&amp;polygon=1&amp;addressdetails=1"), "")</f>
        <v/>
      </c>
      <c r="E85" s="254" t="e">
        <f t="shared" si="0"/>
        <v>#VALUE!</v>
      </c>
      <c r="F85" s="254" t="e">
        <f t="shared" si="1"/>
        <v>#VALUE!</v>
      </c>
      <c r="G85" t="e">
        <f t="shared" si="2"/>
        <v>#VALUE!</v>
      </c>
    </row>
    <row r="86" spans="4:7">
      <c r="D86" s="253" t="str">
        <f>IF(AND('General Information'!$H$401=TRUE, 'General Information'!D486&lt;&gt;"", 'General Information'!E486&lt;&gt;"", 'General Information'!F486&lt;&gt;"", 'General Information'!G486&lt;&gt;""), _xlfn.WEBSERVICE("https://nominatim.openstreetmap.org/search?q=" &amp; 'General Information'!K486 &amp; "&amp;format=json&amp;polygon=1&amp;addressdetails=1"), "")</f>
        <v/>
      </c>
      <c r="E86" s="254" t="e">
        <f t="shared" si="0"/>
        <v>#VALUE!</v>
      </c>
      <c r="F86" s="254" t="e">
        <f t="shared" si="1"/>
        <v>#VALUE!</v>
      </c>
      <c r="G86" t="e">
        <f t="shared" si="2"/>
        <v>#VALUE!</v>
      </c>
    </row>
    <row r="87" spans="4:7">
      <c r="D87" s="253" t="str">
        <f>IF(AND('General Information'!$H$401=TRUE, 'General Information'!D487&lt;&gt;"", 'General Information'!E487&lt;&gt;"", 'General Information'!F487&lt;&gt;"", 'General Information'!G487&lt;&gt;""), _xlfn.WEBSERVICE("https://nominatim.openstreetmap.org/search?q=" &amp; 'General Information'!K487 &amp; "&amp;format=json&amp;polygon=1&amp;addressdetails=1"), "")</f>
        <v/>
      </c>
      <c r="E87" s="254" t="e">
        <f t="shared" si="0"/>
        <v>#VALUE!</v>
      </c>
      <c r="F87" s="254" t="e">
        <f t="shared" si="1"/>
        <v>#VALUE!</v>
      </c>
      <c r="G87" t="e">
        <f t="shared" si="2"/>
        <v>#VALUE!</v>
      </c>
    </row>
    <row r="88" spans="4:7">
      <c r="D88" s="253" t="str">
        <f>IF(AND('General Information'!$H$401=TRUE, 'General Information'!D488&lt;&gt;"", 'General Information'!E488&lt;&gt;"", 'General Information'!F488&lt;&gt;"", 'General Information'!G488&lt;&gt;""), _xlfn.WEBSERVICE("https://nominatim.openstreetmap.org/search?q=" &amp; 'General Information'!K488 &amp; "&amp;format=json&amp;polygon=1&amp;addressdetails=1"), "")</f>
        <v/>
      </c>
      <c r="E88" s="254" t="e">
        <f t="shared" si="0"/>
        <v>#VALUE!</v>
      </c>
      <c r="F88" s="254" t="e">
        <f t="shared" si="1"/>
        <v>#VALUE!</v>
      </c>
      <c r="G88" t="e">
        <f t="shared" si="2"/>
        <v>#VALUE!</v>
      </c>
    </row>
    <row r="89" spans="4:7">
      <c r="D89" s="253" t="str">
        <f>IF(AND('General Information'!$H$401=TRUE, 'General Information'!D489&lt;&gt;"", 'General Information'!E489&lt;&gt;"", 'General Information'!F489&lt;&gt;"", 'General Information'!G489&lt;&gt;""), _xlfn.WEBSERVICE("https://nominatim.openstreetmap.org/search?q=" &amp; 'General Information'!K489 &amp; "&amp;format=json&amp;polygon=1&amp;addressdetails=1"), "")</f>
        <v/>
      </c>
      <c r="E89" s="254" t="e">
        <f t="shared" si="0"/>
        <v>#VALUE!</v>
      </c>
      <c r="F89" s="254" t="e">
        <f t="shared" si="1"/>
        <v>#VALUE!</v>
      </c>
      <c r="G89" t="e">
        <f t="shared" si="2"/>
        <v>#VALUE!</v>
      </c>
    </row>
    <row r="90" spans="4:7">
      <c r="D90" s="253" t="str">
        <f>IF(AND('General Information'!$H$401=TRUE, 'General Information'!D490&lt;&gt;"", 'General Information'!E490&lt;&gt;"", 'General Information'!F490&lt;&gt;"", 'General Information'!G490&lt;&gt;""), _xlfn.WEBSERVICE("https://nominatim.openstreetmap.org/search?q=" &amp; 'General Information'!K490 &amp; "&amp;format=json&amp;polygon=1&amp;addressdetails=1"), "")</f>
        <v/>
      </c>
      <c r="E90" s="254" t="e">
        <f t="shared" si="0"/>
        <v>#VALUE!</v>
      </c>
      <c r="F90" s="254" t="e">
        <f t="shared" si="1"/>
        <v>#VALUE!</v>
      </c>
      <c r="G90" t="e">
        <f t="shared" si="2"/>
        <v>#VALUE!</v>
      </c>
    </row>
    <row r="91" spans="4:7">
      <c r="D91" s="253" t="str">
        <f>IF(AND('General Information'!$H$401=TRUE, 'General Information'!D491&lt;&gt;"", 'General Information'!E491&lt;&gt;"", 'General Information'!F491&lt;&gt;"", 'General Information'!G491&lt;&gt;""), _xlfn.WEBSERVICE("https://nominatim.openstreetmap.org/search?q=" &amp; 'General Information'!K491 &amp; "&amp;format=json&amp;polygon=1&amp;addressdetails=1"), "")</f>
        <v/>
      </c>
      <c r="E91" s="254" t="e">
        <f t="shared" si="0"/>
        <v>#VALUE!</v>
      </c>
      <c r="F91" s="254" t="e">
        <f t="shared" si="1"/>
        <v>#VALUE!</v>
      </c>
      <c r="G91" t="e">
        <f t="shared" si="2"/>
        <v>#VALUE!</v>
      </c>
    </row>
    <row r="92" spans="4:7">
      <c r="D92" s="253" t="str">
        <f>IF(AND('General Information'!$H$401=TRUE, 'General Information'!D492&lt;&gt;"", 'General Information'!E492&lt;&gt;"", 'General Information'!F492&lt;&gt;"", 'General Information'!G492&lt;&gt;""), _xlfn.WEBSERVICE("https://nominatim.openstreetmap.org/search?q=" &amp; 'General Information'!K492 &amp; "&amp;format=json&amp;polygon=1&amp;addressdetails=1"), "")</f>
        <v/>
      </c>
      <c r="E92" s="254" t="e">
        <f t="shared" si="0"/>
        <v>#VALUE!</v>
      </c>
      <c r="F92" s="254" t="e">
        <f t="shared" si="1"/>
        <v>#VALUE!</v>
      </c>
      <c r="G92" t="e">
        <f t="shared" si="2"/>
        <v>#VALUE!</v>
      </c>
    </row>
    <row r="93" spans="4:7">
      <c r="D93" s="253" t="str">
        <f>IF(AND('General Information'!$H$401=TRUE, 'General Information'!D493&lt;&gt;"", 'General Information'!E493&lt;&gt;"", 'General Information'!F493&lt;&gt;"", 'General Information'!G493&lt;&gt;""), _xlfn.WEBSERVICE("https://nominatim.openstreetmap.org/search?q=" &amp; 'General Information'!K493 &amp; "&amp;format=json&amp;polygon=1&amp;addressdetails=1"), "")</f>
        <v/>
      </c>
      <c r="E93" s="254" t="e">
        <f t="shared" si="0"/>
        <v>#VALUE!</v>
      </c>
      <c r="F93" s="254" t="e">
        <f t="shared" si="1"/>
        <v>#VALUE!</v>
      </c>
      <c r="G93" t="e">
        <f t="shared" si="2"/>
        <v>#VALUE!</v>
      </c>
    </row>
    <row r="94" spans="4:7">
      <c r="D94" s="253" t="str">
        <f>IF(AND('General Information'!$H$401=TRUE, 'General Information'!D494&lt;&gt;"", 'General Information'!E494&lt;&gt;"", 'General Information'!F494&lt;&gt;"", 'General Information'!G494&lt;&gt;""), _xlfn.WEBSERVICE("https://nominatim.openstreetmap.org/search?q=" &amp; 'General Information'!K494 &amp; "&amp;format=json&amp;polygon=1&amp;addressdetails=1"), "")</f>
        <v/>
      </c>
      <c r="E94" s="254" t="e">
        <f t="shared" si="0"/>
        <v>#VALUE!</v>
      </c>
      <c r="F94" s="254" t="e">
        <f t="shared" si="1"/>
        <v>#VALUE!</v>
      </c>
      <c r="G94" t="e">
        <f t="shared" si="2"/>
        <v>#VALUE!</v>
      </c>
    </row>
    <row r="95" spans="4:7">
      <c r="D95" s="253" t="str">
        <f>IF(AND('General Information'!$H$401=TRUE, 'General Information'!D495&lt;&gt;"", 'General Information'!E495&lt;&gt;"", 'General Information'!F495&lt;&gt;"", 'General Information'!G495&lt;&gt;""), _xlfn.WEBSERVICE("https://nominatim.openstreetmap.org/search?q=" &amp; 'General Information'!K495 &amp; "&amp;format=json&amp;polygon=1&amp;addressdetails=1"), "")</f>
        <v/>
      </c>
      <c r="E95" s="254" t="e">
        <f t="shared" si="0"/>
        <v>#VALUE!</v>
      </c>
      <c r="F95" s="254" t="e">
        <f t="shared" si="1"/>
        <v>#VALUE!</v>
      </c>
      <c r="G95" t="e">
        <f t="shared" si="2"/>
        <v>#VALUE!</v>
      </c>
    </row>
    <row r="96" spans="4:7">
      <c r="D96" s="253" t="str">
        <f>IF(AND('General Information'!$H$401=TRUE, 'General Information'!D496&lt;&gt;"", 'General Information'!E496&lt;&gt;"", 'General Information'!F496&lt;&gt;"", 'General Information'!G496&lt;&gt;""), _xlfn.WEBSERVICE("https://nominatim.openstreetmap.org/search?q=" &amp; 'General Information'!K496 &amp; "&amp;format=json&amp;polygon=1&amp;addressdetails=1"), "")</f>
        <v/>
      </c>
      <c r="E96" s="254" t="e">
        <f t="shared" si="0"/>
        <v>#VALUE!</v>
      </c>
      <c r="F96" s="254" t="e">
        <f t="shared" si="1"/>
        <v>#VALUE!</v>
      </c>
      <c r="G96" t="e">
        <f t="shared" si="2"/>
        <v>#VALUE!</v>
      </c>
    </row>
    <row r="97" spans="4:7">
      <c r="D97" s="253" t="str">
        <f>IF(AND('General Information'!$H$401=TRUE, 'General Information'!D497&lt;&gt;"", 'General Information'!E497&lt;&gt;"", 'General Information'!F497&lt;&gt;"", 'General Information'!G497&lt;&gt;""), _xlfn.WEBSERVICE("https://nominatim.openstreetmap.org/search?q=" &amp; 'General Information'!K497 &amp; "&amp;format=json&amp;polygon=1&amp;addressdetails=1"), "")</f>
        <v/>
      </c>
      <c r="E97" s="254" t="e">
        <f t="shared" si="0"/>
        <v>#VALUE!</v>
      </c>
      <c r="F97" s="254" t="e">
        <f t="shared" si="1"/>
        <v>#VALUE!</v>
      </c>
      <c r="G97" t="e">
        <f t="shared" si="2"/>
        <v>#VALUE!</v>
      </c>
    </row>
    <row r="98" spans="4:7">
      <c r="D98" s="253" t="str">
        <f>IF(AND('General Information'!$H$401=TRUE, 'General Information'!D498&lt;&gt;"", 'General Information'!E498&lt;&gt;"", 'General Information'!F498&lt;&gt;"", 'General Information'!G498&lt;&gt;""), _xlfn.WEBSERVICE("https://nominatim.openstreetmap.org/search?q=" &amp; 'General Information'!K498 &amp; "&amp;format=json&amp;polygon=1&amp;addressdetails=1"), "")</f>
        <v/>
      </c>
      <c r="E98" s="254" t="e">
        <f t="shared" si="0"/>
        <v>#VALUE!</v>
      </c>
      <c r="F98" s="254" t="e">
        <f t="shared" si="1"/>
        <v>#VALUE!</v>
      </c>
      <c r="G98" t="e">
        <f t="shared" si="2"/>
        <v>#VALUE!</v>
      </c>
    </row>
    <row r="99" spans="4:7">
      <c r="D99" s="253" t="str">
        <f>IF(AND('General Information'!$H$401=TRUE, 'General Information'!D499&lt;&gt;"", 'General Information'!E499&lt;&gt;"", 'General Information'!F499&lt;&gt;"", 'General Information'!G499&lt;&gt;""), _xlfn.WEBSERVICE("https://nominatim.openstreetmap.org/search?q=" &amp; 'General Information'!K499 &amp; "&amp;format=json&amp;polygon=1&amp;addressdetails=1"), "")</f>
        <v/>
      </c>
      <c r="E99" s="254" t="e">
        <f t="shared" si="0"/>
        <v>#VALUE!</v>
      </c>
      <c r="F99" s="254" t="e">
        <f t="shared" si="1"/>
        <v>#VALUE!</v>
      </c>
      <c r="G99" t="e">
        <f t="shared" si="2"/>
        <v>#VALUE!</v>
      </c>
    </row>
    <row r="100" spans="4:7">
      <c r="D100" s="253" t="str">
        <f>IF(AND('General Information'!$H$401=TRUE, 'General Information'!D500&lt;&gt;"", 'General Information'!E500&lt;&gt;"", 'General Information'!F500&lt;&gt;"", 'General Information'!G500&lt;&gt;""), _xlfn.WEBSERVICE("https://nominatim.openstreetmap.org/search?q=" &amp; 'General Information'!K500 &amp; "&amp;format=json&amp;polygon=1&amp;addressdetails=1"), "")</f>
        <v/>
      </c>
      <c r="E100" s="254" t="e">
        <f t="shared" si="0"/>
        <v>#VALUE!</v>
      </c>
      <c r="F100" s="254" t="e">
        <f t="shared" si="1"/>
        <v>#VALUE!</v>
      </c>
      <c r="G100" t="e">
        <f t="shared" si="2"/>
        <v>#VALUE!</v>
      </c>
    </row>
    <row r="101" spans="4:7">
      <c r="D101" s="253" t="str">
        <f>IF(AND('General Information'!$H$401=TRUE, 'General Information'!D501&lt;&gt;"", 'General Information'!E501&lt;&gt;"", 'General Information'!F501&lt;&gt;"", 'General Information'!G501&lt;&gt;""), _xlfn.WEBSERVICE("https://nominatim.openstreetmap.org/search?q=" &amp; 'General Information'!K501 &amp; "&amp;format=json&amp;polygon=1&amp;addressdetails=1"), "")</f>
        <v/>
      </c>
      <c r="E101" s="254" t="e">
        <f t="shared" si="0"/>
        <v>#VALUE!</v>
      </c>
      <c r="F101" s="254" t="e">
        <f t="shared" si="1"/>
        <v>#VALUE!</v>
      </c>
      <c r="G101" t="e">
        <f t="shared" si="2"/>
        <v>#VALUE!</v>
      </c>
    </row>
    <row r="102" spans="4:7">
      <c r="D102" s="253" t="str">
        <f>IF(AND('General Information'!$H$401=TRUE, 'General Information'!D502&lt;&gt;"", 'General Information'!E502&lt;&gt;"", 'General Information'!F502&lt;&gt;"", 'General Information'!G502&lt;&gt;""), _xlfn.WEBSERVICE("https://nominatim.openstreetmap.org/search?q=" &amp; 'General Information'!K502 &amp; "&amp;format=json&amp;polygon=1&amp;addressdetails=1"), "")</f>
        <v/>
      </c>
      <c r="E102" s="254" t="e">
        <f t="shared" si="0"/>
        <v>#VALUE!</v>
      </c>
      <c r="F102" s="254" t="e">
        <f t="shared" si="1"/>
        <v>#VALUE!</v>
      </c>
      <c r="G102" t="e">
        <f t="shared" si="2"/>
        <v>#VALUE!</v>
      </c>
    </row>
    <row r="103" spans="4:7">
      <c r="D103" s="253" t="str">
        <f>IF(AND('General Information'!$H$401=TRUE, 'General Information'!D503&lt;&gt;"", 'General Information'!E503&lt;&gt;"", 'General Information'!F503&lt;&gt;"", 'General Information'!G503&lt;&gt;""), _xlfn.WEBSERVICE("https://nominatim.openstreetmap.org/search?q=" &amp; 'General Information'!K503 &amp; "&amp;format=json&amp;polygon=1&amp;addressdetails=1"), "")</f>
        <v/>
      </c>
      <c r="E103" s="254" t="e">
        <f t="shared" si="0"/>
        <v>#VALUE!</v>
      </c>
      <c r="F103" s="254" t="e">
        <f t="shared" si="1"/>
        <v>#VALUE!</v>
      </c>
      <c r="G103" t="e">
        <f t="shared" si="2"/>
        <v>#VALUE!</v>
      </c>
    </row>
    <row r="104" spans="4:7">
      <c r="D104" s="253" t="str">
        <f>IF(AND('General Information'!$H$401=TRUE, 'General Information'!D504&lt;&gt;"", 'General Information'!E504&lt;&gt;"", 'General Information'!F504&lt;&gt;"", 'General Information'!G504&lt;&gt;""), _xlfn.WEBSERVICE("https://nominatim.openstreetmap.org/search?q=" &amp; 'General Information'!K504 &amp; "&amp;format=json&amp;polygon=1&amp;addressdetails=1"), "")</f>
        <v/>
      </c>
      <c r="E104" s="254" t="e">
        <f t="shared" si="0"/>
        <v>#VALUE!</v>
      </c>
      <c r="F104" s="254" t="e">
        <f t="shared" si="1"/>
        <v>#VALUE!</v>
      </c>
      <c r="G104" t="e">
        <f t="shared" si="2"/>
        <v>#VALUE!</v>
      </c>
    </row>
    <row r="105" spans="4:7">
      <c r="D105" s="253" t="str">
        <f>IF(AND('General Information'!$H$401=TRUE, 'General Information'!D505&lt;&gt;"", 'General Information'!E505&lt;&gt;"", 'General Information'!F505&lt;&gt;"", 'General Information'!G505&lt;&gt;""), _xlfn.WEBSERVICE("https://nominatim.openstreetmap.org/search?q=" &amp; 'General Information'!K505 &amp; "&amp;format=json&amp;polygon=1&amp;addressdetails=1"), "")</f>
        <v/>
      </c>
      <c r="E105" s="254" t="e">
        <f t="shared" si="0"/>
        <v>#VALUE!</v>
      </c>
      <c r="F105" s="254" t="e">
        <f t="shared" si="1"/>
        <v>#VALUE!</v>
      </c>
      <c r="G105" t="e">
        <f t="shared" si="2"/>
        <v>#VALUE!</v>
      </c>
    </row>
    <row r="106" spans="4:7">
      <c r="D106" s="253" t="str">
        <f>IF(AND('General Information'!$H$401=TRUE, 'General Information'!D506&lt;&gt;"", 'General Information'!E506&lt;&gt;"", 'General Information'!F506&lt;&gt;"", 'General Information'!G506&lt;&gt;""), _xlfn.WEBSERVICE("https://nominatim.openstreetmap.org/search?q=" &amp; 'General Information'!K506 &amp; "&amp;format=json&amp;polygon=1&amp;addressdetails=1"), "")</f>
        <v/>
      </c>
      <c r="E106" s="254" t="e">
        <f t="shared" si="0"/>
        <v>#VALUE!</v>
      </c>
      <c r="F106" s="254" t="e">
        <f t="shared" si="1"/>
        <v>#VALUE!</v>
      </c>
      <c r="G106" t="e">
        <f t="shared" si="2"/>
        <v>#VALUE!</v>
      </c>
    </row>
    <row r="107" spans="4:7">
      <c r="D107" s="253" t="str">
        <f>IF(AND('General Information'!$H$401=TRUE, 'General Information'!D507&lt;&gt;"", 'General Information'!E507&lt;&gt;"", 'General Information'!F507&lt;&gt;"", 'General Information'!G507&lt;&gt;""), _xlfn.WEBSERVICE("https://nominatim.openstreetmap.org/search?q=" &amp; 'General Information'!K507 &amp; "&amp;format=json&amp;polygon=1&amp;addressdetails=1"), "")</f>
        <v/>
      </c>
      <c r="E107" s="254" t="e">
        <f t="shared" si="0"/>
        <v>#VALUE!</v>
      </c>
      <c r="F107" s="254" t="e">
        <f t="shared" si="1"/>
        <v>#VALUE!</v>
      </c>
      <c r="G107" t="e">
        <f t="shared" si="2"/>
        <v>#VALUE!</v>
      </c>
    </row>
    <row r="108" spans="4:7">
      <c r="D108" s="253" t="str">
        <f>IF(AND('General Information'!$H$401=TRUE, 'General Information'!D508&lt;&gt;"", 'General Information'!E508&lt;&gt;"", 'General Information'!F508&lt;&gt;"", 'General Information'!G508&lt;&gt;""), _xlfn.WEBSERVICE("https://nominatim.openstreetmap.org/search?q=" &amp; 'General Information'!K508 &amp; "&amp;format=json&amp;polygon=1&amp;addressdetails=1"), "")</f>
        <v/>
      </c>
      <c r="E108" s="254" t="e">
        <f t="shared" si="0"/>
        <v>#VALUE!</v>
      </c>
      <c r="F108" s="254" t="e">
        <f t="shared" si="1"/>
        <v>#VALUE!</v>
      </c>
      <c r="G108" t="e">
        <f t="shared" si="2"/>
        <v>#VALUE!</v>
      </c>
    </row>
    <row r="109" spans="4:7">
      <c r="D109" s="253" t="str">
        <f>IF(AND('General Information'!$H$401=TRUE, 'General Information'!D509&lt;&gt;"", 'General Information'!E509&lt;&gt;"", 'General Information'!F509&lt;&gt;"", 'General Information'!G509&lt;&gt;""), _xlfn.WEBSERVICE("https://nominatim.openstreetmap.org/search?q=" &amp; 'General Information'!K509 &amp; "&amp;format=json&amp;polygon=1&amp;addressdetails=1"), "")</f>
        <v/>
      </c>
      <c r="E109" s="254" t="e">
        <f t="shared" si="0"/>
        <v>#VALUE!</v>
      </c>
      <c r="F109" s="254" t="e">
        <f t="shared" si="1"/>
        <v>#VALUE!</v>
      </c>
      <c r="G109" t="e">
        <f t="shared" si="2"/>
        <v>#VALUE!</v>
      </c>
    </row>
    <row r="110" spans="4:7">
      <c r="D110" s="253" t="str">
        <f>IF(AND('General Information'!$H$401=TRUE, 'General Information'!D510&lt;&gt;"", 'General Information'!E510&lt;&gt;"", 'General Information'!F510&lt;&gt;"", 'General Information'!G510&lt;&gt;""), _xlfn.WEBSERVICE("https://nominatim.openstreetmap.org/search?q=" &amp; 'General Information'!K510 &amp; "&amp;format=json&amp;polygon=1&amp;addressdetails=1"), "")</f>
        <v/>
      </c>
      <c r="E110" s="254" t="e">
        <f t="shared" si="0"/>
        <v>#VALUE!</v>
      </c>
      <c r="F110" s="254" t="e">
        <f t="shared" si="1"/>
        <v>#VALUE!</v>
      </c>
      <c r="G110" t="e">
        <f t="shared" si="2"/>
        <v>#VALUE!</v>
      </c>
    </row>
    <row r="111" spans="4:7">
      <c r="D111" s="253" t="str">
        <f>IF(AND('General Information'!$H$401=TRUE, 'General Information'!D511&lt;&gt;"", 'General Information'!E511&lt;&gt;"", 'General Information'!F511&lt;&gt;"", 'General Information'!G511&lt;&gt;""), _xlfn.WEBSERVICE("https://nominatim.openstreetmap.org/search?q=" &amp; 'General Information'!K511 &amp; "&amp;format=json&amp;polygon=1&amp;addressdetails=1"), "")</f>
        <v/>
      </c>
      <c r="E111" s="254" t="e">
        <f t="shared" si="0"/>
        <v>#VALUE!</v>
      </c>
      <c r="F111" s="254" t="e">
        <f t="shared" si="1"/>
        <v>#VALUE!</v>
      </c>
      <c r="G111" t="e">
        <f t="shared" si="2"/>
        <v>#VALUE!</v>
      </c>
    </row>
    <row r="112" spans="4:7">
      <c r="D112" s="253" t="e">
        <f>IF(AND('General Information'!$H$401=TRUE, 'General Information'!D512&lt;&gt;"", 'General Information'!E512&lt;&gt;"", 'General Information'!#REF!&lt;&gt;"", 'General Information'!F512&lt;&gt;""), _xlfn.WEBSERVICE("https://nominatim.openstreetmap.org/search?q=" &amp; 'General Information'!J512 &amp; "&amp;format=json&amp;polygon=1&amp;addressdetails=1"), "")</f>
        <v>#REF!</v>
      </c>
      <c r="E112" s="254" t="e">
        <f t="shared" si="0"/>
        <v>#REF!</v>
      </c>
      <c r="F112" s="254" t="e">
        <f t="shared" si="1"/>
        <v>#REF!</v>
      </c>
      <c r="G112" t="e">
        <f t="shared" si="2"/>
        <v>#REF!</v>
      </c>
    </row>
    <row r="113" spans="1:7">
      <c r="D113" s="253" t="e">
        <f>IF(AND('General Information'!$H$401=TRUE, 'General Information'!D513&lt;&gt;"", 'General Information'!E513&lt;&gt;"", 'General Information'!#REF!&lt;&gt;"", 'General Information'!F513&lt;&gt;""), _xlfn.WEBSERVICE("https://nominatim.openstreetmap.org/search?q=" &amp; 'General Information'!J513 &amp; "&amp;format=json&amp;polygon=1&amp;addressdetails=1"), "")</f>
        <v>#REF!</v>
      </c>
      <c r="E113" s="254" t="e">
        <f t="shared" si="0"/>
        <v>#REF!</v>
      </c>
      <c r="F113" s="254" t="e">
        <f t="shared" si="1"/>
        <v>#REF!</v>
      </c>
      <c r="G113" t="e">
        <f t="shared" si="2"/>
        <v>#REF!</v>
      </c>
    </row>
    <row r="114" spans="1:7">
      <c r="D114" s="253" t="e">
        <f>IF(AND('General Information'!$H$401=TRUE, 'General Information'!D514&lt;&gt;"", 'General Information'!E514&lt;&gt;"", 'General Information'!#REF!&lt;&gt;"", 'General Information'!F514&lt;&gt;""), _xlfn.WEBSERVICE("https://nominatim.openstreetmap.org/search?q=" &amp; 'General Information'!J514 &amp; "&amp;format=json&amp;polygon=1&amp;addressdetails=1"), "")</f>
        <v>#REF!</v>
      </c>
      <c r="E114" s="254" t="e">
        <f t="shared" si="0"/>
        <v>#REF!</v>
      </c>
      <c r="F114" s="254" t="e">
        <f t="shared" si="1"/>
        <v>#REF!</v>
      </c>
      <c r="G114" t="e">
        <f t="shared" si="2"/>
        <v>#REF!</v>
      </c>
    </row>
    <row r="115" spans="1:7">
      <c r="D115" s="253" t="str">
        <f>IF(AND('General Information'!$H$401=TRUE, 'General Information'!D515&lt;&gt;"", 'General Information'!E515&lt;&gt;"", 'General Information'!F515&lt;&gt;"", 'General Information'!G515&lt;&gt;""), _xlfn.WEBSERVICE("https://nominatim.openstreetmap.org/search?q=" &amp; 'General Information'!K515 &amp; "&amp;format=json&amp;polygon=1&amp;addressdetails=1"), "")</f>
        <v/>
      </c>
      <c r="E115" s="254" t="e">
        <f t="shared" si="0"/>
        <v>#VALUE!</v>
      </c>
      <c r="F115" s="254" t="e">
        <f t="shared" si="1"/>
        <v>#VALUE!</v>
      </c>
      <c r="G115" t="e">
        <f t="shared" si="2"/>
        <v>#VALUE!</v>
      </c>
    </row>
    <row r="116" spans="1:7">
      <c r="D116" s="253" t="str">
        <f>IF(AND('General Information'!$H$401=TRUE, 'General Information'!D516&lt;&gt;"", 'General Information'!E516&lt;&gt;"", 'General Information'!F516&lt;&gt;"", 'General Information'!G516&lt;&gt;""), _xlfn.WEBSERVICE("https://nominatim.openstreetmap.org/search?q=" &amp; 'General Information'!K516 &amp; "&amp;format=json&amp;polygon=1&amp;addressdetails=1"), "")</f>
        <v/>
      </c>
      <c r="E116" s="254" t="e">
        <f t="shared" si="0"/>
        <v>#VALUE!</v>
      </c>
      <c r="F116" s="254" t="e">
        <f t="shared" si="1"/>
        <v>#VALUE!</v>
      </c>
      <c r="G116" t="e">
        <f t="shared" si="2"/>
        <v>#VALUE!</v>
      </c>
    </row>
    <row r="117" spans="1:7">
      <c r="D117" s="253" t="str">
        <f>IF(AND('General Information'!$H$401=TRUE, 'General Information'!D517&lt;&gt;"", 'General Information'!E517&lt;&gt;"", 'General Information'!F517&lt;&gt;"", 'General Information'!G517&lt;&gt;""), _xlfn.WEBSERVICE("https://nominatim.openstreetmap.org/search?q=" &amp; 'General Information'!K517 &amp; "&amp;format=json&amp;polygon=1&amp;addressdetails=1"), "")</f>
        <v/>
      </c>
      <c r="E117" s="254" t="e">
        <f t="shared" si="0"/>
        <v>#VALUE!</v>
      </c>
      <c r="F117" s="254" t="e">
        <f t="shared" si="1"/>
        <v>#VALUE!</v>
      </c>
      <c r="G117" t="e">
        <f t="shared" si="2"/>
        <v>#VALUE!</v>
      </c>
    </row>
    <row r="118" spans="1:7" s="12" customFormat="1" ht="15" thickBot="1">
      <c r="D118" s="403" t="str">
        <f>IF(AND('General Information'!$H$401=TRUE, 'General Information'!D518&lt;&gt;"", 'General Information'!E518&lt;&gt;"", 'General Information'!F518&lt;&gt;"", 'General Information'!G518&lt;&gt;""), _xlfn.WEBSERVICE("https://nominatim.openstreetmap.org/search?q=" &amp; 'General Information'!K518 &amp; "&amp;format=json&amp;polygon=1&amp;addressdetails=1"), "")</f>
        <v/>
      </c>
      <c r="E118" s="404" t="e">
        <f>MID(D118,SEARCH("""lat"":""",D118)+7,SEARCH("""lon"":""",D118)-SEARCH("""lat"":""",D118)-9)</f>
        <v>#VALUE!</v>
      </c>
      <c r="F118" s="404" t="e">
        <f>MID(D118, SEARCH("""lon"":""", D118) + 7, SEARCH("""class""", D118) - SEARCH("""lon"":""", D118) - 9)</f>
        <v>#VALUE!</v>
      </c>
      <c r="G118" s="12" t="e">
        <f>E118 &amp; "," &amp; F118</f>
        <v>#VALUE!</v>
      </c>
    </row>
    <row r="119" spans="1:7" ht="80.099999999999994" customHeight="1">
      <c r="A119" s="402" t="s">
        <v>9266</v>
      </c>
    </row>
    <row r="120" spans="1:7">
      <c r="A120" s="401">
        <v>1</v>
      </c>
    </row>
    <row r="121" spans="1:7">
      <c r="A121" s="401">
        <v>2</v>
      </c>
    </row>
    <row r="122" spans="1:7">
      <c r="A122" s="401">
        <v>3</v>
      </c>
    </row>
    <row r="123" spans="1:7">
      <c r="A123" s="401">
        <v>4</v>
      </c>
    </row>
    <row r="124" spans="1:7">
      <c r="A124" s="401">
        <v>5</v>
      </c>
    </row>
    <row r="125" spans="1:7">
      <c r="A125" s="401">
        <v>6</v>
      </c>
    </row>
    <row r="126" spans="1:7">
      <c r="A126" s="401">
        <v>7</v>
      </c>
    </row>
    <row r="127" spans="1:7">
      <c r="A127" s="401">
        <v>8</v>
      </c>
    </row>
    <row r="128" spans="1:7">
      <c r="A128" s="401">
        <v>9</v>
      </c>
    </row>
    <row r="129" spans="1:1">
      <c r="A129" s="401">
        <v>10</v>
      </c>
    </row>
    <row r="130" spans="1:1">
      <c r="A130" s="401">
        <v>11</v>
      </c>
    </row>
    <row r="131" spans="1:1">
      <c r="A131" s="401">
        <v>12</v>
      </c>
    </row>
    <row r="132" spans="1:1">
      <c r="A132" s="401">
        <v>13</v>
      </c>
    </row>
    <row r="133" spans="1:1">
      <c r="A133" s="401">
        <v>14</v>
      </c>
    </row>
    <row r="134" spans="1:1">
      <c r="A134" s="401">
        <v>15</v>
      </c>
    </row>
    <row r="135" spans="1:1">
      <c r="A135" s="401">
        <v>16</v>
      </c>
    </row>
    <row r="136" spans="1:1">
      <c r="A136" s="401">
        <v>17</v>
      </c>
    </row>
    <row r="137" spans="1:1">
      <c r="A137" s="401">
        <v>18</v>
      </c>
    </row>
    <row r="138" spans="1:1">
      <c r="A138" s="401">
        <v>19</v>
      </c>
    </row>
    <row r="139" spans="1:1">
      <c r="A139" s="401">
        <v>20</v>
      </c>
    </row>
    <row r="140" spans="1:1">
      <c r="A140" s="401">
        <v>21</v>
      </c>
    </row>
    <row r="141" spans="1:1">
      <c r="A141" s="401">
        <v>22</v>
      </c>
    </row>
    <row r="142" spans="1:1">
      <c r="A142" s="401">
        <v>23</v>
      </c>
    </row>
    <row r="143" spans="1:1">
      <c r="A143" s="401">
        <v>24</v>
      </c>
    </row>
    <row r="144" spans="1:1">
      <c r="A144" s="401">
        <v>25</v>
      </c>
    </row>
    <row r="145" spans="1:1">
      <c r="A145" s="401">
        <v>26</v>
      </c>
    </row>
    <row r="146" spans="1:1">
      <c r="A146" s="401">
        <v>27</v>
      </c>
    </row>
    <row r="147" spans="1:1">
      <c r="A147" s="401">
        <v>28</v>
      </c>
    </row>
    <row r="148" spans="1:1">
      <c r="A148" s="401">
        <v>29</v>
      </c>
    </row>
    <row r="149" spans="1:1">
      <c r="A149" s="401">
        <v>30</v>
      </c>
    </row>
    <row r="150" spans="1:1">
      <c r="A150" s="401">
        <v>31</v>
      </c>
    </row>
    <row r="151" spans="1:1">
      <c r="A151" s="401">
        <v>32</v>
      </c>
    </row>
    <row r="152" spans="1:1">
      <c r="A152" s="401">
        <v>33</v>
      </c>
    </row>
    <row r="153" spans="1:1">
      <c r="A153" s="401">
        <v>34</v>
      </c>
    </row>
    <row r="154" spans="1:1">
      <c r="A154" s="401">
        <v>35</v>
      </c>
    </row>
    <row r="155" spans="1:1">
      <c r="A155" s="401">
        <v>36</v>
      </c>
    </row>
    <row r="156" spans="1:1">
      <c r="A156" s="401">
        <v>37</v>
      </c>
    </row>
    <row r="157" spans="1:1">
      <c r="A157" s="401">
        <v>38</v>
      </c>
    </row>
    <row r="158" spans="1:1">
      <c r="A158" s="401">
        <v>39</v>
      </c>
    </row>
    <row r="159" spans="1:1">
      <c r="A159" s="401">
        <v>40</v>
      </c>
    </row>
    <row r="160" spans="1:1">
      <c r="A160" s="401">
        <v>41</v>
      </c>
    </row>
    <row r="161" spans="1:1">
      <c r="A161" s="401">
        <v>42</v>
      </c>
    </row>
    <row r="162" spans="1:1">
      <c r="A162" s="401">
        <v>43</v>
      </c>
    </row>
    <row r="163" spans="1:1">
      <c r="A163" s="401">
        <v>44</v>
      </c>
    </row>
    <row r="164" spans="1:1">
      <c r="A164" s="401">
        <v>45</v>
      </c>
    </row>
    <row r="165" spans="1:1">
      <c r="A165" s="401">
        <v>46</v>
      </c>
    </row>
    <row r="166" spans="1:1">
      <c r="A166" s="401">
        <v>47</v>
      </c>
    </row>
    <row r="167" spans="1:1">
      <c r="A167" s="401">
        <v>48</v>
      </c>
    </row>
    <row r="168" spans="1:1">
      <c r="A168" s="401">
        <v>49</v>
      </c>
    </row>
    <row r="169" spans="1:1">
      <c r="A169" s="401">
        <v>50</v>
      </c>
    </row>
    <row r="170" spans="1:1">
      <c r="A170" s="401">
        <v>51</v>
      </c>
    </row>
    <row r="171" spans="1:1">
      <c r="A171" s="401">
        <v>52</v>
      </c>
    </row>
    <row r="172" spans="1:1">
      <c r="A172" s="401">
        <v>53</v>
      </c>
    </row>
    <row r="173" spans="1:1">
      <c r="A173" s="401">
        <v>54</v>
      </c>
    </row>
    <row r="174" spans="1:1">
      <c r="A174" s="401">
        <v>55</v>
      </c>
    </row>
    <row r="175" spans="1:1">
      <c r="A175" s="401">
        <v>56</v>
      </c>
    </row>
    <row r="176" spans="1:1">
      <c r="A176" s="401">
        <v>57</v>
      </c>
    </row>
    <row r="177" spans="1:6">
      <c r="A177" s="401">
        <v>58</v>
      </c>
    </row>
    <row r="178" spans="1:6">
      <c r="A178" s="401">
        <v>59</v>
      </c>
    </row>
    <row r="179" spans="1:6">
      <c r="A179" s="401">
        <v>60</v>
      </c>
    </row>
    <row r="180" spans="1:6">
      <c r="A180" s="401">
        <v>61</v>
      </c>
    </row>
    <row r="181" spans="1:6">
      <c r="A181" s="401">
        <v>62</v>
      </c>
    </row>
    <row r="182" spans="1:6">
      <c r="A182" s="401">
        <v>63</v>
      </c>
    </row>
    <row r="183" spans="1:6">
      <c r="A183" s="401">
        <v>64</v>
      </c>
    </row>
    <row r="184" spans="1:6">
      <c r="A184" s="401">
        <v>65</v>
      </c>
    </row>
    <row r="185" spans="1:6">
      <c r="A185" s="401">
        <v>66</v>
      </c>
    </row>
    <row r="186" spans="1:6">
      <c r="A186" s="401">
        <v>67</v>
      </c>
    </row>
    <row r="187" spans="1:6">
      <c r="A187" s="401">
        <v>68</v>
      </c>
    </row>
    <row r="188" spans="1:6">
      <c r="A188" s="401">
        <v>69</v>
      </c>
    </row>
    <row r="189" spans="1:6" s="12" customFormat="1" ht="15" thickBot="1">
      <c r="A189" s="452">
        <v>70</v>
      </c>
    </row>
    <row r="190" spans="1:6" ht="31.2">
      <c r="A190" s="10"/>
      <c r="B190" s="449" t="s">
        <v>3413</v>
      </c>
      <c r="C190" s="450" t="s">
        <v>3973</v>
      </c>
      <c r="D190" s="451" t="s">
        <v>3990</v>
      </c>
    </row>
    <row r="191" spans="1:6" ht="14.85" customHeight="1">
      <c r="A191" s="10"/>
      <c r="B191" s="637" t="s">
        <v>4003</v>
      </c>
      <c r="C191" s="417" t="s">
        <v>8488</v>
      </c>
      <c r="D191" s="1273" t="s">
        <v>9267</v>
      </c>
    </row>
    <row r="192" spans="1:6" ht="18">
      <c r="A192" s="10"/>
      <c r="B192" s="638"/>
      <c r="C192" s="413" t="s">
        <v>4016</v>
      </c>
      <c r="D192" s="1274"/>
      <c r="E192" s="337" t="s">
        <v>9268</v>
      </c>
      <c r="F192" s="421" t="s">
        <v>9269</v>
      </c>
    </row>
    <row r="193" spans="1:6" ht="18">
      <c r="A193" s="10"/>
      <c r="B193" s="424" t="s">
        <v>4029</v>
      </c>
      <c r="C193" s="433"/>
      <c r="D193" s="397"/>
      <c r="E193" s="530" t="str">
        <f>IF('Table of Contents &amp; Validation'!D5=TRUE,COUNTIF('Table of Contents &amp; Validation'!$D$5:D5,TRUE),"")</f>
        <v/>
      </c>
      <c r="F193" s="531"/>
    </row>
    <row r="194" spans="1:6" ht="18">
      <c r="A194" s="10"/>
      <c r="B194" s="428" t="s">
        <v>4042</v>
      </c>
      <c r="C194" s="434"/>
      <c r="D194" s="398"/>
      <c r="E194" s="530" t="str">
        <f>IF('Table of Contents &amp; Validation'!D6=TRUE,COUNTIF('Table of Contents &amp; Validation'!$D$5:D6,TRUE),"")</f>
        <v/>
      </c>
      <c r="F194" s="531"/>
    </row>
    <row r="195" spans="1:6">
      <c r="A195" s="10"/>
      <c r="B195" s="428" t="s">
        <v>9270</v>
      </c>
      <c r="C195" s="434"/>
      <c r="D195" s="419" t="b">
        <v>0</v>
      </c>
      <c r="E195" s="10" t="str">
        <f>IF('Table of Contents &amp; Validation'!D7=TRUE,COUNTIF('Table of Contents &amp; Validation'!$D$5:D7,TRUE),"")</f>
        <v/>
      </c>
      <c r="F195" s="422">
        <f>IF('Table of Contents &amp; Validation'!D7=TRUE,1,0)</f>
        <v>0</v>
      </c>
    </row>
    <row r="196" spans="1:6" ht="18.600000000000001" thickBot="1">
      <c r="A196" s="10"/>
      <c r="B196" s="428" t="s">
        <v>4055</v>
      </c>
      <c r="C196" s="434"/>
      <c r="D196" s="398"/>
      <c r="E196" s="530" t="str">
        <f>IF('Table of Contents &amp; Validation'!D8=TRUE,COUNTIF('Table of Contents &amp; Validation'!$D$5:D8,TRUE),"")</f>
        <v/>
      </c>
      <c r="F196" s="531"/>
    </row>
    <row r="197" spans="1:6" ht="18">
      <c r="A197" s="10"/>
      <c r="B197" s="361" t="s">
        <v>3734</v>
      </c>
      <c r="C197" s="435"/>
      <c r="D197" s="399"/>
      <c r="E197" s="530" t="str">
        <f>IF('Table of Contents &amp; Validation'!D9=TRUE,COUNTIF('Table of Contents &amp; Validation'!$D$5:D9,TRUE),"")</f>
        <v/>
      </c>
      <c r="F197" s="531"/>
    </row>
    <row r="198" spans="1:6">
      <c r="A198" s="10"/>
      <c r="B198" s="424" t="s">
        <v>4029</v>
      </c>
      <c r="C198" s="433"/>
      <c r="D198" s="400"/>
      <c r="E198" s="530" t="str">
        <f>IF('Table of Contents &amp; Validation'!D10=TRUE,COUNTIF('Table of Contents &amp; Validation'!$D$5:D10,TRUE),"")</f>
        <v/>
      </c>
      <c r="F198" s="531"/>
    </row>
    <row r="199" spans="1:6">
      <c r="A199" s="10"/>
      <c r="B199" s="425" t="s">
        <v>4070</v>
      </c>
      <c r="C199" s="434"/>
      <c r="D199" s="439" t="b">
        <v>0</v>
      </c>
      <c r="E199" s="10" t="str">
        <f>IF('Table of Contents &amp; Validation'!D11=TRUE,COUNTIF('Table of Contents &amp; Validation'!$D$5:D11,TRUE),"")</f>
        <v/>
      </c>
      <c r="F199" s="422">
        <f>IF('Table of Contents &amp; Validation'!D11=TRUE,1,0)</f>
        <v>0</v>
      </c>
    </row>
    <row r="200" spans="1:6">
      <c r="A200" s="10"/>
      <c r="B200" s="429" t="s">
        <v>4645</v>
      </c>
      <c r="C200" s="434"/>
      <c r="D200" s="206"/>
      <c r="E200" s="530"/>
      <c r="F200" s="531"/>
    </row>
    <row r="201" spans="1:6">
      <c r="A201" s="10"/>
      <c r="B201" s="429" t="s">
        <v>4658</v>
      </c>
      <c r="C201" s="434"/>
      <c r="D201" s="419" t="b">
        <v>0</v>
      </c>
      <c r="E201" s="10" t="str">
        <f>IF('Table of Contents &amp; Validation'!D13=TRUE,COUNTIF('Table of Contents &amp; Validation'!$D$5:D13,TRUE),"")</f>
        <v/>
      </c>
      <c r="F201" s="422">
        <f>IF('Table of Contents &amp; Validation'!D13=TRUE,1,0)</f>
        <v>0</v>
      </c>
    </row>
    <row r="202" spans="1:6">
      <c r="A202" s="10"/>
      <c r="B202" s="429" t="s">
        <v>4828</v>
      </c>
      <c r="C202" s="434"/>
      <c r="D202" s="419" t="b">
        <v>0</v>
      </c>
      <c r="E202" s="10" t="str">
        <f>IF('Table of Contents &amp; Validation'!D14=TRUE,COUNTIF('Table of Contents &amp; Validation'!$D$5:D14,TRUE),"")</f>
        <v/>
      </c>
      <c r="F202" s="422">
        <f>IF('Table of Contents &amp; Validation'!D14=TRUE,1,0)</f>
        <v>0</v>
      </c>
    </row>
    <row r="203" spans="1:6">
      <c r="A203" s="10"/>
      <c r="B203" s="429" t="s">
        <v>4869</v>
      </c>
      <c r="C203" s="434"/>
      <c r="D203" s="419" t="b">
        <v>0</v>
      </c>
      <c r="E203" s="10" t="str">
        <f>IF('Table of Contents &amp; Validation'!D15=TRUE,COUNTIF('Table of Contents &amp; Validation'!$D$5:D15,TRUE),"")</f>
        <v/>
      </c>
      <c r="F203" s="422">
        <f>IF('Table of Contents &amp; Validation'!D15=TRUE,1,0)</f>
        <v>0</v>
      </c>
    </row>
    <row r="204" spans="1:6">
      <c r="A204" s="10"/>
      <c r="B204" s="429" t="s">
        <v>4908</v>
      </c>
      <c r="C204" s="434"/>
      <c r="D204" s="419" t="b">
        <v>0</v>
      </c>
      <c r="E204" s="10" t="str">
        <f>IF('Table of Contents &amp; Validation'!D16=TRUE,COUNTIF('Table of Contents &amp; Validation'!$D$5:D16,TRUE),"")</f>
        <v/>
      </c>
      <c r="F204" s="422">
        <f>IF('Table of Contents &amp; Validation'!D16=TRUE,1,0)</f>
        <v>0</v>
      </c>
    </row>
    <row r="205" spans="1:6">
      <c r="A205" s="10"/>
      <c r="B205" s="468" t="s">
        <v>9271</v>
      </c>
      <c r="C205" s="434"/>
      <c r="D205" s="419" t="b">
        <v>0</v>
      </c>
      <c r="E205" s="10" t="str">
        <f>IF('Table of Contents &amp; Validation'!D17=TRUE,COUNTIF('Table of Contents &amp; Validation'!$D$5:D17,TRUE),"")</f>
        <v/>
      </c>
      <c r="F205" s="422">
        <f>IF('Table of Contents &amp; Validation'!D17=TRUE,1,0)</f>
        <v>0</v>
      </c>
    </row>
    <row r="206" spans="1:6">
      <c r="A206" s="10"/>
      <c r="B206" s="467" t="s">
        <v>5177</v>
      </c>
      <c r="C206" s="434"/>
      <c r="D206" s="419" t="b">
        <v>0</v>
      </c>
      <c r="E206" s="10" t="str">
        <f>IF('Table of Contents &amp; Validation'!D18=TRUE,COUNTIF('Table of Contents &amp; Validation'!$D$5:D18,TRUE),"")</f>
        <v/>
      </c>
      <c r="F206" s="422">
        <f>IF('Table of Contents &amp; Validation'!D18=TRUE,1,0)</f>
        <v>0</v>
      </c>
    </row>
    <row r="207" spans="1:6">
      <c r="A207" s="10"/>
      <c r="B207" s="426" t="s">
        <v>4096</v>
      </c>
      <c r="C207" s="433"/>
      <c r="D207" s="441"/>
      <c r="E207" s="530" t="str">
        <f>IF('Table of Contents &amp; Validation'!D19=TRUE,COUNTIF('Table of Contents &amp; Validation'!$D$5:D19,TRUE),"")</f>
        <v/>
      </c>
      <c r="F207" s="531"/>
    </row>
    <row r="208" spans="1:6">
      <c r="A208" s="10"/>
      <c r="B208" s="425" t="s">
        <v>4109</v>
      </c>
      <c r="C208" s="434"/>
      <c r="D208" s="440" t="b">
        <v>0</v>
      </c>
      <c r="E208" s="10" t="str">
        <f>IF('Table of Contents &amp; Validation'!D20=TRUE,COUNTIF('Table of Contents &amp; Validation'!$D$5:D20,TRUE),"")</f>
        <v/>
      </c>
      <c r="F208" s="422">
        <f>IF('Table of Contents &amp; Validation'!D20=TRUE,1,0)</f>
        <v>0</v>
      </c>
    </row>
    <row r="209" spans="1:6">
      <c r="A209" s="10"/>
      <c r="B209" s="429" t="s">
        <v>5370</v>
      </c>
      <c r="C209" s="434"/>
      <c r="D209" s="419" t="b">
        <v>0</v>
      </c>
      <c r="E209" s="10" t="str">
        <f>IF('Table of Contents &amp; Validation'!D21=TRUE,COUNTIF('Table of Contents &amp; Validation'!$D$5:D21,TRUE),"")</f>
        <v/>
      </c>
      <c r="F209" s="422">
        <f>IF('Table of Contents &amp; Validation'!D21=TRUE,1,0)</f>
        <v>0</v>
      </c>
    </row>
    <row r="210" spans="1:6">
      <c r="A210" s="10"/>
      <c r="B210" s="429" t="s">
        <v>5396</v>
      </c>
      <c r="C210" s="434"/>
      <c r="D210" s="419" t="b">
        <v>0</v>
      </c>
      <c r="E210" s="10" t="str">
        <f>IF('Table of Contents &amp; Validation'!D22=TRUE,COUNTIF('Table of Contents &amp; Validation'!$D$5:D22,TRUE),"")</f>
        <v/>
      </c>
      <c r="F210" s="422">
        <f>IF('Table of Contents &amp; Validation'!D22=TRUE,1,0)</f>
        <v>0</v>
      </c>
    </row>
    <row r="211" spans="1:6">
      <c r="A211" s="10"/>
      <c r="B211" s="429" t="s">
        <v>9109</v>
      </c>
      <c r="C211" s="434"/>
      <c r="D211" s="419" t="b">
        <v>0</v>
      </c>
      <c r="E211" s="10" t="str">
        <f>IF('Table of Contents &amp; Validation'!D23=TRUE,COUNTIF('Table of Contents &amp; Validation'!$D$5:D23,TRUE),"")</f>
        <v/>
      </c>
      <c r="F211" s="422">
        <f>IF('Table of Contents &amp; Validation'!D23=TRUE,1,0)</f>
        <v>0</v>
      </c>
    </row>
    <row r="212" spans="1:6">
      <c r="A212" s="10"/>
      <c r="B212" s="428" t="s">
        <v>4122</v>
      </c>
      <c r="C212" s="434"/>
      <c r="D212" s="419" t="b">
        <v>0</v>
      </c>
      <c r="E212" s="10" t="str">
        <f>IF('Table of Contents &amp; Validation'!D24=TRUE,COUNTIF('Table of Contents &amp; Validation'!$D$5:D24,TRUE),"")</f>
        <v/>
      </c>
      <c r="F212" s="422">
        <f>IF('Table of Contents &amp; Validation'!D24=TRUE,1,0)</f>
        <v>0</v>
      </c>
    </row>
    <row r="213" spans="1:6">
      <c r="A213" s="10"/>
      <c r="B213" s="428" t="s">
        <v>4135</v>
      </c>
      <c r="C213" s="434"/>
      <c r="D213" s="440" t="b">
        <v>0</v>
      </c>
      <c r="E213" s="10" t="str">
        <f>IF('Table of Contents &amp; Validation'!D25=TRUE,COUNTIF('Table of Contents &amp; Validation'!$D$5:D25,TRUE),"")</f>
        <v/>
      </c>
      <c r="F213" s="422">
        <f>IF('Table of Contents &amp; Validation'!D25=TRUE,1,0)</f>
        <v>0</v>
      </c>
    </row>
    <row r="214" spans="1:6">
      <c r="A214" s="10"/>
      <c r="B214" s="429" t="s">
        <v>6125</v>
      </c>
      <c r="C214" s="434"/>
      <c r="D214" s="419" t="b">
        <v>0</v>
      </c>
      <c r="E214" s="10" t="str">
        <f>IF('Table of Contents &amp; Validation'!D26=TRUE,COUNTIF('Table of Contents &amp; Validation'!$D$5:D26,TRUE),"")</f>
        <v/>
      </c>
      <c r="F214" s="422">
        <f>IF('Table of Contents &amp; Validation'!D26=TRUE,1,0)</f>
        <v>0</v>
      </c>
    </row>
    <row r="215" spans="1:6">
      <c r="A215" s="10"/>
      <c r="B215" s="428" t="s">
        <v>4148</v>
      </c>
      <c r="C215" s="434"/>
      <c r="D215" s="440" t="b">
        <v>0</v>
      </c>
      <c r="E215" s="10" t="str">
        <f>IF('Table of Contents &amp; Validation'!D27=TRUE,COUNTIF('Table of Contents &amp; Validation'!$D$5:D27,TRUE),"")</f>
        <v/>
      </c>
      <c r="F215" s="422">
        <f>IF('Table of Contents &amp; Validation'!D27=TRUE,1,0)</f>
        <v>0</v>
      </c>
    </row>
    <row r="216" spans="1:6">
      <c r="A216" s="10"/>
      <c r="B216" s="429" t="s">
        <v>6216</v>
      </c>
      <c r="C216" s="434"/>
      <c r="D216" s="419" t="b">
        <v>0</v>
      </c>
      <c r="E216" s="10" t="str">
        <f>IF('Table of Contents &amp; Validation'!D28=TRUE,COUNTIF('Table of Contents &amp; Validation'!$D$5:D28,TRUE),"")</f>
        <v/>
      </c>
      <c r="F216" s="422">
        <f>IF('Table of Contents &amp; Validation'!D28=TRUE,1,0)</f>
        <v>0</v>
      </c>
    </row>
    <row r="217" spans="1:6">
      <c r="A217" s="10"/>
      <c r="B217" s="429" t="s">
        <v>6242</v>
      </c>
      <c r="C217" s="434"/>
      <c r="D217" s="419" t="b">
        <v>0</v>
      </c>
      <c r="E217" s="10" t="str">
        <f>IF('Table of Contents &amp; Validation'!D29=TRUE,COUNTIF('Table of Contents &amp; Validation'!$D$5:D29,TRUE),"")</f>
        <v/>
      </c>
      <c r="F217" s="422">
        <f>IF('Table of Contents &amp; Validation'!D29=TRUE,1,0)</f>
        <v>0</v>
      </c>
    </row>
    <row r="218" spans="1:6">
      <c r="A218" s="10"/>
      <c r="B218" s="428" t="s">
        <v>4161</v>
      </c>
      <c r="C218" s="434"/>
      <c r="D218" s="440" t="b">
        <v>0</v>
      </c>
      <c r="E218" s="10" t="str">
        <f>IF('Table of Contents &amp; Validation'!D30=TRUE,COUNTIF('Table of Contents &amp; Validation'!$D$5:D30,TRUE),"")</f>
        <v/>
      </c>
      <c r="F218" s="422">
        <f>IF('Table of Contents &amp; Validation'!D30=TRUE,1,0)</f>
        <v>0</v>
      </c>
    </row>
    <row r="219" spans="1:6">
      <c r="A219" s="10"/>
      <c r="B219" s="429" t="s">
        <v>6299</v>
      </c>
      <c r="C219" s="434"/>
      <c r="D219" s="419" t="b">
        <v>0</v>
      </c>
      <c r="E219" s="10" t="str">
        <f>IF('Table of Contents &amp; Validation'!D31=TRUE,COUNTIF('Table of Contents &amp; Validation'!$D$5:D31,TRUE),"")</f>
        <v/>
      </c>
      <c r="F219" s="422">
        <f>IF('Table of Contents &amp; Validation'!D31=TRUE,1,0)</f>
        <v>0</v>
      </c>
    </row>
    <row r="220" spans="1:6">
      <c r="A220" s="10"/>
      <c r="B220" s="429" t="s">
        <v>6338</v>
      </c>
      <c r="C220" s="434"/>
      <c r="D220" s="419" t="b">
        <v>0</v>
      </c>
      <c r="E220" s="10" t="str">
        <f>IF('Table of Contents &amp; Validation'!D32=TRUE,COUNTIF('Table of Contents &amp; Validation'!$D$5:D32,TRUE),"")</f>
        <v/>
      </c>
      <c r="F220" s="422">
        <f>IF('Table of Contents &amp; Validation'!D32=TRUE,1,0)</f>
        <v>0</v>
      </c>
    </row>
    <row r="221" spans="1:6">
      <c r="A221" s="10"/>
      <c r="B221" s="429" t="s">
        <v>6530</v>
      </c>
      <c r="C221" s="434"/>
      <c r="D221" s="419" t="b">
        <v>0</v>
      </c>
      <c r="E221" s="10" t="str">
        <f>IF('Table of Contents &amp; Validation'!D33=TRUE,COUNTIF('Table of Contents &amp; Validation'!$D$5:D33,TRUE),"")</f>
        <v/>
      </c>
      <c r="F221" s="422">
        <f>IF('Table of Contents &amp; Validation'!D33=TRUE,1,0)</f>
        <v>0</v>
      </c>
    </row>
    <row r="222" spans="1:6">
      <c r="A222" s="10"/>
      <c r="B222" s="426" t="s">
        <v>4174</v>
      </c>
      <c r="C222" s="433"/>
      <c r="D222" s="442"/>
      <c r="E222" s="530" t="str">
        <f>IF('Table of Contents &amp; Validation'!D34=TRUE,COUNTIF('Table of Contents &amp; Validation'!$D$5:D34,TRUE),"")</f>
        <v/>
      </c>
      <c r="F222" s="531"/>
    </row>
    <row r="223" spans="1:6">
      <c r="A223" s="10"/>
      <c r="B223" s="425" t="s">
        <v>4187</v>
      </c>
      <c r="C223" s="434"/>
      <c r="D223" s="440" t="b">
        <v>0</v>
      </c>
      <c r="E223" s="10" t="str">
        <f>IF('Table of Contents &amp; Validation'!D35=TRUE,COUNTIF('Table of Contents &amp; Validation'!$D$5:D35,TRUE),"")</f>
        <v/>
      </c>
      <c r="F223" s="422">
        <f>IF('Table of Contents &amp; Validation'!D35=TRUE,1,0)</f>
        <v>0</v>
      </c>
    </row>
    <row r="224" spans="1:6">
      <c r="A224" s="10"/>
      <c r="B224" s="429" t="s">
        <v>6738</v>
      </c>
      <c r="C224" s="434"/>
      <c r="D224" s="419" t="b">
        <v>0</v>
      </c>
      <c r="E224" s="10" t="str">
        <f>IF('Table of Contents &amp; Validation'!D36=TRUE,COUNTIF('Table of Contents &amp; Validation'!$D$5:D36,TRUE),"")</f>
        <v/>
      </c>
      <c r="F224" s="422">
        <f>IF('Table of Contents &amp; Validation'!D36=TRUE,1,0)</f>
        <v>0</v>
      </c>
    </row>
    <row r="225" spans="1:6">
      <c r="A225" s="10"/>
      <c r="B225" s="429" t="s">
        <v>6802</v>
      </c>
      <c r="C225" s="434"/>
      <c r="D225" s="419" t="b">
        <v>0</v>
      </c>
      <c r="E225" s="10" t="str">
        <f>IF('Table of Contents &amp; Validation'!D37=TRUE,COUNTIF('Table of Contents &amp; Validation'!$D$5:D37,TRUE),"")</f>
        <v/>
      </c>
      <c r="F225" s="422">
        <f>IF('Table of Contents &amp; Validation'!D37=TRUE,1,0)</f>
        <v>0</v>
      </c>
    </row>
    <row r="226" spans="1:6">
      <c r="A226" s="10"/>
      <c r="B226" s="429" t="s">
        <v>6876</v>
      </c>
      <c r="C226" s="434"/>
      <c r="D226" s="419" t="b">
        <v>0</v>
      </c>
      <c r="E226" s="10" t="str">
        <f>IF('Table of Contents &amp; Validation'!D38=TRUE,COUNTIF('Table of Contents &amp; Validation'!$D$5:D38,TRUE),"")</f>
        <v/>
      </c>
      <c r="F226" s="422">
        <f>IF('Table of Contents &amp; Validation'!D38=TRUE,1,0)</f>
        <v>0</v>
      </c>
    </row>
    <row r="227" spans="1:6">
      <c r="A227" s="10"/>
      <c r="B227" s="428" t="s">
        <v>4200</v>
      </c>
      <c r="C227" s="434"/>
      <c r="D227" s="419" t="b">
        <v>0</v>
      </c>
      <c r="E227" s="10" t="str">
        <f>IF('Table of Contents &amp; Validation'!D39=TRUE,COUNTIF('Table of Contents &amp; Validation'!$D$5:D39,TRUE),"")</f>
        <v/>
      </c>
      <c r="F227" s="422">
        <f>IF('Table of Contents &amp; Validation'!D39=TRUE,1,0)</f>
        <v>0</v>
      </c>
    </row>
    <row r="228" spans="1:6">
      <c r="A228" s="10"/>
      <c r="B228" s="428" t="s">
        <v>4213</v>
      </c>
      <c r="C228" s="434"/>
      <c r="D228" s="440" t="b">
        <v>0</v>
      </c>
      <c r="E228" s="10" t="str">
        <f>IF('Table of Contents &amp; Validation'!D40=TRUE,COUNTIF('Table of Contents &amp; Validation'!$D$5:D40,TRUE),"")</f>
        <v/>
      </c>
      <c r="F228" s="422">
        <f>IF('Table of Contents &amp; Validation'!D40=TRUE,1,0)</f>
        <v>0</v>
      </c>
    </row>
    <row r="229" spans="1:6">
      <c r="A229" s="10"/>
      <c r="B229" s="429" t="s">
        <v>4213</v>
      </c>
      <c r="C229" s="434"/>
      <c r="D229" s="419" t="b">
        <v>0</v>
      </c>
      <c r="E229" s="10" t="str">
        <f>IF('Table of Contents &amp; Validation'!D41=TRUE,COUNTIF('Table of Contents &amp; Validation'!$D$5:D41,TRUE),"")</f>
        <v/>
      </c>
      <c r="F229" s="422">
        <f>IF('Table of Contents &amp; Validation'!D41=TRUE,1,0)</f>
        <v>0</v>
      </c>
    </row>
    <row r="230" spans="1:6">
      <c r="A230" s="10"/>
      <c r="B230" s="429" t="s">
        <v>7084</v>
      </c>
      <c r="C230" s="434"/>
      <c r="D230" s="419" t="b">
        <v>0</v>
      </c>
      <c r="E230" s="10" t="str">
        <f>IF('Table of Contents &amp; Validation'!D42=TRUE,COUNTIF('Table of Contents &amp; Validation'!$D$5:D42,TRUE),"")</f>
        <v/>
      </c>
      <c r="F230" s="422">
        <f>IF('Table of Contents &amp; Validation'!D42=TRUE,1,0)</f>
        <v>0</v>
      </c>
    </row>
    <row r="231" spans="1:6">
      <c r="A231" s="10"/>
      <c r="B231" s="426" t="s">
        <v>4226</v>
      </c>
      <c r="C231" s="433"/>
      <c r="D231" s="442"/>
      <c r="E231" s="530" t="str">
        <f>IF('Table of Contents &amp; Validation'!D43=TRUE,COUNTIF('Table of Contents &amp; Validation'!$D$5:D43,TRUE),"")</f>
        <v/>
      </c>
      <c r="F231" s="531"/>
    </row>
    <row r="232" spans="1:6" ht="15" thickBot="1">
      <c r="A232" s="10"/>
      <c r="B232" s="430" t="s">
        <v>4239</v>
      </c>
      <c r="C232" s="436"/>
      <c r="D232" s="420" t="b">
        <v>0</v>
      </c>
      <c r="E232" s="10" t="str">
        <f>IF('Table of Contents &amp; Validation'!D44=TRUE,COUNTIF('Table of Contents &amp; Validation'!$D$5:D44,TRUE),"")</f>
        <v/>
      </c>
      <c r="F232" s="422">
        <f>IF('Table of Contents &amp; Validation'!D44=TRUE,1,0)</f>
        <v>0</v>
      </c>
    </row>
    <row r="233" spans="1:6" ht="18">
      <c r="A233" s="10"/>
      <c r="B233" s="361" t="s">
        <v>3760</v>
      </c>
      <c r="C233" s="435"/>
      <c r="D233" s="443"/>
      <c r="E233" s="530" t="str">
        <f>IF('Table of Contents &amp; Validation'!D45=TRUE,COUNTIF('Table of Contents &amp; Validation'!$D$5:D45,TRUE),"")</f>
        <v/>
      </c>
      <c r="F233" s="531"/>
    </row>
    <row r="234" spans="1:6">
      <c r="A234" s="10"/>
      <c r="B234" s="424" t="s">
        <v>4029</v>
      </c>
      <c r="C234" s="433"/>
      <c r="D234" s="442"/>
      <c r="E234" s="530" t="str">
        <f>IF('Table of Contents &amp; Validation'!D46=TRUE,COUNTIF('Table of Contents &amp; Validation'!$D$5:D46,TRUE),"")</f>
        <v/>
      </c>
      <c r="F234" s="531"/>
    </row>
    <row r="235" spans="1:6">
      <c r="A235" s="10"/>
      <c r="B235" s="428" t="s">
        <v>4257</v>
      </c>
      <c r="C235" s="434"/>
      <c r="D235" s="419" t="b">
        <v>0</v>
      </c>
      <c r="E235" s="10" t="str">
        <f>IF('Table of Contents &amp; Validation'!D47=TRUE,COUNTIF('Table of Contents &amp; Validation'!$D$5:D47,TRUE),"")</f>
        <v/>
      </c>
      <c r="F235" s="422">
        <f>IF('Table of Contents &amp; Validation'!D47=TRUE,1,0)</f>
        <v>0</v>
      </c>
    </row>
    <row r="236" spans="1:6">
      <c r="A236" s="10"/>
      <c r="B236" s="428" t="s">
        <v>4270</v>
      </c>
      <c r="C236" s="434"/>
      <c r="D236" s="419" t="b">
        <v>0</v>
      </c>
      <c r="E236" s="10" t="str">
        <f>IF('Table of Contents &amp; Validation'!D48=TRUE,COUNTIF('Table of Contents &amp; Validation'!$D$5:D48,TRUE),"")</f>
        <v/>
      </c>
      <c r="F236" s="422">
        <f>IF('Table of Contents &amp; Validation'!D48=TRUE,1,0)</f>
        <v>0</v>
      </c>
    </row>
    <row r="237" spans="1:6">
      <c r="A237" s="10"/>
      <c r="B237" s="426" t="s">
        <v>4096</v>
      </c>
      <c r="C237" s="433"/>
      <c r="D237" s="442"/>
      <c r="E237" s="10" t="str">
        <f>IF('Table of Contents &amp; Validation'!D49=TRUE,COUNTIF('Table of Contents &amp; Validation'!$D$5:D49,TRUE),"")</f>
        <v/>
      </c>
      <c r="F237" s="422">
        <f>IF('Table of Contents &amp; Validation'!D49=TRUE,1,0)</f>
        <v>0</v>
      </c>
    </row>
    <row r="238" spans="1:6">
      <c r="A238" s="10"/>
      <c r="B238" s="425" t="s">
        <v>4283</v>
      </c>
      <c r="C238" s="434"/>
      <c r="D238" s="440" t="b">
        <v>0</v>
      </c>
      <c r="E238" s="10" t="str">
        <f>IF('Table of Contents &amp; Validation'!D50=TRUE,COUNTIF('Table of Contents &amp; Validation'!$D$5:D50,TRUE),"")</f>
        <v/>
      </c>
      <c r="F238" s="422">
        <f>IF('Table of Contents &amp; Validation'!D50=TRUE,1,0)</f>
        <v>0</v>
      </c>
    </row>
    <row r="239" spans="1:6">
      <c r="A239" s="10"/>
      <c r="B239" s="429" t="s">
        <v>5503</v>
      </c>
      <c r="C239" s="434"/>
      <c r="D239" s="419" t="b">
        <v>0</v>
      </c>
      <c r="E239" s="10" t="str">
        <f>IF('Table of Contents &amp; Validation'!D51=TRUE,COUNTIF('Table of Contents &amp; Validation'!$D$5:D51,TRUE),"")</f>
        <v/>
      </c>
      <c r="F239" s="422">
        <f>IF('Table of Contents &amp; Validation'!D51=TRUE,1,0)</f>
        <v>0</v>
      </c>
    </row>
    <row r="240" spans="1:6">
      <c r="A240" s="10"/>
      <c r="B240" s="429" t="s">
        <v>5886</v>
      </c>
      <c r="C240" s="434"/>
      <c r="D240" s="419" t="b">
        <v>0</v>
      </c>
      <c r="E240" s="10" t="str">
        <f>IF('Table of Contents &amp; Validation'!D52=TRUE,COUNTIF('Table of Contents &amp; Validation'!$D$5:D52,TRUE),"")</f>
        <v/>
      </c>
      <c r="F240" s="422">
        <f>IF('Table of Contents &amp; Validation'!D52=TRUE,1,0)</f>
        <v>0</v>
      </c>
    </row>
    <row r="241" spans="1:6">
      <c r="A241" s="10"/>
      <c r="B241" s="429" t="s">
        <v>5899</v>
      </c>
      <c r="C241" s="434"/>
      <c r="D241" s="419" t="b">
        <v>0</v>
      </c>
      <c r="E241" s="10" t="str">
        <f>IF('Table of Contents &amp; Validation'!D53=TRUE,COUNTIF('Table of Contents &amp; Validation'!$D$5:D53,TRUE),"")</f>
        <v/>
      </c>
      <c r="F241" s="422">
        <f>IF('Table of Contents &amp; Validation'!D53=TRUE,1,0)</f>
        <v>0</v>
      </c>
    </row>
    <row r="242" spans="1:6">
      <c r="A242" s="10"/>
      <c r="B242" s="428" t="s">
        <v>4296</v>
      </c>
      <c r="C242" s="434"/>
      <c r="D242" s="419" t="b">
        <v>0</v>
      </c>
      <c r="E242" s="10" t="str">
        <f>IF('Table of Contents &amp; Validation'!D54=TRUE,COUNTIF('Table of Contents &amp; Validation'!$D$5:D54,TRUE),"")</f>
        <v/>
      </c>
      <c r="F242" s="422">
        <f>IF('Table of Contents &amp; Validation'!D54=TRUE,1,0)</f>
        <v>0</v>
      </c>
    </row>
    <row r="243" spans="1:6">
      <c r="A243" s="10"/>
      <c r="B243" s="426" t="s">
        <v>4174</v>
      </c>
      <c r="C243" s="433"/>
      <c r="D243" s="442"/>
      <c r="E243" s="530" t="str">
        <f>IF('Table of Contents &amp; Validation'!D55=TRUE,COUNTIF('Table of Contents &amp; Validation'!$D$5:D55,TRUE),"")</f>
        <v/>
      </c>
      <c r="F243" s="531"/>
    </row>
    <row r="244" spans="1:6">
      <c r="A244" s="10"/>
      <c r="B244" s="428" t="s">
        <v>4309</v>
      </c>
      <c r="C244" s="434"/>
      <c r="D244" s="419" t="b">
        <v>0</v>
      </c>
      <c r="E244" s="10" t="str">
        <f>IF('Table of Contents &amp; Validation'!D56=TRUE,COUNTIF('Table of Contents &amp; Validation'!$D$5:D56,TRUE),"")</f>
        <v/>
      </c>
      <c r="F244" s="422">
        <f>IF('Table of Contents &amp; Validation'!D56=TRUE,1,0)</f>
        <v>0</v>
      </c>
    </row>
    <row r="245" spans="1:6">
      <c r="A245" s="10"/>
      <c r="B245" s="428" t="s">
        <v>4322</v>
      </c>
      <c r="C245" s="434"/>
      <c r="D245" s="419" t="b">
        <v>0</v>
      </c>
      <c r="E245" s="10" t="str">
        <f>IF('Table of Contents &amp; Validation'!D57=TRUE,COUNTIF('Table of Contents &amp; Validation'!$D$5:D57,TRUE),"")</f>
        <v/>
      </c>
      <c r="F245" s="422">
        <f>IF('Table of Contents &amp; Validation'!D57=TRUE,1,0)</f>
        <v>0</v>
      </c>
    </row>
    <row r="246" spans="1:6">
      <c r="A246" s="10"/>
      <c r="B246" s="431" t="s">
        <v>9135</v>
      </c>
      <c r="C246" s="437"/>
      <c r="D246" s="419" t="b">
        <v>0</v>
      </c>
      <c r="E246" s="10" t="str">
        <f>IF('Table of Contents &amp; Validation'!D58=TRUE,COUNTIF('Table of Contents &amp; Validation'!$D$5:D58,TRUE),"")</f>
        <v/>
      </c>
      <c r="F246" s="422">
        <f>IF('Table of Contents &amp; Validation'!D58=TRUE,1,0)</f>
        <v>0</v>
      </c>
    </row>
    <row r="247" spans="1:6">
      <c r="A247" s="10"/>
      <c r="B247" s="427" t="s">
        <v>4226</v>
      </c>
      <c r="C247" s="434"/>
      <c r="D247" s="442"/>
      <c r="E247" s="530" t="str">
        <f>IF('Table of Contents &amp; Validation'!D59=TRUE,COUNTIF('Table of Contents &amp; Validation'!$D$5:D59,TRUE),"")</f>
        <v/>
      </c>
      <c r="F247" s="531"/>
    </row>
    <row r="248" spans="1:6">
      <c r="A248" s="10"/>
      <c r="B248" s="429" t="s">
        <v>4348</v>
      </c>
      <c r="C248" s="434"/>
      <c r="D248" s="419" t="b">
        <v>0</v>
      </c>
      <c r="E248" s="10" t="str">
        <f>IF('Table of Contents &amp; Validation'!D60=TRUE,COUNTIF('Table of Contents &amp; Validation'!$D$5:D60,TRUE),"")</f>
        <v/>
      </c>
      <c r="F248" s="422">
        <f>IF('Table of Contents &amp; Validation'!D60=TRUE,1,0)</f>
        <v>0</v>
      </c>
    </row>
    <row r="249" spans="1:6" ht="15" thickBot="1">
      <c r="A249" s="10"/>
      <c r="B249" s="428" t="s">
        <v>4361</v>
      </c>
      <c r="C249" s="434"/>
      <c r="D249" s="419" t="b">
        <v>0</v>
      </c>
      <c r="E249" s="10" t="str">
        <f>IF('Table of Contents &amp; Validation'!D61=TRUE,COUNTIF('Table of Contents &amp; Validation'!$D$5:D61,TRUE),"")</f>
        <v/>
      </c>
      <c r="F249" s="422">
        <f>IF('Table of Contents &amp; Validation'!D61=TRUE,1,0)</f>
        <v>0</v>
      </c>
    </row>
    <row r="250" spans="1:6">
      <c r="A250" s="10"/>
      <c r="B250" s="432" t="s">
        <v>4374</v>
      </c>
      <c r="C250" s="438"/>
      <c r="D250" s="444"/>
      <c r="E250" s="530" t="str">
        <f>IF('Table of Contents &amp; Validation'!D62=TRUE,COUNTIF('Table of Contents &amp; Validation'!$D$5:D62,TRUE),"")</f>
        <v/>
      </c>
      <c r="F250" s="531"/>
    </row>
    <row r="251" spans="1:6">
      <c r="A251" s="10"/>
      <c r="B251" s="428" t="s">
        <v>9272</v>
      </c>
      <c r="C251" s="434"/>
      <c r="D251" s="419" t="b">
        <v>0</v>
      </c>
      <c r="E251" s="10" t="str">
        <f>IF('Table of Contents &amp; Validation'!D63=TRUE,COUNTIF('Table of Contents &amp; Validation'!$D$5:D63,TRUE),"")</f>
        <v/>
      </c>
      <c r="F251" s="422">
        <f>IF('Table of Contents &amp; Validation'!D63=TRUE,1,0)</f>
        <v>0</v>
      </c>
    </row>
    <row r="252" spans="1:6">
      <c r="A252" s="10"/>
      <c r="B252" s="428" t="s">
        <v>9273</v>
      </c>
      <c r="C252" s="434"/>
      <c r="D252" s="419" t="b">
        <v>0</v>
      </c>
      <c r="E252" s="10" t="str">
        <f>IF('Table of Contents &amp; Validation'!D64=TRUE,COUNTIF('Table of Contents &amp; Validation'!$D$5:D64,TRUE),"")</f>
        <v/>
      </c>
      <c r="F252" s="422">
        <f>IF('Table of Contents &amp; Validation'!D64=TRUE,1,0)</f>
        <v>0</v>
      </c>
    </row>
    <row r="253" spans="1:6" ht="15" thickBot="1">
      <c r="A253" s="10"/>
      <c r="B253" s="430" t="s">
        <v>9274</v>
      </c>
      <c r="C253" s="436"/>
      <c r="D253" s="420" t="b">
        <v>0</v>
      </c>
      <c r="E253" s="529" t="str">
        <f>IF('Table of Contents &amp; Validation'!D65=TRUE,COUNTIF('Table of Contents &amp; Validation'!$D$5:D65,TRUE),"")</f>
        <v/>
      </c>
      <c r="F253" s="423">
        <f>IF('Table of Contents &amp; Validation'!D65=TRUE,1,0)</f>
        <v>0</v>
      </c>
    </row>
    <row r="254" spans="1:6" s="12" customFormat="1" ht="15" thickBot="1">
      <c r="E254" s="12">
        <f>SUM(E193:E253)</f>
        <v>0</v>
      </c>
    </row>
    <row r="255" spans="1:6">
      <c r="A255" s="104" t="s">
        <v>9275</v>
      </c>
      <c r="B255" s="104"/>
    </row>
    <row r="256" spans="1:6">
      <c r="A256" s="571" t="s">
        <v>9276</v>
      </c>
      <c r="B256" s="575" t="s">
        <v>9277</v>
      </c>
      <c r="C256" s="575" t="s">
        <v>9278</v>
      </c>
    </row>
    <row r="257" spans="1:7" ht="28.8">
      <c r="A257" s="1" t="str">
        <f>IF(template_checkbox_introduction_docx=TRUE,COUNTIF(template_checkbox_introduction_docx,TRUE),"")</f>
        <v/>
      </c>
      <c r="B257" s="504" t="s">
        <v>9279</v>
      </c>
      <c r="C257" s="504" t="str">
        <f>template_label_introduction &amp; ": " &amp; template_label_disclosure_of_any_other_general_and_or_entity_specific_information_on_the_reporting_period</f>
        <v>Introduction: disclosure of any other general and/or entity specific information on the reporting period</v>
      </c>
      <c r="F257" s="566"/>
      <c r="G257" s="567" t="s">
        <v>9280</v>
      </c>
    </row>
    <row r="258" spans="1:7" ht="57.6">
      <c r="A258" s="1" t="str">
        <f>IF(template_checkbox_b1_certifications_or_labels_docx=TRUE,COUNTIF('Table of Contents &amp; Validation'!E7:E15,TRUE),"")</f>
        <v/>
      </c>
      <c r="B258" s="504" t="s">
        <v>9281</v>
      </c>
      <c r="C258" s="504" t="str">
        <f>template_label_b1_disclosure_of_sustainability_related_certification_or_label &amp; " - " &amp; template_label_description_of_sustainability_related_certification_or_label</f>
        <v>B1 - Disclosure of sustainability-related certification(s) or label(s) - Description of sustainability-related certification(s) or label(s) including where relevant the issuers of the certification or label date and rating score</v>
      </c>
      <c r="G258" s="540" t="s">
        <v>9282</v>
      </c>
    </row>
    <row r="259" spans="1:7" ht="28.8">
      <c r="A259" s="1" t="str">
        <f>IF(template_checkbox_b7_description_of_circular_economy_principles_docx=TRUE,COUNTIF('Table of Contents &amp; Validation'!E7:E31,TRUE),"")</f>
        <v/>
      </c>
      <c r="B259" s="504" t="s">
        <v>9283</v>
      </c>
      <c r="C259" s="504" t="str">
        <f>template_label_b7_description_of_circular_economy_principles &amp; " - " &amp; template_label_description_of_how_it_applies_these_principles</f>
        <v>B7 - Description of circular economy principles - Description of how it applies these principles</v>
      </c>
      <c r="F259" s="104"/>
      <c r="G259" s="568" t="s">
        <v>9284</v>
      </c>
    </row>
    <row r="260" spans="1:7" ht="43.2">
      <c r="A260" s="569" t="str">
        <f>IF(template_checkbox_c1_strategy_business_model_and_sustainability_initiatives_docx=TRUE,COUNTIF('Table of Contents &amp; Validation'!E7:E47,TRUE),"")</f>
        <v/>
      </c>
      <c r="B260" s="504" t="s">
        <v>9285</v>
      </c>
      <c r="C260" s="504" t="str">
        <f>template_label_c1_strategy_business_model_and_sustainability_related_initiatives &amp; " - " &amp; template_label_description_of_significant_groups_of_products_and_or_services_offered</f>
        <v>C1 - Strategy: Business Model and Sustainability - Related Initiatives - Description of significant groups of products and or services offered</v>
      </c>
      <c r="G260" s="540"/>
    </row>
    <row r="261" spans="1:7" ht="57.6">
      <c r="A261" s="570" t="str">
        <f>IF(template_checkbox_c1_strategy_business_model_and_sustainability_initiatives_docx=TRUE,A260+0.3,"")</f>
        <v/>
      </c>
      <c r="B261" s="504" t="s">
        <v>9286</v>
      </c>
      <c r="C261" s="504" t="str">
        <f>template_label_c1_strategy_business_model_and_sustainability_related_initiatives &amp; " - " &amp; template_label_description_of_significant_market_the_undertaking_operates_in</f>
        <v>C1 - Strategy: Business Model and Sustainability - Related Initiatives - Description of significant market(s) the undertaking operates in (e.g. B2B, wholesale, retail, countries)</v>
      </c>
      <c r="F261" s="566"/>
      <c r="G261" s="567" t="s">
        <v>9287</v>
      </c>
    </row>
    <row r="262" spans="1:7" ht="57.6">
      <c r="A262" s="570" t="str">
        <f>IF(template_checkbox_c1_strategy_business_model_and_sustainability_initiatives_docx=TRUE,A261+0.2,"")</f>
        <v/>
      </c>
      <c r="B262" s="504" t="s">
        <v>9288</v>
      </c>
      <c r="C262" s="504" t="str">
        <f>template_label_c1_strategy_business_model_and_sustainability_related_initiatives &amp; " - " &amp; template_label_description_of_main_business_relationships</f>
        <v>C1 - Strategy: Business Model and Sustainability - Related Initiatives - Description of main business relationships (such as key suppliers, customers, distribution channels)</v>
      </c>
      <c r="G262" s="540" t="s">
        <v>9289</v>
      </c>
    </row>
    <row r="263" spans="1:7" ht="43.2">
      <c r="A263" s="570" t="str">
        <f>IF(template_checkbox_c1_strategy_business_model_and_sustainability_initiatives_docx=TRUE,A262+0.3,"")</f>
        <v/>
      </c>
      <c r="B263" s="504" t="s">
        <v>9290</v>
      </c>
      <c r="C263" s="504" t="str">
        <f>template_label_c1_strategy_business_model_and_sustainability_related_initiatives &amp; " - " &amp; template_label_description_of_those_key_elements_in_the_strategy_that_relate_or_affect_sustainability_issues</f>
        <v>C1 - Strategy: Business Model and Sustainability - Related Initiatives - Description of those key elements in the strategy that relate or affect sustainability issues</v>
      </c>
      <c r="G263" s="540" t="s">
        <v>9291</v>
      </c>
    </row>
    <row r="264" spans="1:7" ht="86.4">
      <c r="A264" s="569" t="str">
        <f>IF(template_checkbox_c2_description_of_practices_policies_and_future_initiatives_docx=TRUE,COUNTIF('Table of Contents &amp; Validation'!E7:E48,TRUE),"")</f>
        <v/>
      </c>
      <c r="B264" s="504" t="s">
        <v>9292</v>
      </c>
      <c r="C264" s="504" t="str">
        <f>template_label_c2_description_of_practices_policies_and_future_initiatives_for_transitioning_towards_a_more_sustainable_economy&amp; " - " &amp; template_label_description_of_a_practice_policy_and_or_future_initiative_towards_a_more_sustainable_future</f>
        <v>C2 - Description of practices policies and future initiatives for transitioning towards a more sustainable economy - Description of a practice policy and or future initiative towards a more sustainable future (In case the practice  policy  future initiative covers suppliers or clients the undertaking shall mention it)</v>
      </c>
      <c r="G264" s="540"/>
    </row>
    <row r="265" spans="1:7" ht="43.2">
      <c r="A265" s="570" t="str">
        <f>IF(template_checkbox_c2_description_of_practices_policies_and_future_initiatives_docx=TRUE,A264+0.3,"")</f>
        <v/>
      </c>
      <c r="B265" s="504" t="s">
        <v>9293</v>
      </c>
      <c r="C265" s="504" t="str">
        <f>template_label_c2_description_of_practices_policies_and_future_initiatives_for_transitioning_towards_a_more_sustainable_economy&amp; " - " &amp; template_label_description_of_target_related_to_a_policy</f>
        <v>C2 - Description of practices policies and future initiatives for transitioning towards a more sustainable economy - Description of target related to a policy</v>
      </c>
      <c r="F265" s="566"/>
      <c r="G265" s="567" t="s">
        <v>9294</v>
      </c>
    </row>
    <row r="266" spans="1:7" ht="86.4">
      <c r="A266" s="570" t="str">
        <f>IF(template_checkbox_c2_description_of_practices_policies_and_future_initiatives_docx=TRUE,A265+0.2,"")</f>
        <v/>
      </c>
      <c r="B266" s="504" t="s">
        <v>9254</v>
      </c>
      <c r="C266" s="504" t="str">
        <f>template_label_c2_description_of_practices_policies_and_future_initiatives_for_transitioning_towards_a_more_sustainable_economy&amp;" - " &amp; template_label_most_senior_level_accountable_for_implementing_practices_policies_and_or_future_initiatives</f>
        <v>C2 - Description of practices policies and future initiatives for transitioning towards a more sustainable economy - Most senior level in the undertaking (i.e. a person or a body) that is accountable for implementing those practices, policies, and future initiatives  when this has been determined by the undertaking</v>
      </c>
      <c r="G266" s="540" t="s">
        <v>9295</v>
      </c>
    </row>
    <row r="267" spans="1:7" ht="28.8">
      <c r="A267" s="1" t="str">
        <f>IF(template_checkbox_c3_list_of_main_actions_to_achieve_targets_docx=TRUE,COUNTIF('Table of Contents &amp; Validation'!E7:E52,TRUE),"")</f>
        <v/>
      </c>
      <c r="B267" s="504" t="s">
        <v>9296</v>
      </c>
      <c r="C267" s="504" t="str">
        <f>template_label_c3_disclosure_of_list_of_main_actions_the_entity_seeks_in_order_to_achieve_its_targets</f>
        <v>C3 - Disclosure of list of main actions the entity seeks in order to achieve its targets</v>
      </c>
      <c r="G267" s="540" t="s">
        <v>9297</v>
      </c>
    </row>
    <row r="268" spans="1:7" ht="57.6">
      <c r="A268" s="1" t="str">
        <f>IF(template_checkbox_c3_transition_plan_docx=TRUE,COUNTIF('Table of Contents &amp; Validation'!E7:E53,TRUE),"")</f>
        <v/>
      </c>
      <c r="B268" s="504" t="s">
        <v>9298</v>
      </c>
      <c r="C268" s="504" t="str">
        <f>template_label_c3_transition_plan_for_undertakings_operating_in_high_climate_impact_sectors&amp;" - "&amp;template_label_description_of_a_transition_plan_for_climate_change_mitigation</f>
        <v>C3 - Transition plan for undertakings operating in high climate impact sectors - Description of a transition plan for climate change mitigation including an explanation of how it is contributing to reduce GHG emissions</v>
      </c>
      <c r="G268" s="540"/>
    </row>
    <row r="269" spans="1:7" ht="28.8">
      <c r="A269" s="569" t="str">
        <f>IF(template_checkbox_c4_climate_risks_docx=TRUE,COUNTIF('Table of Contents &amp; Validation'!E7:E54,TRUE),"")</f>
        <v/>
      </c>
      <c r="B269" s="504" t="s">
        <v>9299</v>
      </c>
      <c r="C269" s="504" t="str">
        <f>template_label_c4_climate_risks&amp; " - " &amp; template_label_description_of_climate_related_hazards_and_climate_related_transition_events</f>
        <v>C4 - Climate risks - Description of climate-related hazards and climate-related transition events</v>
      </c>
      <c r="F269" s="566"/>
      <c r="G269" s="567" t="s">
        <v>9300</v>
      </c>
    </row>
    <row r="270" spans="1:7" ht="43.2">
      <c r="A270" s="570" t="str">
        <f>IF(template_checkbox_c4_climate_risks_docx=TRUE,A269+0.3,"")</f>
        <v/>
      </c>
      <c r="B270" s="504" t="s">
        <v>9301</v>
      </c>
      <c r="C270" s="504" t="str">
        <f>template_label_c4_climate_risks&amp; " - " &amp; template_label_disclosure_of_how_it_has_assessed_the_exposure_and_sensitivity_of_its_assets</f>
        <v>C4 - Climate risks - Disclosure of how it has assessed the exposure and sensitivity of its assets activities and value chain to these hazards and transition events</v>
      </c>
      <c r="G270" s="540" t="s">
        <v>9302</v>
      </c>
    </row>
    <row r="271" spans="1:7" ht="28.8">
      <c r="A271" s="570" t="str">
        <f>IF(template_checkbox_c4_climate_risks_docx=TRUE,A270+0.2,"")</f>
        <v/>
      </c>
      <c r="B271" s="504" t="s">
        <v>9303</v>
      </c>
      <c r="C271" s="504" t="str">
        <f>template_label_c4_climate_risks&amp; " - " &amp; template_label_time_horizons_of_any_climate_related_hazards_and_transition_events_identified</f>
        <v>C4 - Climate risks - Time horizons of any climate-related hazards and transition events identified</v>
      </c>
      <c r="G271" s="540" t="s">
        <v>9304</v>
      </c>
    </row>
    <row r="272" spans="1:7" ht="72">
      <c r="A272" s="570" t="str">
        <f>IF(template_checkbox_c4_climate_risks_docx=TRUE,A271+0.3,"")</f>
        <v/>
      </c>
      <c r="B272" s="504" t="s">
        <v>9305</v>
      </c>
      <c r="C272" s="504" t="str">
        <f>template_label_c4_climate_risks&amp; " - " &amp; template_label_potential_adverse_effects_of_climate_risks</f>
        <v>C4 - Climate risks - Potential adverse effects of climate risks that may affect its financial performance or business operations in the short- medium- or long-term indicating whether it assesses the risks to be high medium or low</v>
      </c>
      <c r="G272" s="540" t="s">
        <v>9306</v>
      </c>
    </row>
    <row r="273" spans="1:7" ht="57.6">
      <c r="A273" s="1" t="str">
        <f>IF(template_checkbox_c6_additional_own_workforce_information_docx=TRUE,COUNTIF('Table of Contents &amp; Validation'!E7:E57,TRUE),"")</f>
        <v/>
      </c>
      <c r="B273" s="504" t="s">
        <v>9307</v>
      </c>
      <c r="C273" s="504" t="str">
        <f>template_label_c6_additional_own_workforce_information_human_rights_policies_and_processes&amp; " - " &amp;template_label_specify_other_types_of_content_covered_by_the_code_of_conduct_or_human_rights_policy</f>
        <v>C6 - Additional own workforce information - Human rights policies and processes - Specify other types of content covered by the code of conduct or human rights policy</v>
      </c>
      <c r="G273" s="540" t="s">
        <v>9308</v>
      </c>
    </row>
    <row r="274" spans="1:7" ht="28.8">
      <c r="A274" s="569" t="str">
        <f>IF(template_checkbox_c7_severe_negative_human_rights_incidents_docx=TRUE,COUNTIF('Table of Contents &amp; Validation'!E7:E58,TRUE),"")</f>
        <v/>
      </c>
      <c r="B274" s="504" t="s">
        <v>9309</v>
      </c>
      <c r="C274" s="504" t="str">
        <f>template_label_c7_human_rights_incidents&amp; " - "&amp;template_label_specify_other_human_rights_related_to_the_confirmed_incidents</f>
        <v>C7 - Human rights incidents - Specify other human rights related to the confirmed incidents</v>
      </c>
      <c r="G274" s="540" t="s">
        <v>9310</v>
      </c>
    </row>
    <row r="275" spans="1:7" ht="28.8">
      <c r="A275" s="570" t="str">
        <f>IF(template_checkbox_c7_severe_negative_human_rights_incidents_docx=TRUE,A274+0.3,"")</f>
        <v/>
      </c>
      <c r="B275" s="504" t="s">
        <v>9311</v>
      </c>
      <c r="C275" s="504" t="str">
        <f>template_label_c7_human_rights_incidents&amp; " - "&amp; template_label_description_of_actions_taken_to_address_the_confirmed_incidents</f>
        <v>C7 - Human rights incidents - Description of actions taken to address the confirmed incidents</v>
      </c>
      <c r="G275" s="540"/>
    </row>
    <row r="276" spans="1:7" ht="62.4" customHeight="1">
      <c r="A276" s="570" t="str">
        <f>IF(template_checkbox_c7_severe_negative_human_rights_incidents_docx=TRUE,A275+0.2,"")</f>
        <v/>
      </c>
      <c r="B276" s="504" t="s">
        <v>9312</v>
      </c>
      <c r="C276" s="504" t="str">
        <f>template_label_c7_human_rights_incidents&amp; " - " &amp;template_label_specification_of_any_confirmed_incident_involving_workers</f>
        <v>C7 - Human rights incidents - Specification of any confirmed incident identified in the reporitng period involving workers in the value chain affected communities consumers and end-users</v>
      </c>
      <c r="F276" s="566"/>
      <c r="G276" s="567" t="s">
        <v>9313</v>
      </c>
    </row>
    <row r="277" spans="1:7" ht="28.8">
      <c r="A277" s="1" t="str">
        <f>IF(template_checkbox_entity_specific_environmental_disclosures_docx=TRUE,COUNTIF('Table of Contents &amp; Validation'!E7:E63,TRUE),"")</f>
        <v/>
      </c>
      <c r="B277" s="504" t="s">
        <v>9314</v>
      </c>
      <c r="C277" s="504" t="str">
        <f>template_label_disclosure_of_any_other_environmental_and_or_entity_specific_environmental_disclosures</f>
        <v>Disclosure of any other environmental and/or entity specific environmental disclosures</v>
      </c>
      <c r="G277" s="540" t="s">
        <v>9315</v>
      </c>
    </row>
    <row r="278" spans="1:7" ht="28.8">
      <c r="A278" s="1" t="str">
        <f>IF(template_checkbox_entity_specific_social_disclosures_docx=TRUE,COUNTIF('Table of Contents &amp; Validation'!E7:E64,TRUE),"")</f>
        <v/>
      </c>
      <c r="B278" s="504" t="s">
        <v>9316</v>
      </c>
      <c r="C278" s="504" t="str">
        <f>template_label_disclosure_of_any_other_social_and_or_entity_specific_social_disclosures</f>
        <v>Disclosure of any other social and/or entity specific social disclosures</v>
      </c>
      <c r="G278" s="540" t="s">
        <v>9317</v>
      </c>
    </row>
    <row r="279" spans="1:7" ht="28.8">
      <c r="A279" s="1" t="str">
        <f>IF(template_checkbox_entity_specific_governance_disclosures_docx=TRUE,COUNTIF('Table of Contents &amp; Validation'!E7:E65,TRUE),"")</f>
        <v/>
      </c>
      <c r="B279" s="504" t="s">
        <v>9318</v>
      </c>
      <c r="C279" s="504" t="str">
        <f>template_label_disclosure_of_any_other_governance_and_or_entity_specific_governance_disclosures</f>
        <v>Disclosure of any other governance and/or entity specific governance disclosures</v>
      </c>
      <c r="G279" s="540" t="s">
        <v>9319</v>
      </c>
    </row>
    <row r="280" spans="1:7">
      <c r="A280" s="571" t="s">
        <v>4841</v>
      </c>
      <c r="B280" s="572" t="s">
        <v>9320</v>
      </c>
      <c r="G280" s="540" t="s">
        <v>9321</v>
      </c>
    </row>
    <row r="281" spans="1:7">
      <c r="A281" s="1">
        <v>1</v>
      </c>
      <c r="B281" s="573" t="str">
        <f>_xlfn.IFNA(_xlfn.XLOOKUP(A281,$A$257:$A$279,$B$257:$B$279),"")</f>
        <v/>
      </c>
      <c r="G281" s="540"/>
    </row>
    <row r="282" spans="1:7">
      <c r="A282" s="1">
        <v>1.3</v>
      </c>
      <c r="B282" s="573" t="str">
        <f t="shared" ref="B282:B312" si="3">_xlfn.IFNA(_xlfn.XLOOKUP(A282,$A$257:$A$279,$B$257:$B$279),"")</f>
        <v/>
      </c>
      <c r="F282" s="566"/>
      <c r="G282" s="567" t="s">
        <v>9322</v>
      </c>
    </row>
    <row r="283" spans="1:7">
      <c r="A283" s="1">
        <v>1.5</v>
      </c>
      <c r="B283" s="573" t="str">
        <f t="shared" si="3"/>
        <v/>
      </c>
      <c r="G283" s="540" t="s">
        <v>9323</v>
      </c>
    </row>
    <row r="284" spans="1:7">
      <c r="A284" s="1">
        <v>1.8</v>
      </c>
      <c r="B284" s="573" t="str">
        <f t="shared" si="3"/>
        <v/>
      </c>
      <c r="F284" s="104"/>
      <c r="G284" s="568" t="s">
        <v>9324</v>
      </c>
    </row>
    <row r="285" spans="1:7">
      <c r="A285" s="1">
        <v>2</v>
      </c>
      <c r="B285" s="573" t="str">
        <f t="shared" si="3"/>
        <v/>
      </c>
      <c r="F285" s="566"/>
      <c r="G285" s="567" t="s">
        <v>9325</v>
      </c>
    </row>
    <row r="286" spans="1:7">
      <c r="A286" s="1">
        <v>2.2999999999999998</v>
      </c>
      <c r="B286" s="504" t="str">
        <f t="shared" si="3"/>
        <v/>
      </c>
      <c r="G286" s="540" t="s">
        <v>9326</v>
      </c>
    </row>
    <row r="287" spans="1:7">
      <c r="A287" s="1">
        <v>2.5</v>
      </c>
      <c r="B287" s="504" t="str">
        <f t="shared" si="3"/>
        <v/>
      </c>
      <c r="G287" s="540" t="s">
        <v>9327</v>
      </c>
    </row>
    <row r="288" spans="1:7">
      <c r="A288" s="1">
        <v>2.8</v>
      </c>
      <c r="B288" s="504" t="str">
        <f t="shared" si="3"/>
        <v/>
      </c>
      <c r="G288" s="540"/>
    </row>
    <row r="289" spans="1:7">
      <c r="A289" s="1">
        <v>3</v>
      </c>
      <c r="B289" s="504" t="str">
        <f t="shared" si="3"/>
        <v/>
      </c>
      <c r="G289" s="540" t="s">
        <v>9328</v>
      </c>
    </row>
    <row r="290" spans="1:7">
      <c r="A290" s="1">
        <v>3.3</v>
      </c>
      <c r="B290" s="504" t="str">
        <f t="shared" si="3"/>
        <v/>
      </c>
      <c r="G290" s="540" t="s">
        <v>9329</v>
      </c>
    </row>
    <row r="291" spans="1:7">
      <c r="A291" s="1">
        <v>3.5</v>
      </c>
      <c r="B291" s="504" t="str">
        <f t="shared" si="3"/>
        <v/>
      </c>
      <c r="G291" s="540" t="s">
        <v>9330</v>
      </c>
    </row>
    <row r="292" spans="1:7">
      <c r="A292" s="1">
        <v>3.8</v>
      </c>
      <c r="B292" s="504" t="str">
        <f t="shared" si="3"/>
        <v/>
      </c>
      <c r="G292" s="540" t="s">
        <v>9331</v>
      </c>
    </row>
    <row r="293" spans="1:7">
      <c r="A293" s="1">
        <v>4</v>
      </c>
      <c r="B293" s="504" t="str">
        <f t="shared" si="3"/>
        <v/>
      </c>
      <c r="G293" s="540"/>
    </row>
    <row r="294" spans="1:7">
      <c r="A294" s="1">
        <v>4.3</v>
      </c>
      <c r="B294" s="504" t="str">
        <f t="shared" si="3"/>
        <v/>
      </c>
      <c r="F294" s="566"/>
      <c r="G294" s="567" t="s">
        <v>9332</v>
      </c>
    </row>
    <row r="295" spans="1:7">
      <c r="A295" s="1">
        <v>4.5</v>
      </c>
      <c r="B295" s="504" t="str">
        <f t="shared" si="3"/>
        <v/>
      </c>
      <c r="G295" s="540" t="s">
        <v>9333</v>
      </c>
    </row>
    <row r="296" spans="1:7">
      <c r="A296" s="1">
        <v>4.8</v>
      </c>
      <c r="B296" s="504" t="str">
        <f t="shared" si="3"/>
        <v/>
      </c>
      <c r="G296" s="540" t="s">
        <v>9334</v>
      </c>
    </row>
    <row r="297" spans="1:7">
      <c r="A297" s="1">
        <v>5</v>
      </c>
      <c r="B297" s="504" t="str">
        <f t="shared" si="3"/>
        <v/>
      </c>
      <c r="F297" s="566"/>
      <c r="G297" s="567" t="s">
        <v>9335</v>
      </c>
    </row>
    <row r="298" spans="1:7">
      <c r="A298" s="1">
        <v>5.3</v>
      </c>
      <c r="B298" s="504" t="str">
        <f t="shared" si="3"/>
        <v/>
      </c>
      <c r="G298" s="540" t="s">
        <v>9336</v>
      </c>
    </row>
    <row r="299" spans="1:7">
      <c r="A299" s="1">
        <v>5.5</v>
      </c>
      <c r="B299" s="504" t="str">
        <f t="shared" si="3"/>
        <v/>
      </c>
      <c r="G299" s="540" t="s">
        <v>9337</v>
      </c>
    </row>
    <row r="300" spans="1:7">
      <c r="A300" s="1">
        <v>5.8</v>
      </c>
      <c r="B300" s="504" t="str">
        <f t="shared" si="3"/>
        <v/>
      </c>
      <c r="G300" s="540" t="s">
        <v>9338</v>
      </c>
    </row>
    <row r="301" spans="1:7">
      <c r="A301" s="1">
        <v>6</v>
      </c>
      <c r="B301" s="504" t="str">
        <f t="shared" si="3"/>
        <v/>
      </c>
      <c r="G301" s="540"/>
    </row>
    <row r="302" spans="1:7">
      <c r="A302" s="1">
        <v>6.3</v>
      </c>
      <c r="B302" s="504" t="str">
        <f t="shared" si="3"/>
        <v/>
      </c>
      <c r="F302" s="566"/>
      <c r="G302" s="567" t="s">
        <v>9339</v>
      </c>
    </row>
    <row r="303" spans="1:7">
      <c r="A303" s="1">
        <v>6.5</v>
      </c>
      <c r="B303" s="504" t="str">
        <f t="shared" si="3"/>
        <v/>
      </c>
      <c r="G303" s="540" t="s">
        <v>9340</v>
      </c>
    </row>
    <row r="304" spans="1:7">
      <c r="A304" s="1">
        <v>6.8</v>
      </c>
      <c r="B304" s="504" t="str">
        <f t="shared" si="3"/>
        <v/>
      </c>
      <c r="F304" s="104"/>
      <c r="G304" s="568" t="s">
        <v>9341</v>
      </c>
    </row>
    <row r="305" spans="1:7">
      <c r="A305" s="1">
        <v>7</v>
      </c>
      <c r="B305" s="504" t="str">
        <f t="shared" si="3"/>
        <v/>
      </c>
      <c r="F305" s="566"/>
      <c r="G305" s="567" t="s">
        <v>9342</v>
      </c>
    </row>
    <row r="306" spans="1:7">
      <c r="A306" s="1">
        <v>7.3</v>
      </c>
      <c r="B306" s="504" t="str">
        <f t="shared" si="3"/>
        <v/>
      </c>
      <c r="G306" s="540" t="s">
        <v>9343</v>
      </c>
    </row>
    <row r="307" spans="1:7">
      <c r="A307" s="1">
        <v>7.5</v>
      </c>
      <c r="B307" s="504" t="str">
        <f t="shared" si="3"/>
        <v/>
      </c>
      <c r="F307" s="104"/>
      <c r="G307" s="568" t="s">
        <v>9344</v>
      </c>
    </row>
    <row r="308" spans="1:7">
      <c r="A308" s="1">
        <v>7.8</v>
      </c>
      <c r="B308" s="504" t="str">
        <f t="shared" si="3"/>
        <v/>
      </c>
      <c r="G308" s="540"/>
    </row>
    <row r="309" spans="1:7">
      <c r="A309" s="1">
        <v>8</v>
      </c>
      <c r="B309" s="504" t="str">
        <f t="shared" si="3"/>
        <v/>
      </c>
      <c r="G309" s="540" t="s">
        <v>9345</v>
      </c>
    </row>
    <row r="310" spans="1:7">
      <c r="A310" s="1">
        <v>8.3000000000000007</v>
      </c>
      <c r="B310" s="504" t="str">
        <f t="shared" si="3"/>
        <v/>
      </c>
      <c r="E310" s="104"/>
      <c r="G310" s="568" t="s">
        <v>9346</v>
      </c>
    </row>
    <row r="311" spans="1:7">
      <c r="A311" s="1">
        <v>8.5</v>
      </c>
      <c r="B311" s="504" t="str">
        <f t="shared" si="3"/>
        <v/>
      </c>
    </row>
    <row r="312" spans="1:7">
      <c r="A312" s="1">
        <v>8.8000000000000007</v>
      </c>
      <c r="B312" s="504" t="str">
        <f t="shared" si="3"/>
        <v/>
      </c>
    </row>
    <row r="313" spans="1:7">
      <c r="A313" s="1">
        <v>9</v>
      </c>
      <c r="B313" s="504" t="str">
        <f t="shared" ref="B313:B329" si="4">_xlfn.IFNA(_xlfn.XLOOKUP(A313,$A$257:$A$279,$B$257:$B$279),"")</f>
        <v/>
      </c>
    </row>
    <row r="314" spans="1:7">
      <c r="A314" s="1">
        <v>9.3000000000000007</v>
      </c>
      <c r="B314" s="504" t="str">
        <f t="shared" si="4"/>
        <v/>
      </c>
    </row>
    <row r="315" spans="1:7">
      <c r="A315" s="1">
        <v>9.5</v>
      </c>
      <c r="B315" s="504" t="str">
        <f t="shared" si="4"/>
        <v/>
      </c>
    </row>
    <row r="316" spans="1:7">
      <c r="A316" s="1">
        <v>9.8000000000000007</v>
      </c>
      <c r="B316" s="504" t="str">
        <f t="shared" si="4"/>
        <v/>
      </c>
    </row>
    <row r="317" spans="1:7">
      <c r="A317" s="1">
        <v>10</v>
      </c>
      <c r="B317" s="504" t="str">
        <f t="shared" si="4"/>
        <v/>
      </c>
    </row>
    <row r="318" spans="1:7">
      <c r="A318" s="1">
        <v>10.3</v>
      </c>
      <c r="B318" s="504" t="str">
        <f t="shared" si="4"/>
        <v/>
      </c>
    </row>
    <row r="319" spans="1:7">
      <c r="A319" s="1">
        <v>10.5</v>
      </c>
      <c r="B319" s="504" t="str">
        <f t="shared" si="4"/>
        <v/>
      </c>
    </row>
    <row r="320" spans="1:7">
      <c r="A320" s="1">
        <v>10.8</v>
      </c>
      <c r="B320" s="504" t="str">
        <f t="shared" si="4"/>
        <v/>
      </c>
    </row>
    <row r="321" spans="1:2">
      <c r="A321" s="1">
        <v>11</v>
      </c>
      <c r="B321" s="504" t="str">
        <f t="shared" si="4"/>
        <v/>
      </c>
    </row>
    <row r="322" spans="1:2">
      <c r="A322" s="1">
        <v>11.3</v>
      </c>
      <c r="B322" s="504" t="str">
        <f t="shared" si="4"/>
        <v/>
      </c>
    </row>
    <row r="323" spans="1:2">
      <c r="A323" s="1">
        <v>11.5</v>
      </c>
      <c r="B323" s="504" t="str">
        <f t="shared" si="4"/>
        <v/>
      </c>
    </row>
    <row r="324" spans="1:2">
      <c r="A324" s="1">
        <v>11.8</v>
      </c>
      <c r="B324" s="504" t="str">
        <f t="shared" si="4"/>
        <v/>
      </c>
    </row>
    <row r="325" spans="1:2">
      <c r="A325" s="1">
        <v>12</v>
      </c>
      <c r="B325" s="504" t="str">
        <f t="shared" si="4"/>
        <v/>
      </c>
    </row>
    <row r="326" spans="1:2">
      <c r="A326" s="1">
        <v>12.3</v>
      </c>
      <c r="B326" s="504" t="str">
        <f t="shared" si="4"/>
        <v/>
      </c>
    </row>
    <row r="327" spans="1:2">
      <c r="A327" s="1">
        <v>12.5</v>
      </c>
      <c r="B327" s="504" t="str">
        <f t="shared" si="4"/>
        <v/>
      </c>
    </row>
    <row r="328" spans="1:2">
      <c r="A328" s="1">
        <v>12.8</v>
      </c>
      <c r="B328" s="504" t="str">
        <f t="shared" si="4"/>
        <v/>
      </c>
    </row>
    <row r="329" spans="1:2" s="12" customFormat="1" ht="15" thickBot="1">
      <c r="A329" s="574">
        <v>13</v>
      </c>
      <c r="B329" s="507" t="str">
        <f t="shared" si="4"/>
        <v/>
      </c>
    </row>
  </sheetData>
  <mergeCells count="3">
    <mergeCell ref="B191:B192"/>
    <mergeCell ref="D191:D192"/>
    <mergeCell ref="A17:B19"/>
  </mergeCells>
  <conditionalFormatting sqref="B190:C190">
    <cfRule type="expression" dxfId="31" priority="49">
      <formula>B$139="INCOMPLETE"</formula>
    </cfRule>
    <cfRule type="expression" dxfId="30" priority="50">
      <formula>B$139="COMPLETE"</formula>
    </cfRule>
  </conditionalFormatting>
  <conditionalFormatting sqref="C191">
    <cfRule type="expression" dxfId="29" priority="47">
      <formula>$C$3=template_label_incomplete</formula>
    </cfRule>
    <cfRule type="expression" dxfId="28" priority="48">
      <formula>$C$3=template_label_complete</formula>
    </cfRule>
  </conditionalFormatting>
  <conditionalFormatting sqref="C194:C197 C199:C233 C235:C253">
    <cfRule type="expression" dxfId="27" priority="19">
      <formula>$C194=template_label_classified_or_sensitive_information</formula>
    </cfRule>
    <cfRule type="expression" dxfId="26" priority="38">
      <formula>$C194=template_label_value_inconsistency</formula>
    </cfRule>
    <cfRule type="expression" dxfId="25" priority="39">
      <formula>$C194=template_label_invalid_url</formula>
    </cfRule>
    <cfRule type="expression" dxfId="24" priority="40">
      <formula>$C194=template_label_error_plus_missing_value_plus_value_inconsistency</formula>
    </cfRule>
    <cfRule type="expression" dxfId="23" priority="41">
      <formula>$C194=template_label_error_plus_value_inconsistency</formula>
    </cfRule>
    <cfRule type="expression" dxfId="22" priority="42">
      <formula>$C194=template_label_error_plus_missing_value</formula>
    </cfRule>
    <cfRule type="expression" dxfId="21" priority="43">
      <formula>$C194=template_label_missing_value_plus_value_inconsistency</formula>
    </cfRule>
    <cfRule type="expression" dxfId="20" priority="44">
      <formula>$C194=template_label_missing_value</formula>
    </cfRule>
    <cfRule type="expression" dxfId="19" priority="45">
      <formula>$C194=template_label_error</formula>
    </cfRule>
    <cfRule type="expression" dxfId="18" priority="46">
      <formula>$C194=template_label_ok</formula>
    </cfRule>
  </conditionalFormatting>
  <conditionalFormatting sqref="D197:D198">
    <cfRule type="expression" dxfId="17" priority="20">
      <formula>$C197=template_label_value_inconsistency</formula>
    </cfRule>
    <cfRule type="expression" dxfId="16" priority="21">
      <formula>$C197=template_label_invalid_url</formula>
    </cfRule>
    <cfRule type="expression" dxfId="15" priority="22">
      <formula>$C197=template_label_error_plus_missing_value_plus_value_inconsistency</formula>
    </cfRule>
    <cfRule type="expression" dxfId="14" priority="23">
      <formula>$C197=template_label_error_plus_value_inconsistency</formula>
    </cfRule>
    <cfRule type="expression" dxfId="13" priority="24">
      <formula>$C197=template_label_error_plus_missing_value</formula>
    </cfRule>
    <cfRule type="expression" dxfId="12" priority="25">
      <formula>$C197=template_label_missing_value_plus_value_inconsistency</formula>
    </cfRule>
    <cfRule type="expression" dxfId="11" priority="26">
      <formula>$C197=template_label_missing_value</formula>
    </cfRule>
    <cfRule type="expression" dxfId="10" priority="27">
      <formula>$C197=template_label_error</formula>
    </cfRule>
    <cfRule type="expression" dxfId="9" priority="28">
      <formula>$C197=template_label_ok</formula>
    </cfRule>
  </conditionalFormatting>
  <conditionalFormatting sqref="D207">
    <cfRule type="expression" dxfId="8" priority="1">
      <formula>$C207=template_label_value_inconsistency</formula>
    </cfRule>
    <cfRule type="expression" dxfId="7" priority="2">
      <formula>$C207=template_label_invalid_url</formula>
    </cfRule>
    <cfRule type="expression" dxfId="6" priority="3">
      <formula>$C207=template_label_error_plus_missing_value_plus_value_inconsistency</formula>
    </cfRule>
    <cfRule type="expression" dxfId="5" priority="4">
      <formula>$C207=template_label_error_plus_value_inconsistency</formula>
    </cfRule>
    <cfRule type="expression" dxfId="4" priority="5">
      <formula>$C207=template_label_error_plus_missing_value</formula>
    </cfRule>
    <cfRule type="expression" dxfId="3" priority="6">
      <formula>$C207=template_label_missing_value_plus_value_inconsistency</formula>
    </cfRule>
    <cfRule type="expression" dxfId="2" priority="7">
      <formula>$C207=template_label_missing_value</formula>
    </cfRule>
    <cfRule type="expression" dxfId="1" priority="8">
      <formula>$C207=template_label_error</formula>
    </cfRule>
    <cfRule type="expression" dxfId="0" priority="9">
      <formula>$C207=template_label_ok</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8671875" defaultRowHeight="14.4"/>
  <cols>
    <col min="1" max="1" width="78.44140625" style="10" customWidth="1"/>
    <col min="2" max="16384" width="8.88671875" style="10"/>
  </cols>
  <sheetData>
    <row r="1" spans="1:1">
      <c r="A1" s="205" t="s">
        <v>9347</v>
      </c>
    </row>
    <row r="2" spans="1:1">
      <c r="A2" s="206"/>
    </row>
    <row r="3" spans="1:1">
      <c r="A3" s="206" t="s">
        <v>9348</v>
      </c>
    </row>
    <row r="4" spans="1:1">
      <c r="A4" s="206"/>
    </row>
    <row r="5" spans="1:1">
      <c r="A5" s="206" t="s">
        <v>9349</v>
      </c>
    </row>
    <row r="6" spans="1:1">
      <c r="A6" s="206" t="s">
        <v>9350</v>
      </c>
    </row>
    <row r="7" spans="1:1">
      <c r="A7" s="206" t="s">
        <v>9351</v>
      </c>
    </row>
    <row r="8" spans="1:1">
      <c r="A8" s="206" t="s">
        <v>9352</v>
      </c>
    </row>
    <row r="9" spans="1:1">
      <c r="A9" s="206" t="s">
        <v>9353</v>
      </c>
    </row>
    <row r="10" spans="1:1">
      <c r="A10" s="206" t="s">
        <v>9354</v>
      </c>
    </row>
    <row r="11" spans="1:1">
      <c r="A11" s="206"/>
    </row>
    <row r="12" spans="1:1">
      <c r="A12" s="206" t="s">
        <v>9355</v>
      </c>
    </row>
    <row r="13" spans="1:1">
      <c r="A13" s="206" t="s">
        <v>9356</v>
      </c>
    </row>
    <row r="14" spans="1:1">
      <c r="A14" s="206"/>
    </row>
    <row r="15" spans="1:1">
      <c r="A15" s="206" t="s">
        <v>9357</v>
      </c>
    </row>
    <row r="16" spans="1:1">
      <c r="A16" s="206" t="s">
        <v>9358</v>
      </c>
    </row>
    <row r="17" spans="1:1">
      <c r="A17" s="206" t="s">
        <v>9359</v>
      </c>
    </row>
    <row r="18" spans="1:1">
      <c r="A18" s="206" t="s">
        <v>9360</v>
      </c>
    </row>
    <row r="19" spans="1:1">
      <c r="A19" s="206" t="s">
        <v>9361</v>
      </c>
    </row>
    <row r="20" spans="1:1">
      <c r="A20" s="206" t="s">
        <v>9362</v>
      </c>
    </row>
    <row r="21" spans="1:1" ht="15" thickBot="1">
      <c r="A21" s="207" t="s">
        <v>9363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ACDE-9899-4AC6-B2AE-7D52E6244DE2}">
  <dimension ref="A1:M144"/>
  <sheetViews>
    <sheetView workbookViewId="0"/>
  </sheetViews>
  <sheetFormatPr defaultRowHeight="14.4"/>
  <cols>
    <col min="1" max="1" width="168" bestFit="1" customWidth="1"/>
    <col min="2" max="13" width="30.5546875" style="2" customWidth="1"/>
    <col min="14" max="14" width="9.109375" bestFit="1" customWidth="1"/>
  </cols>
  <sheetData>
    <row r="1" spans="1:13" ht="14.4" customHeight="1" thickBot="1">
      <c r="A1" s="20" t="s">
        <v>9364</v>
      </c>
      <c r="B1" s="509" t="s">
        <v>0</v>
      </c>
      <c r="C1" s="502" t="s">
        <v>9365</v>
      </c>
      <c r="D1" s="502" t="s">
        <v>9366</v>
      </c>
      <c r="E1" s="502" t="s">
        <v>9367</v>
      </c>
      <c r="F1" s="502" t="s">
        <v>9368</v>
      </c>
      <c r="G1" s="502" t="s">
        <v>9369</v>
      </c>
      <c r="H1" s="502" t="s">
        <v>9370</v>
      </c>
      <c r="I1" s="502" t="s">
        <v>9371</v>
      </c>
      <c r="J1" s="502" t="s">
        <v>9372</v>
      </c>
      <c r="K1" s="502" t="s">
        <v>9373</v>
      </c>
      <c r="L1" s="502" t="s">
        <v>9374</v>
      </c>
      <c r="M1" s="502" t="s">
        <v>9375</v>
      </c>
    </row>
    <row r="2" spans="1:13" ht="14.4" customHeight="1">
      <c r="A2" s="13" t="str" cm="1">
        <f t="array" ref="A2">_xlfn.IFS(
template_selected_display_language='Footnote (Taxonomy) Labels'!$B$1,'Footnote (Taxonomy) Labels'!$B2,
template_selected_display_language='Footnote (Taxonomy) Labels'!$C$1,'Footnote (Taxonomy) Labels'!$C2,
template_selected_display_language='Footnote (Taxonomy) Labels'!$D$1,'Footnote (Taxonomy) Labels'!$D2,
template_selected_display_language='Footnote (Taxonomy) Labels'!$E$1,'Footnote (Taxonomy) Labels'!$E2,
template_selected_display_language='Footnote (Taxonomy) Labels'!$F$1,'Footnote (Taxonomy) Labels'!$F2,
template_selected_display_language='Footnote (Taxonomy) Labels'!$G$1,'Footnote (Taxonomy) Labels'!$G2,
template_selected_display_language='Footnote (Taxonomy) Labels'!$H$1,'Footnote (Taxonomy) Labels'!$H2,
template_selected_display_language='Footnote (Taxonomy) Labels'!$I$1,'Footnote (Taxonomy) Labels'!$I2,
template_selected_display_language='Footnote (Taxonomy) Labels'!$J$1,'Footnote (Taxonomy) Labels'!$J2,
template_selected_display_language='Footnote (Taxonomy) Labels'!$K$1,'Footnote (Taxonomy) Labels'!$K2,
template_selected_display_language='Footnote (Taxonomy) Labels'!$L$1,'Footnote (Taxonomy) Labels'!$L2,
template_selected_display_language='Footnote (Taxonomy) Labels'!$M$1,'Footnote (Taxonomy) Labels'!$M2
)</f>
        <v>Basis for preparation (Basic Module Only or Basic &amp; Comprehensive Module)</v>
      </c>
      <c r="B2" s="510" t="s">
        <v>4671</v>
      </c>
      <c r="C2" s="503" t="s">
        <v>9376</v>
      </c>
      <c r="D2" s="503" t="s">
        <v>9377</v>
      </c>
      <c r="E2" s="503" t="s">
        <v>9378</v>
      </c>
      <c r="F2" s="503" t="s">
        <v>9379</v>
      </c>
      <c r="G2" s="503" t="s">
        <v>9380</v>
      </c>
      <c r="H2" s="503" t="s">
        <v>9381</v>
      </c>
      <c r="I2" s="503" t="s">
        <v>9382</v>
      </c>
      <c r="J2" s="503" t="s">
        <v>9383</v>
      </c>
      <c r="K2" s="503" t="s">
        <v>9384</v>
      </c>
      <c r="L2" s="503" t="s">
        <v>9385</v>
      </c>
      <c r="M2" s="505" t="s">
        <v>9386</v>
      </c>
    </row>
    <row r="3" spans="1:13" ht="14.4" customHeight="1">
      <c r="A3" s="4" t="str" cm="1">
        <f t="array" ref="A3">_xlfn.IFS(
template_selected_display_language='Footnote (Taxonomy) Labels'!$B$1,'Footnote (Taxonomy) Labels'!$B3,
template_selected_display_language='Footnote (Taxonomy) Labels'!$C$1,'Footnote (Taxonomy) Labels'!$C3,
template_selected_display_language='Footnote (Taxonomy) Labels'!$D$1,'Footnote (Taxonomy) Labels'!$D3,
template_selected_display_language='Footnote (Taxonomy) Labels'!$E$1,'Footnote (Taxonomy) Labels'!$E3,
template_selected_display_language='Footnote (Taxonomy) Labels'!$F$1,'Footnote (Taxonomy) Labels'!$F3,
template_selected_display_language='Footnote (Taxonomy) Labels'!$G$1,'Footnote (Taxonomy) Labels'!$G3,
template_selected_display_language='Footnote (Taxonomy) Labels'!$H$1,'Footnote (Taxonomy) Labels'!$H3,
template_selected_display_language='Footnote (Taxonomy) Labels'!$I$1,'Footnote (Taxonomy) Labels'!$I3,
template_selected_display_language='Footnote (Taxonomy) Labels'!$J$1,'Footnote (Taxonomy) Labels'!$J3,
template_selected_display_language='Footnote (Taxonomy) Labels'!$K$1,'Footnote (Taxonomy) Labels'!$K3,
template_selected_display_language='Footnote (Taxonomy) Labels'!$L$1,'Footnote (Taxonomy) Labels'!$L3,
template_selected_display_language='Footnote (Taxonomy) Labels'!$M$1,'Footnote (Taxonomy) Labels'!$M3
)</f>
        <v>Basis for reporting (consolidated or individual basis)</v>
      </c>
      <c r="B3" s="511" t="s">
        <v>4698</v>
      </c>
      <c r="C3" s="504" t="s">
        <v>9387</v>
      </c>
      <c r="D3" s="504" t="s">
        <v>9388</v>
      </c>
      <c r="E3" s="504" t="s">
        <v>4701</v>
      </c>
      <c r="F3" s="504" t="s">
        <v>4702</v>
      </c>
      <c r="G3" s="504" t="s">
        <v>9389</v>
      </c>
      <c r="H3" s="504" t="s">
        <v>9390</v>
      </c>
      <c r="I3" s="504" t="s">
        <v>4705</v>
      </c>
      <c r="J3" s="504" t="s">
        <v>9391</v>
      </c>
      <c r="K3" s="504" t="s">
        <v>4709</v>
      </c>
      <c r="L3" s="504" t="s">
        <v>9392</v>
      </c>
      <c r="M3" s="506" t="s">
        <v>9393</v>
      </c>
    </row>
    <row r="4" spans="1:13" ht="14.4" customHeight="1">
      <c r="A4" s="4" t="str" cm="1">
        <f t="array" ref="A4">_xlfn.IFS(
template_selected_display_language='Footnote (Taxonomy) Labels'!$B$1,'Footnote (Taxonomy) Labels'!$B4,
template_selected_display_language='Footnote (Taxonomy) Labels'!$C$1,'Footnote (Taxonomy) Labels'!$C4,
template_selected_display_language='Footnote (Taxonomy) Labels'!$D$1,'Footnote (Taxonomy) Labels'!$D4,
template_selected_display_language='Footnote (Taxonomy) Labels'!$E$1,'Footnote (Taxonomy) Labels'!$E4,
template_selected_display_language='Footnote (Taxonomy) Labels'!$F$1,'Footnote (Taxonomy) Labels'!$F4,
template_selected_display_language='Footnote (Taxonomy) Labels'!$G$1,'Footnote (Taxonomy) Labels'!$G4,
template_selected_display_language='Footnote (Taxonomy) Labels'!$H$1,'Footnote (Taxonomy) Labels'!$H4,
template_selected_display_language='Footnote (Taxonomy) Labels'!$I$1,'Footnote (Taxonomy) Labels'!$I4,
template_selected_display_language='Footnote (Taxonomy) Labels'!$J$1,'Footnote (Taxonomy) Labels'!$J4,
template_selected_display_language='Footnote (Taxonomy) Labels'!$K$1,'Footnote (Taxonomy) Labels'!$K4,
template_selected_display_language='Footnote (Taxonomy) Labels'!$L$1,'Footnote (Taxonomy) Labels'!$L4,
template_selected_display_language='Footnote (Taxonomy) Labels'!$M$1,'Footnote (Taxonomy) Labels'!$M4
)</f>
        <v>Report contains disclosures from the previous reporting period that remain unchanged</v>
      </c>
      <c r="B4" s="511" t="s">
        <v>9394</v>
      </c>
      <c r="C4" s="504" t="s">
        <v>9395</v>
      </c>
      <c r="D4" s="504" t="s">
        <v>9396</v>
      </c>
      <c r="E4" s="504" t="s">
        <v>4609</v>
      </c>
      <c r="F4" s="504" t="s">
        <v>9397</v>
      </c>
      <c r="G4" s="504" t="s">
        <v>9398</v>
      </c>
      <c r="H4" s="504" t="s">
        <v>9399</v>
      </c>
      <c r="I4" s="504" t="s">
        <v>9400</v>
      </c>
      <c r="J4" s="504" t="s">
        <v>9401</v>
      </c>
      <c r="K4" s="504" t="s">
        <v>9402</v>
      </c>
      <c r="L4" s="504" t="s">
        <v>9403</v>
      </c>
      <c r="M4" s="506" t="s">
        <v>9404</v>
      </c>
    </row>
    <row r="5" spans="1:13" ht="14.4" customHeight="1">
      <c r="A5" s="4" t="str" cm="1">
        <f t="array" ref="A5">_xlfn.IFS(
template_selected_display_language='Footnote (Taxonomy) Labels'!$B$1,'Footnote (Taxonomy) Labels'!$B5,
template_selected_display_language='Footnote (Taxonomy) Labels'!$C$1,'Footnote (Taxonomy) Labels'!$C5,
template_selected_display_language='Footnote (Taxonomy) Labels'!$D$1,'Footnote (Taxonomy) Labels'!$D5,
template_selected_display_language='Footnote (Taxonomy) Labels'!$E$1,'Footnote (Taxonomy) Labels'!$E5,
template_selected_display_language='Footnote (Taxonomy) Labels'!$F$1,'Footnote (Taxonomy) Labels'!$F5,
template_selected_display_language='Footnote (Taxonomy) Labels'!$G$1,'Footnote (Taxonomy) Labels'!$G5,
template_selected_display_language='Footnote (Taxonomy) Labels'!$H$1,'Footnote (Taxonomy) Labels'!$H5,
template_selected_display_language='Footnote (Taxonomy) Labels'!$I$1,'Footnote (Taxonomy) Labels'!$I5,
template_selected_display_language='Footnote (Taxonomy) Labels'!$J$1,'Footnote (Taxonomy) Labels'!$J5,
template_selected_display_language='Footnote (Taxonomy) Labels'!$K$1,'Footnote (Taxonomy) Labels'!$K5,
template_selected_display_language='Footnote (Taxonomy) Labels'!$L$1,'Footnote (Taxonomy) Labels'!$L5,
template_selected_display_language='Footnote (Taxonomy) Labels'!$M$1,'Footnote (Taxonomy) Labels'!$M5
)</f>
        <v xml:space="preserve">List of disclosures for which no changes are reported compared to the previous period reporting </v>
      </c>
      <c r="B5" s="511" t="s">
        <v>9405</v>
      </c>
      <c r="C5" s="504" t="s">
        <v>9406</v>
      </c>
      <c r="D5" s="504" t="s">
        <v>9407</v>
      </c>
      <c r="E5" s="504" t="s">
        <v>9408</v>
      </c>
      <c r="F5" s="504" t="s">
        <v>4623</v>
      </c>
      <c r="G5" s="504" t="s">
        <v>9409</v>
      </c>
      <c r="H5" s="504" t="s">
        <v>9410</v>
      </c>
      <c r="I5" s="504" t="s">
        <v>9411</v>
      </c>
      <c r="J5" s="504" t="s">
        <v>4627</v>
      </c>
      <c r="K5" s="504" t="s">
        <v>9412</v>
      </c>
      <c r="L5" s="504" t="s">
        <v>9413</v>
      </c>
      <c r="M5" s="506" t="s">
        <v>9414</v>
      </c>
    </row>
    <row r="6" spans="1:13" ht="14.4" customHeight="1">
      <c r="A6" s="4" t="str" cm="1">
        <f t="array" ref="A6">_xlfn.IFS(
template_selected_display_language='Footnote (Taxonomy) Labels'!$B$1,'Footnote (Taxonomy) Labels'!$B6,
template_selected_display_language='Footnote (Taxonomy) Labels'!$C$1,'Footnote (Taxonomy) Labels'!$C6,
template_selected_display_language='Footnote (Taxonomy) Labels'!$D$1,'Footnote (Taxonomy) Labels'!$D6,
template_selected_display_language='Footnote (Taxonomy) Labels'!$E$1,'Footnote (Taxonomy) Labels'!$E6,
template_selected_display_language='Footnote (Taxonomy) Labels'!$F$1,'Footnote (Taxonomy) Labels'!$F6,
template_selected_display_language='Footnote (Taxonomy) Labels'!$G$1,'Footnote (Taxonomy) Labels'!$G6,
template_selected_display_language='Footnote (Taxonomy) Labels'!$H$1,'Footnote (Taxonomy) Labels'!$H6,
template_selected_display_language='Footnote (Taxonomy) Labels'!$I$1,'Footnote (Taxonomy) Labels'!$I6,
template_selected_display_language='Footnote (Taxonomy) Labels'!$J$1,'Footnote (Taxonomy) Labels'!$J6,
template_selected_display_language='Footnote (Taxonomy) Labels'!$K$1,'Footnote (Taxonomy) Labels'!$K6,
template_selected_display_language='Footnote (Taxonomy) Labels'!$L$1,'Footnote (Taxonomy) Labels'!$L6,
template_selected_display_language='Footnote (Taxonomy) Labels'!$M$1,'Footnote (Taxonomy) Labels'!$M6
)</f>
        <v>Link to previous report containing disclosures that remain unchanged</v>
      </c>
      <c r="B6" s="511" t="s">
        <v>4632</v>
      </c>
      <c r="C6" s="504" t="s">
        <v>9415</v>
      </c>
      <c r="D6" s="504" t="s">
        <v>9416</v>
      </c>
      <c r="E6" s="504" t="s">
        <v>4635</v>
      </c>
      <c r="F6" s="504" t="s">
        <v>9417</v>
      </c>
      <c r="G6" s="504" t="s">
        <v>9418</v>
      </c>
      <c r="H6" s="504" t="s">
        <v>4638</v>
      </c>
      <c r="I6" s="504" t="s">
        <v>9419</v>
      </c>
      <c r="J6" s="504" t="s">
        <v>4640</v>
      </c>
      <c r="K6" s="504" t="s">
        <v>4643</v>
      </c>
      <c r="L6" s="504" t="s">
        <v>9420</v>
      </c>
      <c r="M6" s="506" t="s">
        <v>9421</v>
      </c>
    </row>
    <row r="7" spans="1:13" ht="14.4" customHeight="1">
      <c r="A7" s="4" t="str" cm="1">
        <f t="array" ref="A7">_xlfn.IFS(
template_selected_display_language='Footnote (Taxonomy) Labels'!$B$1,'Footnote (Taxonomy) Labels'!$B7,
template_selected_display_language='Footnote (Taxonomy) Labels'!$C$1,'Footnote (Taxonomy) Labels'!$C7,
template_selected_display_language='Footnote (Taxonomy) Labels'!$D$1,'Footnote (Taxonomy) Labels'!$D7,
template_selected_display_language='Footnote (Taxonomy) Labels'!$E$1,'Footnote (Taxonomy) Labels'!$E7,
template_selected_display_language='Footnote (Taxonomy) Labels'!$F$1,'Footnote (Taxonomy) Labels'!$F7,
template_selected_display_language='Footnote (Taxonomy) Labels'!$G$1,'Footnote (Taxonomy) Labels'!$G7,
template_selected_display_language='Footnote (Taxonomy) Labels'!$H$1,'Footnote (Taxonomy) Labels'!$H7,
template_selected_display_language='Footnote (Taxonomy) Labels'!$I$1,'Footnote (Taxonomy) Labels'!$I7,
template_selected_display_language='Footnote (Taxonomy) Labels'!$J$1,'Footnote (Taxonomy) Labels'!$J7,
template_selected_display_language='Footnote (Taxonomy) Labels'!$K$1,'Footnote (Taxonomy) Labels'!$K7,
template_selected_display_language='Footnote (Taxonomy) Labels'!$L$1,'Footnote (Taxonomy) Labels'!$L7,
template_selected_display_language='Footnote (Taxonomy) Labels'!$M$1,'Footnote (Taxonomy) Labels'!$M7
)</f>
        <v>List of omitted disclosures deemed to be classified or sensitive information</v>
      </c>
      <c r="B7" s="511" t="s">
        <v>9422</v>
      </c>
      <c r="C7" s="504" t="s">
        <v>4686</v>
      </c>
      <c r="D7" s="504" t="s">
        <v>9423</v>
      </c>
      <c r="E7" s="504" t="s">
        <v>4688</v>
      </c>
      <c r="F7" s="504" t="s">
        <v>4689</v>
      </c>
      <c r="G7" s="504" t="s">
        <v>4690</v>
      </c>
      <c r="H7" s="504" t="s">
        <v>9424</v>
      </c>
      <c r="I7" s="504" t="s">
        <v>4692</v>
      </c>
      <c r="J7" s="504" t="s">
        <v>9425</v>
      </c>
      <c r="K7" s="504" t="s">
        <v>9426</v>
      </c>
      <c r="L7" s="504" t="s">
        <v>9427</v>
      </c>
      <c r="M7" s="506" t="s">
        <v>9428</v>
      </c>
    </row>
    <row r="8" spans="1:13" ht="14.4" customHeight="1">
      <c r="A8" s="4" t="str" cm="1">
        <f t="array" ref="A8">_xlfn.IFS(
template_selected_display_language='Footnote (Taxonomy) Labels'!$B$1,'Footnote (Taxonomy) Labels'!$B8,
template_selected_display_language='Footnote (Taxonomy) Labels'!$C$1,'Footnote (Taxonomy) Labels'!$C8,
template_selected_display_language='Footnote (Taxonomy) Labels'!$D$1,'Footnote (Taxonomy) Labels'!$D8,
template_selected_display_language='Footnote (Taxonomy) Labels'!$E$1,'Footnote (Taxonomy) Labels'!$E8,
template_selected_display_language='Footnote (Taxonomy) Labels'!$F$1,'Footnote (Taxonomy) Labels'!$F8,
template_selected_display_language='Footnote (Taxonomy) Labels'!$G$1,'Footnote (Taxonomy) Labels'!$G8,
template_selected_display_language='Footnote (Taxonomy) Labels'!$H$1,'Footnote (Taxonomy) Labels'!$H8,
template_selected_display_language='Footnote (Taxonomy) Labels'!$I$1,'Footnote (Taxonomy) Labels'!$I8,
template_selected_display_language='Footnote (Taxonomy) Labels'!$J$1,'Footnote (Taxonomy) Labels'!$J8,
template_selected_display_language='Footnote (Taxonomy) Labels'!$K$1,'Footnote (Taxonomy) Labels'!$K8,
template_selected_display_language='Footnote (Taxonomy) Labels'!$L$1,'Footnote (Taxonomy) Labels'!$L8,
template_selected_display_language='Footnote (Taxonomy) Labels'!$M$1,'Footnote (Taxonomy) Labels'!$M8
)</f>
        <v>Undertakings legal form</v>
      </c>
      <c r="B8" s="511" t="s">
        <v>4711</v>
      </c>
      <c r="C8" s="504" t="s">
        <v>9429</v>
      </c>
      <c r="D8" s="504" t="s">
        <v>9430</v>
      </c>
      <c r="E8" s="504" t="s">
        <v>9431</v>
      </c>
      <c r="F8" s="504" t="s">
        <v>4715</v>
      </c>
      <c r="G8" s="504" t="s">
        <v>9432</v>
      </c>
      <c r="H8" s="504" t="s">
        <v>4717</v>
      </c>
      <c r="I8" s="521"/>
      <c r="J8" s="504" t="s">
        <v>4719</v>
      </c>
      <c r="K8" s="504" t="s">
        <v>9433</v>
      </c>
      <c r="L8" s="504" t="s">
        <v>9434</v>
      </c>
      <c r="M8" s="506" t="s">
        <v>4720</v>
      </c>
    </row>
    <row r="9" spans="1:13" ht="14.4" customHeight="1">
      <c r="A9" s="4" t="str" cm="1">
        <f t="array" ref="A9">_xlfn.IFS(
template_selected_display_language='Footnote (Taxonomy) Labels'!$B$1,'Footnote (Taxonomy) Labels'!$B9,
template_selected_display_language='Footnote (Taxonomy) Labels'!$C$1,'Footnote (Taxonomy) Labels'!$C9,
template_selected_display_language='Footnote (Taxonomy) Labels'!$D$1,'Footnote (Taxonomy) Labels'!$D9,
template_selected_display_language='Footnote (Taxonomy) Labels'!$E$1,'Footnote (Taxonomy) Labels'!$E9,
template_selected_display_language='Footnote (Taxonomy) Labels'!$F$1,'Footnote (Taxonomy) Labels'!$F9,
template_selected_display_language='Footnote (Taxonomy) Labels'!$G$1,'Footnote (Taxonomy) Labels'!$G9,
template_selected_display_language='Footnote (Taxonomy) Labels'!$H$1,'Footnote (Taxonomy) Labels'!$H9,
template_selected_display_language='Footnote (Taxonomy) Labels'!$I$1,'Footnote (Taxonomy) Labels'!$I9,
template_selected_display_language='Footnote (Taxonomy) Labels'!$J$1,'Footnote (Taxonomy) Labels'!$J9,
template_selected_display_language='Footnote (Taxonomy) Labels'!$K$1,'Footnote (Taxonomy) Labels'!$K9,
template_selected_display_language='Footnote (Taxonomy) Labels'!$L$1,'Footnote (Taxonomy) Labels'!$L9,
template_selected_display_language='Footnote (Taxonomy) Labels'!$M$1,'Footnote (Taxonomy) Labels'!$M9
)</f>
        <v>Other undertaking's legal form</v>
      </c>
      <c r="B9" s="511" t="s">
        <v>9435</v>
      </c>
      <c r="C9" s="504" t="s">
        <v>9436</v>
      </c>
      <c r="D9" s="504" t="s">
        <v>9437</v>
      </c>
      <c r="E9" s="504" t="s">
        <v>4727</v>
      </c>
      <c r="F9" s="504" t="s">
        <v>4728</v>
      </c>
      <c r="G9" s="504" t="s">
        <v>9438</v>
      </c>
      <c r="H9" s="504" t="s">
        <v>9439</v>
      </c>
      <c r="I9" s="504" t="s">
        <v>9440</v>
      </c>
      <c r="J9" s="504" t="s">
        <v>9441</v>
      </c>
      <c r="K9" s="504" t="s">
        <v>9442</v>
      </c>
      <c r="L9" s="504" t="s">
        <v>9443</v>
      </c>
      <c r="M9" s="506" t="s">
        <v>9444</v>
      </c>
    </row>
    <row r="10" spans="1:13" ht="14.4" customHeight="1">
      <c r="A10" s="4" t="str" cm="1">
        <f t="array" ref="A10">_xlfn.IFS(
template_selected_display_language='Footnote (Taxonomy) Labels'!$B$1,'Footnote (Taxonomy) Labels'!$B10,
template_selected_display_language='Footnote (Taxonomy) Labels'!$C$1,'Footnote (Taxonomy) Labels'!$C10,
template_selected_display_language='Footnote (Taxonomy) Labels'!$D$1,'Footnote (Taxonomy) Labels'!$D10,
template_selected_display_language='Footnote (Taxonomy) Labels'!$E$1,'Footnote (Taxonomy) Labels'!$E10,
template_selected_display_language='Footnote (Taxonomy) Labels'!$F$1,'Footnote (Taxonomy) Labels'!$F10,
template_selected_display_language='Footnote (Taxonomy) Labels'!$G$1,'Footnote (Taxonomy) Labels'!$G10,
template_selected_display_language='Footnote (Taxonomy) Labels'!$H$1,'Footnote (Taxonomy) Labels'!$H10,
template_selected_display_language='Footnote (Taxonomy) Labels'!$I$1,'Footnote (Taxonomy) Labels'!$I10,
template_selected_display_language='Footnote (Taxonomy) Labels'!$J$1,'Footnote (Taxonomy) Labels'!$J10,
template_selected_display_language='Footnote (Taxonomy) Labels'!$K$1,'Footnote (Taxonomy) Labels'!$K10,
template_selected_display_language='Footnote (Taxonomy) Labels'!$L$1,'Footnote (Taxonomy) Labels'!$L10,
template_selected_display_language='Footnote (Taxonomy) Labels'!$M$1,'Footnote (Taxonomy) Labels'!$M10
)</f>
        <v>NACE sector classification codes</v>
      </c>
      <c r="B10" s="511" t="s">
        <v>9445</v>
      </c>
      <c r="C10" s="504" t="s">
        <v>9446</v>
      </c>
      <c r="D10" s="504" t="s">
        <v>9447</v>
      </c>
      <c r="E10" s="504" t="s">
        <v>4740</v>
      </c>
      <c r="F10" s="504" t="s">
        <v>4741</v>
      </c>
      <c r="G10" s="504" t="s">
        <v>9448</v>
      </c>
      <c r="H10" s="504" t="s">
        <v>9449</v>
      </c>
      <c r="I10" s="504" t="s">
        <v>9450</v>
      </c>
      <c r="J10" s="504" t="s">
        <v>9451</v>
      </c>
      <c r="K10" s="504" t="s">
        <v>4748</v>
      </c>
      <c r="L10" s="504" t="s">
        <v>9452</v>
      </c>
      <c r="M10" s="506" t="s">
        <v>9453</v>
      </c>
    </row>
    <row r="11" spans="1:13" ht="14.4" customHeight="1">
      <c r="A11" s="4" t="str" cm="1">
        <f t="array" ref="A11">_xlfn.IFS(
template_selected_display_language='Footnote (Taxonomy) Labels'!$B$1,'Footnote (Taxonomy) Labels'!$B11,
template_selected_display_language='Footnote (Taxonomy) Labels'!$C$1,'Footnote (Taxonomy) Labels'!$C11,
template_selected_display_language='Footnote (Taxonomy) Labels'!$D$1,'Footnote (Taxonomy) Labels'!$D11,
template_selected_display_language='Footnote (Taxonomy) Labels'!$E$1,'Footnote (Taxonomy) Labels'!$E11,
template_selected_display_language='Footnote (Taxonomy) Labels'!$F$1,'Footnote (Taxonomy) Labels'!$F11,
template_selected_display_language='Footnote (Taxonomy) Labels'!$G$1,'Footnote (Taxonomy) Labels'!$G11,
template_selected_display_language='Footnote (Taxonomy) Labels'!$H$1,'Footnote (Taxonomy) Labels'!$H11,
template_selected_display_language='Footnote (Taxonomy) Labels'!$I$1,'Footnote (Taxonomy) Labels'!$I11,
template_selected_display_language='Footnote (Taxonomy) Labels'!$J$1,'Footnote (Taxonomy) Labels'!$J11,
template_selected_display_language='Footnote (Taxonomy) Labels'!$K$1,'Footnote (Taxonomy) Labels'!$K11,
template_selected_display_language='Footnote (Taxonomy) Labels'!$L$1,'Footnote (Taxonomy) Labels'!$L11,
template_selected_display_language='Footnote (Taxonomy) Labels'!$M$1,'Footnote (Taxonomy) Labels'!$M11
)</f>
        <v>Assets</v>
      </c>
      <c r="B11" s="511" t="s">
        <v>9454</v>
      </c>
      <c r="C11" s="504" t="s">
        <v>9455</v>
      </c>
      <c r="D11" s="504" t="s">
        <v>9456</v>
      </c>
      <c r="E11" s="504" t="s">
        <v>9457</v>
      </c>
      <c r="F11" s="504" t="s">
        <v>9458</v>
      </c>
      <c r="G11" s="504" t="s">
        <v>9459</v>
      </c>
      <c r="H11" s="504" t="s">
        <v>9460</v>
      </c>
      <c r="I11" s="504" t="s">
        <v>9461</v>
      </c>
      <c r="J11" s="504" t="s">
        <v>9462</v>
      </c>
      <c r="K11" s="504" t="s">
        <v>9463</v>
      </c>
      <c r="L11" s="504" t="s">
        <v>9464</v>
      </c>
      <c r="M11" s="506" t="s">
        <v>9465</v>
      </c>
    </row>
    <row r="12" spans="1:13" ht="14.4" customHeight="1">
      <c r="A12" s="4" t="str" cm="1">
        <f t="array" ref="A12">_xlfn.IFS(
template_selected_display_language='Footnote (Taxonomy) Labels'!$B$1,'Footnote (Taxonomy) Labels'!$B12,
template_selected_display_language='Footnote (Taxonomy) Labels'!$C$1,'Footnote (Taxonomy) Labels'!$C12,
template_selected_display_language='Footnote (Taxonomy) Labels'!$D$1,'Footnote (Taxonomy) Labels'!$D12,
template_selected_display_language='Footnote (Taxonomy) Labels'!$E$1,'Footnote (Taxonomy) Labels'!$E12,
template_selected_display_language='Footnote (Taxonomy) Labels'!$F$1,'Footnote (Taxonomy) Labels'!$F12,
template_selected_display_language='Footnote (Taxonomy) Labels'!$G$1,'Footnote (Taxonomy) Labels'!$G12,
template_selected_display_language='Footnote (Taxonomy) Labels'!$H$1,'Footnote (Taxonomy) Labels'!$H12,
template_selected_display_language='Footnote (Taxonomy) Labels'!$I$1,'Footnote (Taxonomy) Labels'!$I12,
template_selected_display_language='Footnote (Taxonomy) Labels'!$J$1,'Footnote (Taxonomy) Labels'!$J12,
template_selected_display_language='Footnote (Taxonomy) Labels'!$K$1,'Footnote (Taxonomy) Labels'!$K12,
template_selected_display_language='Footnote (Taxonomy) Labels'!$L$1,'Footnote (Taxonomy) Labels'!$L12,
template_selected_display_language='Footnote (Taxonomy) Labels'!$M$1,'Footnote (Taxonomy) Labels'!$M12
)</f>
        <v>Turnover</v>
      </c>
      <c r="B12" s="511" t="s">
        <v>9466</v>
      </c>
      <c r="C12" s="504" t="s">
        <v>9467</v>
      </c>
      <c r="D12" s="504" t="s">
        <v>9468</v>
      </c>
      <c r="E12" s="504" t="s">
        <v>9469</v>
      </c>
      <c r="F12" s="504" t="s">
        <v>9470</v>
      </c>
      <c r="G12" s="504" t="s">
        <v>9471</v>
      </c>
      <c r="H12" s="504" t="s">
        <v>4769</v>
      </c>
      <c r="I12" s="504" t="s">
        <v>9472</v>
      </c>
      <c r="J12" s="504" t="s">
        <v>9473</v>
      </c>
      <c r="K12" s="504" t="s">
        <v>9474</v>
      </c>
      <c r="L12" s="504" t="s">
        <v>9475</v>
      </c>
      <c r="M12" s="506" t="s">
        <v>9476</v>
      </c>
    </row>
    <row r="13" spans="1:13" ht="14.4" customHeight="1">
      <c r="A13" s="4" t="str" cm="1">
        <f t="array" ref="A13">_xlfn.IFS(
template_selected_display_language='Footnote (Taxonomy) Labels'!$B$1,'Footnote (Taxonomy) Labels'!$B13,
template_selected_display_language='Footnote (Taxonomy) Labels'!$C$1,'Footnote (Taxonomy) Labels'!$C13,
template_selected_display_language='Footnote (Taxonomy) Labels'!$D$1,'Footnote (Taxonomy) Labels'!$D13,
template_selected_display_language='Footnote (Taxonomy) Labels'!$E$1,'Footnote (Taxonomy) Labels'!$E13,
template_selected_display_language='Footnote (Taxonomy) Labels'!$F$1,'Footnote (Taxonomy) Labels'!$F13,
template_selected_display_language='Footnote (Taxonomy) Labels'!$G$1,'Footnote (Taxonomy) Labels'!$G13,
template_selected_display_language='Footnote (Taxonomy) Labels'!$H$1,'Footnote (Taxonomy) Labels'!$H13,
template_selected_display_language='Footnote (Taxonomy) Labels'!$I$1,'Footnote (Taxonomy) Labels'!$I13,
template_selected_display_language='Footnote (Taxonomy) Labels'!$J$1,'Footnote (Taxonomy) Labels'!$J13,
template_selected_display_language='Footnote (Taxonomy) Labels'!$K$1,'Footnote (Taxonomy) Labels'!$K13,
template_selected_display_language='Footnote (Taxonomy) Labels'!$L$1,'Footnote (Taxonomy) Labels'!$L13,
template_selected_display_language='Footnote (Taxonomy) Labels'!$M$1,'Footnote (Taxonomy) Labels'!$M13
)</f>
        <v>Number of employees</v>
      </c>
      <c r="B13" s="511" t="s">
        <v>4776</v>
      </c>
      <c r="C13" s="504" t="s">
        <v>4777</v>
      </c>
      <c r="D13" s="504" t="s">
        <v>4778</v>
      </c>
      <c r="E13" s="504" t="s">
        <v>4779</v>
      </c>
      <c r="F13" s="504" t="s">
        <v>9477</v>
      </c>
      <c r="G13" s="504" t="s">
        <v>4781</v>
      </c>
      <c r="H13" s="504" t="s">
        <v>4782</v>
      </c>
      <c r="I13" s="504" t="s">
        <v>4783</v>
      </c>
      <c r="J13" s="504" t="s">
        <v>4784</v>
      </c>
      <c r="K13" s="504" t="s">
        <v>9478</v>
      </c>
      <c r="L13" s="504" t="s">
        <v>4786</v>
      </c>
      <c r="M13" s="506" t="s">
        <v>4785</v>
      </c>
    </row>
    <row r="14" spans="1:13" ht="14.4" customHeight="1">
      <c r="A14" s="4" t="str" cm="1">
        <f t="array" ref="A14">_xlfn.IFS(
template_selected_display_language='Footnote (Taxonomy) Labels'!$B$1,'Footnote (Taxonomy) Labels'!$B14,
template_selected_display_language='Footnote (Taxonomy) Labels'!$C$1,'Footnote (Taxonomy) Labels'!$C14,
template_selected_display_language='Footnote (Taxonomy) Labels'!$D$1,'Footnote (Taxonomy) Labels'!$D14,
template_selected_display_language='Footnote (Taxonomy) Labels'!$E$1,'Footnote (Taxonomy) Labels'!$E14,
template_selected_display_language='Footnote (Taxonomy) Labels'!$F$1,'Footnote (Taxonomy) Labels'!$F14,
template_selected_display_language='Footnote (Taxonomy) Labels'!$G$1,'Footnote (Taxonomy) Labels'!$G14,
template_selected_display_language='Footnote (Taxonomy) Labels'!$H$1,'Footnote (Taxonomy) Labels'!$H14,
template_selected_display_language='Footnote (Taxonomy) Labels'!$I$1,'Footnote (Taxonomy) Labels'!$I14,
template_selected_display_language='Footnote (Taxonomy) Labels'!$J$1,'Footnote (Taxonomy) Labels'!$J14,
template_selected_display_language='Footnote (Taxonomy) Labels'!$K$1,'Footnote (Taxonomy) Labels'!$K14,
template_selected_display_language='Footnote (Taxonomy) Labels'!$L$1,'Footnote (Taxonomy) Labels'!$L14,
template_selected_display_language='Footnote (Taxonomy) Labels'!$M$1,'Footnote (Taxonomy) Labels'!$M14
)</f>
        <v>Employee counting methodology</v>
      </c>
      <c r="B14" s="511" t="s">
        <v>9479</v>
      </c>
      <c r="C14" s="504" t="s">
        <v>9480</v>
      </c>
      <c r="D14" s="504" t="s">
        <v>9481</v>
      </c>
      <c r="E14" s="504" t="s">
        <v>9482</v>
      </c>
      <c r="F14" s="504" t="s">
        <v>9483</v>
      </c>
      <c r="G14" s="504" t="s">
        <v>9484</v>
      </c>
      <c r="H14" s="504" t="s">
        <v>9485</v>
      </c>
      <c r="I14" s="504" t="s">
        <v>9486</v>
      </c>
      <c r="J14" s="504" t="s">
        <v>9487</v>
      </c>
      <c r="K14" s="504" t="s">
        <v>9488</v>
      </c>
      <c r="L14" s="504" t="s">
        <v>9489</v>
      </c>
      <c r="M14" s="506" t="s">
        <v>9490</v>
      </c>
    </row>
    <row r="15" spans="1:13" ht="14.4" customHeight="1">
      <c r="A15" s="4" t="str" cm="1">
        <f t="array" ref="A15">_xlfn.IFS(
template_selected_display_language='Footnote (Taxonomy) Labels'!$B$1,'Footnote (Taxonomy) Labels'!$B15,
template_selected_display_language='Footnote (Taxonomy) Labels'!$C$1,'Footnote (Taxonomy) Labels'!$C15,
template_selected_display_language='Footnote (Taxonomy) Labels'!$D$1,'Footnote (Taxonomy) Labels'!$D15,
template_selected_display_language='Footnote (Taxonomy) Labels'!$E$1,'Footnote (Taxonomy) Labels'!$E15,
template_selected_display_language='Footnote (Taxonomy) Labels'!$F$1,'Footnote (Taxonomy) Labels'!$F15,
template_selected_display_language='Footnote (Taxonomy) Labels'!$G$1,'Footnote (Taxonomy) Labels'!$G15,
template_selected_display_language='Footnote (Taxonomy) Labels'!$H$1,'Footnote (Taxonomy) Labels'!$H15,
template_selected_display_language='Footnote (Taxonomy) Labels'!$I$1,'Footnote (Taxonomy) Labels'!$I15,
template_selected_display_language='Footnote (Taxonomy) Labels'!$J$1,'Footnote (Taxonomy) Labels'!$J15,
template_selected_display_language='Footnote (Taxonomy) Labels'!$K$1,'Footnote (Taxonomy) Labels'!$K15,
template_selected_display_language='Footnote (Taxonomy) Labels'!$L$1,'Footnote (Taxonomy) Labels'!$L15,
template_selected_display_language='Footnote (Taxonomy) Labels'!$M$1,'Footnote (Taxonomy) Labels'!$M15
)</f>
        <v>Type of number of employees</v>
      </c>
      <c r="B15" s="511" t="s">
        <v>9491</v>
      </c>
      <c r="C15" s="504" t="s">
        <v>9492</v>
      </c>
      <c r="D15" s="504" t="s">
        <v>9493</v>
      </c>
      <c r="E15" s="504" t="s">
        <v>9494</v>
      </c>
      <c r="F15" s="504" t="s">
        <v>9495</v>
      </c>
      <c r="G15" s="504" t="s">
        <v>9496</v>
      </c>
      <c r="H15" s="504" t="s">
        <v>9497</v>
      </c>
      <c r="I15" s="504" t="s">
        <v>9498</v>
      </c>
      <c r="J15" s="504" t="s">
        <v>9499</v>
      </c>
      <c r="K15" s="504" t="s">
        <v>9500</v>
      </c>
      <c r="L15" s="504" t="s">
        <v>9501</v>
      </c>
      <c r="M15" s="506" t="s">
        <v>9502</v>
      </c>
    </row>
    <row r="16" spans="1:13" ht="14.4" customHeight="1">
      <c r="A16" s="4" t="str" cm="1">
        <f t="array" ref="A16">_xlfn.IFS(
template_selected_display_language='Footnote (Taxonomy) Labels'!$B$1,'Footnote (Taxonomy) Labels'!$B16,
template_selected_display_language='Footnote (Taxonomy) Labels'!$C$1,'Footnote (Taxonomy) Labels'!$C16,
template_selected_display_language='Footnote (Taxonomy) Labels'!$D$1,'Footnote (Taxonomy) Labels'!$D16,
template_selected_display_language='Footnote (Taxonomy) Labels'!$E$1,'Footnote (Taxonomy) Labels'!$E16,
template_selected_display_language='Footnote (Taxonomy) Labels'!$F$1,'Footnote (Taxonomy) Labels'!$F16,
template_selected_display_language='Footnote (Taxonomy) Labels'!$G$1,'Footnote (Taxonomy) Labels'!$G16,
template_selected_display_language='Footnote (Taxonomy) Labels'!$H$1,'Footnote (Taxonomy) Labels'!$H16,
template_selected_display_language='Footnote (Taxonomy) Labels'!$I$1,'Footnote (Taxonomy) Labels'!$I16,
template_selected_display_language='Footnote (Taxonomy) Labels'!$J$1,'Footnote (Taxonomy) Labels'!$J16,
template_selected_display_language='Footnote (Taxonomy) Labels'!$K$1,'Footnote (Taxonomy) Labels'!$K16,
template_selected_display_language='Footnote (Taxonomy) Labels'!$L$1,'Footnote (Taxonomy) Labels'!$L16,
template_selected_display_language='Footnote (Taxonomy) Labels'!$M$1,'Footnote (Taxonomy) Labels'!$M16
)</f>
        <v>Country of primary operations and location of significant assets</v>
      </c>
      <c r="B16" s="511" t="s">
        <v>9503</v>
      </c>
      <c r="C16" s="504" t="s">
        <v>4816</v>
      </c>
      <c r="D16" s="504" t="s">
        <v>9504</v>
      </c>
      <c r="E16" s="504" t="s">
        <v>9505</v>
      </c>
      <c r="F16" s="504" t="s">
        <v>4819</v>
      </c>
      <c r="G16" s="504" t="s">
        <v>9506</v>
      </c>
      <c r="H16" s="504" t="s">
        <v>4821</v>
      </c>
      <c r="I16" s="504" t="s">
        <v>9507</v>
      </c>
      <c r="J16" s="504" t="s">
        <v>4823</v>
      </c>
      <c r="K16" s="504" t="s">
        <v>9508</v>
      </c>
      <c r="L16" s="504" t="s">
        <v>9509</v>
      </c>
      <c r="M16" s="506" t="s">
        <v>9510</v>
      </c>
    </row>
    <row r="17" spans="1:13" ht="14.4" customHeight="1">
      <c r="A17" s="4" t="str" cm="1">
        <f t="array" ref="A17">_xlfn.IFS(
template_selected_display_language='Footnote (Taxonomy) Labels'!$B$1,'Footnote (Taxonomy) Labels'!$B17,
template_selected_display_language='Footnote (Taxonomy) Labels'!$C$1,'Footnote (Taxonomy) Labels'!$C17,
template_selected_display_language='Footnote (Taxonomy) Labels'!$D$1,'Footnote (Taxonomy) Labels'!$D17,
template_selected_display_language='Footnote (Taxonomy) Labels'!$E$1,'Footnote (Taxonomy) Labels'!$E17,
template_selected_display_language='Footnote (Taxonomy) Labels'!$F$1,'Footnote (Taxonomy) Labels'!$F17,
template_selected_display_language='Footnote (Taxonomy) Labels'!$G$1,'Footnote (Taxonomy) Labels'!$G17,
template_selected_display_language='Footnote (Taxonomy) Labels'!$H$1,'Footnote (Taxonomy) Labels'!$H17,
template_selected_display_language='Footnote (Taxonomy) Labels'!$I$1,'Footnote (Taxonomy) Labels'!$I17,
template_selected_display_language='Footnote (Taxonomy) Labels'!$J$1,'Footnote (Taxonomy) Labels'!$J17,
template_selected_display_language='Footnote (Taxonomy) Labels'!$K$1,'Footnote (Taxonomy) Labels'!$K17,
template_selected_display_language='Footnote (Taxonomy) Labels'!$L$1,'Footnote (Taxonomy) Labels'!$L17,
template_selected_display_language='Footnote (Taxonomy) Labels'!$M$1,'Footnote (Taxonomy) Labels'!$M17
)</f>
        <v>Description of sustainability-related certification(s) or label(s)</v>
      </c>
      <c r="B17" s="511" t="s">
        <v>9511</v>
      </c>
      <c r="C17" s="504" t="s">
        <v>9512</v>
      </c>
      <c r="D17" s="504" t="s">
        <v>9513</v>
      </c>
      <c r="E17" s="504" t="s">
        <v>9514</v>
      </c>
      <c r="F17" s="504" t="s">
        <v>9515</v>
      </c>
      <c r="G17" s="504" t="s">
        <v>9516</v>
      </c>
      <c r="H17" s="504" t="s">
        <v>9517</v>
      </c>
      <c r="I17" s="504" t="s">
        <v>9518</v>
      </c>
      <c r="J17" s="504" t="s">
        <v>9519</v>
      </c>
      <c r="K17" s="504" t="s">
        <v>9520</v>
      </c>
      <c r="L17" s="504" t="s">
        <v>9521</v>
      </c>
      <c r="M17" s="506" t="s">
        <v>9522</v>
      </c>
    </row>
    <row r="18" spans="1:13" ht="14.4" customHeight="1">
      <c r="A18" s="4" t="str" cm="1">
        <f t="array" ref="A18">_xlfn.IFS(
template_selected_display_language='Footnote (Taxonomy) Labels'!$B$1,'Footnote (Taxonomy) Labels'!$B18,
template_selected_display_language='Footnote (Taxonomy) Labels'!$C$1,'Footnote (Taxonomy) Labels'!$C18,
template_selected_display_language='Footnote (Taxonomy) Labels'!$D$1,'Footnote (Taxonomy) Labels'!$D18,
template_selected_display_language='Footnote (Taxonomy) Labels'!$E$1,'Footnote (Taxonomy) Labels'!$E18,
template_selected_display_language='Footnote (Taxonomy) Labels'!$F$1,'Footnote (Taxonomy) Labels'!$F18,
template_selected_display_language='Footnote (Taxonomy) Labels'!$G$1,'Footnote (Taxonomy) Labels'!$G18,
template_selected_display_language='Footnote (Taxonomy) Labels'!$H$1,'Footnote (Taxonomy) Labels'!$H18,
template_selected_display_language='Footnote (Taxonomy) Labels'!$I$1,'Footnote (Taxonomy) Labels'!$I18,
template_selected_display_language='Footnote (Taxonomy) Labels'!$J$1,'Footnote (Taxonomy) Labels'!$J18,
template_selected_display_language='Footnote (Taxonomy) Labels'!$K$1,'Footnote (Taxonomy) Labels'!$K18,
template_selected_display_language='Footnote (Taxonomy) Labels'!$L$1,'Footnote (Taxonomy) Labels'!$L18,
template_selected_display_language='Footnote (Taxonomy) Labels'!$M$1,'Footnote (Taxonomy) Labels'!$M18
)</f>
        <v>Name of the subsidiary</v>
      </c>
      <c r="B18" s="511" t="s">
        <v>9523</v>
      </c>
      <c r="C18" s="504" t="s">
        <v>9524</v>
      </c>
      <c r="D18" s="504" t="s">
        <v>9525</v>
      </c>
      <c r="E18" s="504" t="s">
        <v>9526</v>
      </c>
      <c r="F18" s="504" t="s">
        <v>9527</v>
      </c>
      <c r="G18" s="504" t="s">
        <v>9528</v>
      </c>
      <c r="H18" s="504" t="s">
        <v>9529</v>
      </c>
      <c r="I18" s="504" t="s">
        <v>9530</v>
      </c>
      <c r="J18" s="504" t="s">
        <v>9531</v>
      </c>
      <c r="K18" s="504" t="s">
        <v>9532</v>
      </c>
      <c r="L18" s="504" t="s">
        <v>9533</v>
      </c>
      <c r="M18" s="506" t="s">
        <v>9534</v>
      </c>
    </row>
    <row r="19" spans="1:13" ht="14.4" customHeight="1">
      <c r="A19" s="4" t="str" cm="1">
        <f t="array" ref="A19">_xlfn.IFS(
template_selected_display_language='Footnote (Taxonomy) Labels'!$B$1,'Footnote (Taxonomy) Labels'!$B19,
template_selected_display_language='Footnote (Taxonomy) Labels'!$C$1,'Footnote (Taxonomy) Labels'!$C19,
template_selected_display_language='Footnote (Taxonomy) Labels'!$D$1,'Footnote (Taxonomy) Labels'!$D19,
template_selected_display_language='Footnote (Taxonomy) Labels'!$E$1,'Footnote (Taxonomy) Labels'!$E19,
template_selected_display_language='Footnote (Taxonomy) Labels'!$F$1,'Footnote (Taxonomy) Labels'!$F19,
template_selected_display_language='Footnote (Taxonomy) Labels'!$G$1,'Footnote (Taxonomy) Labels'!$G19,
template_selected_display_language='Footnote (Taxonomy) Labels'!$H$1,'Footnote (Taxonomy) Labels'!$H19,
template_selected_display_language='Footnote (Taxonomy) Labels'!$I$1,'Footnote (Taxonomy) Labels'!$I19,
template_selected_display_language='Footnote (Taxonomy) Labels'!$J$1,'Footnote (Taxonomy) Labels'!$J19,
template_selected_display_language='Footnote (Taxonomy) Labels'!$K$1,'Footnote (Taxonomy) Labels'!$K19,
template_selected_display_language='Footnote (Taxonomy) Labels'!$L$1,'Footnote (Taxonomy) Labels'!$L19,
template_selected_display_language='Footnote (Taxonomy) Labels'!$M$1,'Footnote (Taxonomy) Labels'!$M19
)</f>
        <v>Registered address of the subsidiary</v>
      </c>
      <c r="B19" s="511" t="s">
        <v>9535</v>
      </c>
      <c r="C19" s="504" t="s">
        <v>9536</v>
      </c>
      <c r="D19" s="504" t="s">
        <v>9537</v>
      </c>
      <c r="E19" s="504" t="s">
        <v>9538</v>
      </c>
      <c r="F19" s="504" t="s">
        <v>9539</v>
      </c>
      <c r="G19" s="504" t="s">
        <v>9540</v>
      </c>
      <c r="H19" s="504" t="s">
        <v>9541</v>
      </c>
      <c r="I19" s="504" t="s">
        <v>9542</v>
      </c>
      <c r="J19" s="504" t="s">
        <v>9543</v>
      </c>
      <c r="K19" s="504" t="s">
        <v>9544</v>
      </c>
      <c r="L19" s="504" t="s">
        <v>9545</v>
      </c>
      <c r="M19" s="506" t="s">
        <v>9546</v>
      </c>
    </row>
    <row r="20" spans="1:13" ht="14.4" customHeight="1">
      <c r="A20" s="4" t="str" cm="1">
        <f t="array" ref="A20">_xlfn.IFS(
template_selected_display_language='Footnote (Taxonomy) Labels'!$B$1,'Footnote (Taxonomy) Labels'!$B20,
template_selected_display_language='Footnote (Taxonomy) Labels'!$C$1,'Footnote (Taxonomy) Labels'!$C20,
template_selected_display_language='Footnote (Taxonomy) Labels'!$D$1,'Footnote (Taxonomy) Labels'!$D20,
template_selected_display_language='Footnote (Taxonomy) Labels'!$E$1,'Footnote (Taxonomy) Labels'!$E20,
template_selected_display_language='Footnote (Taxonomy) Labels'!$F$1,'Footnote (Taxonomy) Labels'!$F20,
template_selected_display_language='Footnote (Taxonomy) Labels'!$G$1,'Footnote (Taxonomy) Labels'!$G20,
template_selected_display_language='Footnote (Taxonomy) Labels'!$H$1,'Footnote (Taxonomy) Labels'!$H20,
template_selected_display_language='Footnote (Taxonomy) Labels'!$I$1,'Footnote (Taxonomy) Labels'!$I20,
template_selected_display_language='Footnote (Taxonomy) Labels'!$J$1,'Footnote (Taxonomy) Labels'!$J20,
template_selected_display_language='Footnote (Taxonomy) Labels'!$K$1,'Footnote (Taxonomy) Labels'!$K20,
template_selected_display_language='Footnote (Taxonomy) Labels'!$L$1,'Footnote (Taxonomy) Labels'!$L20,
template_selected_display_language='Footnote (Taxonomy) Labels'!$M$1,'Footnote (Taxonomy) Labels'!$M20
)</f>
        <v>Address of site</v>
      </c>
      <c r="B20" s="511" t="s">
        <v>9547</v>
      </c>
      <c r="C20" s="504" t="s">
        <v>9548</v>
      </c>
      <c r="D20" s="504" t="s">
        <v>9549</v>
      </c>
      <c r="E20" s="504" t="s">
        <v>9550</v>
      </c>
      <c r="F20" s="504" t="s">
        <v>9551</v>
      </c>
      <c r="G20" s="504" t="s">
        <v>9552</v>
      </c>
      <c r="H20" s="504" t="s">
        <v>9553</v>
      </c>
      <c r="I20" s="504" t="s">
        <v>9554</v>
      </c>
      <c r="J20" s="504" t="s">
        <v>9555</v>
      </c>
      <c r="K20" s="504" t="s">
        <v>9556</v>
      </c>
      <c r="L20" s="504" t="s">
        <v>9557</v>
      </c>
      <c r="M20" s="506" t="s">
        <v>9558</v>
      </c>
    </row>
    <row r="21" spans="1:13" ht="14.4" customHeight="1">
      <c r="A21" s="4" t="str" cm="1">
        <f t="array" ref="A21">_xlfn.IFS(
template_selected_display_language='Footnote (Taxonomy) Labels'!$B$1,'Footnote (Taxonomy) Labels'!$B21,
template_selected_display_language='Footnote (Taxonomy) Labels'!$C$1,'Footnote (Taxonomy) Labels'!$C21,
template_selected_display_language='Footnote (Taxonomy) Labels'!$D$1,'Footnote (Taxonomy) Labels'!$D21,
template_selected_display_language='Footnote (Taxonomy) Labels'!$E$1,'Footnote (Taxonomy) Labels'!$E21,
template_selected_display_language='Footnote (Taxonomy) Labels'!$F$1,'Footnote (Taxonomy) Labels'!$F21,
template_selected_display_language='Footnote (Taxonomy) Labels'!$G$1,'Footnote (Taxonomy) Labels'!$G21,
template_selected_display_language='Footnote (Taxonomy) Labels'!$H$1,'Footnote (Taxonomy) Labels'!$H21,
template_selected_display_language='Footnote (Taxonomy) Labels'!$I$1,'Footnote (Taxonomy) Labels'!$I21,
template_selected_display_language='Footnote (Taxonomy) Labels'!$J$1,'Footnote (Taxonomy) Labels'!$J21,
template_selected_display_language='Footnote (Taxonomy) Labels'!$K$1,'Footnote (Taxonomy) Labels'!$K21,
template_selected_display_language='Footnote (Taxonomy) Labels'!$L$1,'Footnote (Taxonomy) Labels'!$L21,
template_selected_display_language='Footnote (Taxonomy) Labels'!$M$1,'Footnote (Taxonomy) Labels'!$M21
)</f>
        <v>Postal code of site</v>
      </c>
      <c r="B21" s="511" t="s">
        <v>9559</v>
      </c>
      <c r="C21" s="504" t="s">
        <v>9560</v>
      </c>
      <c r="D21" s="504" t="s">
        <v>9561</v>
      </c>
      <c r="E21" s="504" t="s">
        <v>9562</v>
      </c>
      <c r="F21" s="504" t="s">
        <v>9563</v>
      </c>
      <c r="G21" s="504" t="s">
        <v>9564</v>
      </c>
      <c r="H21" s="504" t="s">
        <v>9565</v>
      </c>
      <c r="I21" s="504" t="s">
        <v>9566</v>
      </c>
      <c r="J21" s="504" t="s">
        <v>9567</v>
      </c>
      <c r="K21" s="504" t="s">
        <v>9568</v>
      </c>
      <c r="L21" s="504" t="s">
        <v>9569</v>
      </c>
      <c r="M21" s="506" t="s">
        <v>9570</v>
      </c>
    </row>
    <row r="22" spans="1:13" ht="14.4" customHeight="1">
      <c r="A22" s="4" t="str" cm="1">
        <f t="array" ref="A22">_xlfn.IFS(
template_selected_display_language='Footnote (Taxonomy) Labels'!$B$1,'Footnote (Taxonomy) Labels'!$B22,
template_selected_display_language='Footnote (Taxonomy) Labels'!$C$1,'Footnote (Taxonomy) Labels'!$C22,
template_selected_display_language='Footnote (Taxonomy) Labels'!$D$1,'Footnote (Taxonomy) Labels'!$D22,
template_selected_display_language='Footnote (Taxonomy) Labels'!$E$1,'Footnote (Taxonomy) Labels'!$E22,
template_selected_display_language='Footnote (Taxonomy) Labels'!$F$1,'Footnote (Taxonomy) Labels'!$F22,
template_selected_display_language='Footnote (Taxonomy) Labels'!$G$1,'Footnote (Taxonomy) Labels'!$G22,
template_selected_display_language='Footnote (Taxonomy) Labels'!$H$1,'Footnote (Taxonomy) Labels'!$H22,
template_selected_display_language='Footnote (Taxonomy) Labels'!$I$1,'Footnote (Taxonomy) Labels'!$I22,
template_selected_display_language='Footnote (Taxonomy) Labels'!$J$1,'Footnote (Taxonomy) Labels'!$J22,
template_selected_display_language='Footnote (Taxonomy) Labels'!$K$1,'Footnote (Taxonomy) Labels'!$K22,
template_selected_display_language='Footnote (Taxonomy) Labels'!$L$1,'Footnote (Taxonomy) Labels'!$L22,
template_selected_display_language='Footnote (Taxonomy) Labels'!$M$1,'Footnote (Taxonomy) Labels'!$M22
)</f>
        <v>City of site</v>
      </c>
      <c r="B22" s="511" t="s">
        <v>9571</v>
      </c>
      <c r="C22" s="504" t="s">
        <v>9572</v>
      </c>
      <c r="D22" s="504" t="s">
        <v>9573</v>
      </c>
      <c r="E22" s="504" t="s">
        <v>9574</v>
      </c>
      <c r="F22" s="504" t="s">
        <v>9575</v>
      </c>
      <c r="G22" s="504" t="s">
        <v>9576</v>
      </c>
      <c r="H22" s="504" t="s">
        <v>9577</v>
      </c>
      <c r="I22" s="504" t="s">
        <v>9578</v>
      </c>
      <c r="J22" s="504" t="s">
        <v>9579</v>
      </c>
      <c r="K22" s="504" t="s">
        <v>9580</v>
      </c>
      <c r="L22" s="504" t="s">
        <v>9581</v>
      </c>
      <c r="M22" s="506" t="s">
        <v>9582</v>
      </c>
    </row>
    <row r="23" spans="1:13" ht="14.4" customHeight="1">
      <c r="A23" s="4" t="str" cm="1">
        <f t="array" ref="A23">_xlfn.IFS(
template_selected_display_language='Footnote (Taxonomy) Labels'!$B$1,'Footnote (Taxonomy) Labels'!$B23,
template_selected_display_language='Footnote (Taxonomy) Labels'!$C$1,'Footnote (Taxonomy) Labels'!$C23,
template_selected_display_language='Footnote (Taxonomy) Labels'!$D$1,'Footnote (Taxonomy) Labels'!$D23,
template_selected_display_language='Footnote (Taxonomy) Labels'!$E$1,'Footnote (Taxonomy) Labels'!$E23,
template_selected_display_language='Footnote (Taxonomy) Labels'!$F$1,'Footnote (Taxonomy) Labels'!$F23,
template_selected_display_language='Footnote (Taxonomy) Labels'!$G$1,'Footnote (Taxonomy) Labels'!$G23,
template_selected_display_language='Footnote (Taxonomy) Labels'!$H$1,'Footnote (Taxonomy) Labels'!$H23,
template_selected_display_language='Footnote (Taxonomy) Labels'!$I$1,'Footnote (Taxonomy) Labels'!$I23,
template_selected_display_language='Footnote (Taxonomy) Labels'!$J$1,'Footnote (Taxonomy) Labels'!$J23,
template_selected_display_language='Footnote (Taxonomy) Labels'!$K$1,'Footnote (Taxonomy) Labels'!$K23,
template_selected_display_language='Footnote (Taxonomy) Labels'!$L$1,'Footnote (Taxonomy) Labels'!$L23,
template_selected_display_language='Footnote (Taxonomy) Labels'!$M$1,'Footnote (Taxonomy) Labels'!$M23
)</f>
        <v>Country of site</v>
      </c>
      <c r="B23" s="511" t="s">
        <v>9583</v>
      </c>
      <c r="C23" s="504" t="s">
        <v>9584</v>
      </c>
      <c r="D23" s="504" t="s">
        <v>9585</v>
      </c>
      <c r="E23" s="504" t="s">
        <v>9586</v>
      </c>
      <c r="F23" s="504" t="s">
        <v>9587</v>
      </c>
      <c r="G23" s="504" t="s">
        <v>9588</v>
      </c>
      <c r="H23" s="504" t="s">
        <v>9589</v>
      </c>
      <c r="I23" s="504" t="s">
        <v>9590</v>
      </c>
      <c r="J23" s="504" t="s">
        <v>9591</v>
      </c>
      <c r="K23" s="504" t="s">
        <v>9592</v>
      </c>
      <c r="L23" s="504" t="s">
        <v>9593</v>
      </c>
      <c r="M23" s="506" t="s">
        <v>9594</v>
      </c>
    </row>
    <row r="24" spans="1:13" ht="14.4" customHeight="1">
      <c r="A24" s="4" t="str" cm="1">
        <f t="array" ref="A24">_xlfn.IFS(
template_selected_display_language='Footnote (Taxonomy) Labels'!$B$1,'Footnote (Taxonomy) Labels'!$B24,
template_selected_display_language='Footnote (Taxonomy) Labels'!$C$1,'Footnote (Taxonomy) Labels'!$C24,
template_selected_display_language='Footnote (Taxonomy) Labels'!$D$1,'Footnote (Taxonomy) Labels'!$D24,
template_selected_display_language='Footnote (Taxonomy) Labels'!$E$1,'Footnote (Taxonomy) Labels'!$E24,
template_selected_display_language='Footnote (Taxonomy) Labels'!$F$1,'Footnote (Taxonomy) Labels'!$F24,
template_selected_display_language='Footnote (Taxonomy) Labels'!$G$1,'Footnote (Taxonomy) Labels'!$G24,
template_selected_display_language='Footnote (Taxonomy) Labels'!$H$1,'Footnote (Taxonomy) Labels'!$H24,
template_selected_display_language='Footnote (Taxonomy) Labels'!$I$1,'Footnote (Taxonomy) Labels'!$I24,
template_selected_display_language='Footnote (Taxonomy) Labels'!$J$1,'Footnote (Taxonomy) Labels'!$J24,
template_selected_display_language='Footnote (Taxonomy) Labels'!$K$1,'Footnote (Taxonomy) Labels'!$K24,
template_selected_display_language='Footnote (Taxonomy) Labels'!$L$1,'Footnote (Taxonomy) Labels'!$L24,
template_selected_display_language='Footnote (Taxonomy) Labels'!$M$1,'Footnote (Taxonomy) Labels'!$M24
)</f>
        <v>GPS Location of site</v>
      </c>
      <c r="B24" s="511" t="s">
        <v>9595</v>
      </c>
      <c r="C24" s="504" t="s">
        <v>9596</v>
      </c>
      <c r="D24" s="504" t="s">
        <v>9597</v>
      </c>
      <c r="E24" s="504" t="s">
        <v>9598</v>
      </c>
      <c r="F24" s="504" t="s">
        <v>9599</v>
      </c>
      <c r="G24" s="504" t="s">
        <v>9600</v>
      </c>
      <c r="H24" s="504" t="s">
        <v>9601</v>
      </c>
      <c r="I24" s="504" t="s">
        <v>9602</v>
      </c>
      <c r="J24" s="504" t="s">
        <v>9603</v>
      </c>
      <c r="K24" s="504" t="s">
        <v>9604</v>
      </c>
      <c r="L24" s="504" t="s">
        <v>9605</v>
      </c>
      <c r="M24" s="506" t="s">
        <v>9606</v>
      </c>
    </row>
    <row r="25" spans="1:13" ht="14.4" customHeight="1">
      <c r="A25" s="4" t="str" cm="1">
        <f t="array" ref="A25">_xlfn.IFS(
template_selected_display_language='Footnote (Taxonomy) Labels'!$B$1,'Footnote (Taxonomy) Labels'!$B25,
template_selected_display_language='Footnote (Taxonomy) Labels'!$C$1,'Footnote (Taxonomy) Labels'!$C25,
template_selected_display_language='Footnote (Taxonomy) Labels'!$D$1,'Footnote (Taxonomy) Labels'!$D25,
template_selected_display_language='Footnote (Taxonomy) Labels'!$E$1,'Footnote (Taxonomy) Labels'!$E25,
template_selected_display_language='Footnote (Taxonomy) Labels'!$F$1,'Footnote (Taxonomy) Labels'!$F25,
template_selected_display_language='Footnote (Taxonomy) Labels'!$G$1,'Footnote (Taxonomy) Labels'!$G25,
template_selected_display_language='Footnote (Taxonomy) Labels'!$H$1,'Footnote (Taxonomy) Labels'!$H25,
template_selected_display_language='Footnote (Taxonomy) Labels'!$I$1,'Footnote (Taxonomy) Labels'!$I25,
template_selected_display_language='Footnote (Taxonomy) Labels'!$J$1,'Footnote (Taxonomy) Labels'!$J25,
template_selected_display_language='Footnote (Taxonomy) Labels'!$K$1,'Footnote (Taxonomy) Labels'!$K25,
template_selected_display_language='Footnote (Taxonomy) Labels'!$L$1,'Footnote (Taxonomy) Labels'!$L25,
template_selected_display_language='Footnote (Taxonomy) Labels'!$M$1,'Footnote (Taxonomy) Labels'!$M25
)</f>
        <v>Sustainability issues addressed by practice, policy and/or future initiative</v>
      </c>
      <c r="B25" s="511" t="s">
        <v>9607</v>
      </c>
      <c r="C25" s="504" t="s">
        <v>9608</v>
      </c>
      <c r="D25" s="504" t="s">
        <v>9609</v>
      </c>
      <c r="E25" s="504" t="s">
        <v>9610</v>
      </c>
      <c r="F25" s="504" t="s">
        <v>9611</v>
      </c>
      <c r="G25" s="504" t="s">
        <v>9612</v>
      </c>
      <c r="H25" s="504" t="s">
        <v>9613</v>
      </c>
      <c r="I25" s="504" t="s">
        <v>9614</v>
      </c>
      <c r="J25" s="504" t="s">
        <v>9615</v>
      </c>
      <c r="K25" s="504" t="s">
        <v>9616</v>
      </c>
      <c r="L25" s="504" t="s">
        <v>9617</v>
      </c>
      <c r="M25" s="506" t="s">
        <v>9618</v>
      </c>
    </row>
    <row r="26" spans="1:13" ht="14.4" customHeight="1">
      <c r="A26" s="4" t="str" cm="1">
        <f t="array" ref="A26">_xlfn.IFS(
template_selected_display_language='Footnote (Taxonomy) Labels'!$B$1,'Footnote (Taxonomy) Labels'!$B26,
template_selected_display_language='Footnote (Taxonomy) Labels'!$C$1,'Footnote (Taxonomy) Labels'!$C26,
template_selected_display_language='Footnote (Taxonomy) Labels'!$D$1,'Footnote (Taxonomy) Labels'!$D26,
template_selected_display_language='Footnote (Taxonomy) Labels'!$E$1,'Footnote (Taxonomy) Labels'!$E26,
template_selected_display_language='Footnote (Taxonomy) Labels'!$F$1,'Footnote (Taxonomy) Labels'!$F26,
template_selected_display_language='Footnote (Taxonomy) Labels'!$G$1,'Footnote (Taxonomy) Labels'!$G26,
template_selected_display_language='Footnote (Taxonomy) Labels'!$H$1,'Footnote (Taxonomy) Labels'!$H26,
template_selected_display_language='Footnote (Taxonomy) Labels'!$I$1,'Footnote (Taxonomy) Labels'!$I26,
template_selected_display_language='Footnote (Taxonomy) Labels'!$J$1,'Footnote (Taxonomy) Labels'!$J26,
template_selected_display_language='Footnote (Taxonomy) Labels'!$K$1,'Footnote (Taxonomy) Labels'!$K26,
template_selected_display_language='Footnote (Taxonomy) Labels'!$L$1,'Footnote (Taxonomy) Labels'!$L26,
template_selected_display_language='Footnote (Taxonomy) Labels'!$M$1,'Footnote (Taxonomy) Labels'!$M26
)</f>
        <v>Practice, policy and/or future initiative is publicly available</v>
      </c>
      <c r="B26" s="511" t="s">
        <v>9619</v>
      </c>
      <c r="C26" s="504" t="s">
        <v>9620</v>
      </c>
      <c r="D26" s="504" t="s">
        <v>9621</v>
      </c>
      <c r="E26" s="504" t="s">
        <v>9622</v>
      </c>
      <c r="F26" s="504" t="s">
        <v>9623</v>
      </c>
      <c r="G26" s="504" t="s">
        <v>9624</v>
      </c>
      <c r="H26" s="504" t="s">
        <v>9625</v>
      </c>
      <c r="I26" s="504" t="s">
        <v>9626</v>
      </c>
      <c r="J26" s="504" t="s">
        <v>9627</v>
      </c>
      <c r="K26" s="504" t="s">
        <v>9628</v>
      </c>
      <c r="L26" s="504" t="s">
        <v>9629</v>
      </c>
      <c r="M26" s="506" t="s">
        <v>9630</v>
      </c>
    </row>
    <row r="27" spans="1:13" ht="14.4" customHeight="1">
      <c r="A27" s="4" t="str" cm="1">
        <f t="array" ref="A27">_xlfn.IFS(
template_selected_display_language='Footnote (Taxonomy) Labels'!$B$1,'Footnote (Taxonomy) Labels'!$B27,
template_selected_display_language='Footnote (Taxonomy) Labels'!$C$1,'Footnote (Taxonomy) Labels'!$C27,
template_selected_display_language='Footnote (Taxonomy) Labels'!$D$1,'Footnote (Taxonomy) Labels'!$D27,
template_selected_display_language='Footnote (Taxonomy) Labels'!$E$1,'Footnote (Taxonomy) Labels'!$E27,
template_selected_display_language='Footnote (Taxonomy) Labels'!$F$1,'Footnote (Taxonomy) Labels'!$F27,
template_selected_display_language='Footnote (Taxonomy) Labels'!$G$1,'Footnote (Taxonomy) Labels'!$G27,
template_selected_display_language='Footnote (Taxonomy) Labels'!$H$1,'Footnote (Taxonomy) Labels'!$H27,
template_selected_display_language='Footnote (Taxonomy) Labels'!$I$1,'Footnote (Taxonomy) Labels'!$I27,
template_selected_display_language='Footnote (Taxonomy) Labels'!$J$1,'Footnote (Taxonomy) Labels'!$J27,
template_selected_display_language='Footnote (Taxonomy) Labels'!$K$1,'Footnote (Taxonomy) Labels'!$K27,
template_selected_display_language='Footnote (Taxonomy) Labels'!$L$1,'Footnote (Taxonomy) Labels'!$L27,
template_selected_display_language='Footnote (Taxonomy) Labels'!$M$1,'Footnote (Taxonomy) Labels'!$M27
)</f>
        <v>Undertaking has set a target which is related to a policy</v>
      </c>
      <c r="B27" s="511" t="s">
        <v>5044</v>
      </c>
      <c r="C27" s="504" t="s">
        <v>9631</v>
      </c>
      <c r="D27" s="504" t="s">
        <v>9632</v>
      </c>
      <c r="E27" s="504" t="s">
        <v>9633</v>
      </c>
      <c r="F27" s="504" t="s">
        <v>9634</v>
      </c>
      <c r="G27" s="504" t="s">
        <v>9635</v>
      </c>
      <c r="H27" s="504" t="s">
        <v>9636</v>
      </c>
      <c r="I27" s="504" t="s">
        <v>9637</v>
      </c>
      <c r="J27" s="504" t="s">
        <v>9638</v>
      </c>
      <c r="K27" s="504" t="s">
        <v>9639</v>
      </c>
      <c r="L27" s="504" t="s">
        <v>9640</v>
      </c>
      <c r="M27" s="506" t="s">
        <v>9641</v>
      </c>
    </row>
    <row r="28" spans="1:13" ht="14.4" customHeight="1">
      <c r="A28" s="4" t="str" cm="1">
        <f t="array" ref="A28">_xlfn.IFS(
template_selected_display_language='Footnote (Taxonomy) Labels'!$B$1,'Footnote (Taxonomy) Labels'!$B28,
template_selected_display_language='Footnote (Taxonomy) Labels'!$C$1,'Footnote (Taxonomy) Labels'!$C28,
template_selected_display_language='Footnote (Taxonomy) Labels'!$D$1,'Footnote (Taxonomy) Labels'!$D28,
template_selected_display_language='Footnote (Taxonomy) Labels'!$E$1,'Footnote (Taxonomy) Labels'!$E28,
template_selected_display_language='Footnote (Taxonomy) Labels'!$F$1,'Footnote (Taxonomy) Labels'!$F28,
template_selected_display_language='Footnote (Taxonomy) Labels'!$G$1,'Footnote (Taxonomy) Labels'!$G28,
template_selected_display_language='Footnote (Taxonomy) Labels'!$H$1,'Footnote (Taxonomy) Labels'!$H28,
template_selected_display_language='Footnote (Taxonomy) Labels'!$I$1,'Footnote (Taxonomy) Labels'!$I28,
template_selected_display_language='Footnote (Taxonomy) Labels'!$J$1,'Footnote (Taxonomy) Labels'!$J28,
template_selected_display_language='Footnote (Taxonomy) Labels'!$K$1,'Footnote (Taxonomy) Labels'!$K28,
template_selected_display_language='Footnote (Taxonomy) Labels'!$L$1,'Footnote (Taxonomy) Labels'!$L28,
template_selected_display_language='Footnote (Taxonomy) Labels'!$M$1,'Footnote (Taxonomy) Labels'!$M28
)</f>
        <v>Description of the effective participation of workers, users or other interested parties or communities in governance</v>
      </c>
      <c r="B28" s="511" t="s">
        <v>9642</v>
      </c>
      <c r="C28" s="504" t="s">
        <v>9643</v>
      </c>
      <c r="D28" s="504" t="s">
        <v>9644</v>
      </c>
      <c r="E28" s="504" t="s">
        <v>9645</v>
      </c>
      <c r="F28" s="504" t="s">
        <v>9646</v>
      </c>
      <c r="G28" s="504" t="s">
        <v>9647</v>
      </c>
      <c r="H28" s="504" t="s">
        <v>9648</v>
      </c>
      <c r="I28" s="504" t="s">
        <v>9649</v>
      </c>
      <c r="J28" s="504" t="s">
        <v>9650</v>
      </c>
      <c r="K28" s="504" t="s">
        <v>9651</v>
      </c>
      <c r="L28" s="504" t="s">
        <v>9652</v>
      </c>
      <c r="M28" s="506" t="s">
        <v>9653</v>
      </c>
    </row>
    <row r="29" spans="1:13" ht="14.4" customHeight="1">
      <c r="A29" s="4" t="str" cm="1">
        <f t="array" ref="A29">_xlfn.IFS(
template_selected_display_language='Footnote (Taxonomy) Labels'!$B$1,'Footnote (Taxonomy) Labels'!$B29,
template_selected_display_language='Footnote (Taxonomy) Labels'!$C$1,'Footnote (Taxonomy) Labels'!$C29,
template_selected_display_language='Footnote (Taxonomy) Labels'!$D$1,'Footnote (Taxonomy) Labels'!$D29,
template_selected_display_language='Footnote (Taxonomy) Labels'!$E$1,'Footnote (Taxonomy) Labels'!$E29,
template_selected_display_language='Footnote (Taxonomy) Labels'!$F$1,'Footnote (Taxonomy) Labels'!$F29,
template_selected_display_language='Footnote (Taxonomy) Labels'!$G$1,'Footnote (Taxonomy) Labels'!$G29,
template_selected_display_language='Footnote (Taxonomy) Labels'!$H$1,'Footnote (Taxonomy) Labels'!$H29,
template_selected_display_language='Footnote (Taxonomy) Labels'!$I$1,'Footnote (Taxonomy) Labels'!$I29,
template_selected_display_language='Footnote (Taxonomy) Labels'!$J$1,'Footnote (Taxonomy) Labels'!$J29,
template_selected_display_language='Footnote (Taxonomy) Labels'!$K$1,'Footnote (Taxonomy) Labels'!$K29,
template_selected_display_language='Footnote (Taxonomy) Labels'!$L$1,'Footnote (Taxonomy) Labels'!$L29,
template_selected_display_language='Footnote (Taxonomy) Labels'!$M$1,'Footnote (Taxonomy) Labels'!$M29
)</f>
        <v>Financial investment in the capital or assets of social economy entities</v>
      </c>
      <c r="B29" s="511" t="s">
        <v>9654</v>
      </c>
      <c r="C29" s="504" t="s">
        <v>9655</v>
      </c>
      <c r="D29" s="504" t="s">
        <v>9656</v>
      </c>
      <c r="E29" s="504" t="s">
        <v>9657</v>
      </c>
      <c r="F29" s="504" t="s">
        <v>9658</v>
      </c>
      <c r="G29" s="504" t="s">
        <v>9659</v>
      </c>
      <c r="H29" s="504" t="s">
        <v>9660</v>
      </c>
      <c r="I29" s="522"/>
      <c r="J29" s="504" t="s">
        <v>9661</v>
      </c>
      <c r="K29" s="504" t="s">
        <v>9662</v>
      </c>
      <c r="L29" s="504" t="s">
        <v>9663</v>
      </c>
      <c r="M29" s="506" t="s">
        <v>9664</v>
      </c>
    </row>
    <row r="30" spans="1:13" ht="14.4" customHeight="1">
      <c r="A30" s="4" t="str" cm="1">
        <f t="array" ref="A30">_xlfn.IFS(
template_selected_display_language='Footnote (Taxonomy) Labels'!$B$1,'Footnote (Taxonomy) Labels'!$B30,
template_selected_display_language='Footnote (Taxonomy) Labels'!$C$1,'Footnote (Taxonomy) Labels'!$C30,
template_selected_display_language='Footnote (Taxonomy) Labels'!$D$1,'Footnote (Taxonomy) Labels'!$D30,
template_selected_display_language='Footnote (Taxonomy) Labels'!$E$1,'Footnote (Taxonomy) Labels'!$E30,
template_selected_display_language='Footnote (Taxonomy) Labels'!$F$1,'Footnote (Taxonomy) Labels'!$F30,
template_selected_display_language='Footnote (Taxonomy) Labels'!$G$1,'Footnote (Taxonomy) Labels'!$G30,
template_selected_display_language='Footnote (Taxonomy) Labels'!$H$1,'Footnote (Taxonomy) Labels'!$H30,
template_selected_display_language='Footnote (Taxonomy) Labels'!$I$1,'Footnote (Taxonomy) Labels'!$I30,
template_selected_display_language='Footnote (Taxonomy) Labels'!$J$1,'Footnote (Taxonomy) Labels'!$J30,
template_selected_display_language='Footnote (Taxonomy) Labels'!$K$1,'Footnote (Taxonomy) Labels'!$K30,
template_selected_display_language='Footnote (Taxonomy) Labels'!$L$1,'Footnote (Taxonomy) Labels'!$L30,
template_selected_display_language='Footnote (Taxonomy) Labels'!$M$1,'Footnote (Taxonomy) Labels'!$M30
)</f>
        <v>Description of limits to the distribution of profits connected to the mutualistic nature or to the nature of the activities consisting in services of general economic interest (SGEI)</v>
      </c>
      <c r="B30" s="511" t="s">
        <v>9665</v>
      </c>
      <c r="C30" s="504" t="s">
        <v>9666</v>
      </c>
      <c r="D30" s="504" t="s">
        <v>9667</v>
      </c>
      <c r="E30" s="504" t="s">
        <v>9668</v>
      </c>
      <c r="F30" s="504" t="s">
        <v>9669</v>
      </c>
      <c r="G30" s="504" t="s">
        <v>9670</v>
      </c>
      <c r="H30" s="504" t="s">
        <v>9671</v>
      </c>
      <c r="I30" s="504" t="s">
        <v>9672</v>
      </c>
      <c r="J30" s="504" t="s">
        <v>9673</v>
      </c>
      <c r="K30" s="504" t="s">
        <v>9674</v>
      </c>
      <c r="L30" s="504" t="s">
        <v>9675</v>
      </c>
      <c r="M30" s="506" t="s">
        <v>9676</v>
      </c>
    </row>
    <row r="31" spans="1:13" ht="14.4" customHeight="1">
      <c r="A31" s="4" t="str" cm="1">
        <f t="array" ref="A31">_xlfn.IFS(
template_selected_display_language='Footnote (Taxonomy) Labels'!$B$1,'Footnote (Taxonomy) Labels'!$B31,
template_selected_display_language='Footnote (Taxonomy) Labels'!$C$1,'Footnote (Taxonomy) Labels'!$C31,
template_selected_display_language='Footnote (Taxonomy) Labels'!$D$1,'Footnote (Taxonomy) Labels'!$D31,
template_selected_display_language='Footnote (Taxonomy) Labels'!$E$1,'Footnote (Taxonomy) Labels'!$E31,
template_selected_display_language='Footnote (Taxonomy) Labels'!$F$1,'Footnote (Taxonomy) Labels'!$F31,
template_selected_display_language='Footnote (Taxonomy) Labels'!$G$1,'Footnote (Taxonomy) Labels'!$G31,
template_selected_display_language='Footnote (Taxonomy) Labels'!$H$1,'Footnote (Taxonomy) Labels'!$H31,
template_selected_display_language='Footnote (Taxonomy) Labels'!$I$1,'Footnote (Taxonomy) Labels'!$I31,
template_selected_display_language='Footnote (Taxonomy) Labels'!$J$1,'Footnote (Taxonomy) Labels'!$J31,
template_selected_display_language='Footnote (Taxonomy) Labels'!$K$1,'Footnote (Taxonomy) Labels'!$K31,
template_selected_display_language='Footnote (Taxonomy) Labels'!$L$1,'Footnote (Taxonomy) Labels'!$L31,
template_selected_display_language='Footnote (Taxonomy) Labels'!$M$1,'Footnote (Taxonomy) Labels'!$M31
)</f>
        <v>Total energy consumption</v>
      </c>
      <c r="B31" s="511" t="s">
        <v>9677</v>
      </c>
      <c r="C31" s="504" t="s">
        <v>5384</v>
      </c>
      <c r="D31" s="504" t="s">
        <v>9678</v>
      </c>
      <c r="E31" s="504" t="s">
        <v>9679</v>
      </c>
      <c r="F31" s="504" t="s">
        <v>5387</v>
      </c>
      <c r="G31" s="504" t="s">
        <v>9680</v>
      </c>
      <c r="H31" s="504" t="s">
        <v>9681</v>
      </c>
      <c r="I31" s="504" t="s">
        <v>5390</v>
      </c>
      <c r="J31" s="504" t="s">
        <v>5391</v>
      </c>
      <c r="K31" s="504" t="s">
        <v>9682</v>
      </c>
      <c r="L31" s="504" t="s">
        <v>5393</v>
      </c>
      <c r="M31" s="506" t="s">
        <v>5392</v>
      </c>
    </row>
    <row r="32" spans="1:13" ht="14.4" customHeight="1">
      <c r="A32" s="4" t="str" cm="1">
        <f t="array" ref="A32">_xlfn.IFS(
template_selected_display_language='Footnote (Taxonomy) Labels'!$B$1,'Footnote (Taxonomy) Labels'!$B32,
template_selected_display_language='Footnote (Taxonomy) Labels'!$C$1,'Footnote (Taxonomy) Labels'!$C32,
template_selected_display_language='Footnote (Taxonomy) Labels'!$D$1,'Footnote (Taxonomy) Labels'!$D32,
template_selected_display_language='Footnote (Taxonomy) Labels'!$E$1,'Footnote (Taxonomy) Labels'!$E32,
template_selected_display_language='Footnote (Taxonomy) Labels'!$F$1,'Footnote (Taxonomy) Labels'!$F32,
template_selected_display_language='Footnote (Taxonomy) Labels'!$G$1,'Footnote (Taxonomy) Labels'!$G32,
template_selected_display_language='Footnote (Taxonomy) Labels'!$H$1,'Footnote (Taxonomy) Labels'!$H32,
template_selected_display_language='Footnote (Taxonomy) Labels'!$I$1,'Footnote (Taxonomy) Labels'!$I32,
template_selected_display_language='Footnote (Taxonomy) Labels'!$J$1,'Footnote (Taxonomy) Labels'!$J32,
template_selected_display_language='Footnote (Taxonomy) Labels'!$K$1,'Footnote (Taxonomy) Labels'!$K32,
template_selected_display_language='Footnote (Taxonomy) Labels'!$L$1,'Footnote (Taxonomy) Labels'!$L32,
template_selected_display_language='Footnote (Taxonomy) Labels'!$M$1,'Footnote (Taxonomy) Labels'!$M32
)</f>
        <v>Energy consumption from electricity</v>
      </c>
      <c r="B32" s="511" t="s">
        <v>9683</v>
      </c>
      <c r="C32" s="504" t="s">
        <v>9684</v>
      </c>
      <c r="D32" s="504" t="s">
        <v>9685</v>
      </c>
      <c r="E32" s="504" t="s">
        <v>9686</v>
      </c>
      <c r="F32" s="504" t="s">
        <v>9687</v>
      </c>
      <c r="G32" s="504" t="s">
        <v>9688</v>
      </c>
      <c r="H32" s="504" t="s">
        <v>9689</v>
      </c>
      <c r="I32" s="504" t="s">
        <v>9690</v>
      </c>
      <c r="J32" s="504" t="s">
        <v>9691</v>
      </c>
      <c r="K32" s="504" t="s">
        <v>9692</v>
      </c>
      <c r="L32" s="504" t="s">
        <v>9693</v>
      </c>
      <c r="M32" s="506" t="s">
        <v>9694</v>
      </c>
    </row>
    <row r="33" spans="1:13" ht="14.4" customHeight="1">
      <c r="A33" s="4" t="str" cm="1">
        <f t="array" ref="A33">_xlfn.IFS(
template_selected_display_language='Footnote (Taxonomy) Labels'!$B$1,'Footnote (Taxonomy) Labels'!$B33,
template_selected_display_language='Footnote (Taxonomy) Labels'!$C$1,'Footnote (Taxonomy) Labels'!$C33,
template_selected_display_language='Footnote (Taxonomy) Labels'!$D$1,'Footnote (Taxonomy) Labels'!$D33,
template_selected_display_language='Footnote (Taxonomy) Labels'!$E$1,'Footnote (Taxonomy) Labels'!$E33,
template_selected_display_language='Footnote (Taxonomy) Labels'!$F$1,'Footnote (Taxonomy) Labels'!$F33,
template_selected_display_language='Footnote (Taxonomy) Labels'!$G$1,'Footnote (Taxonomy) Labels'!$G33,
template_selected_display_language='Footnote (Taxonomy) Labels'!$H$1,'Footnote (Taxonomy) Labels'!$H33,
template_selected_display_language='Footnote (Taxonomy) Labels'!$I$1,'Footnote (Taxonomy) Labels'!$I33,
template_selected_display_language='Footnote (Taxonomy) Labels'!$J$1,'Footnote (Taxonomy) Labels'!$J33,
template_selected_display_language='Footnote (Taxonomy) Labels'!$K$1,'Footnote (Taxonomy) Labels'!$K33,
template_selected_display_language='Footnote (Taxonomy) Labels'!$L$1,'Footnote (Taxonomy) Labels'!$L33,
template_selected_display_language='Footnote (Taxonomy) Labels'!$M$1,'Footnote (Taxonomy) Labels'!$M33
)</f>
        <v>Energy consumption from self-generated electricity</v>
      </c>
      <c r="B33" s="511" t="s">
        <v>9695</v>
      </c>
      <c r="C33" s="504" t="s">
        <v>9696</v>
      </c>
      <c r="D33" s="504" t="s">
        <v>9697</v>
      </c>
      <c r="E33" s="504" t="s">
        <v>9698</v>
      </c>
      <c r="F33" s="504" t="s">
        <v>9699</v>
      </c>
      <c r="G33" s="504" t="s">
        <v>9700</v>
      </c>
      <c r="H33" s="504" t="s">
        <v>9701</v>
      </c>
      <c r="I33" s="504" t="s">
        <v>9702</v>
      </c>
      <c r="J33" s="504" t="s">
        <v>9703</v>
      </c>
      <c r="K33" s="504" t="s">
        <v>9704</v>
      </c>
      <c r="L33" s="504" t="s">
        <v>9705</v>
      </c>
      <c r="M33" s="506" t="s">
        <v>9706</v>
      </c>
    </row>
    <row r="34" spans="1:13" ht="14.4" customHeight="1">
      <c r="A34" s="4" t="str" cm="1">
        <f t="array" ref="A34">_xlfn.IFS(
template_selected_display_language='Footnote (Taxonomy) Labels'!$B$1,'Footnote (Taxonomy) Labels'!$B34,
template_selected_display_language='Footnote (Taxonomy) Labels'!$C$1,'Footnote (Taxonomy) Labels'!$C34,
template_selected_display_language='Footnote (Taxonomy) Labels'!$D$1,'Footnote (Taxonomy) Labels'!$D34,
template_selected_display_language='Footnote (Taxonomy) Labels'!$E$1,'Footnote (Taxonomy) Labels'!$E34,
template_selected_display_language='Footnote (Taxonomy) Labels'!$F$1,'Footnote (Taxonomy) Labels'!$F34,
template_selected_display_language='Footnote (Taxonomy) Labels'!$G$1,'Footnote (Taxonomy) Labels'!$G34,
template_selected_display_language='Footnote (Taxonomy) Labels'!$H$1,'Footnote (Taxonomy) Labels'!$H34,
template_selected_display_language='Footnote (Taxonomy) Labels'!$I$1,'Footnote (Taxonomy) Labels'!$I34,
template_selected_display_language='Footnote (Taxonomy) Labels'!$J$1,'Footnote (Taxonomy) Labels'!$J34,
template_selected_display_language='Footnote (Taxonomy) Labels'!$K$1,'Footnote (Taxonomy) Labels'!$K34,
template_selected_display_language='Footnote (Taxonomy) Labels'!$L$1,'Footnote (Taxonomy) Labels'!$L34,
template_selected_display_language='Footnote (Taxonomy) Labels'!$M$1,'Footnote (Taxonomy) Labels'!$M34
)</f>
        <v>Energy consumption from fuels</v>
      </c>
      <c r="B34" s="511" t="s">
        <v>9707</v>
      </c>
      <c r="C34" s="504" t="s">
        <v>9708</v>
      </c>
      <c r="D34" s="504" t="s">
        <v>9709</v>
      </c>
      <c r="E34" s="504" t="s">
        <v>9710</v>
      </c>
      <c r="F34" s="504" t="s">
        <v>9711</v>
      </c>
      <c r="G34" s="504" t="s">
        <v>9712</v>
      </c>
      <c r="H34" s="504" t="s">
        <v>9713</v>
      </c>
      <c r="I34" s="504" t="s">
        <v>9714</v>
      </c>
      <c r="J34" s="504" t="s">
        <v>9715</v>
      </c>
      <c r="K34" s="504" t="s">
        <v>9716</v>
      </c>
      <c r="L34" s="504" t="s">
        <v>9717</v>
      </c>
      <c r="M34" s="506" t="s">
        <v>9718</v>
      </c>
    </row>
    <row r="35" spans="1:13" ht="14.4" customHeight="1">
      <c r="A35" s="4" t="str" cm="1">
        <f t="array" ref="A35">_xlfn.IFS(
template_selected_display_language='Footnote (Taxonomy) Labels'!$B$1,'Footnote (Taxonomy) Labels'!$B35,
template_selected_display_language='Footnote (Taxonomy) Labels'!$C$1,'Footnote (Taxonomy) Labels'!$C35,
template_selected_display_language='Footnote (Taxonomy) Labels'!$D$1,'Footnote (Taxonomy) Labels'!$D35,
template_selected_display_language='Footnote (Taxonomy) Labels'!$E$1,'Footnote (Taxonomy) Labels'!$E35,
template_selected_display_language='Footnote (Taxonomy) Labels'!$F$1,'Footnote (Taxonomy) Labels'!$F35,
template_selected_display_language='Footnote (Taxonomy) Labels'!$G$1,'Footnote (Taxonomy) Labels'!$G35,
template_selected_display_language='Footnote (Taxonomy) Labels'!$H$1,'Footnote (Taxonomy) Labels'!$H35,
template_selected_display_language='Footnote (Taxonomy) Labels'!$I$1,'Footnote (Taxonomy) Labels'!$I35,
template_selected_display_language='Footnote (Taxonomy) Labels'!$J$1,'Footnote (Taxonomy) Labels'!$J35,
template_selected_display_language='Footnote (Taxonomy) Labels'!$K$1,'Footnote (Taxonomy) Labels'!$K35,
template_selected_display_language='Footnote (Taxonomy) Labels'!$L$1,'Footnote (Taxonomy) Labels'!$L35,
template_selected_display_language='Footnote (Taxonomy) Labels'!$M$1,'Footnote (Taxonomy) Labels'!$M35
)</f>
        <v>Gross Scope 1 greenhouse gas emissions</v>
      </c>
      <c r="B35" s="511" t="s">
        <v>9719</v>
      </c>
      <c r="C35" s="504" t="s">
        <v>9720</v>
      </c>
      <c r="D35" s="504" t="s">
        <v>9721</v>
      </c>
      <c r="E35" s="504" t="s">
        <v>9722</v>
      </c>
      <c r="F35" s="504" t="s">
        <v>5590</v>
      </c>
      <c r="G35" s="504" t="s">
        <v>9723</v>
      </c>
      <c r="H35" s="504" t="s">
        <v>5592</v>
      </c>
      <c r="I35" s="504" t="s">
        <v>9724</v>
      </c>
      <c r="J35" s="504" t="s">
        <v>9725</v>
      </c>
      <c r="K35" s="504" t="s">
        <v>9726</v>
      </c>
      <c r="L35" s="504" t="s">
        <v>5596</v>
      </c>
      <c r="M35" s="506" t="s">
        <v>9727</v>
      </c>
    </row>
    <row r="36" spans="1:13" ht="14.4" customHeight="1">
      <c r="A36" s="4" t="str" cm="1">
        <f t="array" ref="A36">_xlfn.IFS(
template_selected_display_language='Footnote (Taxonomy) Labels'!$B$1,'Footnote (Taxonomy) Labels'!$B36,
template_selected_display_language='Footnote (Taxonomy) Labels'!$C$1,'Footnote (Taxonomy) Labels'!$C36,
template_selected_display_language='Footnote (Taxonomy) Labels'!$D$1,'Footnote (Taxonomy) Labels'!$D36,
template_selected_display_language='Footnote (Taxonomy) Labels'!$E$1,'Footnote (Taxonomy) Labels'!$E36,
template_selected_display_language='Footnote (Taxonomy) Labels'!$F$1,'Footnote (Taxonomy) Labels'!$F36,
template_selected_display_language='Footnote (Taxonomy) Labels'!$G$1,'Footnote (Taxonomy) Labels'!$G36,
template_selected_display_language='Footnote (Taxonomy) Labels'!$H$1,'Footnote (Taxonomy) Labels'!$H36,
template_selected_display_language='Footnote (Taxonomy) Labels'!$I$1,'Footnote (Taxonomy) Labels'!$I36,
template_selected_display_language='Footnote (Taxonomy) Labels'!$J$1,'Footnote (Taxonomy) Labels'!$J36,
template_selected_display_language='Footnote (Taxonomy) Labels'!$K$1,'Footnote (Taxonomy) Labels'!$K36,
template_selected_display_language='Footnote (Taxonomy) Labels'!$L$1,'Footnote (Taxonomy) Labels'!$L36,
template_selected_display_language='Footnote (Taxonomy) Labels'!$M$1,'Footnote (Taxonomy) Labels'!$M36
)</f>
        <v>Gross location-based Scope 2 greenhouse gas emissions</v>
      </c>
      <c r="B36" s="511" t="s">
        <v>9728</v>
      </c>
      <c r="C36" s="504" t="s">
        <v>9729</v>
      </c>
      <c r="D36" s="504" t="s">
        <v>9730</v>
      </c>
      <c r="E36" s="504" t="s">
        <v>9731</v>
      </c>
      <c r="F36" s="504" t="s">
        <v>5603</v>
      </c>
      <c r="G36" s="504" t="s">
        <v>9732</v>
      </c>
      <c r="H36" s="504" t="s">
        <v>9733</v>
      </c>
      <c r="I36" s="504" t="s">
        <v>9734</v>
      </c>
      <c r="J36" s="504" t="s">
        <v>5607</v>
      </c>
      <c r="K36" s="504" t="s">
        <v>9735</v>
      </c>
      <c r="L36" s="504" t="s">
        <v>9736</v>
      </c>
      <c r="M36" s="506" t="s">
        <v>9737</v>
      </c>
    </row>
    <row r="37" spans="1:13" ht="14.4" customHeight="1">
      <c r="A37" s="4" t="str" cm="1">
        <f t="array" ref="A37">_xlfn.IFS(
template_selected_display_language='Footnote (Taxonomy) Labels'!$B$1,'Footnote (Taxonomy) Labels'!$B37,
template_selected_display_language='Footnote (Taxonomy) Labels'!$C$1,'Footnote (Taxonomy) Labels'!$C37,
template_selected_display_language='Footnote (Taxonomy) Labels'!$D$1,'Footnote (Taxonomy) Labels'!$D37,
template_selected_display_language='Footnote (Taxonomy) Labels'!$E$1,'Footnote (Taxonomy) Labels'!$E37,
template_selected_display_language='Footnote (Taxonomy) Labels'!$F$1,'Footnote (Taxonomy) Labels'!$F37,
template_selected_display_language='Footnote (Taxonomy) Labels'!$G$1,'Footnote (Taxonomy) Labels'!$G37,
template_selected_display_language='Footnote (Taxonomy) Labels'!$H$1,'Footnote (Taxonomy) Labels'!$H37,
template_selected_display_language='Footnote (Taxonomy) Labels'!$I$1,'Footnote (Taxonomy) Labels'!$I37,
template_selected_display_language='Footnote (Taxonomy) Labels'!$J$1,'Footnote (Taxonomy) Labels'!$J37,
template_selected_display_language='Footnote (Taxonomy) Labels'!$K$1,'Footnote (Taxonomy) Labels'!$K37,
template_selected_display_language='Footnote (Taxonomy) Labels'!$L$1,'Footnote (Taxonomy) Labels'!$L37,
template_selected_display_language='Footnote (Taxonomy) Labels'!$M$1,'Footnote (Taxonomy) Labels'!$M37
)</f>
        <v>Gross market-based Scope 2 greenhouse gas emissions</v>
      </c>
      <c r="B37" s="511" t="s">
        <v>9738</v>
      </c>
      <c r="C37" s="504" t="s">
        <v>9739</v>
      </c>
      <c r="D37" s="504" t="s">
        <v>9740</v>
      </c>
      <c r="E37" s="504" t="s">
        <v>9741</v>
      </c>
      <c r="F37" s="504" t="s">
        <v>5616</v>
      </c>
      <c r="G37" s="504" t="s">
        <v>9742</v>
      </c>
      <c r="H37" s="504" t="s">
        <v>9743</v>
      </c>
      <c r="I37" s="504" t="s">
        <v>9744</v>
      </c>
      <c r="J37" s="504" t="s">
        <v>5620</v>
      </c>
      <c r="K37" s="504" t="s">
        <v>5623</v>
      </c>
      <c r="L37" s="504" t="s">
        <v>5622</v>
      </c>
      <c r="M37" s="506" t="s">
        <v>9745</v>
      </c>
    </row>
    <row r="38" spans="1:13" ht="14.4" customHeight="1">
      <c r="A38" s="4" t="str" cm="1">
        <f t="array" ref="A38">_xlfn.IFS(
template_selected_display_language='Footnote (Taxonomy) Labels'!$B$1,'Footnote (Taxonomy) Labels'!$B38,
template_selected_display_language='Footnote (Taxonomy) Labels'!$C$1,'Footnote (Taxonomy) Labels'!$C38,
template_selected_display_language='Footnote (Taxonomy) Labels'!$D$1,'Footnote (Taxonomy) Labels'!$D38,
template_selected_display_language='Footnote (Taxonomy) Labels'!$E$1,'Footnote (Taxonomy) Labels'!$E38,
template_selected_display_language='Footnote (Taxonomy) Labels'!$F$1,'Footnote (Taxonomy) Labels'!$F38,
template_selected_display_language='Footnote (Taxonomy) Labels'!$G$1,'Footnote (Taxonomy) Labels'!$G38,
template_selected_display_language='Footnote (Taxonomy) Labels'!$H$1,'Footnote (Taxonomy) Labels'!$H38,
template_selected_display_language='Footnote (Taxonomy) Labels'!$I$1,'Footnote (Taxonomy) Labels'!$I38,
template_selected_display_language='Footnote (Taxonomy) Labels'!$J$1,'Footnote (Taxonomy) Labels'!$J38,
template_selected_display_language='Footnote (Taxonomy) Labels'!$K$1,'Footnote (Taxonomy) Labels'!$K38,
template_selected_display_language='Footnote (Taxonomy) Labels'!$L$1,'Footnote (Taxonomy) Labels'!$L38,
template_selected_display_language='Footnote (Taxonomy) Labels'!$M$1,'Footnote (Taxonomy) Labels'!$M38
)</f>
        <v>Total (gross) location-based Scope 1 and Scope 2 GHG emissions</v>
      </c>
      <c r="B38" s="511" t="s">
        <v>9746</v>
      </c>
      <c r="C38" s="504" t="s">
        <v>9747</v>
      </c>
      <c r="D38" s="504" t="s">
        <v>9748</v>
      </c>
      <c r="E38" s="504" t="s">
        <v>9749</v>
      </c>
      <c r="F38" s="504" t="s">
        <v>9750</v>
      </c>
      <c r="G38" s="504" t="s">
        <v>9751</v>
      </c>
      <c r="H38" s="504" t="s">
        <v>9752</v>
      </c>
      <c r="I38" s="504" t="s">
        <v>9753</v>
      </c>
      <c r="J38" s="504" t="s">
        <v>9754</v>
      </c>
      <c r="K38" s="504" t="s">
        <v>9755</v>
      </c>
      <c r="L38" s="504" t="s">
        <v>9756</v>
      </c>
      <c r="M38" s="506" t="s">
        <v>9757</v>
      </c>
    </row>
    <row r="39" spans="1:13" ht="14.4" customHeight="1">
      <c r="A39" s="4" t="str" cm="1">
        <f t="array" ref="A39">_xlfn.IFS(
template_selected_display_language='Footnote (Taxonomy) Labels'!$B$1,'Footnote (Taxonomy) Labels'!$B39,
template_selected_display_language='Footnote (Taxonomy) Labels'!$C$1,'Footnote (Taxonomy) Labels'!$C39,
template_selected_display_language='Footnote (Taxonomy) Labels'!$D$1,'Footnote (Taxonomy) Labels'!$D39,
template_selected_display_language='Footnote (Taxonomy) Labels'!$E$1,'Footnote (Taxonomy) Labels'!$E39,
template_selected_display_language='Footnote (Taxonomy) Labels'!$F$1,'Footnote (Taxonomy) Labels'!$F39,
template_selected_display_language='Footnote (Taxonomy) Labels'!$G$1,'Footnote (Taxonomy) Labels'!$G39,
template_selected_display_language='Footnote (Taxonomy) Labels'!$H$1,'Footnote (Taxonomy) Labels'!$H39,
template_selected_display_language='Footnote (Taxonomy) Labels'!$I$1,'Footnote (Taxonomy) Labels'!$I39,
template_selected_display_language='Footnote (Taxonomy) Labels'!$J$1,'Footnote (Taxonomy) Labels'!$J39,
template_selected_display_language='Footnote (Taxonomy) Labels'!$K$1,'Footnote (Taxonomy) Labels'!$K39,
template_selected_display_language='Footnote (Taxonomy) Labels'!$L$1,'Footnote (Taxonomy) Labels'!$L39,
template_selected_display_language='Footnote (Taxonomy) Labels'!$M$1,'Footnote (Taxonomy) Labels'!$M39
)</f>
        <v>Total (gross) market-based Scope 1 and Scope 2 GHG emissions</v>
      </c>
      <c r="B39" s="511" t="s">
        <v>9758</v>
      </c>
      <c r="C39" s="504" t="s">
        <v>9759</v>
      </c>
      <c r="D39" s="504" t="s">
        <v>9760</v>
      </c>
      <c r="E39" s="504" t="s">
        <v>9761</v>
      </c>
      <c r="F39" s="504" t="s">
        <v>9762</v>
      </c>
      <c r="G39" s="504" t="s">
        <v>9763</v>
      </c>
      <c r="H39" s="504" t="s">
        <v>9764</v>
      </c>
      <c r="I39" s="504" t="s">
        <v>9765</v>
      </c>
      <c r="J39" s="504" t="s">
        <v>9766</v>
      </c>
      <c r="K39" s="504" t="s">
        <v>9767</v>
      </c>
      <c r="L39" s="504" t="s">
        <v>9768</v>
      </c>
      <c r="M39" s="506" t="s">
        <v>9769</v>
      </c>
    </row>
    <row r="40" spans="1:13" ht="14.4" customHeight="1">
      <c r="A40" s="4" t="str" cm="1">
        <f t="array" ref="A40">_xlfn.IFS(
template_selected_display_language='Footnote (Taxonomy) Labels'!$B$1,'Footnote (Taxonomy) Labels'!$B40,
template_selected_display_language='Footnote (Taxonomy) Labels'!$C$1,'Footnote (Taxonomy) Labels'!$C40,
template_selected_display_language='Footnote (Taxonomy) Labels'!$D$1,'Footnote (Taxonomy) Labels'!$D40,
template_selected_display_language='Footnote (Taxonomy) Labels'!$E$1,'Footnote (Taxonomy) Labels'!$E40,
template_selected_display_language='Footnote (Taxonomy) Labels'!$F$1,'Footnote (Taxonomy) Labels'!$F40,
template_selected_display_language='Footnote (Taxonomy) Labels'!$G$1,'Footnote (Taxonomy) Labels'!$G40,
template_selected_display_language='Footnote (Taxonomy) Labels'!$H$1,'Footnote (Taxonomy) Labels'!$H40,
template_selected_display_language='Footnote (Taxonomy) Labels'!$I$1,'Footnote (Taxonomy) Labels'!$I40,
template_selected_display_language='Footnote (Taxonomy) Labels'!$J$1,'Footnote (Taxonomy) Labels'!$J40,
template_selected_display_language='Footnote (Taxonomy) Labels'!$K$1,'Footnote (Taxonomy) Labels'!$K40,
template_selected_display_language='Footnote (Taxonomy) Labels'!$L$1,'Footnote (Taxonomy) Labels'!$L40,
template_selected_display_language='Footnote (Taxonomy) Labels'!$M$1,'Footnote (Taxonomy) Labels'!$M40
)</f>
        <v>Gross Scope 3 greenhouse gas emissions</v>
      </c>
      <c r="B40" s="511" t="s">
        <v>9770</v>
      </c>
      <c r="C40" s="504" t="s">
        <v>9771</v>
      </c>
      <c r="D40" s="504" t="s">
        <v>9772</v>
      </c>
      <c r="E40" s="504" t="s">
        <v>9773</v>
      </c>
      <c r="F40" s="504" t="s">
        <v>9774</v>
      </c>
      <c r="G40" s="504" t="s">
        <v>9775</v>
      </c>
      <c r="H40" s="504" t="s">
        <v>9776</v>
      </c>
      <c r="I40" s="504" t="s">
        <v>9777</v>
      </c>
      <c r="J40" s="504" t="s">
        <v>9778</v>
      </c>
      <c r="K40" s="504" t="s">
        <v>9779</v>
      </c>
      <c r="L40" s="504" t="s">
        <v>9780</v>
      </c>
      <c r="M40" s="506" t="s">
        <v>9781</v>
      </c>
    </row>
    <row r="41" spans="1:13" ht="14.4" customHeight="1">
      <c r="A41" s="4" t="str" cm="1">
        <f t="array" ref="A41">_xlfn.IFS(
template_selected_display_language='Footnote (Taxonomy) Labels'!$B$1,'Footnote (Taxonomy) Labels'!$B41,
template_selected_display_language='Footnote (Taxonomy) Labels'!$C$1,'Footnote (Taxonomy) Labels'!$C41,
template_selected_display_language='Footnote (Taxonomy) Labels'!$D$1,'Footnote (Taxonomy) Labels'!$D41,
template_selected_display_language='Footnote (Taxonomy) Labels'!$E$1,'Footnote (Taxonomy) Labels'!$E41,
template_selected_display_language='Footnote (Taxonomy) Labels'!$F$1,'Footnote (Taxonomy) Labels'!$F41,
template_selected_display_language='Footnote (Taxonomy) Labels'!$G$1,'Footnote (Taxonomy) Labels'!$G41,
template_selected_display_language='Footnote (Taxonomy) Labels'!$H$1,'Footnote (Taxonomy) Labels'!$H41,
template_selected_display_language='Footnote (Taxonomy) Labels'!$I$1,'Footnote (Taxonomy) Labels'!$I41,
template_selected_display_language='Footnote (Taxonomy) Labels'!$J$1,'Footnote (Taxonomy) Labels'!$J41,
template_selected_display_language='Footnote (Taxonomy) Labels'!$K$1,'Footnote (Taxonomy) Labels'!$K41,
template_selected_display_language='Footnote (Taxonomy) Labels'!$L$1,'Footnote (Taxonomy) Labels'!$L41,
template_selected_display_language='Footnote (Taxonomy) Labels'!$M$1,'Footnote (Taxonomy) Labels'!$M41
)</f>
        <v>Total (gross) location-based GHG emissions</v>
      </c>
      <c r="B41" s="511" t="s">
        <v>9782</v>
      </c>
      <c r="C41" s="504" t="s">
        <v>9783</v>
      </c>
      <c r="D41" s="504" t="s">
        <v>9784</v>
      </c>
      <c r="E41" s="504" t="s">
        <v>9785</v>
      </c>
      <c r="F41" s="504" t="s">
        <v>9786</v>
      </c>
      <c r="G41" s="504" t="s">
        <v>9787</v>
      </c>
      <c r="H41" s="504" t="s">
        <v>9788</v>
      </c>
      <c r="I41" s="504" t="s">
        <v>9789</v>
      </c>
      <c r="J41" s="504" t="s">
        <v>9790</v>
      </c>
      <c r="K41" s="504" t="s">
        <v>9791</v>
      </c>
      <c r="L41" s="504" t="s">
        <v>9792</v>
      </c>
      <c r="M41" s="506" t="s">
        <v>9793</v>
      </c>
    </row>
    <row r="42" spans="1:13" ht="14.4" customHeight="1">
      <c r="A42" s="4" t="str" cm="1">
        <f t="array" ref="A42">_xlfn.IFS(
template_selected_display_language='Footnote (Taxonomy) Labels'!$B$1,'Footnote (Taxonomy) Labels'!$B42,
template_selected_display_language='Footnote (Taxonomy) Labels'!$C$1,'Footnote (Taxonomy) Labels'!$C42,
template_selected_display_language='Footnote (Taxonomy) Labels'!$D$1,'Footnote (Taxonomy) Labels'!$D42,
template_selected_display_language='Footnote (Taxonomy) Labels'!$E$1,'Footnote (Taxonomy) Labels'!$E42,
template_selected_display_language='Footnote (Taxonomy) Labels'!$F$1,'Footnote (Taxonomy) Labels'!$F42,
template_selected_display_language='Footnote (Taxonomy) Labels'!$G$1,'Footnote (Taxonomy) Labels'!$G42,
template_selected_display_language='Footnote (Taxonomy) Labels'!$H$1,'Footnote (Taxonomy) Labels'!$H42,
template_selected_display_language='Footnote (Taxonomy) Labels'!$I$1,'Footnote (Taxonomy) Labels'!$I42,
template_selected_display_language='Footnote (Taxonomy) Labels'!$J$1,'Footnote (Taxonomy) Labels'!$J42,
template_selected_display_language='Footnote (Taxonomy) Labels'!$K$1,'Footnote (Taxonomy) Labels'!$K42,
template_selected_display_language='Footnote (Taxonomy) Labels'!$L$1,'Footnote (Taxonomy) Labels'!$L42,
template_selected_display_language='Footnote (Taxonomy) Labels'!$M$1,'Footnote (Taxonomy) Labels'!$M42
)</f>
        <v>Total (gross) market-based GHG emissions</v>
      </c>
      <c r="B42" s="511" t="s">
        <v>9794</v>
      </c>
      <c r="C42" s="504" t="s">
        <v>9795</v>
      </c>
      <c r="D42" s="504" t="s">
        <v>9796</v>
      </c>
      <c r="E42" s="504" t="s">
        <v>9797</v>
      </c>
      <c r="F42" s="504" t="s">
        <v>9798</v>
      </c>
      <c r="G42" s="504" t="s">
        <v>9799</v>
      </c>
      <c r="H42" s="504" t="s">
        <v>9800</v>
      </c>
      <c r="I42" s="504" t="s">
        <v>9801</v>
      </c>
      <c r="J42" s="504" t="s">
        <v>9802</v>
      </c>
      <c r="K42" s="504" t="s">
        <v>9803</v>
      </c>
      <c r="L42" s="504" t="s">
        <v>9804</v>
      </c>
      <c r="M42" s="506" t="s">
        <v>9805</v>
      </c>
    </row>
    <row r="43" spans="1:13" ht="14.4" customHeight="1">
      <c r="A43" s="4" t="str" cm="1">
        <f t="array" ref="A43">_xlfn.IFS(
template_selected_display_language='Footnote (Taxonomy) Labels'!$B$1,'Footnote (Taxonomy) Labels'!$B43,
template_selected_display_language='Footnote (Taxonomy) Labels'!$C$1,'Footnote (Taxonomy) Labels'!$C43,
template_selected_display_language='Footnote (Taxonomy) Labels'!$D$1,'Footnote (Taxonomy) Labels'!$D43,
template_selected_display_language='Footnote (Taxonomy) Labels'!$E$1,'Footnote (Taxonomy) Labels'!$E43,
template_selected_display_language='Footnote (Taxonomy) Labels'!$F$1,'Footnote (Taxonomy) Labels'!$F43,
template_selected_display_language='Footnote (Taxonomy) Labels'!$G$1,'Footnote (Taxonomy) Labels'!$G43,
template_selected_display_language='Footnote (Taxonomy) Labels'!$H$1,'Footnote (Taxonomy) Labels'!$H43,
template_selected_display_language='Footnote (Taxonomy) Labels'!$I$1,'Footnote (Taxonomy) Labels'!$I43,
template_selected_display_language='Footnote (Taxonomy) Labels'!$J$1,'Footnote (Taxonomy) Labels'!$J43,
template_selected_display_language='Footnote (Taxonomy) Labels'!$K$1,'Footnote (Taxonomy) Labels'!$K43,
template_selected_display_language='Footnote (Taxonomy) Labels'!$L$1,'Footnote (Taxonomy) Labels'!$L43,
template_selected_display_language='Footnote (Taxonomy) Labels'!$M$1,'Footnote (Taxonomy) Labels'!$M43
)</f>
        <v>Location-based Scope 1 and Scope 2 Greenhouse Gas Emissions intensity</v>
      </c>
      <c r="B43" s="511" t="s">
        <v>9806</v>
      </c>
      <c r="C43" s="504" t="s">
        <v>9807</v>
      </c>
      <c r="D43" s="504" t="s">
        <v>9808</v>
      </c>
      <c r="E43" s="504" t="s">
        <v>9809</v>
      </c>
      <c r="F43" s="504" t="s">
        <v>9810</v>
      </c>
      <c r="G43" s="504" t="s">
        <v>9811</v>
      </c>
      <c r="H43" s="504" t="s">
        <v>9812</v>
      </c>
      <c r="I43" s="504" t="s">
        <v>9813</v>
      </c>
      <c r="J43" s="504" t="s">
        <v>9814</v>
      </c>
      <c r="K43" s="504" t="s">
        <v>9815</v>
      </c>
      <c r="L43" s="504" t="s">
        <v>9816</v>
      </c>
      <c r="M43" s="506" t="s">
        <v>9817</v>
      </c>
    </row>
    <row r="44" spans="1:13" ht="14.4" customHeight="1">
      <c r="A44" s="4" t="str" cm="1">
        <f t="array" ref="A44">_xlfn.IFS(
template_selected_display_language='Footnote (Taxonomy) Labels'!$B$1,'Footnote (Taxonomy) Labels'!$B44,
template_selected_display_language='Footnote (Taxonomy) Labels'!$C$1,'Footnote (Taxonomy) Labels'!$C44,
template_selected_display_language='Footnote (Taxonomy) Labels'!$D$1,'Footnote (Taxonomy) Labels'!$D44,
template_selected_display_language='Footnote (Taxonomy) Labels'!$E$1,'Footnote (Taxonomy) Labels'!$E44,
template_selected_display_language='Footnote (Taxonomy) Labels'!$F$1,'Footnote (Taxonomy) Labels'!$F44,
template_selected_display_language='Footnote (Taxonomy) Labels'!$G$1,'Footnote (Taxonomy) Labels'!$G44,
template_selected_display_language='Footnote (Taxonomy) Labels'!$H$1,'Footnote (Taxonomy) Labels'!$H44,
template_selected_display_language='Footnote (Taxonomy) Labels'!$I$1,'Footnote (Taxonomy) Labels'!$I44,
template_selected_display_language='Footnote (Taxonomy) Labels'!$J$1,'Footnote (Taxonomy) Labels'!$J44,
template_selected_display_language='Footnote (Taxonomy) Labels'!$K$1,'Footnote (Taxonomy) Labels'!$K44,
template_selected_display_language='Footnote (Taxonomy) Labels'!$L$1,'Footnote (Taxonomy) Labels'!$L44,
template_selected_display_language='Footnote (Taxonomy) Labels'!$M$1,'Footnote (Taxonomy) Labels'!$M44
)</f>
        <v>Market-based Scope 1 and Scope 2 Greenhouse Gas Emissions intensity</v>
      </c>
      <c r="B44" s="511" t="s">
        <v>9818</v>
      </c>
      <c r="C44" s="504" t="s">
        <v>9819</v>
      </c>
      <c r="D44" s="504" t="s">
        <v>9820</v>
      </c>
      <c r="E44" s="504" t="s">
        <v>9821</v>
      </c>
      <c r="F44" s="504" t="s">
        <v>9822</v>
      </c>
      <c r="G44" s="504" t="s">
        <v>9823</v>
      </c>
      <c r="H44" s="504" t="s">
        <v>9824</v>
      </c>
      <c r="I44" s="504" t="s">
        <v>9825</v>
      </c>
      <c r="J44" s="504" t="s">
        <v>9826</v>
      </c>
      <c r="K44" s="504" t="s">
        <v>9827</v>
      </c>
      <c r="L44" s="504" t="s">
        <v>9828</v>
      </c>
      <c r="M44" s="506" t="s">
        <v>9829</v>
      </c>
    </row>
    <row r="45" spans="1:13" ht="14.4" customHeight="1">
      <c r="A45" s="4" t="str" cm="1">
        <f t="array" ref="A45">_xlfn.IFS(
template_selected_display_language='Footnote (Taxonomy) Labels'!$B$1,'Footnote (Taxonomy) Labels'!$B45,
template_selected_display_language='Footnote (Taxonomy) Labels'!$C$1,'Footnote (Taxonomy) Labels'!$C45,
template_selected_display_language='Footnote (Taxonomy) Labels'!$D$1,'Footnote (Taxonomy) Labels'!$D45,
template_selected_display_language='Footnote (Taxonomy) Labels'!$E$1,'Footnote (Taxonomy) Labels'!$E45,
template_selected_display_language='Footnote (Taxonomy) Labels'!$F$1,'Footnote (Taxonomy) Labels'!$F45,
template_selected_display_language='Footnote (Taxonomy) Labels'!$G$1,'Footnote (Taxonomy) Labels'!$G45,
template_selected_display_language='Footnote (Taxonomy) Labels'!$H$1,'Footnote (Taxonomy) Labels'!$H45,
template_selected_display_language='Footnote (Taxonomy) Labels'!$I$1,'Footnote (Taxonomy) Labels'!$I45,
template_selected_display_language='Footnote (Taxonomy) Labels'!$J$1,'Footnote (Taxonomy) Labels'!$J45,
template_selected_display_language='Footnote (Taxonomy) Labels'!$K$1,'Footnote (Taxonomy) Labels'!$K45,
template_selected_display_language='Footnote (Taxonomy) Labels'!$L$1,'Footnote (Taxonomy) Labels'!$L45,
template_selected_display_language='Footnote (Taxonomy) Labels'!$M$1,'Footnote (Taxonomy) Labels'!$M45
)</f>
        <v>Total location-based Greenhouse Gas Emissions intensity</v>
      </c>
      <c r="B45" s="511" t="s">
        <v>9830</v>
      </c>
      <c r="C45" s="504" t="s">
        <v>9831</v>
      </c>
      <c r="D45" s="504" t="s">
        <v>9832</v>
      </c>
      <c r="E45" s="504" t="s">
        <v>9833</v>
      </c>
      <c r="F45" s="504" t="s">
        <v>9834</v>
      </c>
      <c r="G45" s="504" t="s">
        <v>9835</v>
      </c>
      <c r="H45" s="504" t="s">
        <v>9836</v>
      </c>
      <c r="I45" s="504" t="s">
        <v>9837</v>
      </c>
      <c r="J45" s="504" t="s">
        <v>9838</v>
      </c>
      <c r="K45" s="504" t="s">
        <v>9839</v>
      </c>
      <c r="L45" s="504" t="s">
        <v>9840</v>
      </c>
      <c r="M45" s="506" t="s">
        <v>9841</v>
      </c>
    </row>
    <row r="46" spans="1:13" ht="14.4" customHeight="1">
      <c r="A46" s="4" t="str" cm="1">
        <f t="array" ref="A46">_xlfn.IFS(
template_selected_display_language='Footnote (Taxonomy) Labels'!$B$1,'Footnote (Taxonomy) Labels'!$B46,
template_selected_display_language='Footnote (Taxonomy) Labels'!$C$1,'Footnote (Taxonomy) Labels'!$C46,
template_selected_display_language='Footnote (Taxonomy) Labels'!$D$1,'Footnote (Taxonomy) Labels'!$D46,
template_selected_display_language='Footnote (Taxonomy) Labels'!$E$1,'Footnote (Taxonomy) Labels'!$E46,
template_selected_display_language='Footnote (Taxonomy) Labels'!$F$1,'Footnote (Taxonomy) Labels'!$F46,
template_selected_display_language='Footnote (Taxonomy) Labels'!$G$1,'Footnote (Taxonomy) Labels'!$G46,
template_selected_display_language='Footnote (Taxonomy) Labels'!$H$1,'Footnote (Taxonomy) Labels'!$H46,
template_selected_display_language='Footnote (Taxonomy) Labels'!$I$1,'Footnote (Taxonomy) Labels'!$I46,
template_selected_display_language='Footnote (Taxonomy) Labels'!$J$1,'Footnote (Taxonomy) Labels'!$J46,
template_selected_display_language='Footnote (Taxonomy) Labels'!$K$1,'Footnote (Taxonomy) Labels'!$K46,
template_selected_display_language='Footnote (Taxonomy) Labels'!$L$1,'Footnote (Taxonomy) Labels'!$L46,
template_selected_display_language='Footnote (Taxonomy) Labels'!$M$1,'Footnote (Taxonomy) Labels'!$M46
)</f>
        <v>Total market-based Greenhouse Gas Emissions intensity</v>
      </c>
      <c r="B46" s="511" t="s">
        <v>9842</v>
      </c>
      <c r="C46" s="504" t="s">
        <v>9843</v>
      </c>
      <c r="D46" s="504" t="s">
        <v>9844</v>
      </c>
      <c r="E46" s="504" t="s">
        <v>9845</v>
      </c>
      <c r="F46" s="504" t="s">
        <v>9846</v>
      </c>
      <c r="G46" s="504" t="s">
        <v>9847</v>
      </c>
      <c r="H46" s="504" t="s">
        <v>9848</v>
      </c>
      <c r="I46" s="504" t="s">
        <v>9849</v>
      </c>
      <c r="J46" s="504" t="s">
        <v>9850</v>
      </c>
      <c r="K46" s="504" t="s">
        <v>9851</v>
      </c>
      <c r="L46" s="504" t="s">
        <v>9852</v>
      </c>
      <c r="M46" s="506" t="s">
        <v>9853</v>
      </c>
    </row>
    <row r="47" spans="1:13" ht="14.4" customHeight="1">
      <c r="A47" s="4" t="str" cm="1">
        <f t="array" ref="A47">_xlfn.IFS(
template_selected_display_language='Footnote (Taxonomy) Labels'!$B$1,'Footnote (Taxonomy) Labels'!$B47,
template_selected_display_language='Footnote (Taxonomy) Labels'!$C$1,'Footnote (Taxonomy) Labels'!$C47,
template_selected_display_language='Footnote (Taxonomy) Labels'!$D$1,'Footnote (Taxonomy) Labels'!$D47,
template_selected_display_language='Footnote (Taxonomy) Labels'!$E$1,'Footnote (Taxonomy) Labels'!$E47,
template_selected_display_language='Footnote (Taxonomy) Labels'!$F$1,'Footnote (Taxonomy) Labels'!$F47,
template_selected_display_language='Footnote (Taxonomy) Labels'!$G$1,'Footnote (Taxonomy) Labels'!$G47,
template_selected_display_language='Footnote (Taxonomy) Labels'!$H$1,'Footnote (Taxonomy) Labels'!$H47,
template_selected_display_language='Footnote (Taxonomy) Labels'!$I$1,'Footnote (Taxonomy) Labels'!$I47,
template_selected_display_language='Footnote (Taxonomy) Labels'!$J$1,'Footnote (Taxonomy) Labels'!$J47,
template_selected_display_language='Footnote (Taxonomy) Labels'!$K$1,'Footnote (Taxonomy) Labels'!$K47,
template_selected_display_language='Footnote (Taxonomy) Labels'!$L$1,'Footnote (Taxonomy) Labels'!$L47,
template_selected_display_language='Footnote (Taxonomy) Labels'!$M$1,'Footnote (Taxonomy) Labels'!$M47
)</f>
        <v>Publicly available disclosure</v>
      </c>
      <c r="B47" s="511" t="s">
        <v>9854</v>
      </c>
      <c r="C47" s="504" t="s">
        <v>9855</v>
      </c>
      <c r="D47" s="504" t="s">
        <v>9856</v>
      </c>
      <c r="E47" s="504" t="s">
        <v>9857</v>
      </c>
      <c r="F47" s="504" t="s">
        <v>9858</v>
      </c>
      <c r="G47" s="504" t="s">
        <v>9859</v>
      </c>
      <c r="H47" s="504" t="s">
        <v>9860</v>
      </c>
      <c r="I47" s="504" t="s">
        <v>9861</v>
      </c>
      <c r="J47" s="504" t="s">
        <v>9862</v>
      </c>
      <c r="K47" s="504" t="s">
        <v>9863</v>
      </c>
      <c r="L47" s="504" t="s">
        <v>9864</v>
      </c>
      <c r="M47" s="506" t="s">
        <v>9865</v>
      </c>
    </row>
    <row r="48" spans="1:13" ht="14.4" customHeight="1">
      <c r="A48" s="4" t="str" cm="1">
        <f t="array" ref="A48">_xlfn.IFS(
template_selected_display_language='Footnote (Taxonomy) Labels'!$B$1,'Footnote (Taxonomy) Labels'!$B48,
template_selected_display_language='Footnote (Taxonomy) Labels'!$C$1,'Footnote (Taxonomy) Labels'!$C48,
template_selected_display_language='Footnote (Taxonomy) Labels'!$D$1,'Footnote (Taxonomy) Labels'!$D48,
template_selected_display_language='Footnote (Taxonomy) Labels'!$E$1,'Footnote (Taxonomy) Labels'!$E48,
template_selected_display_language='Footnote (Taxonomy) Labels'!$F$1,'Footnote (Taxonomy) Labels'!$F48,
template_selected_display_language='Footnote (Taxonomy) Labels'!$G$1,'Footnote (Taxonomy) Labels'!$G48,
template_selected_display_language='Footnote (Taxonomy) Labels'!$H$1,'Footnote (Taxonomy) Labels'!$H48,
template_selected_display_language='Footnote (Taxonomy) Labels'!$I$1,'Footnote (Taxonomy) Labels'!$I48,
template_selected_display_language='Footnote (Taxonomy) Labels'!$J$1,'Footnote (Taxonomy) Labels'!$J48,
template_selected_display_language='Footnote (Taxonomy) Labels'!$K$1,'Footnote (Taxonomy) Labels'!$K48,
template_selected_display_language='Footnote (Taxonomy) Labels'!$L$1,'Footnote (Taxonomy) Labels'!$L48,
template_selected_display_language='Footnote (Taxonomy) Labels'!$M$1,'Footnote (Taxonomy) Labels'!$M48
)</f>
        <v>URL or link to the publicly available disclosure</v>
      </c>
      <c r="B48" s="511" t="s">
        <v>9866</v>
      </c>
      <c r="C48" s="504" t="s">
        <v>9867</v>
      </c>
      <c r="D48" s="504" t="s">
        <v>9868</v>
      </c>
      <c r="E48" s="504" t="s">
        <v>9869</v>
      </c>
      <c r="F48" s="504" t="s">
        <v>9870</v>
      </c>
      <c r="G48" s="504" t="s">
        <v>9871</v>
      </c>
      <c r="H48" s="504" t="s">
        <v>9872</v>
      </c>
      <c r="I48" s="504" t="s">
        <v>9873</v>
      </c>
      <c r="J48" s="504" t="s">
        <v>9874</v>
      </c>
      <c r="K48" s="504" t="s">
        <v>9875</v>
      </c>
      <c r="L48" s="504" t="s">
        <v>9876</v>
      </c>
      <c r="M48" s="506" t="s">
        <v>9877</v>
      </c>
    </row>
    <row r="49" spans="1:13" ht="14.4" customHeight="1">
      <c r="A49" s="4" t="str" cm="1">
        <f t="array" ref="A49">_xlfn.IFS(
template_selected_display_language='Footnote (Taxonomy) Labels'!$B$1,'Footnote (Taxonomy) Labels'!$B49,
template_selected_display_language='Footnote (Taxonomy) Labels'!$C$1,'Footnote (Taxonomy) Labels'!$C49,
template_selected_display_language='Footnote (Taxonomy) Labels'!$D$1,'Footnote (Taxonomy) Labels'!$D49,
template_selected_display_language='Footnote (Taxonomy) Labels'!$E$1,'Footnote (Taxonomy) Labels'!$E49,
template_selected_display_language='Footnote (Taxonomy) Labels'!$F$1,'Footnote (Taxonomy) Labels'!$F49,
template_selected_display_language='Footnote (Taxonomy) Labels'!$G$1,'Footnote (Taxonomy) Labels'!$G49,
template_selected_display_language='Footnote (Taxonomy) Labels'!$H$1,'Footnote (Taxonomy) Labels'!$H49,
template_selected_display_language='Footnote (Taxonomy) Labels'!$I$1,'Footnote (Taxonomy) Labels'!$I49,
template_selected_display_language='Footnote (Taxonomy) Labels'!$J$1,'Footnote (Taxonomy) Labels'!$J49,
template_selected_display_language='Footnote (Taxonomy) Labels'!$K$1,'Footnote (Taxonomy) Labels'!$K49,
template_selected_display_language='Footnote (Taxonomy) Labels'!$L$1,'Footnote (Taxonomy) Labels'!$L49,
template_selected_display_language='Footnote (Taxonomy) Labels'!$M$1,'Footnote (Taxonomy) Labels'!$M49
)</f>
        <v>Amount of emission to air</v>
      </c>
      <c r="B49" s="511" t="s">
        <v>9878</v>
      </c>
      <c r="C49" s="504" t="s">
        <v>9879</v>
      </c>
      <c r="D49" s="504" t="s">
        <v>9880</v>
      </c>
      <c r="E49" s="504" t="s">
        <v>9881</v>
      </c>
      <c r="F49" s="504" t="s">
        <v>9882</v>
      </c>
      <c r="G49" s="504" t="s">
        <v>9883</v>
      </c>
      <c r="H49" s="504" t="s">
        <v>9884</v>
      </c>
      <c r="I49" s="504" t="s">
        <v>9885</v>
      </c>
      <c r="J49" s="504" t="s">
        <v>9886</v>
      </c>
      <c r="K49" s="504" t="s">
        <v>9887</v>
      </c>
      <c r="L49" s="504" t="s">
        <v>9888</v>
      </c>
      <c r="M49" s="506" t="s">
        <v>9889</v>
      </c>
    </row>
    <row r="50" spans="1:13" ht="14.4" customHeight="1">
      <c r="A50" s="4" t="str" cm="1">
        <f t="array" ref="A50">_xlfn.IFS(
template_selected_display_language='Footnote (Taxonomy) Labels'!$B$1,'Footnote (Taxonomy) Labels'!$B50,
template_selected_display_language='Footnote (Taxonomy) Labels'!$C$1,'Footnote (Taxonomy) Labels'!$C50,
template_selected_display_language='Footnote (Taxonomy) Labels'!$D$1,'Footnote (Taxonomy) Labels'!$D50,
template_selected_display_language='Footnote (Taxonomy) Labels'!$E$1,'Footnote (Taxonomy) Labels'!$E50,
template_selected_display_language='Footnote (Taxonomy) Labels'!$F$1,'Footnote (Taxonomy) Labels'!$F50,
template_selected_display_language='Footnote (Taxonomy) Labels'!$G$1,'Footnote (Taxonomy) Labels'!$G50,
template_selected_display_language='Footnote (Taxonomy) Labels'!$H$1,'Footnote (Taxonomy) Labels'!$H50,
template_selected_display_language='Footnote (Taxonomy) Labels'!$I$1,'Footnote (Taxonomy) Labels'!$I50,
template_selected_display_language='Footnote (Taxonomy) Labels'!$J$1,'Footnote (Taxonomy) Labels'!$J50,
template_selected_display_language='Footnote (Taxonomy) Labels'!$K$1,'Footnote (Taxonomy) Labels'!$K50,
template_selected_display_language='Footnote (Taxonomy) Labels'!$L$1,'Footnote (Taxonomy) Labels'!$L50,
template_selected_display_language='Footnote (Taxonomy) Labels'!$M$1,'Footnote (Taxonomy) Labels'!$M50
)</f>
        <v>Amount of emission to water</v>
      </c>
      <c r="B50" s="511" t="s">
        <v>9890</v>
      </c>
      <c r="C50" s="504" t="s">
        <v>9891</v>
      </c>
      <c r="D50" s="504" t="s">
        <v>9892</v>
      </c>
      <c r="E50" s="504" t="s">
        <v>9893</v>
      </c>
      <c r="F50" s="504" t="s">
        <v>9894</v>
      </c>
      <c r="G50" s="504" t="s">
        <v>9895</v>
      </c>
      <c r="H50" s="504" t="s">
        <v>9896</v>
      </c>
      <c r="I50" s="504" t="s">
        <v>9897</v>
      </c>
      <c r="J50" s="504" t="s">
        <v>9898</v>
      </c>
      <c r="K50" s="504" t="s">
        <v>9899</v>
      </c>
      <c r="L50" s="504" t="s">
        <v>9900</v>
      </c>
      <c r="M50" s="506" t="s">
        <v>9901</v>
      </c>
    </row>
    <row r="51" spans="1:13" ht="14.4" customHeight="1">
      <c r="A51" s="4" t="str" cm="1">
        <f t="array" ref="A51">_xlfn.IFS(
template_selected_display_language='Footnote (Taxonomy) Labels'!$B$1,'Footnote (Taxonomy) Labels'!$B51,
template_selected_display_language='Footnote (Taxonomy) Labels'!$C$1,'Footnote (Taxonomy) Labels'!$C51,
template_selected_display_language='Footnote (Taxonomy) Labels'!$D$1,'Footnote (Taxonomy) Labels'!$D51,
template_selected_display_language='Footnote (Taxonomy) Labels'!$E$1,'Footnote (Taxonomy) Labels'!$E51,
template_selected_display_language='Footnote (Taxonomy) Labels'!$F$1,'Footnote (Taxonomy) Labels'!$F51,
template_selected_display_language='Footnote (Taxonomy) Labels'!$G$1,'Footnote (Taxonomy) Labels'!$G51,
template_selected_display_language='Footnote (Taxonomy) Labels'!$H$1,'Footnote (Taxonomy) Labels'!$H51,
template_selected_display_language='Footnote (Taxonomy) Labels'!$I$1,'Footnote (Taxonomy) Labels'!$I51,
template_selected_display_language='Footnote (Taxonomy) Labels'!$J$1,'Footnote (Taxonomy) Labels'!$J51,
template_selected_display_language='Footnote (Taxonomy) Labels'!$K$1,'Footnote (Taxonomy) Labels'!$K51,
template_selected_display_language='Footnote (Taxonomy) Labels'!$L$1,'Footnote (Taxonomy) Labels'!$L51,
template_selected_display_language='Footnote (Taxonomy) Labels'!$M$1,'Footnote (Taxonomy) Labels'!$M51
)</f>
        <v>Amount of emission to soil</v>
      </c>
      <c r="B51" s="511" t="s">
        <v>9902</v>
      </c>
      <c r="C51" s="504" t="s">
        <v>9903</v>
      </c>
      <c r="D51" s="504" t="s">
        <v>9904</v>
      </c>
      <c r="E51" s="504" t="s">
        <v>9905</v>
      </c>
      <c r="F51" s="504" t="s">
        <v>9906</v>
      </c>
      <c r="G51" s="504" t="s">
        <v>9907</v>
      </c>
      <c r="H51" s="504" t="s">
        <v>9908</v>
      </c>
      <c r="I51" s="504" t="s">
        <v>9909</v>
      </c>
      <c r="J51" s="504" t="s">
        <v>9910</v>
      </c>
      <c r="K51" s="504" t="s">
        <v>9911</v>
      </c>
      <c r="L51" s="504" t="s">
        <v>9912</v>
      </c>
      <c r="M51" s="506" t="s">
        <v>9913</v>
      </c>
    </row>
    <row r="52" spans="1:13" ht="14.4" customHeight="1">
      <c r="A52" s="4" t="str" cm="1">
        <f t="array" ref="A52">_xlfn.IFS(
template_selected_display_language='Footnote (Taxonomy) Labels'!$B$1,'Footnote (Taxonomy) Labels'!$B52,
template_selected_display_language='Footnote (Taxonomy) Labels'!$C$1,'Footnote (Taxonomy) Labels'!$C52,
template_selected_display_language='Footnote (Taxonomy) Labels'!$D$1,'Footnote (Taxonomy) Labels'!$D52,
template_selected_display_language='Footnote (Taxonomy) Labels'!$E$1,'Footnote (Taxonomy) Labels'!$E52,
template_selected_display_language='Footnote (Taxonomy) Labels'!$F$1,'Footnote (Taxonomy) Labels'!$F52,
template_selected_display_language='Footnote (Taxonomy) Labels'!$G$1,'Footnote (Taxonomy) Labels'!$G52,
template_selected_display_language='Footnote (Taxonomy) Labels'!$H$1,'Footnote (Taxonomy) Labels'!$H52,
template_selected_display_language='Footnote (Taxonomy) Labels'!$I$1,'Footnote (Taxonomy) Labels'!$I52,
template_selected_display_language='Footnote (Taxonomy) Labels'!$J$1,'Footnote (Taxonomy) Labels'!$J52,
template_selected_display_language='Footnote (Taxonomy) Labels'!$K$1,'Footnote (Taxonomy) Labels'!$K52,
template_selected_display_language='Footnote (Taxonomy) Labels'!$L$1,'Footnote (Taxonomy) Labels'!$L52,
template_selected_display_language='Footnote (Taxonomy) Labels'!$M$1,'Footnote (Taxonomy) Labels'!$M52
)</f>
        <v>Area of site in biodiversity sensitive area</v>
      </c>
      <c r="B52" s="511" t="s">
        <v>9914</v>
      </c>
      <c r="C52" s="504" t="s">
        <v>9915</v>
      </c>
      <c r="D52" s="504" t="s">
        <v>9916</v>
      </c>
      <c r="E52" s="504" t="s">
        <v>9917</v>
      </c>
      <c r="F52" s="504" t="s">
        <v>9918</v>
      </c>
      <c r="G52" s="504" t="s">
        <v>9919</v>
      </c>
      <c r="H52" s="504" t="s">
        <v>9920</v>
      </c>
      <c r="I52" s="504" t="s">
        <v>9921</v>
      </c>
      <c r="J52" s="504" t="s">
        <v>9922</v>
      </c>
      <c r="K52" s="504" t="s">
        <v>9923</v>
      </c>
      <c r="L52" s="504" t="s">
        <v>9924</v>
      </c>
      <c r="M52" s="506" t="s">
        <v>9925</v>
      </c>
    </row>
    <row r="53" spans="1:13" ht="14.4" customHeight="1">
      <c r="A53" s="4" t="str" cm="1">
        <f t="array" ref="A53">_xlfn.IFS(
template_selected_display_language='Footnote (Taxonomy) Labels'!$B$1,'Footnote (Taxonomy) Labels'!$B53,
template_selected_display_language='Footnote (Taxonomy) Labels'!$C$1,'Footnote (Taxonomy) Labels'!$C53,
template_selected_display_language='Footnote (Taxonomy) Labels'!$D$1,'Footnote (Taxonomy) Labels'!$D53,
template_selected_display_language='Footnote (Taxonomy) Labels'!$E$1,'Footnote (Taxonomy) Labels'!$E53,
template_selected_display_language='Footnote (Taxonomy) Labels'!$F$1,'Footnote (Taxonomy) Labels'!$F53,
template_selected_display_language='Footnote (Taxonomy) Labels'!$G$1,'Footnote (Taxonomy) Labels'!$G53,
template_selected_display_language='Footnote (Taxonomy) Labels'!$H$1,'Footnote (Taxonomy) Labels'!$H53,
template_selected_display_language='Footnote (Taxonomy) Labels'!$I$1,'Footnote (Taxonomy) Labels'!$I53,
template_selected_display_language='Footnote (Taxonomy) Labels'!$J$1,'Footnote (Taxonomy) Labels'!$J53,
template_selected_display_language='Footnote (Taxonomy) Labels'!$K$1,'Footnote (Taxonomy) Labels'!$K53,
template_selected_display_language='Footnote (Taxonomy) Labels'!$L$1,'Footnote (Taxonomy) Labels'!$L53,
template_selected_display_language='Footnote (Taxonomy) Labels'!$M$1,'Footnote (Taxonomy) Labels'!$M53
)</f>
        <v>Site located in a biodiversity sensitive area</v>
      </c>
      <c r="B53" s="511" t="s">
        <v>6190</v>
      </c>
      <c r="C53" s="504" t="s">
        <v>9926</v>
      </c>
      <c r="D53" s="504" t="s">
        <v>6192</v>
      </c>
      <c r="E53" s="504" t="s">
        <v>6193</v>
      </c>
      <c r="F53" s="504" t="s">
        <v>9927</v>
      </c>
      <c r="G53" s="504" t="s">
        <v>9928</v>
      </c>
      <c r="H53" s="504" t="s">
        <v>6196</v>
      </c>
      <c r="I53" s="504" t="s">
        <v>6197</v>
      </c>
      <c r="J53" s="504" t="s">
        <v>9929</v>
      </c>
      <c r="K53" s="504" t="s">
        <v>9930</v>
      </c>
      <c r="L53" s="504" t="s">
        <v>9931</v>
      </c>
      <c r="M53" s="506" t="s">
        <v>9932</v>
      </c>
    </row>
    <row r="54" spans="1:13" ht="14.4" customHeight="1">
      <c r="A54" s="4" t="str" cm="1">
        <f t="array" ref="A54">_xlfn.IFS(
template_selected_display_language='Footnote (Taxonomy) Labels'!$B$1,'Footnote (Taxonomy) Labels'!$B54,
template_selected_display_language='Footnote (Taxonomy) Labels'!$C$1,'Footnote (Taxonomy) Labels'!$C54,
template_selected_display_language='Footnote (Taxonomy) Labels'!$D$1,'Footnote (Taxonomy) Labels'!$D54,
template_selected_display_language='Footnote (Taxonomy) Labels'!$E$1,'Footnote (Taxonomy) Labels'!$E54,
template_selected_display_language='Footnote (Taxonomy) Labels'!$F$1,'Footnote (Taxonomy) Labels'!$F54,
template_selected_display_language='Footnote (Taxonomy) Labels'!$G$1,'Footnote (Taxonomy) Labels'!$G54,
template_selected_display_language='Footnote (Taxonomy) Labels'!$H$1,'Footnote (Taxonomy) Labels'!$H54,
template_selected_display_language='Footnote (Taxonomy) Labels'!$I$1,'Footnote (Taxonomy) Labels'!$I54,
template_selected_display_language='Footnote (Taxonomy) Labels'!$J$1,'Footnote (Taxonomy) Labels'!$J54,
template_selected_display_language='Footnote (Taxonomy) Labels'!$K$1,'Footnote (Taxonomy) Labels'!$K54,
template_selected_display_language='Footnote (Taxonomy) Labels'!$L$1,'Footnote (Taxonomy) Labels'!$L54,
template_selected_display_language='Footnote (Taxonomy) Labels'!$M$1,'Footnote (Taxonomy) Labels'!$M54
)</f>
        <v>Site located near a biodiversity sensitive area</v>
      </c>
      <c r="B54" s="511" t="s">
        <v>6203</v>
      </c>
      <c r="C54" s="504" t="s">
        <v>9933</v>
      </c>
      <c r="D54" s="504" t="s">
        <v>6205</v>
      </c>
      <c r="E54" s="504" t="s">
        <v>6206</v>
      </c>
      <c r="F54" s="504" t="s">
        <v>9934</v>
      </c>
      <c r="G54" s="504" t="s">
        <v>9935</v>
      </c>
      <c r="H54" s="504" t="s">
        <v>6209</v>
      </c>
      <c r="I54" s="504" t="s">
        <v>9936</v>
      </c>
      <c r="J54" s="504" t="s">
        <v>9929</v>
      </c>
      <c r="K54" s="504" t="s">
        <v>9937</v>
      </c>
      <c r="L54" s="504" t="s">
        <v>9938</v>
      </c>
      <c r="M54" s="506" t="s">
        <v>9939</v>
      </c>
    </row>
    <row r="55" spans="1:13" ht="14.4" customHeight="1">
      <c r="A55" s="4" t="str" cm="1">
        <f t="array" ref="A55">_xlfn.IFS(
template_selected_display_language='Footnote (Taxonomy) Labels'!$B$1,'Footnote (Taxonomy) Labels'!$B55,
template_selected_display_language='Footnote (Taxonomy) Labels'!$C$1,'Footnote (Taxonomy) Labels'!$C55,
template_selected_display_language='Footnote (Taxonomy) Labels'!$D$1,'Footnote (Taxonomy) Labels'!$D55,
template_selected_display_language='Footnote (Taxonomy) Labels'!$E$1,'Footnote (Taxonomy) Labels'!$E55,
template_selected_display_language='Footnote (Taxonomy) Labels'!$F$1,'Footnote (Taxonomy) Labels'!$F55,
template_selected_display_language='Footnote (Taxonomy) Labels'!$G$1,'Footnote (Taxonomy) Labels'!$G55,
template_selected_display_language='Footnote (Taxonomy) Labels'!$H$1,'Footnote (Taxonomy) Labels'!$H55,
template_selected_display_language='Footnote (Taxonomy) Labels'!$I$1,'Footnote (Taxonomy) Labels'!$I55,
template_selected_display_language='Footnote (Taxonomy) Labels'!$J$1,'Footnote (Taxonomy) Labels'!$J55,
template_selected_display_language='Footnote (Taxonomy) Labels'!$K$1,'Footnote (Taxonomy) Labels'!$K55,
template_selected_display_language='Footnote (Taxonomy) Labels'!$L$1,'Footnote (Taxonomy) Labels'!$L55,
template_selected_display_language='Footnote (Taxonomy) Labels'!$M$1,'Footnote (Taxonomy) Labels'!$M55
)</f>
        <v>Total sealed area</v>
      </c>
      <c r="B55" s="511" t="s">
        <v>9940</v>
      </c>
      <c r="C55" s="504" t="s">
        <v>9941</v>
      </c>
      <c r="D55" s="504" t="s">
        <v>9942</v>
      </c>
      <c r="E55" s="504" t="s">
        <v>9943</v>
      </c>
      <c r="F55" s="504" t="s">
        <v>9944</v>
      </c>
      <c r="G55" s="504" t="s">
        <v>9945</v>
      </c>
      <c r="H55" s="504" t="s">
        <v>9946</v>
      </c>
      <c r="I55" s="504" t="s">
        <v>9947</v>
      </c>
      <c r="J55" s="504" t="s">
        <v>9948</v>
      </c>
      <c r="K55" s="504" t="s">
        <v>9949</v>
      </c>
      <c r="L55" s="504" t="s">
        <v>9950</v>
      </c>
      <c r="M55" s="506" t="s">
        <v>9951</v>
      </c>
    </row>
    <row r="56" spans="1:13" ht="14.4" customHeight="1">
      <c r="A56" s="4" t="str" cm="1">
        <f t="array" ref="A56">_xlfn.IFS(
template_selected_display_language='Footnote (Taxonomy) Labels'!$B$1,'Footnote (Taxonomy) Labels'!$B56,
template_selected_display_language='Footnote (Taxonomy) Labels'!$C$1,'Footnote (Taxonomy) Labels'!$C56,
template_selected_display_language='Footnote (Taxonomy) Labels'!$D$1,'Footnote (Taxonomy) Labels'!$D56,
template_selected_display_language='Footnote (Taxonomy) Labels'!$E$1,'Footnote (Taxonomy) Labels'!$E56,
template_selected_display_language='Footnote (Taxonomy) Labels'!$F$1,'Footnote (Taxonomy) Labels'!$F56,
template_selected_display_language='Footnote (Taxonomy) Labels'!$G$1,'Footnote (Taxonomy) Labels'!$G56,
template_selected_display_language='Footnote (Taxonomy) Labels'!$H$1,'Footnote (Taxonomy) Labels'!$H56,
template_selected_display_language='Footnote (Taxonomy) Labels'!$I$1,'Footnote (Taxonomy) Labels'!$I56,
template_selected_display_language='Footnote (Taxonomy) Labels'!$J$1,'Footnote (Taxonomy) Labels'!$J56,
template_selected_display_language='Footnote (Taxonomy) Labels'!$K$1,'Footnote (Taxonomy) Labels'!$K56,
template_selected_display_language='Footnote (Taxonomy) Labels'!$L$1,'Footnote (Taxonomy) Labels'!$L56,
template_selected_display_language='Footnote (Taxonomy) Labels'!$M$1,'Footnote (Taxonomy) Labels'!$M56
)</f>
        <v>Total nature oriented area on-site</v>
      </c>
      <c r="B56" s="511" t="s">
        <v>9952</v>
      </c>
      <c r="C56" s="504" t="s">
        <v>9953</v>
      </c>
      <c r="D56" s="504" t="s">
        <v>9954</v>
      </c>
      <c r="E56" s="504" t="s">
        <v>9955</v>
      </c>
      <c r="F56" s="504" t="s">
        <v>9956</v>
      </c>
      <c r="G56" s="504" t="s">
        <v>9957</v>
      </c>
      <c r="H56" s="504" t="s">
        <v>9958</v>
      </c>
      <c r="I56" s="504" t="s">
        <v>9959</v>
      </c>
      <c r="J56" s="504" t="s">
        <v>9960</v>
      </c>
      <c r="K56" s="504" t="s">
        <v>9961</v>
      </c>
      <c r="L56" s="504" t="s">
        <v>9962</v>
      </c>
      <c r="M56" s="506" t="s">
        <v>9963</v>
      </c>
    </row>
    <row r="57" spans="1:13" ht="14.4" customHeight="1">
      <c r="A57" s="4" t="str" cm="1">
        <f t="array" ref="A57">_xlfn.IFS(
template_selected_display_language='Footnote (Taxonomy) Labels'!$B$1,'Footnote (Taxonomy) Labels'!$B57,
template_selected_display_language='Footnote (Taxonomy) Labels'!$C$1,'Footnote (Taxonomy) Labels'!$C57,
template_selected_display_language='Footnote (Taxonomy) Labels'!$D$1,'Footnote (Taxonomy) Labels'!$D57,
template_selected_display_language='Footnote (Taxonomy) Labels'!$E$1,'Footnote (Taxonomy) Labels'!$E57,
template_selected_display_language='Footnote (Taxonomy) Labels'!$F$1,'Footnote (Taxonomy) Labels'!$F57,
template_selected_display_language='Footnote (Taxonomy) Labels'!$G$1,'Footnote (Taxonomy) Labels'!$G57,
template_selected_display_language='Footnote (Taxonomy) Labels'!$H$1,'Footnote (Taxonomy) Labels'!$H57,
template_selected_display_language='Footnote (Taxonomy) Labels'!$I$1,'Footnote (Taxonomy) Labels'!$I57,
template_selected_display_language='Footnote (Taxonomy) Labels'!$J$1,'Footnote (Taxonomy) Labels'!$J57,
template_selected_display_language='Footnote (Taxonomy) Labels'!$K$1,'Footnote (Taxonomy) Labels'!$K57,
template_selected_display_language='Footnote (Taxonomy) Labels'!$L$1,'Footnote (Taxonomy) Labels'!$L57,
template_selected_display_language='Footnote (Taxonomy) Labels'!$M$1,'Footnote (Taxonomy) Labels'!$M57
)</f>
        <v>Total nature oriented area off-site</v>
      </c>
      <c r="B57" s="511" t="s">
        <v>9964</v>
      </c>
      <c r="C57" s="504" t="s">
        <v>9965</v>
      </c>
      <c r="D57" s="504" t="s">
        <v>9966</v>
      </c>
      <c r="E57" s="504" t="s">
        <v>9967</v>
      </c>
      <c r="F57" s="504" t="s">
        <v>9968</v>
      </c>
      <c r="G57" s="504" t="s">
        <v>9969</v>
      </c>
      <c r="H57" s="504" t="s">
        <v>9970</v>
      </c>
      <c r="I57" s="504" t="s">
        <v>9971</v>
      </c>
      <c r="J57" s="504" t="s">
        <v>9972</v>
      </c>
      <c r="K57" s="504" t="s">
        <v>9973</v>
      </c>
      <c r="L57" s="504" t="s">
        <v>9974</v>
      </c>
      <c r="M57" s="506" t="s">
        <v>9975</v>
      </c>
    </row>
    <row r="58" spans="1:13" ht="14.4" customHeight="1">
      <c r="A58" s="4" t="str" cm="1">
        <f t="array" ref="A58">_xlfn.IFS(
template_selected_display_language='Footnote (Taxonomy) Labels'!$B$1,'Footnote (Taxonomy) Labels'!$B58,
template_selected_display_language='Footnote (Taxonomy) Labels'!$C$1,'Footnote (Taxonomy) Labels'!$C58,
template_selected_display_language='Footnote (Taxonomy) Labels'!$D$1,'Footnote (Taxonomy) Labels'!$D58,
template_selected_display_language='Footnote (Taxonomy) Labels'!$E$1,'Footnote (Taxonomy) Labels'!$E58,
template_selected_display_language='Footnote (Taxonomy) Labels'!$F$1,'Footnote (Taxonomy) Labels'!$F58,
template_selected_display_language='Footnote (Taxonomy) Labels'!$G$1,'Footnote (Taxonomy) Labels'!$G58,
template_selected_display_language='Footnote (Taxonomy) Labels'!$H$1,'Footnote (Taxonomy) Labels'!$H58,
template_selected_display_language='Footnote (Taxonomy) Labels'!$I$1,'Footnote (Taxonomy) Labels'!$I58,
template_selected_display_language='Footnote (Taxonomy) Labels'!$J$1,'Footnote (Taxonomy) Labels'!$J58,
template_selected_display_language='Footnote (Taxonomy) Labels'!$K$1,'Footnote (Taxonomy) Labels'!$K58,
template_selected_display_language='Footnote (Taxonomy) Labels'!$L$1,'Footnote (Taxonomy) Labels'!$L58,
template_selected_display_language='Footnote (Taxonomy) Labels'!$M$1,'Footnote (Taxonomy) Labels'!$M58
)</f>
        <v>Total use of land</v>
      </c>
      <c r="B58" s="511" t="s">
        <v>9976</v>
      </c>
      <c r="C58" s="504" t="s">
        <v>9977</v>
      </c>
      <c r="D58" s="504" t="s">
        <v>9978</v>
      </c>
      <c r="E58" s="504" t="s">
        <v>9979</v>
      </c>
      <c r="F58" s="504" t="s">
        <v>9980</v>
      </c>
      <c r="G58" s="504" t="s">
        <v>9981</v>
      </c>
      <c r="H58" s="504" t="s">
        <v>9982</v>
      </c>
      <c r="I58" s="504" t="s">
        <v>9983</v>
      </c>
      <c r="J58" s="504" t="s">
        <v>9984</v>
      </c>
      <c r="K58" s="504" t="s">
        <v>9985</v>
      </c>
      <c r="L58" s="504" t="s">
        <v>9986</v>
      </c>
      <c r="M58" s="506" t="s">
        <v>9987</v>
      </c>
    </row>
    <row r="59" spans="1:13" ht="14.4" customHeight="1">
      <c r="A59" s="4" t="str" cm="1">
        <f t="array" ref="A59">_xlfn.IFS(
template_selected_display_language='Footnote (Taxonomy) Labels'!$B$1,'Footnote (Taxonomy) Labels'!$B59,
template_selected_display_language='Footnote (Taxonomy) Labels'!$C$1,'Footnote (Taxonomy) Labels'!$C59,
template_selected_display_language='Footnote (Taxonomy) Labels'!$D$1,'Footnote (Taxonomy) Labels'!$D59,
template_selected_display_language='Footnote (Taxonomy) Labels'!$E$1,'Footnote (Taxonomy) Labels'!$E59,
template_selected_display_language='Footnote (Taxonomy) Labels'!$F$1,'Footnote (Taxonomy) Labels'!$F59,
template_selected_display_language='Footnote (Taxonomy) Labels'!$G$1,'Footnote (Taxonomy) Labels'!$G59,
template_selected_display_language='Footnote (Taxonomy) Labels'!$H$1,'Footnote (Taxonomy) Labels'!$H59,
template_selected_display_language='Footnote (Taxonomy) Labels'!$I$1,'Footnote (Taxonomy) Labels'!$I59,
template_selected_display_language='Footnote (Taxonomy) Labels'!$J$1,'Footnote (Taxonomy) Labels'!$J59,
template_selected_display_language='Footnote (Taxonomy) Labels'!$K$1,'Footnote (Taxonomy) Labels'!$K59,
template_selected_display_language='Footnote (Taxonomy) Labels'!$L$1,'Footnote (Taxonomy) Labels'!$L59,
template_selected_display_language='Footnote (Taxonomy) Labels'!$M$1,'Footnote (Taxonomy) Labels'!$M59
)</f>
        <v>Total amount of water withdrawn from all sites</v>
      </c>
      <c r="B59" s="511" t="s">
        <v>9988</v>
      </c>
      <c r="C59" s="504" t="s">
        <v>9989</v>
      </c>
      <c r="D59" s="504" t="s">
        <v>9990</v>
      </c>
      <c r="E59" s="504" t="s">
        <v>9991</v>
      </c>
      <c r="F59" s="504" t="s">
        <v>9992</v>
      </c>
      <c r="G59" s="504" t="s">
        <v>9993</v>
      </c>
      <c r="H59" s="504" t="s">
        <v>9994</v>
      </c>
      <c r="I59" s="504" t="s">
        <v>9995</v>
      </c>
      <c r="J59" s="504" t="s">
        <v>9996</v>
      </c>
      <c r="K59" s="504" t="s">
        <v>9997</v>
      </c>
      <c r="L59" s="504" t="s">
        <v>9998</v>
      </c>
      <c r="M59" s="506" t="s">
        <v>9999</v>
      </c>
    </row>
    <row r="60" spans="1:13" ht="14.4" customHeight="1">
      <c r="A60" s="4" t="str" cm="1">
        <f t="array" ref="A60">_xlfn.IFS(
template_selected_display_language='Footnote (Taxonomy) Labels'!$B$1,'Footnote (Taxonomy) Labels'!$B60,
template_selected_display_language='Footnote (Taxonomy) Labels'!$C$1,'Footnote (Taxonomy) Labels'!$C60,
template_selected_display_language='Footnote (Taxonomy) Labels'!$D$1,'Footnote (Taxonomy) Labels'!$D60,
template_selected_display_language='Footnote (Taxonomy) Labels'!$E$1,'Footnote (Taxonomy) Labels'!$E60,
template_selected_display_language='Footnote (Taxonomy) Labels'!$F$1,'Footnote (Taxonomy) Labels'!$F60,
template_selected_display_language='Footnote (Taxonomy) Labels'!$G$1,'Footnote (Taxonomy) Labels'!$G60,
template_selected_display_language='Footnote (Taxonomy) Labels'!$H$1,'Footnote (Taxonomy) Labels'!$H60,
template_selected_display_language='Footnote (Taxonomy) Labels'!$I$1,'Footnote (Taxonomy) Labels'!$I60,
template_selected_display_language='Footnote (Taxonomy) Labels'!$J$1,'Footnote (Taxonomy) Labels'!$J60,
template_selected_display_language='Footnote (Taxonomy) Labels'!$K$1,'Footnote (Taxonomy) Labels'!$K60,
template_selected_display_language='Footnote (Taxonomy) Labels'!$L$1,'Footnote (Taxonomy) Labels'!$L60,
template_selected_display_language='Footnote (Taxonomy) Labels'!$M$1,'Footnote (Taxonomy) Labels'!$M60
)</f>
        <v>Amount of water withdrawn at sites located in areas of high water-stress</v>
      </c>
      <c r="B60" s="511" t="s">
        <v>10000</v>
      </c>
      <c r="C60" s="504" t="s">
        <v>10001</v>
      </c>
      <c r="D60" s="504" t="s">
        <v>10002</v>
      </c>
      <c r="E60" s="504" t="s">
        <v>10003</v>
      </c>
      <c r="F60" s="504" t="s">
        <v>10004</v>
      </c>
      <c r="G60" s="504" t="s">
        <v>10005</v>
      </c>
      <c r="H60" s="504" t="s">
        <v>10006</v>
      </c>
      <c r="I60" s="504" t="s">
        <v>10007</v>
      </c>
      <c r="J60" s="504" t="s">
        <v>10008</v>
      </c>
      <c r="K60" s="504" t="s">
        <v>10009</v>
      </c>
      <c r="L60" s="504" t="s">
        <v>10010</v>
      </c>
      <c r="M60" s="506" t="s">
        <v>10011</v>
      </c>
    </row>
    <row r="61" spans="1:13" ht="14.4" customHeight="1">
      <c r="A61" s="4" t="str" cm="1">
        <f t="array" ref="A61">_xlfn.IFS(
template_selected_display_language='Footnote (Taxonomy) Labels'!$B$1,'Footnote (Taxonomy) Labels'!$B61,
template_selected_display_language='Footnote (Taxonomy) Labels'!$C$1,'Footnote (Taxonomy) Labels'!$C61,
template_selected_display_language='Footnote (Taxonomy) Labels'!$D$1,'Footnote (Taxonomy) Labels'!$D61,
template_selected_display_language='Footnote (Taxonomy) Labels'!$E$1,'Footnote (Taxonomy) Labels'!$E61,
template_selected_display_language='Footnote (Taxonomy) Labels'!$F$1,'Footnote (Taxonomy) Labels'!$F61,
template_selected_display_language='Footnote (Taxonomy) Labels'!$G$1,'Footnote (Taxonomy) Labels'!$G61,
template_selected_display_language='Footnote (Taxonomy) Labels'!$H$1,'Footnote (Taxonomy) Labels'!$H61,
template_selected_display_language='Footnote (Taxonomy) Labels'!$I$1,'Footnote (Taxonomy) Labels'!$I61,
template_selected_display_language='Footnote (Taxonomy) Labels'!$J$1,'Footnote (Taxonomy) Labels'!$J61,
template_selected_display_language='Footnote (Taxonomy) Labels'!$K$1,'Footnote (Taxonomy) Labels'!$K61,
template_selected_display_language='Footnote (Taxonomy) Labels'!$L$1,'Footnote (Taxonomy) Labels'!$L61,
template_selected_display_language='Footnote (Taxonomy) Labels'!$M$1,'Footnote (Taxonomy) Labels'!$M61
)</f>
        <v>Water discharge from undertaking production processes</v>
      </c>
      <c r="B61" s="511" t="s">
        <v>10012</v>
      </c>
      <c r="C61" s="504" t="s">
        <v>10013</v>
      </c>
      <c r="D61" s="504" t="s">
        <v>10014</v>
      </c>
      <c r="E61" s="504" t="s">
        <v>10015</v>
      </c>
      <c r="F61" s="504" t="s">
        <v>10016</v>
      </c>
      <c r="G61" s="504" t="s">
        <v>10017</v>
      </c>
      <c r="H61" s="504" t="s">
        <v>10018</v>
      </c>
      <c r="I61" s="504" t="s">
        <v>10019</v>
      </c>
      <c r="J61" s="504" t="s">
        <v>10020</v>
      </c>
      <c r="K61" s="504" t="s">
        <v>10021</v>
      </c>
      <c r="L61" s="504" t="s">
        <v>10022</v>
      </c>
      <c r="M61" s="506" t="s">
        <v>10023</v>
      </c>
    </row>
    <row r="62" spans="1:13" ht="14.4" customHeight="1">
      <c r="A62" s="4" t="str" cm="1">
        <f t="array" ref="A62">_xlfn.IFS(
template_selected_display_language='Footnote (Taxonomy) Labels'!$B$1,'Footnote (Taxonomy) Labels'!$B62,
template_selected_display_language='Footnote (Taxonomy) Labels'!$C$1,'Footnote (Taxonomy) Labels'!$C62,
template_selected_display_language='Footnote (Taxonomy) Labels'!$D$1,'Footnote (Taxonomy) Labels'!$D62,
template_selected_display_language='Footnote (Taxonomy) Labels'!$E$1,'Footnote (Taxonomy) Labels'!$E62,
template_selected_display_language='Footnote (Taxonomy) Labels'!$F$1,'Footnote (Taxonomy) Labels'!$F62,
template_selected_display_language='Footnote (Taxonomy) Labels'!$G$1,'Footnote (Taxonomy) Labels'!$G62,
template_selected_display_language='Footnote (Taxonomy) Labels'!$H$1,'Footnote (Taxonomy) Labels'!$H62,
template_selected_display_language='Footnote (Taxonomy) Labels'!$I$1,'Footnote (Taxonomy) Labels'!$I62,
template_selected_display_language='Footnote (Taxonomy) Labels'!$J$1,'Footnote (Taxonomy) Labels'!$J62,
template_selected_display_language='Footnote (Taxonomy) Labels'!$K$1,'Footnote (Taxonomy) Labels'!$K62,
template_selected_display_language='Footnote (Taxonomy) Labels'!$L$1,'Footnote (Taxonomy) Labels'!$L62,
template_selected_display_language='Footnote (Taxonomy) Labels'!$M$1,'Footnote (Taxonomy) Labels'!$M62
)</f>
        <v>Total water consumption</v>
      </c>
      <c r="B62" s="511" t="s">
        <v>10024</v>
      </c>
      <c r="C62" s="504" t="s">
        <v>10025</v>
      </c>
      <c r="D62" s="504" t="s">
        <v>10026</v>
      </c>
      <c r="E62" s="504" t="s">
        <v>10027</v>
      </c>
      <c r="F62" s="504" t="s">
        <v>10028</v>
      </c>
      <c r="G62" s="504" t="s">
        <v>10029</v>
      </c>
      <c r="H62" s="504" t="s">
        <v>10030</v>
      </c>
      <c r="I62" s="504" t="s">
        <v>10031</v>
      </c>
      <c r="J62" s="504" t="s">
        <v>10032</v>
      </c>
      <c r="K62" s="504" t="s">
        <v>10033</v>
      </c>
      <c r="L62" s="504" t="s">
        <v>10034</v>
      </c>
      <c r="M62" s="506" t="s">
        <v>10035</v>
      </c>
    </row>
    <row r="63" spans="1:13" ht="14.4" customHeight="1">
      <c r="A63" s="4" t="str" cm="1">
        <f t="array" ref="A63">_xlfn.IFS(
template_selected_display_language='Footnote (Taxonomy) Labels'!$B$1,'Footnote (Taxonomy) Labels'!$B63,
template_selected_display_language='Footnote (Taxonomy) Labels'!$C$1,'Footnote (Taxonomy) Labels'!$C63,
template_selected_display_language='Footnote (Taxonomy) Labels'!$D$1,'Footnote (Taxonomy) Labels'!$D63,
template_selected_display_language='Footnote (Taxonomy) Labels'!$E$1,'Footnote (Taxonomy) Labels'!$E63,
template_selected_display_language='Footnote (Taxonomy) Labels'!$F$1,'Footnote (Taxonomy) Labels'!$F63,
template_selected_display_language='Footnote (Taxonomy) Labels'!$G$1,'Footnote (Taxonomy) Labels'!$G63,
template_selected_display_language='Footnote (Taxonomy) Labels'!$H$1,'Footnote (Taxonomy) Labels'!$H63,
template_selected_display_language='Footnote (Taxonomy) Labels'!$I$1,'Footnote (Taxonomy) Labels'!$I63,
template_selected_display_language='Footnote (Taxonomy) Labels'!$J$1,'Footnote (Taxonomy) Labels'!$J63,
template_selected_display_language='Footnote (Taxonomy) Labels'!$K$1,'Footnote (Taxonomy) Labels'!$K63,
template_selected_display_language='Footnote (Taxonomy) Labels'!$L$1,'Footnote (Taxonomy) Labels'!$L63,
template_selected_display_language='Footnote (Taxonomy) Labels'!$M$1,'Footnote (Taxonomy) Labels'!$M63
)</f>
        <v>Undertaking applies circular economy principles</v>
      </c>
      <c r="B63" s="511" t="s">
        <v>6312</v>
      </c>
      <c r="C63" s="504" t="s">
        <v>10036</v>
      </c>
      <c r="D63" s="504" t="s">
        <v>10037</v>
      </c>
      <c r="E63" s="504" t="s">
        <v>6315</v>
      </c>
      <c r="F63" s="504" t="s">
        <v>10038</v>
      </c>
      <c r="G63" s="504" t="s">
        <v>6317</v>
      </c>
      <c r="H63" s="504" t="s">
        <v>6318</v>
      </c>
      <c r="I63" s="504" t="s">
        <v>6319</v>
      </c>
      <c r="J63" s="504" t="s">
        <v>6320</v>
      </c>
      <c r="K63" s="504" t="s">
        <v>10039</v>
      </c>
      <c r="L63" s="504" t="s">
        <v>6322</v>
      </c>
      <c r="M63" s="506" t="s">
        <v>6321</v>
      </c>
    </row>
    <row r="64" spans="1:13" ht="14.4" customHeight="1">
      <c r="A64" s="4" t="str" cm="1">
        <f t="array" ref="A64">_xlfn.IFS(
template_selected_display_language='Footnote (Taxonomy) Labels'!$B$1,'Footnote (Taxonomy) Labels'!$B64,
template_selected_display_language='Footnote (Taxonomy) Labels'!$C$1,'Footnote (Taxonomy) Labels'!$C64,
template_selected_display_language='Footnote (Taxonomy) Labels'!$D$1,'Footnote (Taxonomy) Labels'!$D64,
template_selected_display_language='Footnote (Taxonomy) Labels'!$E$1,'Footnote (Taxonomy) Labels'!$E64,
template_selected_display_language='Footnote (Taxonomy) Labels'!$F$1,'Footnote (Taxonomy) Labels'!$F64,
template_selected_display_language='Footnote (Taxonomy) Labels'!$G$1,'Footnote (Taxonomy) Labels'!$G64,
template_selected_display_language='Footnote (Taxonomy) Labels'!$H$1,'Footnote (Taxonomy) Labels'!$H64,
template_selected_display_language='Footnote (Taxonomy) Labels'!$I$1,'Footnote (Taxonomy) Labels'!$I64,
template_selected_display_language='Footnote (Taxonomy) Labels'!$J$1,'Footnote (Taxonomy) Labels'!$J64,
template_selected_display_language='Footnote (Taxonomy) Labels'!$K$1,'Footnote (Taxonomy) Labels'!$K64,
template_selected_display_language='Footnote (Taxonomy) Labels'!$L$1,'Footnote (Taxonomy) Labels'!$L64,
template_selected_display_language='Footnote (Taxonomy) Labels'!$M$1,'Footnote (Taxonomy) Labels'!$M64
)</f>
        <v>Description of how circular economy principles are applied</v>
      </c>
      <c r="B64" s="511" t="s">
        <v>10040</v>
      </c>
      <c r="C64" s="504" t="s">
        <v>10041</v>
      </c>
      <c r="D64" s="504" t="s">
        <v>10042</v>
      </c>
      <c r="E64" s="504" t="s">
        <v>10043</v>
      </c>
      <c r="F64" s="504" t="s">
        <v>10044</v>
      </c>
      <c r="G64" s="504" t="s">
        <v>10045</v>
      </c>
      <c r="H64" s="504" t="s">
        <v>10046</v>
      </c>
      <c r="I64" s="504" t="s">
        <v>10047</v>
      </c>
      <c r="J64" s="504" t="s">
        <v>10048</v>
      </c>
      <c r="K64" s="504" t="s">
        <v>10049</v>
      </c>
      <c r="L64" s="504" t="s">
        <v>10050</v>
      </c>
      <c r="M64" s="506" t="s">
        <v>10051</v>
      </c>
    </row>
    <row r="65" spans="1:13" ht="14.4" customHeight="1">
      <c r="A65" s="4" t="str" cm="1">
        <f t="array" ref="A65">_xlfn.IFS(
template_selected_display_language='Footnote (Taxonomy) Labels'!$B$1,'Footnote (Taxonomy) Labels'!$B65,
template_selected_display_language='Footnote (Taxonomy) Labels'!$C$1,'Footnote (Taxonomy) Labels'!$C65,
template_selected_display_language='Footnote (Taxonomy) Labels'!$D$1,'Footnote (Taxonomy) Labels'!$D65,
template_selected_display_language='Footnote (Taxonomy) Labels'!$E$1,'Footnote (Taxonomy) Labels'!$E65,
template_selected_display_language='Footnote (Taxonomy) Labels'!$F$1,'Footnote (Taxonomy) Labels'!$F65,
template_selected_display_language='Footnote (Taxonomy) Labels'!$G$1,'Footnote (Taxonomy) Labels'!$G65,
template_selected_display_language='Footnote (Taxonomy) Labels'!$H$1,'Footnote (Taxonomy) Labels'!$H65,
template_selected_display_language='Footnote (Taxonomy) Labels'!$I$1,'Footnote (Taxonomy) Labels'!$I65,
template_selected_display_language='Footnote (Taxonomy) Labels'!$J$1,'Footnote (Taxonomy) Labels'!$J65,
template_selected_display_language='Footnote (Taxonomy) Labels'!$K$1,'Footnote (Taxonomy) Labels'!$K65,
template_selected_display_language='Footnote (Taxonomy) Labels'!$L$1,'Footnote (Taxonomy) Labels'!$L65,
template_selected_display_language='Footnote (Taxonomy) Labels'!$M$1,'Footnote (Taxonomy) Labels'!$M65
)</f>
        <v>Waste diverted to recycle or reuse (volume)</v>
      </c>
      <c r="B65" s="511" t="s">
        <v>10052</v>
      </c>
      <c r="C65" s="504" t="s">
        <v>10053</v>
      </c>
      <c r="D65" s="504" t="s">
        <v>10054</v>
      </c>
      <c r="E65" s="504" t="s">
        <v>10055</v>
      </c>
      <c r="F65" s="504" t="s">
        <v>10056</v>
      </c>
      <c r="G65" s="504" t="s">
        <v>10057</v>
      </c>
      <c r="H65" s="504" t="s">
        <v>10058</v>
      </c>
      <c r="I65" s="504" t="s">
        <v>10059</v>
      </c>
      <c r="J65" s="504" t="s">
        <v>10060</v>
      </c>
      <c r="K65" s="504" t="s">
        <v>10061</v>
      </c>
      <c r="L65" s="504" t="s">
        <v>10062</v>
      </c>
      <c r="M65" s="506" t="s">
        <v>10063</v>
      </c>
    </row>
    <row r="66" spans="1:13" ht="14.4" customHeight="1">
      <c r="A66" s="4" t="str" cm="1">
        <f t="array" ref="A66">_xlfn.IFS(
template_selected_display_language='Footnote (Taxonomy) Labels'!$B$1,'Footnote (Taxonomy) Labels'!$B66,
template_selected_display_language='Footnote (Taxonomy) Labels'!$C$1,'Footnote (Taxonomy) Labels'!$C66,
template_selected_display_language='Footnote (Taxonomy) Labels'!$D$1,'Footnote (Taxonomy) Labels'!$D66,
template_selected_display_language='Footnote (Taxonomy) Labels'!$E$1,'Footnote (Taxonomy) Labels'!$E66,
template_selected_display_language='Footnote (Taxonomy) Labels'!$F$1,'Footnote (Taxonomy) Labels'!$F66,
template_selected_display_language='Footnote (Taxonomy) Labels'!$G$1,'Footnote (Taxonomy) Labels'!$G66,
template_selected_display_language='Footnote (Taxonomy) Labels'!$H$1,'Footnote (Taxonomy) Labels'!$H66,
template_selected_display_language='Footnote (Taxonomy) Labels'!$I$1,'Footnote (Taxonomy) Labels'!$I66,
template_selected_display_language='Footnote (Taxonomy) Labels'!$J$1,'Footnote (Taxonomy) Labels'!$J66,
template_selected_display_language='Footnote (Taxonomy) Labels'!$K$1,'Footnote (Taxonomy) Labels'!$K66,
template_selected_display_language='Footnote (Taxonomy) Labels'!$L$1,'Footnote (Taxonomy) Labels'!$L66,
template_selected_display_language='Footnote (Taxonomy) Labels'!$M$1,'Footnote (Taxonomy) Labels'!$M66
)</f>
        <v>Waste diverted to recycle or reuse (mass)</v>
      </c>
      <c r="B66" s="511" t="s">
        <v>10064</v>
      </c>
      <c r="C66" s="504" t="s">
        <v>10065</v>
      </c>
      <c r="D66" s="504" t="s">
        <v>10066</v>
      </c>
      <c r="E66" s="504" t="s">
        <v>10067</v>
      </c>
      <c r="F66" s="504" t="s">
        <v>10068</v>
      </c>
      <c r="G66" s="504" t="s">
        <v>10069</v>
      </c>
      <c r="H66" s="504" t="s">
        <v>10070</v>
      </c>
      <c r="I66" s="504" t="s">
        <v>10071</v>
      </c>
      <c r="J66" s="504" t="s">
        <v>10072</v>
      </c>
      <c r="K66" s="504" t="s">
        <v>10073</v>
      </c>
      <c r="L66" s="504" t="s">
        <v>10074</v>
      </c>
      <c r="M66" s="506" t="s">
        <v>10075</v>
      </c>
    </row>
    <row r="67" spans="1:13" ht="14.4" customHeight="1">
      <c r="A67" s="4" t="str" cm="1">
        <f t="array" ref="A67">_xlfn.IFS(
template_selected_display_language='Footnote (Taxonomy) Labels'!$B$1,'Footnote (Taxonomy) Labels'!$B67,
template_selected_display_language='Footnote (Taxonomy) Labels'!$C$1,'Footnote (Taxonomy) Labels'!$C67,
template_selected_display_language='Footnote (Taxonomy) Labels'!$D$1,'Footnote (Taxonomy) Labels'!$D67,
template_selected_display_language='Footnote (Taxonomy) Labels'!$E$1,'Footnote (Taxonomy) Labels'!$E67,
template_selected_display_language='Footnote (Taxonomy) Labels'!$F$1,'Footnote (Taxonomy) Labels'!$F67,
template_selected_display_language='Footnote (Taxonomy) Labels'!$G$1,'Footnote (Taxonomy) Labels'!$G67,
template_selected_display_language='Footnote (Taxonomy) Labels'!$H$1,'Footnote (Taxonomy) Labels'!$H67,
template_selected_display_language='Footnote (Taxonomy) Labels'!$I$1,'Footnote (Taxonomy) Labels'!$I67,
template_selected_display_language='Footnote (Taxonomy) Labels'!$J$1,'Footnote (Taxonomy) Labels'!$J67,
template_selected_display_language='Footnote (Taxonomy) Labels'!$K$1,'Footnote (Taxonomy) Labels'!$K67,
template_selected_display_language='Footnote (Taxonomy) Labels'!$L$1,'Footnote (Taxonomy) Labels'!$L67,
template_selected_display_language='Footnote (Taxonomy) Labels'!$M$1,'Footnote (Taxonomy) Labels'!$M67
)</f>
        <v>Waste directed to disposal (volume)</v>
      </c>
      <c r="B67" s="511" t="s">
        <v>10076</v>
      </c>
      <c r="C67" s="504" t="s">
        <v>10077</v>
      </c>
      <c r="D67" s="504" t="s">
        <v>10078</v>
      </c>
      <c r="E67" s="504" t="s">
        <v>10079</v>
      </c>
      <c r="F67" s="504" t="s">
        <v>10080</v>
      </c>
      <c r="G67" s="504" t="s">
        <v>10081</v>
      </c>
      <c r="H67" s="504" t="s">
        <v>10082</v>
      </c>
      <c r="I67" s="504" t="s">
        <v>10083</v>
      </c>
      <c r="J67" s="504" t="s">
        <v>10084</v>
      </c>
      <c r="K67" s="504" t="s">
        <v>10085</v>
      </c>
      <c r="L67" s="504" t="s">
        <v>10086</v>
      </c>
      <c r="M67" s="506" t="s">
        <v>10087</v>
      </c>
    </row>
    <row r="68" spans="1:13" ht="14.4" customHeight="1">
      <c r="A68" s="4" t="str" cm="1">
        <f t="array" ref="A68">_xlfn.IFS(
template_selected_display_language='Footnote (Taxonomy) Labels'!$B$1,'Footnote (Taxonomy) Labels'!$B68,
template_selected_display_language='Footnote (Taxonomy) Labels'!$C$1,'Footnote (Taxonomy) Labels'!$C68,
template_selected_display_language='Footnote (Taxonomy) Labels'!$D$1,'Footnote (Taxonomy) Labels'!$D68,
template_selected_display_language='Footnote (Taxonomy) Labels'!$E$1,'Footnote (Taxonomy) Labels'!$E68,
template_selected_display_language='Footnote (Taxonomy) Labels'!$F$1,'Footnote (Taxonomy) Labels'!$F68,
template_selected_display_language='Footnote (Taxonomy) Labels'!$G$1,'Footnote (Taxonomy) Labels'!$G68,
template_selected_display_language='Footnote (Taxonomy) Labels'!$H$1,'Footnote (Taxonomy) Labels'!$H68,
template_selected_display_language='Footnote (Taxonomy) Labels'!$I$1,'Footnote (Taxonomy) Labels'!$I68,
template_selected_display_language='Footnote (Taxonomy) Labels'!$J$1,'Footnote (Taxonomy) Labels'!$J68,
template_selected_display_language='Footnote (Taxonomy) Labels'!$K$1,'Footnote (Taxonomy) Labels'!$K68,
template_selected_display_language='Footnote (Taxonomy) Labels'!$L$1,'Footnote (Taxonomy) Labels'!$L68,
template_selected_display_language='Footnote (Taxonomy) Labels'!$M$1,'Footnote (Taxonomy) Labels'!$M68
)</f>
        <v>Waste directed to disposal (mass)</v>
      </c>
      <c r="B68" s="511" t="s">
        <v>10088</v>
      </c>
      <c r="C68" s="504" t="s">
        <v>10089</v>
      </c>
      <c r="D68" s="504" t="s">
        <v>10090</v>
      </c>
      <c r="E68" s="504" t="s">
        <v>10091</v>
      </c>
      <c r="F68" s="504" t="s">
        <v>10092</v>
      </c>
      <c r="G68" s="504" t="s">
        <v>10081</v>
      </c>
      <c r="H68" s="504" t="s">
        <v>10093</v>
      </c>
      <c r="I68" s="504" t="s">
        <v>10094</v>
      </c>
      <c r="J68" s="504" t="s">
        <v>10095</v>
      </c>
      <c r="K68" s="504" t="s">
        <v>10096</v>
      </c>
      <c r="L68" s="504" t="s">
        <v>10097</v>
      </c>
      <c r="M68" s="506" t="s">
        <v>10098</v>
      </c>
    </row>
    <row r="69" spans="1:13" ht="14.4" customHeight="1">
      <c r="A69" s="4" t="str" cm="1">
        <f t="array" ref="A69">_xlfn.IFS(
template_selected_display_language='Footnote (Taxonomy) Labels'!$B$1,'Footnote (Taxonomy) Labels'!$B69,
template_selected_display_language='Footnote (Taxonomy) Labels'!$C$1,'Footnote (Taxonomy) Labels'!$C69,
template_selected_display_language='Footnote (Taxonomy) Labels'!$D$1,'Footnote (Taxonomy) Labels'!$D69,
template_selected_display_language='Footnote (Taxonomy) Labels'!$E$1,'Footnote (Taxonomy) Labels'!$E69,
template_selected_display_language='Footnote (Taxonomy) Labels'!$F$1,'Footnote (Taxonomy) Labels'!$F69,
template_selected_display_language='Footnote (Taxonomy) Labels'!$G$1,'Footnote (Taxonomy) Labels'!$G69,
template_selected_display_language='Footnote (Taxonomy) Labels'!$H$1,'Footnote (Taxonomy) Labels'!$H69,
template_selected_display_language='Footnote (Taxonomy) Labels'!$I$1,'Footnote (Taxonomy) Labels'!$I69,
template_selected_display_language='Footnote (Taxonomy) Labels'!$J$1,'Footnote (Taxonomy) Labels'!$J69,
template_selected_display_language='Footnote (Taxonomy) Labels'!$K$1,'Footnote (Taxonomy) Labels'!$K69,
template_selected_display_language='Footnote (Taxonomy) Labels'!$L$1,'Footnote (Taxonomy) Labels'!$L69,
template_selected_display_language='Footnote (Taxonomy) Labels'!$M$1,'Footnote (Taxonomy) Labels'!$M69
)</f>
        <v>Total waste recycled, reused and directed to disposal (volume)</v>
      </c>
      <c r="B69" s="511" t="s">
        <v>10099</v>
      </c>
      <c r="C69" s="504" t="s">
        <v>10100</v>
      </c>
      <c r="D69" s="504" t="s">
        <v>10101</v>
      </c>
      <c r="E69" s="504" t="s">
        <v>10102</v>
      </c>
      <c r="F69" s="504" t="s">
        <v>10103</v>
      </c>
      <c r="G69" s="504" t="s">
        <v>10104</v>
      </c>
      <c r="H69" s="504" t="s">
        <v>10105</v>
      </c>
      <c r="I69" s="504" t="s">
        <v>10106</v>
      </c>
      <c r="J69" s="504" t="s">
        <v>10107</v>
      </c>
      <c r="K69" s="504" t="s">
        <v>10108</v>
      </c>
      <c r="L69" s="504" t="s">
        <v>10109</v>
      </c>
      <c r="M69" s="506" t="s">
        <v>10110</v>
      </c>
    </row>
    <row r="70" spans="1:13" ht="14.4" customHeight="1">
      <c r="A70" s="4" t="str" cm="1">
        <f t="array" ref="A70">_xlfn.IFS(
template_selected_display_language='Footnote (Taxonomy) Labels'!$B$1,'Footnote (Taxonomy) Labels'!$B70,
template_selected_display_language='Footnote (Taxonomy) Labels'!$C$1,'Footnote (Taxonomy) Labels'!$C70,
template_selected_display_language='Footnote (Taxonomy) Labels'!$D$1,'Footnote (Taxonomy) Labels'!$D70,
template_selected_display_language='Footnote (Taxonomy) Labels'!$E$1,'Footnote (Taxonomy) Labels'!$E70,
template_selected_display_language='Footnote (Taxonomy) Labels'!$F$1,'Footnote (Taxonomy) Labels'!$F70,
template_selected_display_language='Footnote (Taxonomy) Labels'!$G$1,'Footnote (Taxonomy) Labels'!$G70,
template_selected_display_language='Footnote (Taxonomy) Labels'!$H$1,'Footnote (Taxonomy) Labels'!$H70,
template_selected_display_language='Footnote (Taxonomy) Labels'!$I$1,'Footnote (Taxonomy) Labels'!$I70,
template_selected_display_language='Footnote (Taxonomy) Labels'!$J$1,'Footnote (Taxonomy) Labels'!$J70,
template_selected_display_language='Footnote (Taxonomy) Labels'!$K$1,'Footnote (Taxonomy) Labels'!$K70,
template_selected_display_language='Footnote (Taxonomy) Labels'!$L$1,'Footnote (Taxonomy) Labels'!$L70,
template_selected_display_language='Footnote (Taxonomy) Labels'!$M$1,'Footnote (Taxonomy) Labels'!$M70
)</f>
        <v>Total waste recycled, reused and directed to disposal (mass)</v>
      </c>
      <c r="B70" s="511" t="s">
        <v>10111</v>
      </c>
      <c r="C70" s="504" t="s">
        <v>10112</v>
      </c>
      <c r="D70" s="504" t="s">
        <v>10113</v>
      </c>
      <c r="E70" s="504" t="s">
        <v>10114</v>
      </c>
      <c r="F70" s="504" t="s">
        <v>10115</v>
      </c>
      <c r="G70" s="504" t="s">
        <v>10116</v>
      </c>
      <c r="H70" s="504" t="s">
        <v>10105</v>
      </c>
      <c r="I70" s="504" t="s">
        <v>10117</v>
      </c>
      <c r="J70" s="504" t="s">
        <v>10118</v>
      </c>
      <c r="K70" s="504" t="s">
        <v>10119</v>
      </c>
      <c r="L70" s="504" t="s">
        <v>10120</v>
      </c>
      <c r="M70" s="506" t="s">
        <v>10121</v>
      </c>
    </row>
    <row r="71" spans="1:13" ht="14.4" customHeight="1">
      <c r="A71" s="4" t="str" cm="1">
        <f t="array" ref="A71">_xlfn.IFS(
template_selected_display_language='Footnote (Taxonomy) Labels'!$B$1,'Footnote (Taxonomy) Labels'!$B71,
template_selected_display_language='Footnote (Taxonomy) Labels'!$C$1,'Footnote (Taxonomy) Labels'!$C71,
template_selected_display_language='Footnote (Taxonomy) Labels'!$D$1,'Footnote (Taxonomy) Labels'!$D71,
template_selected_display_language='Footnote (Taxonomy) Labels'!$E$1,'Footnote (Taxonomy) Labels'!$E71,
template_selected_display_language='Footnote (Taxonomy) Labels'!$F$1,'Footnote (Taxonomy) Labels'!$F71,
template_selected_display_language='Footnote (Taxonomy) Labels'!$G$1,'Footnote (Taxonomy) Labels'!$G71,
template_selected_display_language='Footnote (Taxonomy) Labels'!$H$1,'Footnote (Taxonomy) Labels'!$H71,
template_selected_display_language='Footnote (Taxonomy) Labels'!$I$1,'Footnote (Taxonomy) Labels'!$I71,
template_selected_display_language='Footnote (Taxonomy) Labels'!$J$1,'Footnote (Taxonomy) Labels'!$J71,
template_selected_display_language='Footnote (Taxonomy) Labels'!$K$1,'Footnote (Taxonomy) Labels'!$K71,
template_selected_display_language='Footnote (Taxonomy) Labels'!$L$1,'Footnote (Taxonomy) Labels'!$L71,
template_selected_display_language='Footnote (Taxonomy) Labels'!$M$1,'Footnote (Taxonomy) Labels'!$M71
)</f>
        <v>Total Hazardous waste generated (mass)</v>
      </c>
      <c r="B71" s="511" t="s">
        <v>6404</v>
      </c>
      <c r="C71" s="504" t="s">
        <v>10122</v>
      </c>
      <c r="D71" s="504" t="s">
        <v>10123</v>
      </c>
      <c r="E71" s="504" t="s">
        <v>6407</v>
      </c>
      <c r="F71" s="504" t="s">
        <v>10124</v>
      </c>
      <c r="G71" s="504" t="s">
        <v>10125</v>
      </c>
      <c r="H71" s="504" t="s">
        <v>6410</v>
      </c>
      <c r="I71" s="504" t="s">
        <v>10126</v>
      </c>
      <c r="J71" s="504" t="s">
        <v>6412</v>
      </c>
      <c r="K71" s="504" t="s">
        <v>10127</v>
      </c>
      <c r="L71" s="504" t="s">
        <v>6414</v>
      </c>
      <c r="M71" s="506" t="s">
        <v>10128</v>
      </c>
    </row>
    <row r="72" spans="1:13" ht="14.4" customHeight="1">
      <c r="A72" s="4" t="str" cm="1">
        <f t="array" ref="A72">_xlfn.IFS(
template_selected_display_language='Footnote (Taxonomy) Labels'!$B$1,'Footnote (Taxonomy) Labels'!$B72,
template_selected_display_language='Footnote (Taxonomy) Labels'!$C$1,'Footnote (Taxonomy) Labels'!$C72,
template_selected_display_language='Footnote (Taxonomy) Labels'!$D$1,'Footnote (Taxonomy) Labels'!$D72,
template_selected_display_language='Footnote (Taxonomy) Labels'!$E$1,'Footnote (Taxonomy) Labels'!$E72,
template_selected_display_language='Footnote (Taxonomy) Labels'!$F$1,'Footnote (Taxonomy) Labels'!$F72,
template_selected_display_language='Footnote (Taxonomy) Labels'!$G$1,'Footnote (Taxonomy) Labels'!$G72,
template_selected_display_language='Footnote (Taxonomy) Labels'!$H$1,'Footnote (Taxonomy) Labels'!$H72,
template_selected_display_language='Footnote (Taxonomy) Labels'!$I$1,'Footnote (Taxonomy) Labels'!$I72,
template_selected_display_language='Footnote (Taxonomy) Labels'!$J$1,'Footnote (Taxonomy) Labels'!$J72,
template_selected_display_language='Footnote (Taxonomy) Labels'!$K$1,'Footnote (Taxonomy) Labels'!$K72,
template_selected_display_language='Footnote (Taxonomy) Labels'!$L$1,'Footnote (Taxonomy) Labels'!$L72,
template_selected_display_language='Footnote (Taxonomy) Labels'!$M$1,'Footnote (Taxonomy) Labels'!$M72
)</f>
        <v>Total Non-Hazardous waste generated (mass)</v>
      </c>
      <c r="B72" s="511" t="s">
        <v>6430</v>
      </c>
      <c r="C72" s="504" t="s">
        <v>10129</v>
      </c>
      <c r="D72" s="504" t="s">
        <v>10130</v>
      </c>
      <c r="E72" s="504" t="s">
        <v>6433</v>
      </c>
      <c r="F72" s="504" t="s">
        <v>10131</v>
      </c>
      <c r="G72" s="504" t="s">
        <v>10132</v>
      </c>
      <c r="H72" s="504" t="s">
        <v>6436</v>
      </c>
      <c r="I72" s="504" t="s">
        <v>6437</v>
      </c>
      <c r="J72" s="504" t="s">
        <v>6438</v>
      </c>
      <c r="K72" s="504" t="s">
        <v>10133</v>
      </c>
      <c r="L72" s="504" t="s">
        <v>6440</v>
      </c>
      <c r="M72" s="506" t="s">
        <v>10134</v>
      </c>
    </row>
    <row r="73" spans="1:13" ht="14.4" customHeight="1">
      <c r="A73" s="4" t="str" cm="1">
        <f t="array" ref="A73">_xlfn.IFS(
template_selected_display_language='Footnote (Taxonomy) Labels'!$B$1,'Footnote (Taxonomy) Labels'!$B73,
template_selected_display_language='Footnote (Taxonomy) Labels'!$C$1,'Footnote (Taxonomy) Labels'!$C73,
template_selected_display_language='Footnote (Taxonomy) Labels'!$D$1,'Footnote (Taxonomy) Labels'!$D73,
template_selected_display_language='Footnote (Taxonomy) Labels'!$E$1,'Footnote (Taxonomy) Labels'!$E73,
template_selected_display_language='Footnote (Taxonomy) Labels'!$F$1,'Footnote (Taxonomy) Labels'!$F73,
template_selected_display_language='Footnote (Taxonomy) Labels'!$G$1,'Footnote (Taxonomy) Labels'!$G73,
template_selected_display_language='Footnote (Taxonomy) Labels'!$H$1,'Footnote (Taxonomy) Labels'!$H73,
template_selected_display_language='Footnote (Taxonomy) Labels'!$I$1,'Footnote (Taxonomy) Labels'!$I73,
template_selected_display_language='Footnote (Taxonomy) Labels'!$J$1,'Footnote (Taxonomy) Labels'!$J73,
template_selected_display_language='Footnote (Taxonomy) Labels'!$K$1,'Footnote (Taxonomy) Labels'!$K73,
template_selected_display_language='Footnote (Taxonomy) Labels'!$L$1,'Footnote (Taxonomy) Labels'!$L73,
template_selected_display_language='Footnote (Taxonomy) Labels'!$M$1,'Footnote (Taxonomy) Labels'!$M73
)</f>
        <v>Total waste generated (mass)</v>
      </c>
      <c r="B73" s="511" t="s">
        <v>6443</v>
      </c>
      <c r="C73" s="504" t="s">
        <v>10135</v>
      </c>
      <c r="D73" s="504" t="s">
        <v>10136</v>
      </c>
      <c r="E73" s="504" t="s">
        <v>6446</v>
      </c>
      <c r="F73" s="504" t="s">
        <v>10137</v>
      </c>
      <c r="G73" s="504" t="s">
        <v>10138</v>
      </c>
      <c r="H73" s="504" t="s">
        <v>6449</v>
      </c>
      <c r="I73" s="504" t="s">
        <v>10139</v>
      </c>
      <c r="J73" s="504" t="s">
        <v>10140</v>
      </c>
      <c r="K73" s="504" t="s">
        <v>6454</v>
      </c>
      <c r="L73" s="504" t="s">
        <v>10141</v>
      </c>
      <c r="M73" s="506" t="s">
        <v>10142</v>
      </c>
    </row>
    <row r="74" spans="1:13" ht="14.4" customHeight="1">
      <c r="A74" s="4" t="str" cm="1">
        <f t="array" ref="A74">_xlfn.IFS(
template_selected_display_language='Footnote (Taxonomy) Labels'!$B$1,'Footnote (Taxonomy) Labels'!$B74,
template_selected_display_language='Footnote (Taxonomy) Labels'!$C$1,'Footnote (Taxonomy) Labels'!$C74,
template_selected_display_language='Footnote (Taxonomy) Labels'!$D$1,'Footnote (Taxonomy) Labels'!$D74,
template_selected_display_language='Footnote (Taxonomy) Labels'!$E$1,'Footnote (Taxonomy) Labels'!$E74,
template_selected_display_language='Footnote (Taxonomy) Labels'!$F$1,'Footnote (Taxonomy) Labels'!$F74,
template_selected_display_language='Footnote (Taxonomy) Labels'!$G$1,'Footnote (Taxonomy) Labels'!$G74,
template_selected_display_language='Footnote (Taxonomy) Labels'!$H$1,'Footnote (Taxonomy) Labels'!$H74,
template_selected_display_language='Footnote (Taxonomy) Labels'!$I$1,'Footnote (Taxonomy) Labels'!$I74,
template_selected_display_language='Footnote (Taxonomy) Labels'!$J$1,'Footnote (Taxonomy) Labels'!$J74,
template_selected_display_language='Footnote (Taxonomy) Labels'!$K$1,'Footnote (Taxonomy) Labels'!$K74,
template_selected_display_language='Footnote (Taxonomy) Labels'!$L$1,'Footnote (Taxonomy) Labels'!$L74,
template_selected_display_language='Footnote (Taxonomy) Labels'!$M$1,'Footnote (Taxonomy) Labels'!$M74
)</f>
        <v>Total Hazardous waste generated (volume)</v>
      </c>
      <c r="B74" s="511" t="s">
        <v>6456</v>
      </c>
      <c r="C74" s="504" t="s">
        <v>10143</v>
      </c>
      <c r="D74" s="504" t="s">
        <v>10144</v>
      </c>
      <c r="E74" s="504" t="s">
        <v>6459</v>
      </c>
      <c r="F74" s="504" t="s">
        <v>6460</v>
      </c>
      <c r="G74" s="504" t="s">
        <v>10145</v>
      </c>
      <c r="H74" s="504" t="s">
        <v>6462</v>
      </c>
      <c r="I74" s="504" t="s">
        <v>10146</v>
      </c>
      <c r="J74" s="504" t="s">
        <v>6464</v>
      </c>
      <c r="K74" s="504" t="s">
        <v>10147</v>
      </c>
      <c r="L74" s="504" t="s">
        <v>6466</v>
      </c>
      <c r="M74" s="506" t="s">
        <v>10148</v>
      </c>
    </row>
    <row r="75" spans="1:13" ht="14.4" customHeight="1">
      <c r="A75" s="4" t="str" cm="1">
        <f t="array" ref="A75">_xlfn.IFS(
template_selected_display_language='Footnote (Taxonomy) Labels'!$B$1,'Footnote (Taxonomy) Labels'!$B75,
template_selected_display_language='Footnote (Taxonomy) Labels'!$C$1,'Footnote (Taxonomy) Labels'!$C75,
template_selected_display_language='Footnote (Taxonomy) Labels'!$D$1,'Footnote (Taxonomy) Labels'!$D75,
template_selected_display_language='Footnote (Taxonomy) Labels'!$E$1,'Footnote (Taxonomy) Labels'!$E75,
template_selected_display_language='Footnote (Taxonomy) Labels'!$F$1,'Footnote (Taxonomy) Labels'!$F75,
template_selected_display_language='Footnote (Taxonomy) Labels'!$G$1,'Footnote (Taxonomy) Labels'!$G75,
template_selected_display_language='Footnote (Taxonomy) Labels'!$H$1,'Footnote (Taxonomy) Labels'!$H75,
template_selected_display_language='Footnote (Taxonomy) Labels'!$I$1,'Footnote (Taxonomy) Labels'!$I75,
template_selected_display_language='Footnote (Taxonomy) Labels'!$J$1,'Footnote (Taxonomy) Labels'!$J75,
template_selected_display_language='Footnote (Taxonomy) Labels'!$K$1,'Footnote (Taxonomy) Labels'!$K75,
template_selected_display_language='Footnote (Taxonomy) Labels'!$L$1,'Footnote (Taxonomy) Labels'!$L75,
template_selected_display_language='Footnote (Taxonomy) Labels'!$M$1,'Footnote (Taxonomy) Labels'!$M75
)</f>
        <v>Total Non-Hazardous waste generated (volume)</v>
      </c>
      <c r="B75" s="511" t="s">
        <v>6481</v>
      </c>
      <c r="C75" s="504" t="s">
        <v>10149</v>
      </c>
      <c r="D75" s="504" t="s">
        <v>10150</v>
      </c>
      <c r="E75" s="504" t="s">
        <v>6484</v>
      </c>
      <c r="F75" s="504" t="s">
        <v>6485</v>
      </c>
      <c r="G75" s="504" t="s">
        <v>10151</v>
      </c>
      <c r="H75" s="504" t="s">
        <v>6487</v>
      </c>
      <c r="I75" s="504" t="s">
        <v>10152</v>
      </c>
      <c r="J75" s="504" t="s">
        <v>6489</v>
      </c>
      <c r="K75" s="504" t="s">
        <v>6492</v>
      </c>
      <c r="L75" s="504" t="s">
        <v>6491</v>
      </c>
      <c r="M75" s="506" t="s">
        <v>10153</v>
      </c>
    </row>
    <row r="76" spans="1:13" ht="14.4" customHeight="1">
      <c r="A76" s="4" t="str" cm="1">
        <f t="array" ref="A76">_xlfn.IFS(
template_selected_display_language='Footnote (Taxonomy) Labels'!$B$1,'Footnote (Taxonomy) Labels'!$B76,
template_selected_display_language='Footnote (Taxonomy) Labels'!$C$1,'Footnote (Taxonomy) Labels'!$C76,
template_selected_display_language='Footnote (Taxonomy) Labels'!$D$1,'Footnote (Taxonomy) Labels'!$D76,
template_selected_display_language='Footnote (Taxonomy) Labels'!$E$1,'Footnote (Taxonomy) Labels'!$E76,
template_selected_display_language='Footnote (Taxonomy) Labels'!$F$1,'Footnote (Taxonomy) Labels'!$F76,
template_selected_display_language='Footnote (Taxonomy) Labels'!$G$1,'Footnote (Taxonomy) Labels'!$G76,
template_selected_display_language='Footnote (Taxonomy) Labels'!$H$1,'Footnote (Taxonomy) Labels'!$H76,
template_selected_display_language='Footnote (Taxonomy) Labels'!$I$1,'Footnote (Taxonomy) Labels'!$I76,
template_selected_display_language='Footnote (Taxonomy) Labels'!$J$1,'Footnote (Taxonomy) Labels'!$J76,
template_selected_display_language='Footnote (Taxonomy) Labels'!$K$1,'Footnote (Taxonomy) Labels'!$K76,
template_selected_display_language='Footnote (Taxonomy) Labels'!$L$1,'Footnote (Taxonomy) Labels'!$L76,
template_selected_display_language='Footnote (Taxonomy) Labels'!$M$1,'Footnote (Taxonomy) Labels'!$M76
)</f>
        <v>Total waste generated (volume)</v>
      </c>
      <c r="B76" s="511" t="s">
        <v>6494</v>
      </c>
      <c r="C76" s="504" t="s">
        <v>10154</v>
      </c>
      <c r="D76" s="504" t="s">
        <v>10155</v>
      </c>
      <c r="E76" s="504" t="s">
        <v>6497</v>
      </c>
      <c r="F76" s="504" t="s">
        <v>6498</v>
      </c>
      <c r="G76" s="504" t="s">
        <v>10156</v>
      </c>
      <c r="H76" s="504" t="s">
        <v>6500</v>
      </c>
      <c r="I76" s="504" t="s">
        <v>6501</v>
      </c>
      <c r="J76" s="504" t="s">
        <v>10157</v>
      </c>
      <c r="K76" s="504" t="s">
        <v>10158</v>
      </c>
      <c r="L76" s="504" t="s">
        <v>10159</v>
      </c>
      <c r="M76" s="506" t="s">
        <v>10160</v>
      </c>
    </row>
    <row r="77" spans="1:13" ht="14.4" customHeight="1">
      <c r="A77" s="4" t="str" cm="1">
        <f t="array" ref="A77">_xlfn.IFS(
template_selected_display_language='Footnote (Taxonomy) Labels'!$B$1,'Footnote (Taxonomy) Labels'!$B77,
template_selected_display_language='Footnote (Taxonomy) Labels'!$C$1,'Footnote (Taxonomy) Labels'!$C77,
template_selected_display_language='Footnote (Taxonomy) Labels'!$D$1,'Footnote (Taxonomy) Labels'!$D77,
template_selected_display_language='Footnote (Taxonomy) Labels'!$E$1,'Footnote (Taxonomy) Labels'!$E77,
template_selected_display_language='Footnote (Taxonomy) Labels'!$F$1,'Footnote (Taxonomy) Labels'!$F77,
template_selected_display_language='Footnote (Taxonomy) Labels'!$G$1,'Footnote (Taxonomy) Labels'!$G77,
template_selected_display_language='Footnote (Taxonomy) Labels'!$H$1,'Footnote (Taxonomy) Labels'!$H77,
template_selected_display_language='Footnote (Taxonomy) Labels'!$I$1,'Footnote (Taxonomy) Labels'!$I77,
template_selected_display_language='Footnote (Taxonomy) Labels'!$J$1,'Footnote (Taxonomy) Labels'!$J77,
template_selected_display_language='Footnote (Taxonomy) Labels'!$K$1,'Footnote (Taxonomy) Labels'!$K77,
template_selected_display_language='Footnote (Taxonomy) Labels'!$L$1,'Footnote (Taxonomy) Labels'!$L77,
template_selected_display_language='Footnote (Taxonomy) Labels'!$M$1,'Footnote (Taxonomy) Labels'!$M77
)</f>
        <v>Name of the material used</v>
      </c>
      <c r="B77" s="511" t="s">
        <v>10161</v>
      </c>
      <c r="C77" s="504" t="s">
        <v>10162</v>
      </c>
      <c r="D77" s="504" t="s">
        <v>10163</v>
      </c>
      <c r="E77" s="504" t="s">
        <v>10164</v>
      </c>
      <c r="F77" s="504" t="s">
        <v>10165</v>
      </c>
      <c r="G77" s="504" t="s">
        <v>10166</v>
      </c>
      <c r="H77" s="504" t="s">
        <v>10167</v>
      </c>
      <c r="I77" s="504" t="s">
        <v>10168</v>
      </c>
      <c r="J77" s="504" t="s">
        <v>10169</v>
      </c>
      <c r="K77" s="504" t="s">
        <v>10170</v>
      </c>
      <c r="L77" s="504" t="s">
        <v>10171</v>
      </c>
      <c r="M77" s="506" t="s">
        <v>10172</v>
      </c>
    </row>
    <row r="78" spans="1:13" ht="14.4" customHeight="1">
      <c r="A78" s="4" t="str" cm="1">
        <f t="array" ref="A78">_xlfn.IFS(
template_selected_display_language='Footnote (Taxonomy) Labels'!$B$1,'Footnote (Taxonomy) Labels'!$B78,
template_selected_display_language='Footnote (Taxonomy) Labels'!$C$1,'Footnote (Taxonomy) Labels'!$C78,
template_selected_display_language='Footnote (Taxonomy) Labels'!$D$1,'Footnote (Taxonomy) Labels'!$D78,
template_selected_display_language='Footnote (Taxonomy) Labels'!$E$1,'Footnote (Taxonomy) Labels'!$E78,
template_selected_display_language='Footnote (Taxonomy) Labels'!$F$1,'Footnote (Taxonomy) Labels'!$F78,
template_selected_display_language='Footnote (Taxonomy) Labels'!$G$1,'Footnote (Taxonomy) Labels'!$G78,
template_selected_display_language='Footnote (Taxonomy) Labels'!$H$1,'Footnote (Taxonomy) Labels'!$H78,
template_selected_display_language='Footnote (Taxonomy) Labels'!$I$1,'Footnote (Taxonomy) Labels'!$I78,
template_selected_display_language='Footnote (Taxonomy) Labels'!$J$1,'Footnote (Taxonomy) Labels'!$J78,
template_selected_display_language='Footnote (Taxonomy) Labels'!$K$1,'Footnote (Taxonomy) Labels'!$K78,
template_selected_display_language='Footnote (Taxonomy) Labels'!$L$1,'Footnote (Taxonomy) Labels'!$L78,
template_selected_display_language='Footnote (Taxonomy) Labels'!$M$1,'Footnote (Taxonomy) Labels'!$M78
)</f>
        <v>Weight of material used</v>
      </c>
      <c r="B78" s="511" t="s">
        <v>10173</v>
      </c>
      <c r="C78" s="504" t="s">
        <v>10174</v>
      </c>
      <c r="D78" s="504" t="s">
        <v>10175</v>
      </c>
      <c r="E78" s="504" t="s">
        <v>10176</v>
      </c>
      <c r="F78" s="504" t="s">
        <v>10177</v>
      </c>
      <c r="G78" s="504" t="s">
        <v>10178</v>
      </c>
      <c r="H78" s="504" t="s">
        <v>10179</v>
      </c>
      <c r="I78" s="504" t="s">
        <v>10180</v>
      </c>
      <c r="J78" s="504" t="s">
        <v>10181</v>
      </c>
      <c r="K78" s="504" t="s">
        <v>10182</v>
      </c>
      <c r="L78" s="504" t="s">
        <v>10183</v>
      </c>
      <c r="M78" s="506" t="s">
        <v>10184</v>
      </c>
    </row>
    <row r="79" spans="1:13" ht="14.4" customHeight="1">
      <c r="A79" s="4" t="str" cm="1">
        <f t="array" ref="A79">_xlfn.IFS(
template_selected_display_language='Footnote (Taxonomy) Labels'!$B$1,'Footnote (Taxonomy) Labels'!$B79,
template_selected_display_language='Footnote (Taxonomy) Labels'!$C$1,'Footnote (Taxonomy) Labels'!$C79,
template_selected_display_language='Footnote (Taxonomy) Labels'!$D$1,'Footnote (Taxonomy) Labels'!$D79,
template_selected_display_language='Footnote (Taxonomy) Labels'!$E$1,'Footnote (Taxonomy) Labels'!$E79,
template_selected_display_language='Footnote (Taxonomy) Labels'!$F$1,'Footnote (Taxonomy) Labels'!$F79,
template_selected_display_language='Footnote (Taxonomy) Labels'!$G$1,'Footnote (Taxonomy) Labels'!$G79,
template_selected_display_language='Footnote (Taxonomy) Labels'!$H$1,'Footnote (Taxonomy) Labels'!$H79,
template_selected_display_language='Footnote (Taxonomy) Labels'!$I$1,'Footnote (Taxonomy) Labels'!$I79,
template_selected_display_language='Footnote (Taxonomy) Labels'!$J$1,'Footnote (Taxonomy) Labels'!$J79,
template_selected_display_language='Footnote (Taxonomy) Labels'!$K$1,'Footnote (Taxonomy) Labels'!$K79,
template_selected_display_language='Footnote (Taxonomy) Labels'!$L$1,'Footnote (Taxonomy) Labels'!$L79,
template_selected_display_language='Footnote (Taxonomy) Labels'!$M$1,'Footnote (Taxonomy) Labels'!$M79
)</f>
        <v>Volume of material used</v>
      </c>
      <c r="B79" s="511" t="s">
        <v>10185</v>
      </c>
      <c r="C79" s="504" t="s">
        <v>10186</v>
      </c>
      <c r="D79" s="504" t="s">
        <v>10187</v>
      </c>
      <c r="E79" s="504" t="s">
        <v>10188</v>
      </c>
      <c r="F79" s="504" t="s">
        <v>10189</v>
      </c>
      <c r="G79" s="504" t="s">
        <v>10190</v>
      </c>
      <c r="H79" s="504" t="s">
        <v>10191</v>
      </c>
      <c r="I79" s="504" t="s">
        <v>10192</v>
      </c>
      <c r="J79" s="504" t="s">
        <v>10193</v>
      </c>
      <c r="K79" s="504" t="s">
        <v>10194</v>
      </c>
      <c r="L79" s="504" t="s">
        <v>10195</v>
      </c>
      <c r="M79" s="506" t="s">
        <v>10196</v>
      </c>
    </row>
    <row r="80" spans="1:13" ht="14.4" customHeight="1">
      <c r="A80" s="4" t="str" cm="1">
        <f t="array" ref="A80">_xlfn.IFS(
template_selected_display_language='Footnote (Taxonomy) Labels'!$B$1,'Footnote (Taxonomy) Labels'!$B80,
template_selected_display_language='Footnote (Taxonomy) Labels'!$C$1,'Footnote (Taxonomy) Labels'!$C80,
template_selected_display_language='Footnote (Taxonomy) Labels'!$D$1,'Footnote (Taxonomy) Labels'!$D80,
template_selected_display_language='Footnote (Taxonomy) Labels'!$E$1,'Footnote (Taxonomy) Labels'!$E80,
template_selected_display_language='Footnote (Taxonomy) Labels'!$F$1,'Footnote (Taxonomy) Labels'!$F80,
template_selected_display_language='Footnote (Taxonomy) Labels'!$G$1,'Footnote (Taxonomy) Labels'!$G80,
template_selected_display_language='Footnote (Taxonomy) Labels'!$H$1,'Footnote (Taxonomy) Labels'!$H80,
template_selected_display_language='Footnote (Taxonomy) Labels'!$I$1,'Footnote (Taxonomy) Labels'!$I80,
template_selected_display_language='Footnote (Taxonomy) Labels'!$J$1,'Footnote (Taxonomy) Labels'!$J80,
template_selected_display_language='Footnote (Taxonomy) Labels'!$K$1,'Footnote (Taxonomy) Labels'!$K80,
template_selected_display_language='Footnote (Taxonomy) Labels'!$L$1,'Footnote (Taxonomy) Labels'!$L80,
template_selected_display_language='Footnote (Taxonomy) Labels'!$M$1,'Footnote (Taxonomy) Labels'!$M80
)</f>
        <v>Total weight of material used</v>
      </c>
      <c r="B80" s="511" t="s">
        <v>10197</v>
      </c>
      <c r="C80" s="504" t="s">
        <v>10198</v>
      </c>
      <c r="D80" s="504" t="s">
        <v>10199</v>
      </c>
      <c r="E80" s="504" t="s">
        <v>10200</v>
      </c>
      <c r="F80" s="504" t="s">
        <v>10201</v>
      </c>
      <c r="G80" s="504" t="s">
        <v>10202</v>
      </c>
      <c r="H80" s="504" t="s">
        <v>10203</v>
      </c>
      <c r="I80" s="504" t="s">
        <v>10204</v>
      </c>
      <c r="J80" s="504" t="s">
        <v>10205</v>
      </c>
      <c r="K80" s="504" t="s">
        <v>10206</v>
      </c>
      <c r="L80" s="504" t="s">
        <v>10207</v>
      </c>
      <c r="M80" s="506" t="s">
        <v>10208</v>
      </c>
    </row>
    <row r="81" spans="1:13" ht="14.4" customHeight="1">
      <c r="A81" s="4" t="str" cm="1">
        <f t="array" ref="A81">_xlfn.IFS(
template_selected_display_language='Footnote (Taxonomy) Labels'!$B$1,'Footnote (Taxonomy) Labels'!$B81,
template_selected_display_language='Footnote (Taxonomy) Labels'!$C$1,'Footnote (Taxonomy) Labels'!$C81,
template_selected_display_language='Footnote (Taxonomy) Labels'!$D$1,'Footnote (Taxonomy) Labels'!$D81,
template_selected_display_language='Footnote (Taxonomy) Labels'!$E$1,'Footnote (Taxonomy) Labels'!$E81,
template_selected_display_language='Footnote (Taxonomy) Labels'!$F$1,'Footnote (Taxonomy) Labels'!$F81,
template_selected_display_language='Footnote (Taxonomy) Labels'!$G$1,'Footnote (Taxonomy) Labels'!$G81,
template_selected_display_language='Footnote (Taxonomy) Labels'!$H$1,'Footnote (Taxonomy) Labels'!$H81,
template_selected_display_language='Footnote (Taxonomy) Labels'!$I$1,'Footnote (Taxonomy) Labels'!$I81,
template_selected_display_language='Footnote (Taxonomy) Labels'!$J$1,'Footnote (Taxonomy) Labels'!$J81,
template_selected_display_language='Footnote (Taxonomy) Labels'!$K$1,'Footnote (Taxonomy) Labels'!$K81,
template_selected_display_language='Footnote (Taxonomy) Labels'!$L$1,'Footnote (Taxonomy) Labels'!$L81,
template_selected_display_language='Footnote (Taxonomy) Labels'!$M$1,'Footnote (Taxonomy) Labels'!$M81
)</f>
        <v>Total volume of material used</v>
      </c>
      <c r="B81" s="511" t="s">
        <v>10209</v>
      </c>
      <c r="C81" s="504" t="s">
        <v>10210</v>
      </c>
      <c r="D81" s="504" t="s">
        <v>10211</v>
      </c>
      <c r="E81" s="504" t="s">
        <v>10212</v>
      </c>
      <c r="F81" s="504" t="s">
        <v>10213</v>
      </c>
      <c r="G81" s="504" t="s">
        <v>10214</v>
      </c>
      <c r="H81" s="504" t="s">
        <v>10215</v>
      </c>
      <c r="I81" s="504" t="s">
        <v>10216</v>
      </c>
      <c r="J81" s="504" t="s">
        <v>10217</v>
      </c>
      <c r="K81" s="504" t="s">
        <v>10218</v>
      </c>
      <c r="L81" s="504" t="s">
        <v>10219</v>
      </c>
      <c r="M81" s="506" t="s">
        <v>10220</v>
      </c>
    </row>
    <row r="82" spans="1:13" ht="14.4" customHeight="1">
      <c r="A82" s="4" t="str" cm="1">
        <f t="array" ref="A82">_xlfn.IFS(
template_selected_display_language='Footnote (Taxonomy) Labels'!$B$1,'Footnote (Taxonomy) Labels'!$B82,
template_selected_display_language='Footnote (Taxonomy) Labels'!$C$1,'Footnote (Taxonomy) Labels'!$C82,
template_selected_display_language='Footnote (Taxonomy) Labels'!$D$1,'Footnote (Taxonomy) Labels'!$D82,
template_selected_display_language='Footnote (Taxonomy) Labels'!$E$1,'Footnote (Taxonomy) Labels'!$E82,
template_selected_display_language='Footnote (Taxonomy) Labels'!$F$1,'Footnote (Taxonomy) Labels'!$F82,
template_selected_display_language='Footnote (Taxonomy) Labels'!$G$1,'Footnote (Taxonomy) Labels'!$G82,
template_selected_display_language='Footnote (Taxonomy) Labels'!$H$1,'Footnote (Taxonomy) Labels'!$H82,
template_selected_display_language='Footnote (Taxonomy) Labels'!$I$1,'Footnote (Taxonomy) Labels'!$I82,
template_selected_display_language='Footnote (Taxonomy) Labels'!$J$1,'Footnote (Taxonomy) Labels'!$J82,
template_selected_display_language='Footnote (Taxonomy) Labels'!$K$1,'Footnote (Taxonomy) Labels'!$K82,
template_selected_display_language='Footnote (Taxonomy) Labels'!$L$1,'Footnote (Taxonomy) Labels'!$L82,
template_selected_display_language='Footnote (Taxonomy) Labels'!$M$1,'Footnote (Taxonomy) Labels'!$M82
)</f>
        <v>Number of permanent contact employees</v>
      </c>
      <c r="B82" s="511" t="s">
        <v>10221</v>
      </c>
      <c r="C82" s="504" t="s">
        <v>10222</v>
      </c>
      <c r="D82" s="504" t="s">
        <v>10223</v>
      </c>
      <c r="E82" s="504" t="s">
        <v>10224</v>
      </c>
      <c r="F82" s="504" t="s">
        <v>10225</v>
      </c>
      <c r="G82" s="504" t="s">
        <v>10226</v>
      </c>
      <c r="H82" s="504" t="s">
        <v>10227</v>
      </c>
      <c r="I82" s="504" t="s">
        <v>10228</v>
      </c>
      <c r="J82" s="504" t="s">
        <v>10229</v>
      </c>
      <c r="K82" s="504" t="s">
        <v>10230</v>
      </c>
      <c r="L82" s="504" t="s">
        <v>10231</v>
      </c>
      <c r="M82" s="506" t="s">
        <v>10232</v>
      </c>
    </row>
    <row r="83" spans="1:13" ht="14.4" customHeight="1">
      <c r="A83" s="4" t="str" cm="1">
        <f t="array" ref="A83">_xlfn.IFS(
template_selected_display_language='Footnote (Taxonomy) Labels'!$B$1,'Footnote (Taxonomy) Labels'!$B83,
template_selected_display_language='Footnote (Taxonomy) Labels'!$C$1,'Footnote (Taxonomy) Labels'!$C83,
template_selected_display_language='Footnote (Taxonomy) Labels'!$D$1,'Footnote (Taxonomy) Labels'!$D83,
template_selected_display_language='Footnote (Taxonomy) Labels'!$E$1,'Footnote (Taxonomy) Labels'!$E83,
template_selected_display_language='Footnote (Taxonomy) Labels'!$F$1,'Footnote (Taxonomy) Labels'!$F83,
template_selected_display_language='Footnote (Taxonomy) Labels'!$G$1,'Footnote (Taxonomy) Labels'!$G83,
template_selected_display_language='Footnote (Taxonomy) Labels'!$H$1,'Footnote (Taxonomy) Labels'!$H83,
template_selected_display_language='Footnote (Taxonomy) Labels'!$I$1,'Footnote (Taxonomy) Labels'!$I83,
template_selected_display_language='Footnote (Taxonomy) Labels'!$J$1,'Footnote (Taxonomy) Labels'!$J83,
template_selected_display_language='Footnote (Taxonomy) Labels'!$K$1,'Footnote (Taxonomy) Labels'!$K83,
template_selected_display_language='Footnote (Taxonomy) Labels'!$L$1,'Footnote (Taxonomy) Labels'!$L83,
template_selected_display_language='Footnote (Taxonomy) Labels'!$M$1,'Footnote (Taxonomy) Labels'!$M83
)</f>
        <v>Number of temporary contract employees</v>
      </c>
      <c r="B83" s="511" t="s">
        <v>10233</v>
      </c>
      <c r="C83" s="504" t="s">
        <v>10234</v>
      </c>
      <c r="D83" s="504" t="s">
        <v>10235</v>
      </c>
      <c r="E83" s="504" t="s">
        <v>10236</v>
      </c>
      <c r="F83" s="504" t="s">
        <v>10237</v>
      </c>
      <c r="G83" s="504" t="s">
        <v>10238</v>
      </c>
      <c r="H83" s="504" t="s">
        <v>10239</v>
      </c>
      <c r="I83" s="504" t="s">
        <v>10240</v>
      </c>
      <c r="J83" s="504" t="s">
        <v>10241</v>
      </c>
      <c r="K83" s="504" t="s">
        <v>10242</v>
      </c>
      <c r="L83" s="504" t="s">
        <v>10243</v>
      </c>
      <c r="M83" s="506" t="s">
        <v>10244</v>
      </c>
    </row>
    <row r="84" spans="1:13" ht="14.4" customHeight="1">
      <c r="A84" s="4" t="str" cm="1">
        <f t="array" ref="A84">_xlfn.IFS(
template_selected_display_language='Footnote (Taxonomy) Labels'!$B$1,'Footnote (Taxonomy) Labels'!$B84,
template_selected_display_language='Footnote (Taxonomy) Labels'!$C$1,'Footnote (Taxonomy) Labels'!$C84,
template_selected_display_language='Footnote (Taxonomy) Labels'!$D$1,'Footnote (Taxonomy) Labels'!$D84,
template_selected_display_language='Footnote (Taxonomy) Labels'!$E$1,'Footnote (Taxonomy) Labels'!$E84,
template_selected_display_language='Footnote (Taxonomy) Labels'!$F$1,'Footnote (Taxonomy) Labels'!$F84,
template_selected_display_language='Footnote (Taxonomy) Labels'!$G$1,'Footnote (Taxonomy) Labels'!$G84,
template_selected_display_language='Footnote (Taxonomy) Labels'!$H$1,'Footnote (Taxonomy) Labels'!$H84,
template_selected_display_language='Footnote (Taxonomy) Labels'!$I$1,'Footnote (Taxonomy) Labels'!$I84,
template_selected_display_language='Footnote (Taxonomy) Labels'!$J$1,'Footnote (Taxonomy) Labels'!$J84,
template_selected_display_language='Footnote (Taxonomy) Labels'!$K$1,'Footnote (Taxonomy) Labels'!$K84,
template_selected_display_language='Footnote (Taxonomy) Labels'!$L$1,'Footnote (Taxonomy) Labels'!$L84,
template_selected_display_language='Footnote (Taxonomy) Labels'!$M$1,'Footnote (Taxonomy) Labels'!$M84
)</f>
        <v>Number of male employees</v>
      </c>
      <c r="B84" s="511" t="s">
        <v>10245</v>
      </c>
      <c r="C84" s="504" t="s">
        <v>10246</v>
      </c>
      <c r="D84" s="504" t="s">
        <v>10247</v>
      </c>
      <c r="E84" s="504" t="s">
        <v>10248</v>
      </c>
      <c r="F84" s="504" t="s">
        <v>10249</v>
      </c>
      <c r="G84" s="504" t="s">
        <v>10250</v>
      </c>
      <c r="H84" s="504" t="s">
        <v>10251</v>
      </c>
      <c r="I84" s="504" t="s">
        <v>10252</v>
      </c>
      <c r="J84" s="504" t="s">
        <v>10253</v>
      </c>
      <c r="K84" s="504" t="s">
        <v>10254</v>
      </c>
      <c r="L84" s="504" t="s">
        <v>10255</v>
      </c>
      <c r="M84" s="506" t="s">
        <v>10256</v>
      </c>
    </row>
    <row r="85" spans="1:13" ht="14.4" customHeight="1">
      <c r="A85" s="4" t="str" cm="1">
        <f t="array" ref="A85">_xlfn.IFS(
template_selected_display_language='Footnote (Taxonomy) Labels'!$B$1,'Footnote (Taxonomy) Labels'!$B85,
template_selected_display_language='Footnote (Taxonomy) Labels'!$C$1,'Footnote (Taxonomy) Labels'!$C85,
template_selected_display_language='Footnote (Taxonomy) Labels'!$D$1,'Footnote (Taxonomy) Labels'!$D85,
template_selected_display_language='Footnote (Taxonomy) Labels'!$E$1,'Footnote (Taxonomy) Labels'!$E85,
template_selected_display_language='Footnote (Taxonomy) Labels'!$F$1,'Footnote (Taxonomy) Labels'!$F85,
template_selected_display_language='Footnote (Taxonomy) Labels'!$G$1,'Footnote (Taxonomy) Labels'!$G85,
template_selected_display_language='Footnote (Taxonomy) Labels'!$H$1,'Footnote (Taxonomy) Labels'!$H85,
template_selected_display_language='Footnote (Taxonomy) Labels'!$I$1,'Footnote (Taxonomy) Labels'!$I85,
template_selected_display_language='Footnote (Taxonomy) Labels'!$J$1,'Footnote (Taxonomy) Labels'!$J85,
template_selected_display_language='Footnote (Taxonomy) Labels'!$K$1,'Footnote (Taxonomy) Labels'!$K85,
template_selected_display_language='Footnote (Taxonomy) Labels'!$L$1,'Footnote (Taxonomy) Labels'!$L85,
template_selected_display_language='Footnote (Taxonomy) Labels'!$M$1,'Footnote (Taxonomy) Labels'!$M85
)</f>
        <v>Number of female employees</v>
      </c>
      <c r="B85" s="511" t="s">
        <v>10257</v>
      </c>
      <c r="C85" s="504" t="s">
        <v>10258</v>
      </c>
      <c r="D85" s="504" t="s">
        <v>10259</v>
      </c>
      <c r="E85" s="504" t="s">
        <v>10260</v>
      </c>
      <c r="F85" s="504" t="s">
        <v>10261</v>
      </c>
      <c r="G85" s="504" t="s">
        <v>10262</v>
      </c>
      <c r="H85" s="504" t="s">
        <v>10263</v>
      </c>
      <c r="I85" s="504" t="s">
        <v>10264</v>
      </c>
      <c r="J85" s="504" t="s">
        <v>10265</v>
      </c>
      <c r="K85" s="504" t="s">
        <v>10266</v>
      </c>
      <c r="L85" s="504" t="s">
        <v>10267</v>
      </c>
      <c r="M85" s="506" t="s">
        <v>10268</v>
      </c>
    </row>
    <row r="86" spans="1:13" ht="14.4" customHeight="1">
      <c r="A86" s="4" t="str" cm="1">
        <f t="array" ref="A86">_xlfn.IFS(
template_selected_display_language='Footnote (Taxonomy) Labels'!$B$1,'Footnote (Taxonomy) Labels'!$B86,
template_selected_display_language='Footnote (Taxonomy) Labels'!$C$1,'Footnote (Taxonomy) Labels'!$C86,
template_selected_display_language='Footnote (Taxonomy) Labels'!$D$1,'Footnote (Taxonomy) Labels'!$D86,
template_selected_display_language='Footnote (Taxonomy) Labels'!$E$1,'Footnote (Taxonomy) Labels'!$E86,
template_selected_display_language='Footnote (Taxonomy) Labels'!$F$1,'Footnote (Taxonomy) Labels'!$F86,
template_selected_display_language='Footnote (Taxonomy) Labels'!$G$1,'Footnote (Taxonomy) Labels'!$G86,
template_selected_display_language='Footnote (Taxonomy) Labels'!$H$1,'Footnote (Taxonomy) Labels'!$H86,
template_selected_display_language='Footnote (Taxonomy) Labels'!$I$1,'Footnote (Taxonomy) Labels'!$I86,
template_selected_display_language='Footnote (Taxonomy) Labels'!$J$1,'Footnote (Taxonomy) Labels'!$J86,
template_selected_display_language='Footnote (Taxonomy) Labels'!$K$1,'Footnote (Taxonomy) Labels'!$K86,
template_selected_display_language='Footnote (Taxonomy) Labels'!$L$1,'Footnote (Taxonomy) Labels'!$L86,
template_selected_display_language='Footnote (Taxonomy) Labels'!$M$1,'Footnote (Taxonomy) Labels'!$M86
)</f>
        <v>Number of other gender employees</v>
      </c>
      <c r="B86" s="511" t="s">
        <v>10269</v>
      </c>
      <c r="C86" s="504" t="s">
        <v>10270</v>
      </c>
      <c r="D86" s="504" t="s">
        <v>10271</v>
      </c>
      <c r="E86" s="504" t="s">
        <v>10272</v>
      </c>
      <c r="F86" s="504" t="s">
        <v>10273</v>
      </c>
      <c r="G86" s="504" t="s">
        <v>10274</v>
      </c>
      <c r="H86" s="504" t="s">
        <v>10275</v>
      </c>
      <c r="I86" s="504" t="s">
        <v>10276</v>
      </c>
      <c r="J86" s="504" t="s">
        <v>10277</v>
      </c>
      <c r="K86" s="504" t="s">
        <v>10278</v>
      </c>
      <c r="L86" s="504" t="s">
        <v>10279</v>
      </c>
      <c r="M86" s="506" t="s">
        <v>10280</v>
      </c>
    </row>
    <row r="87" spans="1:13" ht="14.4" customHeight="1">
      <c r="A87" s="4" t="str" cm="1">
        <f t="array" ref="A87">_xlfn.IFS(
template_selected_display_language='Footnote (Taxonomy) Labels'!$B$1,'Footnote (Taxonomy) Labels'!$B87,
template_selected_display_language='Footnote (Taxonomy) Labels'!$C$1,'Footnote (Taxonomy) Labels'!$C87,
template_selected_display_language='Footnote (Taxonomy) Labels'!$D$1,'Footnote (Taxonomy) Labels'!$D87,
template_selected_display_language='Footnote (Taxonomy) Labels'!$E$1,'Footnote (Taxonomy) Labels'!$E87,
template_selected_display_language='Footnote (Taxonomy) Labels'!$F$1,'Footnote (Taxonomy) Labels'!$F87,
template_selected_display_language='Footnote (Taxonomy) Labels'!$G$1,'Footnote (Taxonomy) Labels'!$G87,
template_selected_display_language='Footnote (Taxonomy) Labels'!$H$1,'Footnote (Taxonomy) Labels'!$H87,
template_selected_display_language='Footnote (Taxonomy) Labels'!$I$1,'Footnote (Taxonomy) Labels'!$I87,
template_selected_display_language='Footnote (Taxonomy) Labels'!$J$1,'Footnote (Taxonomy) Labels'!$J87,
template_selected_display_language='Footnote (Taxonomy) Labels'!$K$1,'Footnote (Taxonomy) Labels'!$K87,
template_selected_display_language='Footnote (Taxonomy) Labels'!$L$1,'Footnote (Taxonomy) Labels'!$L87,
template_selected_display_language='Footnote (Taxonomy) Labels'!$M$1,'Footnote (Taxonomy) Labels'!$M87
)</f>
        <v>Number of non-reported gender employees</v>
      </c>
      <c r="B87" s="511" t="s">
        <v>10281</v>
      </c>
      <c r="C87" s="504" t="s">
        <v>10282</v>
      </c>
      <c r="D87" s="504" t="s">
        <v>10283</v>
      </c>
      <c r="E87" s="504" t="s">
        <v>10284</v>
      </c>
      <c r="F87" s="504" t="s">
        <v>10285</v>
      </c>
      <c r="G87" s="504" t="s">
        <v>10286</v>
      </c>
      <c r="H87" s="504" t="s">
        <v>10287</v>
      </c>
      <c r="I87" s="504" t="s">
        <v>10288</v>
      </c>
      <c r="J87" s="504" t="s">
        <v>10289</v>
      </c>
      <c r="K87" s="504" t="s">
        <v>10290</v>
      </c>
      <c r="L87" s="504" t="s">
        <v>10291</v>
      </c>
      <c r="M87" s="506" t="s">
        <v>10292</v>
      </c>
    </row>
    <row r="88" spans="1:13" ht="14.4" customHeight="1">
      <c r="A88" s="4" t="str" cm="1">
        <f t="array" ref="A88">_xlfn.IFS(
template_selected_display_language='Footnote (Taxonomy) Labels'!$B$1,'Footnote (Taxonomy) Labels'!$B88,
template_selected_display_language='Footnote (Taxonomy) Labels'!$C$1,'Footnote (Taxonomy) Labels'!$C88,
template_selected_display_language='Footnote (Taxonomy) Labels'!$D$1,'Footnote (Taxonomy) Labels'!$D88,
template_selected_display_language='Footnote (Taxonomy) Labels'!$E$1,'Footnote (Taxonomy) Labels'!$E88,
template_selected_display_language='Footnote (Taxonomy) Labels'!$F$1,'Footnote (Taxonomy) Labels'!$F88,
template_selected_display_language='Footnote (Taxonomy) Labels'!$G$1,'Footnote (Taxonomy) Labels'!$G88,
template_selected_display_language='Footnote (Taxonomy) Labels'!$H$1,'Footnote (Taxonomy) Labels'!$H88,
template_selected_display_language='Footnote (Taxonomy) Labels'!$I$1,'Footnote (Taxonomy) Labels'!$I88,
template_selected_display_language='Footnote (Taxonomy) Labels'!$J$1,'Footnote (Taxonomy) Labels'!$J88,
template_selected_display_language='Footnote (Taxonomy) Labels'!$K$1,'Footnote (Taxonomy) Labels'!$K88,
template_selected_display_language='Footnote (Taxonomy) Labels'!$L$1,'Footnote (Taxonomy) Labels'!$L88,
template_selected_display_language='Footnote (Taxonomy) Labels'!$M$1,'Footnote (Taxonomy) Labels'!$M88
)</f>
        <v xml:space="preserve">Number of employees for country of employment contract </v>
      </c>
      <c r="B88" s="511" t="s">
        <v>10293</v>
      </c>
      <c r="C88" s="504" t="s">
        <v>10294</v>
      </c>
      <c r="D88" s="504" t="s">
        <v>10295</v>
      </c>
      <c r="E88" s="504" t="s">
        <v>10296</v>
      </c>
      <c r="F88" s="504" t="s">
        <v>10297</v>
      </c>
      <c r="G88" s="504" t="s">
        <v>10298</v>
      </c>
      <c r="H88" s="504" t="s">
        <v>10299</v>
      </c>
      <c r="I88" s="504" t="s">
        <v>10300</v>
      </c>
      <c r="J88" s="504" t="s">
        <v>10301</v>
      </c>
      <c r="K88" s="504" t="s">
        <v>10302</v>
      </c>
      <c r="L88" s="504" t="s">
        <v>10303</v>
      </c>
      <c r="M88" s="506" t="s">
        <v>10304</v>
      </c>
    </row>
    <row r="89" spans="1:13" ht="14.4" customHeight="1">
      <c r="A89" s="4" t="str" cm="1">
        <f t="array" ref="A89">_xlfn.IFS(
template_selected_display_language='Footnote (Taxonomy) Labels'!$B$1,'Footnote (Taxonomy) Labels'!$B89,
template_selected_display_language='Footnote (Taxonomy) Labels'!$C$1,'Footnote (Taxonomy) Labels'!$C89,
template_selected_display_language='Footnote (Taxonomy) Labels'!$D$1,'Footnote (Taxonomy) Labels'!$D89,
template_selected_display_language='Footnote (Taxonomy) Labels'!$E$1,'Footnote (Taxonomy) Labels'!$E89,
template_selected_display_language='Footnote (Taxonomy) Labels'!$F$1,'Footnote (Taxonomy) Labels'!$F89,
template_selected_display_language='Footnote (Taxonomy) Labels'!$G$1,'Footnote (Taxonomy) Labels'!$G89,
template_selected_display_language='Footnote (Taxonomy) Labels'!$H$1,'Footnote (Taxonomy) Labels'!$H89,
template_selected_display_language='Footnote (Taxonomy) Labels'!$I$1,'Footnote (Taxonomy) Labels'!$I89,
template_selected_display_language='Footnote (Taxonomy) Labels'!$J$1,'Footnote (Taxonomy) Labels'!$J89,
template_selected_display_language='Footnote (Taxonomy) Labels'!$K$1,'Footnote (Taxonomy) Labels'!$K89,
template_selected_display_language='Footnote (Taxonomy) Labels'!$L$1,'Footnote (Taxonomy) Labels'!$L89,
template_selected_display_language='Footnote (Taxonomy) Labels'!$M$1,'Footnote (Taxonomy) Labels'!$M89
)</f>
        <v>Employee turnover rate</v>
      </c>
      <c r="B89" s="511" t="s">
        <v>10305</v>
      </c>
      <c r="C89" s="504" t="s">
        <v>10306</v>
      </c>
      <c r="D89" s="504" t="s">
        <v>10307</v>
      </c>
      <c r="E89" s="504" t="s">
        <v>10308</v>
      </c>
      <c r="F89" s="504" t="s">
        <v>10309</v>
      </c>
      <c r="G89" s="504" t="s">
        <v>10310</v>
      </c>
      <c r="H89" s="504" t="s">
        <v>10311</v>
      </c>
      <c r="I89" s="504" t="s">
        <v>10312</v>
      </c>
      <c r="J89" s="504" t="s">
        <v>10313</v>
      </c>
      <c r="K89" s="504" t="s">
        <v>10314</v>
      </c>
      <c r="L89" s="504" t="s">
        <v>10315</v>
      </c>
      <c r="M89" s="506" t="s">
        <v>10316</v>
      </c>
    </row>
    <row r="90" spans="1:13" ht="14.4" customHeight="1">
      <c r="A90" s="4" t="str" cm="1">
        <f t="array" ref="A90">_xlfn.IFS(
template_selected_display_language='Footnote (Taxonomy) Labels'!$B$1,'Footnote (Taxonomy) Labels'!$B90,
template_selected_display_language='Footnote (Taxonomy) Labels'!$C$1,'Footnote (Taxonomy) Labels'!$C90,
template_selected_display_language='Footnote (Taxonomy) Labels'!$D$1,'Footnote (Taxonomy) Labels'!$D90,
template_selected_display_language='Footnote (Taxonomy) Labels'!$E$1,'Footnote (Taxonomy) Labels'!$E90,
template_selected_display_language='Footnote (Taxonomy) Labels'!$F$1,'Footnote (Taxonomy) Labels'!$F90,
template_selected_display_language='Footnote (Taxonomy) Labels'!$G$1,'Footnote (Taxonomy) Labels'!$G90,
template_selected_display_language='Footnote (Taxonomy) Labels'!$H$1,'Footnote (Taxonomy) Labels'!$H90,
template_selected_display_language='Footnote (Taxonomy) Labels'!$I$1,'Footnote (Taxonomy) Labels'!$I90,
template_selected_display_language='Footnote (Taxonomy) Labels'!$J$1,'Footnote (Taxonomy) Labels'!$J90,
template_selected_display_language='Footnote (Taxonomy) Labels'!$K$1,'Footnote (Taxonomy) Labels'!$K90,
template_selected_display_language='Footnote (Taxonomy) Labels'!$L$1,'Footnote (Taxonomy) Labels'!$L90,
template_selected_display_language='Footnote (Taxonomy) Labels'!$M$1,'Footnote (Taxonomy) Labels'!$M90
)</f>
        <v>Number of recordable work related accidents in the reporting period</v>
      </c>
      <c r="B90" s="511" t="s">
        <v>10317</v>
      </c>
      <c r="C90" s="504" t="s">
        <v>10318</v>
      </c>
      <c r="D90" s="504" t="s">
        <v>10319</v>
      </c>
      <c r="E90" s="504" t="s">
        <v>6925</v>
      </c>
      <c r="F90" s="504" t="s">
        <v>6926</v>
      </c>
      <c r="G90" s="504" t="s">
        <v>10320</v>
      </c>
      <c r="H90" s="504" t="s">
        <v>6928</v>
      </c>
      <c r="I90" s="504" t="s">
        <v>10321</v>
      </c>
      <c r="J90" s="504" t="s">
        <v>6930</v>
      </c>
      <c r="K90" s="504" t="s">
        <v>10322</v>
      </c>
      <c r="L90" s="504" t="s">
        <v>10323</v>
      </c>
      <c r="M90" s="506" t="s">
        <v>10324</v>
      </c>
    </row>
    <row r="91" spans="1:13" ht="14.4" customHeight="1">
      <c r="A91" s="4" t="str" cm="1">
        <f t="array" ref="A91">_xlfn.IFS(
template_selected_display_language='Footnote (Taxonomy) Labels'!$B$1,'Footnote (Taxonomy) Labels'!$B91,
template_selected_display_language='Footnote (Taxonomy) Labels'!$C$1,'Footnote (Taxonomy) Labels'!$C91,
template_selected_display_language='Footnote (Taxonomy) Labels'!$D$1,'Footnote (Taxonomy) Labels'!$D91,
template_selected_display_language='Footnote (Taxonomy) Labels'!$E$1,'Footnote (Taxonomy) Labels'!$E91,
template_selected_display_language='Footnote (Taxonomy) Labels'!$F$1,'Footnote (Taxonomy) Labels'!$F91,
template_selected_display_language='Footnote (Taxonomy) Labels'!$G$1,'Footnote (Taxonomy) Labels'!$G91,
template_selected_display_language='Footnote (Taxonomy) Labels'!$H$1,'Footnote (Taxonomy) Labels'!$H91,
template_selected_display_language='Footnote (Taxonomy) Labels'!$I$1,'Footnote (Taxonomy) Labels'!$I91,
template_selected_display_language='Footnote (Taxonomy) Labels'!$J$1,'Footnote (Taxonomy) Labels'!$J91,
template_selected_display_language='Footnote (Taxonomy) Labels'!$K$1,'Footnote (Taxonomy) Labels'!$K91,
template_selected_display_language='Footnote (Taxonomy) Labels'!$L$1,'Footnote (Taxonomy) Labels'!$L91,
template_selected_display_language='Footnote (Taxonomy) Labels'!$M$1,'Footnote (Taxonomy) Labels'!$M91
)</f>
        <v>Rate of recordable work related accidents in the reporting period</v>
      </c>
      <c r="B91" s="511" t="s">
        <v>10325</v>
      </c>
      <c r="C91" s="504" t="s">
        <v>10326</v>
      </c>
      <c r="D91" s="504" t="s">
        <v>10327</v>
      </c>
      <c r="E91" s="504" t="s">
        <v>6968</v>
      </c>
      <c r="F91" s="504" t="s">
        <v>6969</v>
      </c>
      <c r="G91" s="504" t="s">
        <v>10328</v>
      </c>
      <c r="H91" s="504" t="s">
        <v>10329</v>
      </c>
      <c r="I91" s="504" t="s">
        <v>6972</v>
      </c>
      <c r="J91" s="504" t="s">
        <v>6973</v>
      </c>
      <c r="K91" s="504" t="s">
        <v>6976</v>
      </c>
      <c r="L91" s="504" t="s">
        <v>10330</v>
      </c>
      <c r="M91" s="506" t="s">
        <v>10331</v>
      </c>
    </row>
    <row r="92" spans="1:13" ht="14.4" customHeight="1">
      <c r="A92" s="4" t="str" cm="1">
        <f t="array" ref="A92">_xlfn.IFS(
template_selected_display_language='Footnote (Taxonomy) Labels'!$B$1,'Footnote (Taxonomy) Labels'!$B92,
template_selected_display_language='Footnote (Taxonomy) Labels'!$C$1,'Footnote (Taxonomy) Labels'!$C92,
template_selected_display_language='Footnote (Taxonomy) Labels'!$D$1,'Footnote (Taxonomy) Labels'!$D92,
template_selected_display_language='Footnote (Taxonomy) Labels'!$E$1,'Footnote (Taxonomy) Labels'!$E92,
template_selected_display_language='Footnote (Taxonomy) Labels'!$F$1,'Footnote (Taxonomy) Labels'!$F92,
template_selected_display_language='Footnote (Taxonomy) Labels'!$G$1,'Footnote (Taxonomy) Labels'!$G92,
template_selected_display_language='Footnote (Taxonomy) Labels'!$H$1,'Footnote (Taxonomy) Labels'!$H92,
template_selected_display_language='Footnote (Taxonomy) Labels'!$I$1,'Footnote (Taxonomy) Labels'!$I92,
template_selected_display_language='Footnote (Taxonomy) Labels'!$J$1,'Footnote (Taxonomy) Labels'!$J92,
template_selected_display_language='Footnote (Taxonomy) Labels'!$K$1,'Footnote (Taxonomy) Labels'!$K92,
template_selected_display_language='Footnote (Taxonomy) Labels'!$L$1,'Footnote (Taxonomy) Labels'!$L92,
template_selected_display_language='Footnote (Taxonomy) Labels'!$M$1,'Footnote (Taxonomy) Labels'!$M92
)</f>
        <v>Number of fatalities as a result of work-related injuries and work-related ill health</v>
      </c>
      <c r="B92" s="511" t="s">
        <v>9180</v>
      </c>
      <c r="C92" s="504" t="s">
        <v>10332</v>
      </c>
      <c r="D92" s="504" t="s">
        <v>10333</v>
      </c>
      <c r="E92" s="504" t="s">
        <v>10334</v>
      </c>
      <c r="F92" s="504" t="s">
        <v>6982</v>
      </c>
      <c r="G92" s="504" t="s">
        <v>10335</v>
      </c>
      <c r="H92" s="504" t="s">
        <v>6984</v>
      </c>
      <c r="I92" s="504" t="s">
        <v>6985</v>
      </c>
      <c r="J92" s="504" t="s">
        <v>6986</v>
      </c>
      <c r="K92" s="504" t="s">
        <v>10336</v>
      </c>
      <c r="L92" s="504" t="s">
        <v>10337</v>
      </c>
      <c r="M92" s="506" t="s">
        <v>6987</v>
      </c>
    </row>
    <row r="93" spans="1:13" ht="14.4" customHeight="1">
      <c r="A93" s="4" t="str" cm="1">
        <f t="array" ref="A93">_xlfn.IFS(
template_selected_display_language='Footnote (Taxonomy) Labels'!$B$1,'Footnote (Taxonomy) Labels'!$B93,
template_selected_display_language='Footnote (Taxonomy) Labels'!$C$1,'Footnote (Taxonomy) Labels'!$C93,
template_selected_display_language='Footnote (Taxonomy) Labels'!$D$1,'Footnote (Taxonomy) Labels'!$D93,
template_selected_display_language='Footnote (Taxonomy) Labels'!$E$1,'Footnote (Taxonomy) Labels'!$E93,
template_selected_display_language='Footnote (Taxonomy) Labels'!$F$1,'Footnote (Taxonomy) Labels'!$F93,
template_selected_display_language='Footnote (Taxonomy) Labels'!$G$1,'Footnote (Taxonomy) Labels'!$G93,
template_selected_display_language='Footnote (Taxonomy) Labels'!$H$1,'Footnote (Taxonomy) Labels'!$H93,
template_selected_display_language='Footnote (Taxonomy) Labels'!$I$1,'Footnote (Taxonomy) Labels'!$I93,
template_selected_display_language='Footnote (Taxonomy) Labels'!$J$1,'Footnote (Taxonomy) Labels'!$J93,
template_selected_display_language='Footnote (Taxonomy) Labels'!$K$1,'Footnote (Taxonomy) Labels'!$K93,
template_selected_display_language='Footnote (Taxonomy) Labels'!$L$1,'Footnote (Taxonomy) Labels'!$L93,
template_selected_display_language='Footnote (Taxonomy) Labels'!$M$1,'Footnote (Taxonomy) Labels'!$M93
)</f>
        <v>Employees receive pay equal or above minimum wage determined by national law or collective bargaining agreement</v>
      </c>
      <c r="B93" s="511" t="s">
        <v>10338</v>
      </c>
      <c r="C93" s="504" t="s">
        <v>10339</v>
      </c>
      <c r="D93" s="504" t="s">
        <v>10340</v>
      </c>
      <c r="E93" s="504" t="s">
        <v>10341</v>
      </c>
      <c r="F93" s="504" t="s">
        <v>10342</v>
      </c>
      <c r="G93" s="504" t="s">
        <v>10343</v>
      </c>
      <c r="H93" s="504" t="s">
        <v>10344</v>
      </c>
      <c r="I93" s="504" t="s">
        <v>10345</v>
      </c>
      <c r="J93" s="504" t="s">
        <v>10346</v>
      </c>
      <c r="K93" s="504" t="s">
        <v>10347</v>
      </c>
      <c r="L93" s="504" t="s">
        <v>10348</v>
      </c>
      <c r="M93" s="506" t="s">
        <v>10349</v>
      </c>
    </row>
    <row r="94" spans="1:13" ht="14.4" customHeight="1">
      <c r="A94" s="4" t="str" cm="1">
        <f t="array" ref="A94">_xlfn.IFS(
template_selected_display_language='Footnote (Taxonomy) Labels'!$B$1,'Footnote (Taxonomy) Labels'!$B94,
template_selected_display_language='Footnote (Taxonomy) Labels'!$C$1,'Footnote (Taxonomy) Labels'!$C94,
template_selected_display_language='Footnote (Taxonomy) Labels'!$D$1,'Footnote (Taxonomy) Labels'!$D94,
template_selected_display_language='Footnote (Taxonomy) Labels'!$E$1,'Footnote (Taxonomy) Labels'!$E94,
template_selected_display_language='Footnote (Taxonomy) Labels'!$F$1,'Footnote (Taxonomy) Labels'!$F94,
template_selected_display_language='Footnote (Taxonomy) Labels'!$G$1,'Footnote (Taxonomy) Labels'!$G94,
template_selected_display_language='Footnote (Taxonomy) Labels'!$H$1,'Footnote (Taxonomy) Labels'!$H94,
template_selected_display_language='Footnote (Taxonomy) Labels'!$I$1,'Footnote (Taxonomy) Labels'!$I94,
template_selected_display_language='Footnote (Taxonomy) Labels'!$J$1,'Footnote (Taxonomy) Labels'!$J94,
template_selected_display_language='Footnote (Taxonomy) Labels'!$K$1,'Footnote (Taxonomy) Labels'!$K94,
template_selected_display_language='Footnote (Taxonomy) Labels'!$L$1,'Footnote (Taxonomy) Labels'!$L94,
template_selected_display_language='Footnote (Taxonomy) Labels'!$M$1,'Footnote (Taxonomy) Labels'!$M94
)</f>
        <v>Percentage gap in pay between female and male employees</v>
      </c>
      <c r="B94" s="511" t="s">
        <v>10350</v>
      </c>
      <c r="C94" s="504" t="s">
        <v>10351</v>
      </c>
      <c r="D94" s="504" t="s">
        <v>10352</v>
      </c>
      <c r="E94" s="504" t="s">
        <v>10353</v>
      </c>
      <c r="F94" s="504" t="s">
        <v>7049</v>
      </c>
      <c r="G94" s="504" t="s">
        <v>10354</v>
      </c>
      <c r="H94" s="504" t="s">
        <v>10355</v>
      </c>
      <c r="I94" s="504" t="s">
        <v>10356</v>
      </c>
      <c r="J94" s="504" t="s">
        <v>10357</v>
      </c>
      <c r="K94" s="504" t="s">
        <v>10358</v>
      </c>
      <c r="L94" s="504" t="s">
        <v>10359</v>
      </c>
      <c r="M94" s="506" t="s">
        <v>10360</v>
      </c>
    </row>
    <row r="95" spans="1:13" ht="14.4" customHeight="1">
      <c r="A95" s="4" t="str" cm="1">
        <f t="array" ref="A95">_xlfn.IFS(
template_selected_display_language='Footnote (Taxonomy) Labels'!$B$1,'Footnote (Taxonomy) Labels'!$B95,
template_selected_display_language='Footnote (Taxonomy) Labels'!$C$1,'Footnote (Taxonomy) Labels'!$C95,
template_selected_display_language='Footnote (Taxonomy) Labels'!$D$1,'Footnote (Taxonomy) Labels'!$D95,
template_selected_display_language='Footnote (Taxonomy) Labels'!$E$1,'Footnote (Taxonomy) Labels'!$E95,
template_selected_display_language='Footnote (Taxonomy) Labels'!$F$1,'Footnote (Taxonomy) Labels'!$F95,
template_selected_display_language='Footnote (Taxonomy) Labels'!$G$1,'Footnote (Taxonomy) Labels'!$G95,
template_selected_display_language='Footnote (Taxonomy) Labels'!$H$1,'Footnote (Taxonomy) Labels'!$H95,
template_selected_display_language='Footnote (Taxonomy) Labels'!$I$1,'Footnote (Taxonomy) Labels'!$I95,
template_selected_display_language='Footnote (Taxonomy) Labels'!$J$1,'Footnote (Taxonomy) Labels'!$J95,
template_selected_display_language='Footnote (Taxonomy) Labels'!$K$1,'Footnote (Taxonomy) Labels'!$K95,
template_selected_display_language='Footnote (Taxonomy) Labels'!$L$1,'Footnote (Taxonomy) Labels'!$L95,
template_selected_display_language='Footnote (Taxonomy) Labels'!$M$1,'Footnote (Taxonomy) Labels'!$M95
)</f>
        <v>Percentage of employees covered by collective bargaining agreements</v>
      </c>
      <c r="B95" s="511" t="s">
        <v>10361</v>
      </c>
      <c r="C95" s="504" t="s">
        <v>10362</v>
      </c>
      <c r="D95" s="504" t="s">
        <v>10363</v>
      </c>
      <c r="E95" s="504" t="s">
        <v>10364</v>
      </c>
      <c r="F95" s="504" t="s">
        <v>10365</v>
      </c>
      <c r="G95" s="504" t="s">
        <v>10366</v>
      </c>
      <c r="H95" s="504" t="s">
        <v>10367</v>
      </c>
      <c r="I95" s="504" t="s">
        <v>10368</v>
      </c>
      <c r="J95" s="504" t="s">
        <v>10369</v>
      </c>
      <c r="K95" s="504" t="s">
        <v>10370</v>
      </c>
      <c r="L95" s="504" t="s">
        <v>10371</v>
      </c>
      <c r="M95" s="506" t="s">
        <v>10372</v>
      </c>
    </row>
    <row r="96" spans="1:13" ht="14.4" customHeight="1">
      <c r="A96" s="4" t="str" cm="1">
        <f t="array" ref="A96">_xlfn.IFS(
template_selected_display_language='Footnote (Taxonomy) Labels'!$B$1,'Footnote (Taxonomy) Labels'!$B96,
template_selected_display_language='Footnote (Taxonomy) Labels'!$C$1,'Footnote (Taxonomy) Labels'!$C96,
template_selected_display_language='Footnote (Taxonomy) Labels'!$D$1,'Footnote (Taxonomy) Labels'!$D96,
template_selected_display_language='Footnote (Taxonomy) Labels'!$E$1,'Footnote (Taxonomy) Labels'!$E96,
template_selected_display_language='Footnote (Taxonomy) Labels'!$F$1,'Footnote (Taxonomy) Labels'!$F96,
template_selected_display_language='Footnote (Taxonomy) Labels'!$G$1,'Footnote (Taxonomy) Labels'!$G96,
template_selected_display_language='Footnote (Taxonomy) Labels'!$H$1,'Footnote (Taxonomy) Labels'!$H96,
template_selected_display_language='Footnote (Taxonomy) Labels'!$I$1,'Footnote (Taxonomy) Labels'!$I96,
template_selected_display_language='Footnote (Taxonomy) Labels'!$J$1,'Footnote (Taxonomy) Labels'!$J96,
template_selected_display_language='Footnote (Taxonomy) Labels'!$K$1,'Footnote (Taxonomy) Labels'!$K96,
template_selected_display_language='Footnote (Taxonomy) Labels'!$L$1,'Footnote (Taxonomy) Labels'!$L96,
template_selected_display_language='Footnote (Taxonomy) Labels'!$M$1,'Footnote (Taxonomy) Labels'!$M96
)</f>
        <v>Average number of annual training hours per male employee</v>
      </c>
      <c r="B96" s="511" t="s">
        <v>10373</v>
      </c>
      <c r="C96" s="504" t="s">
        <v>10374</v>
      </c>
      <c r="D96" s="504" t="s">
        <v>10375</v>
      </c>
      <c r="E96" s="504" t="s">
        <v>10376</v>
      </c>
      <c r="F96" s="504" t="s">
        <v>10377</v>
      </c>
      <c r="G96" s="504" t="s">
        <v>10378</v>
      </c>
      <c r="H96" s="504" t="s">
        <v>10379</v>
      </c>
      <c r="I96" s="504" t="s">
        <v>10380</v>
      </c>
      <c r="J96" s="504" t="s">
        <v>10381</v>
      </c>
      <c r="K96" s="504" t="s">
        <v>10382</v>
      </c>
      <c r="L96" s="504" t="s">
        <v>10383</v>
      </c>
      <c r="M96" s="506" t="s">
        <v>10384</v>
      </c>
    </row>
    <row r="97" spans="1:13" ht="14.4" customHeight="1">
      <c r="A97" s="4" t="str" cm="1">
        <f t="array" ref="A97">_xlfn.IFS(
template_selected_display_language='Footnote (Taxonomy) Labels'!$B$1,'Footnote (Taxonomy) Labels'!$B97,
template_selected_display_language='Footnote (Taxonomy) Labels'!$C$1,'Footnote (Taxonomy) Labels'!$C97,
template_selected_display_language='Footnote (Taxonomy) Labels'!$D$1,'Footnote (Taxonomy) Labels'!$D97,
template_selected_display_language='Footnote (Taxonomy) Labels'!$E$1,'Footnote (Taxonomy) Labels'!$E97,
template_selected_display_language='Footnote (Taxonomy) Labels'!$F$1,'Footnote (Taxonomy) Labels'!$F97,
template_selected_display_language='Footnote (Taxonomy) Labels'!$G$1,'Footnote (Taxonomy) Labels'!$G97,
template_selected_display_language='Footnote (Taxonomy) Labels'!$H$1,'Footnote (Taxonomy) Labels'!$H97,
template_selected_display_language='Footnote (Taxonomy) Labels'!$I$1,'Footnote (Taxonomy) Labels'!$I97,
template_selected_display_language='Footnote (Taxonomy) Labels'!$J$1,'Footnote (Taxonomy) Labels'!$J97,
template_selected_display_language='Footnote (Taxonomy) Labels'!$K$1,'Footnote (Taxonomy) Labels'!$K97,
template_selected_display_language='Footnote (Taxonomy) Labels'!$L$1,'Footnote (Taxonomy) Labels'!$L97,
template_selected_display_language='Footnote (Taxonomy) Labels'!$M$1,'Footnote (Taxonomy) Labels'!$M97
)</f>
        <v>Average number of annual training hours per female employee</v>
      </c>
      <c r="B97" s="511" t="s">
        <v>10385</v>
      </c>
      <c r="C97" s="504" t="s">
        <v>10386</v>
      </c>
      <c r="D97" s="504" t="s">
        <v>10387</v>
      </c>
      <c r="E97" s="504" t="s">
        <v>10388</v>
      </c>
      <c r="F97" s="504" t="s">
        <v>10389</v>
      </c>
      <c r="G97" s="504" t="s">
        <v>10390</v>
      </c>
      <c r="H97" s="504" t="s">
        <v>10391</v>
      </c>
      <c r="I97" s="504" t="s">
        <v>10392</v>
      </c>
      <c r="J97" s="504" t="s">
        <v>10393</v>
      </c>
      <c r="K97" s="504" t="s">
        <v>10394</v>
      </c>
      <c r="L97" s="504" t="s">
        <v>10395</v>
      </c>
      <c r="M97" s="506" t="s">
        <v>10396</v>
      </c>
    </row>
    <row r="98" spans="1:13" ht="14.4" customHeight="1">
      <c r="A98" s="4" t="str" cm="1">
        <f t="array" ref="A98">_xlfn.IFS(
template_selected_display_language='Footnote (Taxonomy) Labels'!$B$1,'Footnote (Taxonomy) Labels'!$B98,
template_selected_display_language='Footnote (Taxonomy) Labels'!$C$1,'Footnote (Taxonomy) Labels'!$C98,
template_selected_display_language='Footnote (Taxonomy) Labels'!$D$1,'Footnote (Taxonomy) Labels'!$D98,
template_selected_display_language='Footnote (Taxonomy) Labels'!$E$1,'Footnote (Taxonomy) Labels'!$E98,
template_selected_display_language='Footnote (Taxonomy) Labels'!$F$1,'Footnote (Taxonomy) Labels'!$F98,
template_selected_display_language='Footnote (Taxonomy) Labels'!$G$1,'Footnote (Taxonomy) Labels'!$G98,
template_selected_display_language='Footnote (Taxonomy) Labels'!$H$1,'Footnote (Taxonomy) Labels'!$H98,
template_selected_display_language='Footnote (Taxonomy) Labels'!$I$1,'Footnote (Taxonomy) Labels'!$I98,
template_selected_display_language='Footnote (Taxonomy) Labels'!$J$1,'Footnote (Taxonomy) Labels'!$J98,
template_selected_display_language='Footnote (Taxonomy) Labels'!$K$1,'Footnote (Taxonomy) Labels'!$K98,
template_selected_display_language='Footnote (Taxonomy) Labels'!$L$1,'Footnote (Taxonomy) Labels'!$L98,
template_selected_display_language='Footnote (Taxonomy) Labels'!$M$1,'Footnote (Taxonomy) Labels'!$M98
)</f>
        <v>Average number of annual training hours per other gender employee</v>
      </c>
      <c r="B98" s="511" t="s">
        <v>10397</v>
      </c>
      <c r="C98" s="504" t="s">
        <v>10398</v>
      </c>
      <c r="D98" s="504" t="s">
        <v>10399</v>
      </c>
      <c r="E98" s="504" t="s">
        <v>10400</v>
      </c>
      <c r="F98" s="504" t="s">
        <v>10401</v>
      </c>
      <c r="G98" s="504" t="s">
        <v>10402</v>
      </c>
      <c r="H98" s="504" t="s">
        <v>10403</v>
      </c>
      <c r="I98" s="504" t="s">
        <v>10404</v>
      </c>
      <c r="J98" s="504" t="s">
        <v>10405</v>
      </c>
      <c r="K98" s="504" t="s">
        <v>10406</v>
      </c>
      <c r="L98" s="504" t="s">
        <v>10407</v>
      </c>
      <c r="M98" s="506" t="s">
        <v>10408</v>
      </c>
    </row>
    <row r="99" spans="1:13" ht="14.4" customHeight="1">
      <c r="A99" s="4" t="str" cm="1">
        <f t="array" ref="A99">_xlfn.IFS(
template_selected_display_language='Footnote (Taxonomy) Labels'!$B$1,'Footnote (Taxonomy) Labels'!$B99,
template_selected_display_language='Footnote (Taxonomy) Labels'!$C$1,'Footnote (Taxonomy) Labels'!$C99,
template_selected_display_language='Footnote (Taxonomy) Labels'!$D$1,'Footnote (Taxonomy) Labels'!$D99,
template_selected_display_language='Footnote (Taxonomy) Labels'!$E$1,'Footnote (Taxonomy) Labels'!$E99,
template_selected_display_language='Footnote (Taxonomy) Labels'!$F$1,'Footnote (Taxonomy) Labels'!$F99,
template_selected_display_language='Footnote (Taxonomy) Labels'!$G$1,'Footnote (Taxonomy) Labels'!$G99,
template_selected_display_language='Footnote (Taxonomy) Labels'!$H$1,'Footnote (Taxonomy) Labels'!$H99,
template_selected_display_language='Footnote (Taxonomy) Labels'!$I$1,'Footnote (Taxonomy) Labels'!$I99,
template_selected_display_language='Footnote (Taxonomy) Labels'!$J$1,'Footnote (Taxonomy) Labels'!$J99,
template_selected_display_language='Footnote (Taxonomy) Labels'!$K$1,'Footnote (Taxonomy) Labels'!$K99,
template_selected_display_language='Footnote (Taxonomy) Labels'!$L$1,'Footnote (Taxonomy) Labels'!$L99,
template_selected_display_language='Footnote (Taxonomy) Labels'!$M$1,'Footnote (Taxonomy) Labels'!$M99
)</f>
        <v>Average number of annual training hours per non-reported gender employee</v>
      </c>
      <c r="B99" s="511" t="s">
        <v>10409</v>
      </c>
      <c r="C99" s="504" t="s">
        <v>10410</v>
      </c>
      <c r="D99" s="504" t="s">
        <v>10411</v>
      </c>
      <c r="E99" s="504" t="s">
        <v>10412</v>
      </c>
      <c r="F99" s="504" t="s">
        <v>10413</v>
      </c>
      <c r="G99" s="504" t="s">
        <v>10414</v>
      </c>
      <c r="H99" s="504" t="s">
        <v>10415</v>
      </c>
      <c r="I99" s="504" t="s">
        <v>10416</v>
      </c>
      <c r="J99" s="504" t="s">
        <v>10417</v>
      </c>
      <c r="K99" s="504" t="s">
        <v>10418</v>
      </c>
      <c r="L99" s="504" t="s">
        <v>10419</v>
      </c>
      <c r="M99" s="506" t="s">
        <v>10420</v>
      </c>
    </row>
    <row r="100" spans="1:13" ht="14.4" customHeight="1">
      <c r="A100" s="4" t="str" cm="1">
        <f t="array" ref="A100">_xlfn.IFS(
template_selected_display_language='Footnote (Taxonomy) Labels'!$B$1,'Footnote (Taxonomy) Labels'!$B100,
template_selected_display_language='Footnote (Taxonomy) Labels'!$C$1,'Footnote (Taxonomy) Labels'!$C100,
template_selected_display_language='Footnote (Taxonomy) Labels'!$D$1,'Footnote (Taxonomy) Labels'!$D100,
template_selected_display_language='Footnote (Taxonomy) Labels'!$E$1,'Footnote (Taxonomy) Labels'!$E100,
template_selected_display_language='Footnote (Taxonomy) Labels'!$F$1,'Footnote (Taxonomy) Labels'!$F100,
template_selected_display_language='Footnote (Taxonomy) Labels'!$G$1,'Footnote (Taxonomy) Labels'!$G100,
template_selected_display_language='Footnote (Taxonomy) Labels'!$H$1,'Footnote (Taxonomy) Labels'!$H100,
template_selected_display_language='Footnote (Taxonomy) Labels'!$I$1,'Footnote (Taxonomy) Labels'!$I100,
template_selected_display_language='Footnote (Taxonomy) Labels'!$J$1,'Footnote (Taxonomy) Labels'!$J100,
template_selected_display_language='Footnote (Taxonomy) Labels'!$K$1,'Footnote (Taxonomy) Labels'!$K100,
template_selected_display_language='Footnote (Taxonomy) Labels'!$L$1,'Footnote (Taxonomy) Labels'!$L100,
template_selected_display_language='Footnote (Taxonomy) Labels'!$M$1,'Footnote (Taxonomy) Labels'!$M100
)</f>
        <v>Total number of convictions for the violation of anti-corruption and anti-bribery laws</v>
      </c>
      <c r="B100" s="511" t="s">
        <v>10421</v>
      </c>
      <c r="C100" s="504" t="s">
        <v>10422</v>
      </c>
      <c r="D100" s="504" t="s">
        <v>10423</v>
      </c>
      <c r="E100" s="504" t="s">
        <v>7502</v>
      </c>
      <c r="F100" s="504" t="s">
        <v>7503</v>
      </c>
      <c r="G100" s="504" t="s">
        <v>10424</v>
      </c>
      <c r="H100" s="504" t="s">
        <v>10425</v>
      </c>
      <c r="I100" s="504" t="s">
        <v>10426</v>
      </c>
      <c r="J100" s="504" t="s">
        <v>10427</v>
      </c>
      <c r="K100" s="504" t="s">
        <v>7510</v>
      </c>
      <c r="L100" s="504" t="s">
        <v>10428</v>
      </c>
      <c r="M100" s="506" t="s">
        <v>7508</v>
      </c>
    </row>
    <row r="101" spans="1:13" ht="14.4" customHeight="1">
      <c r="A101" s="4" t="str" cm="1">
        <f t="array" ref="A101">_xlfn.IFS(
template_selected_display_language='Footnote (Taxonomy) Labels'!$B$1,'Footnote (Taxonomy) Labels'!$B101,
template_selected_display_language='Footnote (Taxonomy) Labels'!$C$1,'Footnote (Taxonomy) Labels'!$C101,
template_selected_display_language='Footnote (Taxonomy) Labels'!$D$1,'Footnote (Taxonomy) Labels'!$D101,
template_selected_display_language='Footnote (Taxonomy) Labels'!$E$1,'Footnote (Taxonomy) Labels'!$E101,
template_selected_display_language='Footnote (Taxonomy) Labels'!$F$1,'Footnote (Taxonomy) Labels'!$F101,
template_selected_display_language='Footnote (Taxonomy) Labels'!$G$1,'Footnote (Taxonomy) Labels'!$G101,
template_selected_display_language='Footnote (Taxonomy) Labels'!$H$1,'Footnote (Taxonomy) Labels'!$H101,
template_selected_display_language='Footnote (Taxonomy) Labels'!$I$1,'Footnote (Taxonomy) Labels'!$I101,
template_selected_display_language='Footnote (Taxonomy) Labels'!$J$1,'Footnote (Taxonomy) Labels'!$J101,
template_selected_display_language='Footnote (Taxonomy) Labels'!$K$1,'Footnote (Taxonomy) Labels'!$K101,
template_selected_display_language='Footnote (Taxonomy) Labels'!$L$1,'Footnote (Taxonomy) Labels'!$L101,
template_selected_display_language='Footnote (Taxonomy) Labels'!$M$1,'Footnote (Taxonomy) Labels'!$M101
)</f>
        <v>Total amount of fines for the violation of anticorruption and antibribery laws</v>
      </c>
      <c r="B101" s="511" t="s">
        <v>10429</v>
      </c>
      <c r="C101" s="504" t="s">
        <v>7513</v>
      </c>
      <c r="D101" s="504" t="s">
        <v>10430</v>
      </c>
      <c r="E101" s="504" t="s">
        <v>7515</v>
      </c>
      <c r="F101" s="504" t="s">
        <v>7516</v>
      </c>
      <c r="G101" s="504" t="s">
        <v>10431</v>
      </c>
      <c r="H101" s="504" t="s">
        <v>10432</v>
      </c>
      <c r="I101" s="504" t="s">
        <v>10433</v>
      </c>
      <c r="J101" s="504" t="s">
        <v>7520</v>
      </c>
      <c r="K101" s="504" t="s">
        <v>10434</v>
      </c>
      <c r="L101" s="504" t="s">
        <v>10435</v>
      </c>
      <c r="M101" s="506" t="s">
        <v>10436</v>
      </c>
    </row>
    <row r="102" spans="1:13" ht="14.4" customHeight="1">
      <c r="A102" s="4" t="str" cm="1">
        <f t="array" ref="A102">_xlfn.IFS(
template_selected_display_language='Footnote (Taxonomy) Labels'!$B$1,'Footnote (Taxonomy) Labels'!$B102,
template_selected_display_language='Footnote (Taxonomy) Labels'!$C$1,'Footnote (Taxonomy) Labels'!$C102,
template_selected_display_language='Footnote (Taxonomy) Labels'!$D$1,'Footnote (Taxonomy) Labels'!$D102,
template_selected_display_language='Footnote (Taxonomy) Labels'!$E$1,'Footnote (Taxonomy) Labels'!$E102,
template_selected_display_language='Footnote (Taxonomy) Labels'!$F$1,'Footnote (Taxonomy) Labels'!$F102,
template_selected_display_language='Footnote (Taxonomy) Labels'!$G$1,'Footnote (Taxonomy) Labels'!$G102,
template_selected_display_language='Footnote (Taxonomy) Labels'!$H$1,'Footnote (Taxonomy) Labels'!$H102,
template_selected_display_language='Footnote (Taxonomy) Labels'!$I$1,'Footnote (Taxonomy) Labels'!$I102,
template_selected_display_language='Footnote (Taxonomy) Labels'!$J$1,'Footnote (Taxonomy) Labels'!$J102,
template_selected_display_language='Footnote (Taxonomy) Labels'!$K$1,'Footnote (Taxonomy) Labels'!$K102,
template_selected_display_language='Footnote (Taxonomy) Labels'!$L$1,'Footnote (Taxonomy) Labels'!$L102,
template_selected_display_language='Footnote (Taxonomy) Labels'!$M$1,'Footnote (Taxonomy) Labels'!$M102
)</f>
        <v>Description of significant groups of products and/or services offered</v>
      </c>
      <c r="B102" s="511" t="s">
        <v>10437</v>
      </c>
      <c r="C102" s="504" t="s">
        <v>10438</v>
      </c>
      <c r="D102" s="504" t="s">
        <v>5289</v>
      </c>
      <c r="E102" s="504" t="s">
        <v>5290</v>
      </c>
      <c r="F102" s="504" t="s">
        <v>5291</v>
      </c>
      <c r="G102" s="504" t="s">
        <v>10439</v>
      </c>
      <c r="H102" s="504" t="s">
        <v>5293</v>
      </c>
      <c r="I102" s="504" t="s">
        <v>10440</v>
      </c>
      <c r="J102" s="504" t="s">
        <v>5295</v>
      </c>
      <c r="K102" s="504" t="s">
        <v>10441</v>
      </c>
      <c r="L102" s="504" t="s">
        <v>10442</v>
      </c>
      <c r="M102" s="506" t="s">
        <v>5296</v>
      </c>
    </row>
    <row r="103" spans="1:13" ht="14.4" customHeight="1">
      <c r="A103" s="4" t="str" cm="1">
        <f t="array" ref="A103">_xlfn.IFS(
template_selected_display_language='Footnote (Taxonomy) Labels'!$B$1,'Footnote (Taxonomy) Labels'!$B103,
template_selected_display_language='Footnote (Taxonomy) Labels'!$C$1,'Footnote (Taxonomy) Labels'!$C103,
template_selected_display_language='Footnote (Taxonomy) Labels'!$D$1,'Footnote (Taxonomy) Labels'!$D103,
template_selected_display_language='Footnote (Taxonomy) Labels'!$E$1,'Footnote (Taxonomy) Labels'!$E103,
template_selected_display_language='Footnote (Taxonomy) Labels'!$F$1,'Footnote (Taxonomy) Labels'!$F103,
template_selected_display_language='Footnote (Taxonomy) Labels'!$G$1,'Footnote (Taxonomy) Labels'!$G103,
template_selected_display_language='Footnote (Taxonomy) Labels'!$H$1,'Footnote (Taxonomy) Labels'!$H103,
template_selected_display_language='Footnote (Taxonomy) Labels'!$I$1,'Footnote (Taxonomy) Labels'!$I103,
template_selected_display_language='Footnote (Taxonomy) Labels'!$J$1,'Footnote (Taxonomy) Labels'!$J103,
template_selected_display_language='Footnote (Taxonomy) Labels'!$K$1,'Footnote (Taxonomy) Labels'!$K103,
template_selected_display_language='Footnote (Taxonomy) Labels'!$L$1,'Footnote (Taxonomy) Labels'!$L103,
template_selected_display_language='Footnote (Taxonomy) Labels'!$M$1,'Footnote (Taxonomy) Labels'!$M103
)</f>
        <v>Description of significant market(s) the undertaking operates in</v>
      </c>
      <c r="B103" s="511" t="s">
        <v>10443</v>
      </c>
      <c r="C103" s="504" t="s">
        <v>10444</v>
      </c>
      <c r="D103" s="504" t="s">
        <v>10445</v>
      </c>
      <c r="E103" s="504" t="s">
        <v>10446</v>
      </c>
      <c r="F103" s="504" t="s">
        <v>10447</v>
      </c>
      <c r="G103" s="504" t="s">
        <v>10448</v>
      </c>
      <c r="H103" s="504" t="s">
        <v>10449</v>
      </c>
      <c r="I103" s="504" t="s">
        <v>10450</v>
      </c>
      <c r="J103" s="504" t="s">
        <v>10451</v>
      </c>
      <c r="K103" s="504" t="s">
        <v>10452</v>
      </c>
      <c r="L103" s="504" t="s">
        <v>10453</v>
      </c>
      <c r="M103" s="506" t="s">
        <v>10454</v>
      </c>
    </row>
    <row r="104" spans="1:13" ht="14.4" customHeight="1">
      <c r="A104" s="4" t="str" cm="1">
        <f t="array" ref="A104">_xlfn.IFS(
template_selected_display_language='Footnote (Taxonomy) Labels'!$B$1,'Footnote (Taxonomy) Labels'!$B104,
template_selected_display_language='Footnote (Taxonomy) Labels'!$C$1,'Footnote (Taxonomy) Labels'!$C104,
template_selected_display_language='Footnote (Taxonomy) Labels'!$D$1,'Footnote (Taxonomy) Labels'!$D104,
template_selected_display_language='Footnote (Taxonomy) Labels'!$E$1,'Footnote (Taxonomy) Labels'!$E104,
template_selected_display_language='Footnote (Taxonomy) Labels'!$F$1,'Footnote (Taxonomy) Labels'!$F104,
template_selected_display_language='Footnote (Taxonomy) Labels'!$G$1,'Footnote (Taxonomy) Labels'!$G104,
template_selected_display_language='Footnote (Taxonomy) Labels'!$H$1,'Footnote (Taxonomy) Labels'!$H104,
template_selected_display_language='Footnote (Taxonomy) Labels'!$I$1,'Footnote (Taxonomy) Labels'!$I104,
template_selected_display_language='Footnote (Taxonomy) Labels'!$J$1,'Footnote (Taxonomy) Labels'!$J104,
template_selected_display_language='Footnote (Taxonomy) Labels'!$K$1,'Footnote (Taxonomy) Labels'!$K104,
template_selected_display_language='Footnote (Taxonomy) Labels'!$L$1,'Footnote (Taxonomy) Labels'!$L104,
template_selected_display_language='Footnote (Taxonomy) Labels'!$M$1,'Footnote (Taxonomy) Labels'!$M104
)</f>
        <v>Description of main business relationships (e.g. key suppliers, customers distribution channels)</v>
      </c>
      <c r="B104" s="511" t="s">
        <v>10455</v>
      </c>
      <c r="C104" s="504" t="s">
        <v>5314</v>
      </c>
      <c r="D104" s="504" t="s">
        <v>10456</v>
      </c>
      <c r="E104" s="504" t="s">
        <v>10457</v>
      </c>
      <c r="F104" s="504" t="s">
        <v>10458</v>
      </c>
      <c r="G104" s="504" t="s">
        <v>5318</v>
      </c>
      <c r="H104" s="504" t="s">
        <v>5319</v>
      </c>
      <c r="I104" s="504" t="s">
        <v>10459</v>
      </c>
      <c r="J104" s="504" t="s">
        <v>5321</v>
      </c>
      <c r="K104" s="504" t="s">
        <v>10460</v>
      </c>
      <c r="L104" s="504" t="s">
        <v>10461</v>
      </c>
      <c r="M104" s="506" t="s">
        <v>5322</v>
      </c>
    </row>
    <row r="105" spans="1:13" ht="14.4" customHeight="1">
      <c r="A105" s="4" t="str" cm="1">
        <f t="array" ref="A105">_xlfn.IFS(
template_selected_display_language='Footnote (Taxonomy) Labels'!$B$1,'Footnote (Taxonomy) Labels'!$B105,
template_selected_display_language='Footnote (Taxonomy) Labels'!$C$1,'Footnote (Taxonomy) Labels'!$C105,
template_selected_display_language='Footnote (Taxonomy) Labels'!$D$1,'Footnote (Taxonomy) Labels'!$D105,
template_selected_display_language='Footnote (Taxonomy) Labels'!$E$1,'Footnote (Taxonomy) Labels'!$E105,
template_selected_display_language='Footnote (Taxonomy) Labels'!$F$1,'Footnote (Taxonomy) Labels'!$F105,
template_selected_display_language='Footnote (Taxonomy) Labels'!$G$1,'Footnote (Taxonomy) Labels'!$G105,
template_selected_display_language='Footnote (Taxonomy) Labels'!$H$1,'Footnote (Taxonomy) Labels'!$H105,
template_selected_display_language='Footnote (Taxonomy) Labels'!$I$1,'Footnote (Taxonomy) Labels'!$I105,
template_selected_display_language='Footnote (Taxonomy) Labels'!$J$1,'Footnote (Taxonomy) Labels'!$J105,
template_selected_display_language='Footnote (Taxonomy) Labels'!$K$1,'Footnote (Taxonomy) Labels'!$K105,
template_selected_display_language='Footnote (Taxonomy) Labels'!$L$1,'Footnote (Taxonomy) Labels'!$L105,
template_selected_display_language='Footnote (Taxonomy) Labels'!$M$1,'Footnote (Taxonomy) Labels'!$M105
)</f>
        <v>Description of key elements of strategy that relates to or affects sustainability issues</v>
      </c>
      <c r="B105" s="511" t="s">
        <v>10462</v>
      </c>
      <c r="C105" s="504" t="s">
        <v>5333</v>
      </c>
      <c r="D105" s="504" t="s">
        <v>10463</v>
      </c>
      <c r="E105" s="504" t="s">
        <v>5335</v>
      </c>
      <c r="F105" s="504" t="s">
        <v>5336</v>
      </c>
      <c r="G105" s="504" t="s">
        <v>10464</v>
      </c>
      <c r="H105" s="504" t="s">
        <v>10465</v>
      </c>
      <c r="I105" s="504" t="s">
        <v>10466</v>
      </c>
      <c r="J105" s="504" t="s">
        <v>10467</v>
      </c>
      <c r="K105" s="504" t="s">
        <v>10468</v>
      </c>
      <c r="L105" s="504" t="s">
        <v>10469</v>
      </c>
      <c r="M105" s="506" t="s">
        <v>10470</v>
      </c>
    </row>
    <row r="106" spans="1:13" ht="14.4" customHeight="1">
      <c r="A106" s="4" t="str" cm="1">
        <f t="array" ref="A106">_xlfn.IFS(
template_selected_display_language='Footnote (Taxonomy) Labels'!$B$1,'Footnote (Taxonomy) Labels'!$B106,
template_selected_display_language='Footnote (Taxonomy) Labels'!$C$1,'Footnote (Taxonomy) Labels'!$C106,
template_selected_display_language='Footnote (Taxonomy) Labels'!$D$1,'Footnote (Taxonomy) Labels'!$D106,
template_selected_display_language='Footnote (Taxonomy) Labels'!$E$1,'Footnote (Taxonomy) Labels'!$E106,
template_selected_display_language='Footnote (Taxonomy) Labels'!$F$1,'Footnote (Taxonomy) Labels'!$F106,
template_selected_display_language='Footnote (Taxonomy) Labels'!$G$1,'Footnote (Taxonomy) Labels'!$G106,
template_selected_display_language='Footnote (Taxonomy) Labels'!$H$1,'Footnote (Taxonomy) Labels'!$H106,
template_selected_display_language='Footnote (Taxonomy) Labels'!$I$1,'Footnote (Taxonomy) Labels'!$I106,
template_selected_display_language='Footnote (Taxonomy) Labels'!$J$1,'Footnote (Taxonomy) Labels'!$J106,
template_selected_display_language='Footnote (Taxonomy) Labels'!$K$1,'Footnote (Taxonomy) Labels'!$K106,
template_selected_display_language='Footnote (Taxonomy) Labels'!$L$1,'Footnote (Taxonomy) Labels'!$L106,
template_selected_display_language='Footnote (Taxonomy) Labels'!$M$1,'Footnote (Taxonomy) Labels'!$M106
)</f>
        <v>Description of practices, policies and/or future initiatives</v>
      </c>
      <c r="B106" s="511" t="s">
        <v>10471</v>
      </c>
      <c r="C106" s="504" t="s">
        <v>10472</v>
      </c>
      <c r="D106" s="504" t="s">
        <v>10473</v>
      </c>
      <c r="E106" s="504" t="s">
        <v>10474</v>
      </c>
      <c r="F106" s="504" t="s">
        <v>10475</v>
      </c>
      <c r="G106" s="504" t="s">
        <v>10476</v>
      </c>
      <c r="H106" s="504" t="s">
        <v>10477</v>
      </c>
      <c r="I106" s="504" t="s">
        <v>10478</v>
      </c>
      <c r="J106" s="504" t="s">
        <v>10479</v>
      </c>
      <c r="K106" s="504" t="s">
        <v>10480</v>
      </c>
      <c r="L106" s="504" t="s">
        <v>10481</v>
      </c>
      <c r="M106" s="506" t="s">
        <v>10482</v>
      </c>
    </row>
    <row r="107" spans="1:13" ht="14.4" customHeight="1">
      <c r="A107" s="4" t="str" cm="1">
        <f t="array" ref="A107">_xlfn.IFS(
template_selected_display_language='Footnote (Taxonomy) Labels'!$B$1,'Footnote (Taxonomy) Labels'!$B107,
template_selected_display_language='Footnote (Taxonomy) Labels'!$C$1,'Footnote (Taxonomy) Labels'!$C107,
template_selected_display_language='Footnote (Taxonomy) Labels'!$D$1,'Footnote (Taxonomy) Labels'!$D107,
template_selected_display_language='Footnote (Taxonomy) Labels'!$E$1,'Footnote (Taxonomy) Labels'!$E107,
template_selected_display_language='Footnote (Taxonomy) Labels'!$F$1,'Footnote (Taxonomy) Labels'!$F107,
template_selected_display_language='Footnote (Taxonomy) Labels'!$G$1,'Footnote (Taxonomy) Labels'!$G107,
template_selected_display_language='Footnote (Taxonomy) Labels'!$H$1,'Footnote (Taxonomy) Labels'!$H107,
template_selected_display_language='Footnote (Taxonomy) Labels'!$I$1,'Footnote (Taxonomy) Labels'!$I107,
template_selected_display_language='Footnote (Taxonomy) Labels'!$J$1,'Footnote (Taxonomy) Labels'!$J107,
template_selected_display_language='Footnote (Taxonomy) Labels'!$K$1,'Footnote (Taxonomy) Labels'!$K107,
template_selected_display_language='Footnote (Taxonomy) Labels'!$L$1,'Footnote (Taxonomy) Labels'!$L107,
template_selected_display_language='Footnote (Taxonomy) Labels'!$M$1,'Footnote (Taxonomy) Labels'!$M107
)</f>
        <v>Most senior level within its employees that is accountable for policies</v>
      </c>
      <c r="B107" s="511" t="s">
        <v>10483</v>
      </c>
      <c r="C107" s="504" t="s">
        <v>10484</v>
      </c>
      <c r="D107" s="504" t="s">
        <v>10485</v>
      </c>
      <c r="E107" s="504" t="s">
        <v>10486</v>
      </c>
      <c r="F107" s="504" t="s">
        <v>10487</v>
      </c>
      <c r="G107" s="504" t="s">
        <v>10488</v>
      </c>
      <c r="H107" s="504" t="s">
        <v>10489</v>
      </c>
      <c r="I107" s="504" t="s">
        <v>10490</v>
      </c>
      <c r="J107" s="504" t="s">
        <v>10491</v>
      </c>
      <c r="K107" s="504" t="s">
        <v>10492</v>
      </c>
      <c r="L107" s="504" t="s">
        <v>10493</v>
      </c>
      <c r="M107" s="506" t="s">
        <v>10494</v>
      </c>
    </row>
    <row r="108" spans="1:13" ht="14.4" customHeight="1">
      <c r="A108" s="4" t="str" cm="1">
        <f t="array" ref="A108">_xlfn.IFS(
template_selected_display_language='Footnote (Taxonomy) Labels'!$B$1,'Footnote (Taxonomy) Labels'!$B108,
template_selected_display_language='Footnote (Taxonomy) Labels'!$C$1,'Footnote (Taxonomy) Labels'!$C108,
template_selected_display_language='Footnote (Taxonomy) Labels'!$D$1,'Footnote (Taxonomy) Labels'!$D108,
template_selected_display_language='Footnote (Taxonomy) Labels'!$E$1,'Footnote (Taxonomy) Labels'!$E108,
template_selected_display_language='Footnote (Taxonomy) Labels'!$F$1,'Footnote (Taxonomy) Labels'!$F108,
template_selected_display_language='Footnote (Taxonomy) Labels'!$G$1,'Footnote (Taxonomy) Labels'!$G108,
template_selected_display_language='Footnote (Taxonomy) Labels'!$H$1,'Footnote (Taxonomy) Labels'!$H108,
template_selected_display_language='Footnote (Taxonomy) Labels'!$I$1,'Footnote (Taxonomy) Labels'!$I108,
template_selected_display_language='Footnote (Taxonomy) Labels'!$J$1,'Footnote (Taxonomy) Labels'!$J108,
template_selected_display_language='Footnote (Taxonomy) Labels'!$K$1,'Footnote (Taxonomy) Labels'!$K108,
template_selected_display_language='Footnote (Taxonomy) Labels'!$L$1,'Footnote (Taxonomy) Labels'!$L108,
template_selected_display_language='Footnote (Taxonomy) Labels'!$M$1,'Footnote (Taxonomy) Labels'!$M108
)</f>
        <v>Description of the target of practices, policies or future initiatives</v>
      </c>
      <c r="B108" s="511" t="s">
        <v>10495</v>
      </c>
      <c r="C108" s="504" t="s">
        <v>10496</v>
      </c>
      <c r="D108" s="504" t="s">
        <v>10497</v>
      </c>
      <c r="E108" s="504" t="s">
        <v>10498</v>
      </c>
      <c r="F108" s="504" t="s">
        <v>10499</v>
      </c>
      <c r="G108" s="504" t="s">
        <v>10500</v>
      </c>
      <c r="H108" s="504" t="s">
        <v>10501</v>
      </c>
      <c r="I108" s="504" t="s">
        <v>10502</v>
      </c>
      <c r="J108" s="504" t="s">
        <v>10503</v>
      </c>
      <c r="K108" s="504" t="s">
        <v>10504</v>
      </c>
      <c r="L108" s="504" t="s">
        <v>10505</v>
      </c>
      <c r="M108" s="506" t="s">
        <v>10506</v>
      </c>
    </row>
    <row r="109" spans="1:13" ht="14.4" customHeight="1">
      <c r="A109" s="4" t="str" cm="1">
        <f t="array" ref="A109">_xlfn.IFS(
template_selected_display_language='Footnote (Taxonomy) Labels'!$B$1,'Footnote (Taxonomy) Labels'!$B109,
template_selected_display_language='Footnote (Taxonomy) Labels'!$C$1,'Footnote (Taxonomy) Labels'!$C109,
template_selected_display_language='Footnote (Taxonomy) Labels'!$D$1,'Footnote (Taxonomy) Labels'!$D109,
template_selected_display_language='Footnote (Taxonomy) Labels'!$E$1,'Footnote (Taxonomy) Labels'!$E109,
template_selected_display_language='Footnote (Taxonomy) Labels'!$F$1,'Footnote (Taxonomy) Labels'!$F109,
template_selected_display_language='Footnote (Taxonomy) Labels'!$G$1,'Footnote (Taxonomy) Labels'!$G109,
template_selected_display_language='Footnote (Taxonomy) Labels'!$H$1,'Footnote (Taxonomy) Labels'!$H109,
template_selected_display_language='Footnote (Taxonomy) Labels'!$I$1,'Footnote (Taxonomy) Labels'!$I109,
template_selected_display_language='Footnote (Taxonomy) Labels'!$J$1,'Footnote (Taxonomy) Labels'!$J109,
template_selected_display_language='Footnote (Taxonomy) Labels'!$K$1,'Footnote (Taxonomy) Labels'!$K109,
template_selected_display_language='Footnote (Taxonomy) Labels'!$L$1,'Footnote (Taxonomy) Labels'!$L109,
template_selected_display_language='Footnote (Taxonomy) Labels'!$M$1,'Footnote (Taxonomy) Labels'!$M109
)</f>
        <v>Greenhouse gas emission reduction target base year</v>
      </c>
      <c r="B109" s="511" t="s">
        <v>10507</v>
      </c>
      <c r="C109" s="504" t="s">
        <v>10508</v>
      </c>
      <c r="D109" s="504" t="s">
        <v>10509</v>
      </c>
      <c r="E109" s="504" t="s">
        <v>10510</v>
      </c>
      <c r="F109" s="504" t="s">
        <v>10511</v>
      </c>
      <c r="G109" s="504" t="s">
        <v>10512</v>
      </c>
      <c r="H109" s="504" t="s">
        <v>10513</v>
      </c>
      <c r="I109" s="504" t="s">
        <v>10514</v>
      </c>
      <c r="J109" s="504" t="s">
        <v>10515</v>
      </c>
      <c r="K109" s="504" t="s">
        <v>10516</v>
      </c>
      <c r="L109" s="504" t="s">
        <v>10517</v>
      </c>
      <c r="M109" s="506" t="s">
        <v>10518</v>
      </c>
    </row>
    <row r="110" spans="1:13" ht="14.4" customHeight="1">
      <c r="A110" s="4" t="str" cm="1">
        <f t="array" ref="A110">_xlfn.IFS(
template_selected_display_language='Footnote (Taxonomy) Labels'!$B$1,'Footnote (Taxonomy) Labels'!$B110,
template_selected_display_language='Footnote (Taxonomy) Labels'!$C$1,'Footnote (Taxonomy) Labels'!$C110,
template_selected_display_language='Footnote (Taxonomy) Labels'!$D$1,'Footnote (Taxonomy) Labels'!$D110,
template_selected_display_language='Footnote (Taxonomy) Labels'!$E$1,'Footnote (Taxonomy) Labels'!$E110,
template_selected_display_language='Footnote (Taxonomy) Labels'!$F$1,'Footnote (Taxonomy) Labels'!$F110,
template_selected_display_language='Footnote (Taxonomy) Labels'!$G$1,'Footnote (Taxonomy) Labels'!$G110,
template_selected_display_language='Footnote (Taxonomy) Labels'!$H$1,'Footnote (Taxonomy) Labels'!$H110,
template_selected_display_language='Footnote (Taxonomy) Labels'!$I$1,'Footnote (Taxonomy) Labels'!$I110,
template_selected_display_language='Footnote (Taxonomy) Labels'!$J$1,'Footnote (Taxonomy) Labels'!$J110,
template_selected_display_language='Footnote (Taxonomy) Labels'!$K$1,'Footnote (Taxonomy) Labels'!$K110,
template_selected_display_language='Footnote (Taxonomy) Labels'!$L$1,'Footnote (Taxonomy) Labels'!$L110,
template_selected_display_language='Footnote (Taxonomy) Labels'!$M$1,'Footnote (Taxonomy) Labels'!$M110
)</f>
        <v>Greenhouse gas emission reduction target year</v>
      </c>
      <c r="B110" s="511" t="s">
        <v>10519</v>
      </c>
      <c r="C110" s="504" t="s">
        <v>10520</v>
      </c>
      <c r="D110" s="504" t="s">
        <v>10521</v>
      </c>
      <c r="E110" s="504" t="s">
        <v>10522</v>
      </c>
      <c r="F110" s="504" t="s">
        <v>10523</v>
      </c>
      <c r="G110" s="504" t="s">
        <v>10524</v>
      </c>
      <c r="H110" s="504" t="s">
        <v>10525</v>
      </c>
      <c r="I110" s="504" t="s">
        <v>10526</v>
      </c>
      <c r="J110" s="504" t="s">
        <v>10527</v>
      </c>
      <c r="K110" s="504" t="s">
        <v>10528</v>
      </c>
      <c r="L110" s="504" t="s">
        <v>10529</v>
      </c>
      <c r="M110" s="506" t="s">
        <v>10530</v>
      </c>
    </row>
    <row r="111" spans="1:13" ht="14.4" customHeight="1">
      <c r="A111" s="4" t="str" cm="1">
        <f t="array" ref="A111">_xlfn.IFS(
template_selected_display_language='Footnote (Taxonomy) Labels'!$B$1,'Footnote (Taxonomy) Labels'!$B111,
template_selected_display_language='Footnote (Taxonomy) Labels'!$C$1,'Footnote (Taxonomy) Labels'!$C111,
template_selected_display_language='Footnote (Taxonomy) Labels'!$D$1,'Footnote (Taxonomy) Labels'!$D111,
template_selected_display_language='Footnote (Taxonomy) Labels'!$E$1,'Footnote (Taxonomy) Labels'!$E111,
template_selected_display_language='Footnote (Taxonomy) Labels'!$F$1,'Footnote (Taxonomy) Labels'!$F111,
template_selected_display_language='Footnote (Taxonomy) Labels'!$G$1,'Footnote (Taxonomy) Labels'!$G111,
template_selected_display_language='Footnote (Taxonomy) Labels'!$H$1,'Footnote (Taxonomy) Labels'!$H111,
template_selected_display_language='Footnote (Taxonomy) Labels'!$I$1,'Footnote (Taxonomy) Labels'!$I111,
template_selected_display_language='Footnote (Taxonomy) Labels'!$J$1,'Footnote (Taxonomy) Labels'!$J111,
template_selected_display_language='Footnote (Taxonomy) Labels'!$K$1,'Footnote (Taxonomy) Labels'!$K111,
template_selected_display_language='Footnote (Taxonomy) Labels'!$L$1,'Footnote (Taxonomy) Labels'!$L111,
template_selected_display_language='Footnote (Taxonomy) Labels'!$M$1,'Footnote (Taxonomy) Labels'!$M111
)</f>
        <v>Disclosure of list of main actions the entity seeks in order to achieve its targets</v>
      </c>
      <c r="B111" s="511" t="s">
        <v>10531</v>
      </c>
      <c r="C111" s="504" t="s">
        <v>10532</v>
      </c>
      <c r="D111" s="504" t="s">
        <v>10533</v>
      </c>
      <c r="E111" s="504" t="s">
        <v>10534</v>
      </c>
      <c r="F111" s="504" t="s">
        <v>10535</v>
      </c>
      <c r="G111" s="504" t="s">
        <v>10536</v>
      </c>
      <c r="H111" s="504" t="s">
        <v>10537</v>
      </c>
      <c r="I111" s="504" t="s">
        <v>10538</v>
      </c>
      <c r="J111" s="504" t="s">
        <v>10539</v>
      </c>
      <c r="K111" s="504" t="s">
        <v>10540</v>
      </c>
      <c r="L111" s="504" t="s">
        <v>10541</v>
      </c>
      <c r="M111" s="506" t="s">
        <v>10542</v>
      </c>
    </row>
    <row r="112" spans="1:13" ht="14.4" customHeight="1">
      <c r="A112" s="4" t="str" cm="1">
        <f t="array" ref="A112">_xlfn.IFS(
template_selected_display_language='Footnote (Taxonomy) Labels'!$B$1,'Footnote (Taxonomy) Labels'!$B112,
template_selected_display_language='Footnote (Taxonomy) Labels'!$C$1,'Footnote (Taxonomy) Labels'!$C112,
template_selected_display_language='Footnote (Taxonomy) Labels'!$D$1,'Footnote (Taxonomy) Labels'!$D112,
template_selected_display_language='Footnote (Taxonomy) Labels'!$E$1,'Footnote (Taxonomy) Labels'!$E112,
template_selected_display_language='Footnote (Taxonomy) Labels'!$F$1,'Footnote (Taxonomy) Labels'!$F112,
template_selected_display_language='Footnote (Taxonomy) Labels'!$G$1,'Footnote (Taxonomy) Labels'!$G112,
template_selected_display_language='Footnote (Taxonomy) Labels'!$H$1,'Footnote (Taxonomy) Labels'!$H112,
template_selected_display_language='Footnote (Taxonomy) Labels'!$I$1,'Footnote (Taxonomy) Labels'!$I112,
template_selected_display_language='Footnote (Taxonomy) Labels'!$J$1,'Footnote (Taxonomy) Labels'!$J112,
template_selected_display_language='Footnote (Taxonomy) Labels'!$K$1,'Footnote (Taxonomy) Labels'!$K112,
template_selected_display_language='Footnote (Taxonomy) Labels'!$L$1,'Footnote (Taxonomy) Labels'!$L112,
template_selected_display_language='Footnote (Taxonomy) Labels'!$M$1,'Footnote (Taxonomy) Labels'!$M112
)</f>
        <v>Description of a transition plan for climate change mitigation, including an explanation of how it is contributing to reduce GHG emissions</v>
      </c>
      <c r="B112" s="511" t="s">
        <v>10543</v>
      </c>
      <c r="C112" s="504" t="s">
        <v>10544</v>
      </c>
      <c r="D112" s="504" t="s">
        <v>10545</v>
      </c>
      <c r="E112" s="504" t="s">
        <v>10546</v>
      </c>
      <c r="F112" s="504" t="s">
        <v>5942</v>
      </c>
      <c r="G112" s="504" t="s">
        <v>10547</v>
      </c>
      <c r="H112" s="504" t="s">
        <v>10548</v>
      </c>
      <c r="I112" s="504" t="s">
        <v>10549</v>
      </c>
      <c r="J112" s="504" t="s">
        <v>10550</v>
      </c>
      <c r="K112" s="504" t="s">
        <v>10551</v>
      </c>
      <c r="L112" s="504" t="s">
        <v>10552</v>
      </c>
      <c r="M112" s="506" t="s">
        <v>10553</v>
      </c>
    </row>
    <row r="113" spans="1:13" ht="14.4" customHeight="1">
      <c r="A113" s="4" t="str" cm="1">
        <f t="array" ref="A113">_xlfn.IFS(
template_selected_display_language='Footnote (Taxonomy) Labels'!$B$1,'Footnote (Taxonomy) Labels'!$B113,
template_selected_display_language='Footnote (Taxonomy) Labels'!$C$1,'Footnote (Taxonomy) Labels'!$C113,
template_selected_display_language='Footnote (Taxonomy) Labels'!$D$1,'Footnote (Taxonomy) Labels'!$D113,
template_selected_display_language='Footnote (Taxonomy) Labels'!$E$1,'Footnote (Taxonomy) Labels'!$E113,
template_selected_display_language='Footnote (Taxonomy) Labels'!$F$1,'Footnote (Taxonomy) Labels'!$F113,
template_selected_display_language='Footnote (Taxonomy) Labels'!$G$1,'Footnote (Taxonomy) Labels'!$G113,
template_selected_display_language='Footnote (Taxonomy) Labels'!$H$1,'Footnote (Taxonomy) Labels'!$H113,
template_selected_display_language='Footnote (Taxonomy) Labels'!$I$1,'Footnote (Taxonomy) Labels'!$I113,
template_selected_display_language='Footnote (Taxonomy) Labels'!$J$1,'Footnote (Taxonomy) Labels'!$J113,
template_selected_display_language='Footnote (Taxonomy) Labels'!$K$1,'Footnote (Taxonomy) Labels'!$K113,
template_selected_display_language='Footnote (Taxonomy) Labels'!$L$1,'Footnote (Taxonomy) Labels'!$L113,
template_selected_display_language='Footnote (Taxonomy) Labels'!$M$1,'Footnote (Taxonomy) Labels'!$M113
)</f>
        <v>Date of adoption of transition plan for undertaking not having adopted transition plan yet</v>
      </c>
      <c r="B113" s="511" t="s">
        <v>10554</v>
      </c>
      <c r="C113" s="504" t="s">
        <v>10555</v>
      </c>
      <c r="D113" s="504" t="s">
        <v>10556</v>
      </c>
      <c r="E113" s="504" t="s">
        <v>10557</v>
      </c>
      <c r="F113" s="504" t="s">
        <v>10558</v>
      </c>
      <c r="G113" s="504" t="s">
        <v>10559</v>
      </c>
      <c r="H113" s="504" t="s">
        <v>10560</v>
      </c>
      <c r="I113" s="504" t="s">
        <v>10561</v>
      </c>
      <c r="J113" s="504" t="s">
        <v>10562</v>
      </c>
      <c r="K113" s="504" t="s">
        <v>10563</v>
      </c>
      <c r="L113" s="504" t="s">
        <v>10564</v>
      </c>
      <c r="M113" s="506" t="s">
        <v>10565</v>
      </c>
    </row>
    <row r="114" spans="1:13" ht="14.4" customHeight="1">
      <c r="A114" s="4" t="str" cm="1">
        <f t="array" ref="A114">_xlfn.IFS(
template_selected_display_language='Footnote (Taxonomy) Labels'!$B$1,'Footnote (Taxonomy) Labels'!$B114,
template_selected_display_language='Footnote (Taxonomy) Labels'!$C$1,'Footnote (Taxonomy) Labels'!$C114,
template_selected_display_language='Footnote (Taxonomy) Labels'!$D$1,'Footnote (Taxonomy) Labels'!$D114,
template_selected_display_language='Footnote (Taxonomy) Labels'!$E$1,'Footnote (Taxonomy) Labels'!$E114,
template_selected_display_language='Footnote (Taxonomy) Labels'!$F$1,'Footnote (Taxonomy) Labels'!$F114,
template_selected_display_language='Footnote (Taxonomy) Labels'!$G$1,'Footnote (Taxonomy) Labels'!$G114,
template_selected_display_language='Footnote (Taxonomy) Labels'!$H$1,'Footnote (Taxonomy) Labels'!$H114,
template_selected_display_language='Footnote (Taxonomy) Labels'!$I$1,'Footnote (Taxonomy) Labels'!$I114,
template_selected_display_language='Footnote (Taxonomy) Labels'!$J$1,'Footnote (Taxonomy) Labels'!$J114,
template_selected_display_language='Footnote (Taxonomy) Labels'!$K$1,'Footnote (Taxonomy) Labels'!$K114,
template_selected_display_language='Footnote (Taxonomy) Labels'!$L$1,'Footnote (Taxonomy) Labels'!$L114,
template_selected_display_language='Footnote (Taxonomy) Labels'!$M$1,'Footnote (Taxonomy) Labels'!$M114
)</f>
        <v>Description of climate-related hazards and climate-related transition events</v>
      </c>
      <c r="B114" s="511" t="s">
        <v>6634</v>
      </c>
      <c r="C114" s="504" t="s">
        <v>6635</v>
      </c>
      <c r="D114" s="504" t="s">
        <v>10566</v>
      </c>
      <c r="E114" s="504" t="s">
        <v>10567</v>
      </c>
      <c r="F114" s="504" t="s">
        <v>10568</v>
      </c>
      <c r="G114" s="504" t="s">
        <v>10569</v>
      </c>
      <c r="H114" s="504" t="s">
        <v>6640</v>
      </c>
      <c r="I114" s="504" t="s">
        <v>10570</v>
      </c>
      <c r="J114" s="504" t="s">
        <v>10571</v>
      </c>
      <c r="K114" s="504" t="s">
        <v>10572</v>
      </c>
      <c r="L114" s="504" t="s">
        <v>10573</v>
      </c>
      <c r="M114" s="506" t="s">
        <v>10574</v>
      </c>
    </row>
    <row r="115" spans="1:13" ht="14.4" customHeight="1">
      <c r="A115" s="4" t="str" cm="1">
        <f t="array" ref="A115">_xlfn.IFS(
template_selected_display_language='Footnote (Taxonomy) Labels'!$B$1,'Footnote (Taxonomy) Labels'!$B115,
template_selected_display_language='Footnote (Taxonomy) Labels'!$C$1,'Footnote (Taxonomy) Labels'!$C115,
template_selected_display_language='Footnote (Taxonomy) Labels'!$D$1,'Footnote (Taxonomy) Labels'!$D115,
template_selected_display_language='Footnote (Taxonomy) Labels'!$E$1,'Footnote (Taxonomy) Labels'!$E115,
template_selected_display_language='Footnote (Taxonomy) Labels'!$F$1,'Footnote (Taxonomy) Labels'!$F115,
template_selected_display_language='Footnote (Taxonomy) Labels'!$G$1,'Footnote (Taxonomy) Labels'!$G115,
template_selected_display_language='Footnote (Taxonomy) Labels'!$H$1,'Footnote (Taxonomy) Labels'!$H115,
template_selected_display_language='Footnote (Taxonomy) Labels'!$I$1,'Footnote (Taxonomy) Labels'!$I115,
template_selected_display_language='Footnote (Taxonomy) Labels'!$J$1,'Footnote (Taxonomy) Labels'!$J115,
template_selected_display_language='Footnote (Taxonomy) Labels'!$K$1,'Footnote (Taxonomy) Labels'!$K115,
template_selected_display_language='Footnote (Taxonomy) Labels'!$L$1,'Footnote (Taxonomy) Labels'!$L115,
template_selected_display_language='Footnote (Taxonomy) Labels'!$M$1,'Footnote (Taxonomy) Labels'!$M115
)</f>
        <v>Disclosure of how it has assessed the exposure and sensitivity of its assets, activities and value chain to these hazards and transition events</v>
      </c>
      <c r="B115" s="511" t="s">
        <v>10575</v>
      </c>
      <c r="C115" s="504" t="s">
        <v>6648</v>
      </c>
      <c r="D115" s="504" t="s">
        <v>10576</v>
      </c>
      <c r="E115" s="504" t="s">
        <v>6650</v>
      </c>
      <c r="F115" s="504" t="s">
        <v>10577</v>
      </c>
      <c r="G115" s="504" t="s">
        <v>10578</v>
      </c>
      <c r="H115" s="504" t="s">
        <v>10579</v>
      </c>
      <c r="I115" s="504" t="s">
        <v>10580</v>
      </c>
      <c r="J115" s="504" t="s">
        <v>6655</v>
      </c>
      <c r="K115" s="504" t="s">
        <v>10581</v>
      </c>
      <c r="L115" s="504" t="s">
        <v>10582</v>
      </c>
      <c r="M115" s="506" t="s">
        <v>6656</v>
      </c>
    </row>
    <row r="116" spans="1:13" ht="14.4" customHeight="1">
      <c r="A116" s="4" t="str" cm="1">
        <f t="array" ref="A116">_xlfn.IFS(
template_selected_display_language='Footnote (Taxonomy) Labels'!$B$1,'Footnote (Taxonomy) Labels'!$B116,
template_selected_display_language='Footnote (Taxonomy) Labels'!$C$1,'Footnote (Taxonomy) Labels'!$C116,
template_selected_display_language='Footnote (Taxonomy) Labels'!$D$1,'Footnote (Taxonomy) Labels'!$D116,
template_selected_display_language='Footnote (Taxonomy) Labels'!$E$1,'Footnote (Taxonomy) Labels'!$E116,
template_selected_display_language='Footnote (Taxonomy) Labels'!$F$1,'Footnote (Taxonomy) Labels'!$F116,
template_selected_display_language='Footnote (Taxonomy) Labels'!$G$1,'Footnote (Taxonomy) Labels'!$G116,
template_selected_display_language='Footnote (Taxonomy) Labels'!$H$1,'Footnote (Taxonomy) Labels'!$H116,
template_selected_display_language='Footnote (Taxonomy) Labels'!$I$1,'Footnote (Taxonomy) Labels'!$I116,
template_selected_display_language='Footnote (Taxonomy) Labels'!$J$1,'Footnote (Taxonomy) Labels'!$J116,
template_selected_display_language='Footnote (Taxonomy) Labels'!$K$1,'Footnote (Taxonomy) Labels'!$K116,
template_selected_display_language='Footnote (Taxonomy) Labels'!$L$1,'Footnote (Taxonomy) Labels'!$L116,
template_selected_display_language='Footnote (Taxonomy) Labels'!$M$1,'Footnote (Taxonomy) Labels'!$M116
)</f>
        <v>Time horizons of any climate-related hazards and transition events identified</v>
      </c>
      <c r="B116" s="511" t="s">
        <v>6660</v>
      </c>
      <c r="C116" s="504" t="s">
        <v>10583</v>
      </c>
      <c r="D116" s="504" t="s">
        <v>10584</v>
      </c>
      <c r="E116" s="504" t="s">
        <v>6663</v>
      </c>
      <c r="F116" s="504" t="s">
        <v>6664</v>
      </c>
      <c r="G116" s="504" t="s">
        <v>10585</v>
      </c>
      <c r="H116" s="504" t="s">
        <v>10586</v>
      </c>
      <c r="I116" s="504" t="s">
        <v>10587</v>
      </c>
      <c r="J116" s="504" t="s">
        <v>6668</v>
      </c>
      <c r="K116" s="504" t="s">
        <v>10588</v>
      </c>
      <c r="L116" s="504" t="s">
        <v>10589</v>
      </c>
      <c r="M116" s="506" t="s">
        <v>6669</v>
      </c>
    </row>
    <row r="117" spans="1:13" ht="14.4" customHeight="1">
      <c r="A117" s="4" t="str" cm="1">
        <f t="array" ref="A117">_xlfn.IFS(
template_selected_display_language='Footnote (Taxonomy) Labels'!$B$1,'Footnote (Taxonomy) Labels'!$B117,
template_selected_display_language='Footnote (Taxonomy) Labels'!$C$1,'Footnote (Taxonomy) Labels'!$C117,
template_selected_display_language='Footnote (Taxonomy) Labels'!$D$1,'Footnote (Taxonomy) Labels'!$D117,
template_selected_display_language='Footnote (Taxonomy) Labels'!$E$1,'Footnote (Taxonomy) Labels'!$E117,
template_selected_display_language='Footnote (Taxonomy) Labels'!$F$1,'Footnote (Taxonomy) Labels'!$F117,
template_selected_display_language='Footnote (Taxonomy) Labels'!$G$1,'Footnote (Taxonomy) Labels'!$G117,
template_selected_display_language='Footnote (Taxonomy) Labels'!$H$1,'Footnote (Taxonomy) Labels'!$H117,
template_selected_display_language='Footnote (Taxonomy) Labels'!$I$1,'Footnote (Taxonomy) Labels'!$I117,
template_selected_display_language='Footnote (Taxonomy) Labels'!$J$1,'Footnote (Taxonomy) Labels'!$J117,
template_selected_display_language='Footnote (Taxonomy) Labels'!$K$1,'Footnote (Taxonomy) Labels'!$K117,
template_selected_display_language='Footnote (Taxonomy) Labels'!$L$1,'Footnote (Taxonomy) Labels'!$L117,
template_selected_display_language='Footnote (Taxonomy) Labels'!$M$1,'Footnote (Taxonomy) Labels'!$M117
)</f>
        <v>Disclosure of whether it has undertaken climate change adaptation actions for any climate related hazards and transition events</v>
      </c>
      <c r="B117" s="511" t="s">
        <v>10590</v>
      </c>
      <c r="C117" s="504" t="s">
        <v>10591</v>
      </c>
      <c r="D117" s="504" t="s">
        <v>10592</v>
      </c>
      <c r="E117" s="504" t="s">
        <v>6676</v>
      </c>
      <c r="F117" s="504" t="s">
        <v>6677</v>
      </c>
      <c r="G117" s="504" t="s">
        <v>10593</v>
      </c>
      <c r="H117" s="504" t="s">
        <v>6679</v>
      </c>
      <c r="I117" s="504" t="s">
        <v>10594</v>
      </c>
      <c r="J117" s="504" t="s">
        <v>6681</v>
      </c>
      <c r="K117" s="504" t="s">
        <v>10595</v>
      </c>
      <c r="L117" s="504" t="s">
        <v>10596</v>
      </c>
      <c r="M117" s="506" t="s">
        <v>10597</v>
      </c>
    </row>
    <row r="118" spans="1:13" ht="14.4" customHeight="1">
      <c r="A118" s="4" t="str" cm="1">
        <f t="array" ref="A118">_xlfn.IFS(
template_selected_display_language='Footnote (Taxonomy) Labels'!$B$1,'Footnote (Taxonomy) Labels'!$B118,
template_selected_display_language='Footnote (Taxonomy) Labels'!$C$1,'Footnote (Taxonomy) Labels'!$C118,
template_selected_display_language='Footnote (Taxonomy) Labels'!$D$1,'Footnote (Taxonomy) Labels'!$D118,
template_selected_display_language='Footnote (Taxonomy) Labels'!$E$1,'Footnote (Taxonomy) Labels'!$E118,
template_selected_display_language='Footnote (Taxonomy) Labels'!$F$1,'Footnote (Taxonomy) Labels'!$F118,
template_selected_display_language='Footnote (Taxonomy) Labels'!$G$1,'Footnote (Taxonomy) Labels'!$G118,
template_selected_display_language='Footnote (Taxonomy) Labels'!$H$1,'Footnote (Taxonomy) Labels'!$H118,
template_selected_display_language='Footnote (Taxonomy) Labels'!$I$1,'Footnote (Taxonomy) Labels'!$I118,
template_selected_display_language='Footnote (Taxonomy) Labels'!$J$1,'Footnote (Taxonomy) Labels'!$J118,
template_selected_display_language='Footnote (Taxonomy) Labels'!$K$1,'Footnote (Taxonomy) Labels'!$K118,
template_selected_display_language='Footnote (Taxonomy) Labels'!$L$1,'Footnote (Taxonomy) Labels'!$L118,
template_selected_display_language='Footnote (Taxonomy) Labels'!$M$1,'Footnote (Taxonomy) Labels'!$M118
)</f>
        <v>Potential adverse effects of climate risks that may affect its financial performance or business operations in the short-, medium- or long-term, indicating whether it assesses the risks to be high, medium or low</v>
      </c>
      <c r="B118" s="511" t="s">
        <v>10598</v>
      </c>
      <c r="C118" s="504" t="s">
        <v>10599</v>
      </c>
      <c r="D118" s="504" t="s">
        <v>10600</v>
      </c>
      <c r="E118" s="504" t="s">
        <v>6689</v>
      </c>
      <c r="F118" s="504" t="s">
        <v>10601</v>
      </c>
      <c r="G118" s="504" t="s">
        <v>10602</v>
      </c>
      <c r="H118" s="504" t="s">
        <v>6692</v>
      </c>
      <c r="I118" s="504" t="s">
        <v>10603</v>
      </c>
      <c r="J118" s="504" t="s">
        <v>6694</v>
      </c>
      <c r="K118" s="504" t="s">
        <v>10604</v>
      </c>
      <c r="L118" s="504" t="s">
        <v>10605</v>
      </c>
      <c r="M118" s="506" t="s">
        <v>10606</v>
      </c>
    </row>
    <row r="119" spans="1:13" ht="14.4" customHeight="1">
      <c r="A119" s="4" t="str" cm="1">
        <f t="array" ref="A119">_xlfn.IFS(
template_selected_display_language='Footnote (Taxonomy) Labels'!$B$1,'Footnote (Taxonomy) Labels'!$B119,
template_selected_display_language='Footnote (Taxonomy) Labels'!$C$1,'Footnote (Taxonomy) Labels'!$C119,
template_selected_display_language='Footnote (Taxonomy) Labels'!$D$1,'Footnote (Taxonomy) Labels'!$D119,
template_selected_display_language='Footnote (Taxonomy) Labels'!$E$1,'Footnote (Taxonomy) Labels'!$E119,
template_selected_display_language='Footnote (Taxonomy) Labels'!$F$1,'Footnote (Taxonomy) Labels'!$F119,
template_selected_display_language='Footnote (Taxonomy) Labels'!$G$1,'Footnote (Taxonomy) Labels'!$G119,
template_selected_display_language='Footnote (Taxonomy) Labels'!$H$1,'Footnote (Taxonomy) Labels'!$H119,
template_selected_display_language='Footnote (Taxonomy) Labels'!$I$1,'Footnote (Taxonomy) Labels'!$I119,
template_selected_display_language='Footnote (Taxonomy) Labels'!$J$1,'Footnote (Taxonomy) Labels'!$J119,
template_selected_display_language='Footnote (Taxonomy) Labels'!$K$1,'Footnote (Taxonomy) Labels'!$K119,
template_selected_display_language='Footnote (Taxonomy) Labels'!$L$1,'Footnote (Taxonomy) Labels'!$L119,
template_selected_display_language='Footnote (Taxonomy) Labels'!$M$1,'Footnote (Taxonomy) Labels'!$M119
)</f>
        <v>Female-to-male ratio at management level for the reporting period</v>
      </c>
      <c r="B119" s="511" t="s">
        <v>7200</v>
      </c>
      <c r="C119" s="504" t="s">
        <v>7201</v>
      </c>
      <c r="D119" s="504" t="s">
        <v>10607</v>
      </c>
      <c r="E119" s="504" t="s">
        <v>10608</v>
      </c>
      <c r="F119" s="504" t="s">
        <v>7204</v>
      </c>
      <c r="G119" s="504" t="s">
        <v>10609</v>
      </c>
      <c r="H119" s="504" t="s">
        <v>7206</v>
      </c>
      <c r="I119" s="504" t="s">
        <v>10610</v>
      </c>
      <c r="J119" s="504" t="s">
        <v>7208</v>
      </c>
      <c r="K119" s="504" t="s">
        <v>10611</v>
      </c>
      <c r="L119" s="504" t="s">
        <v>10612</v>
      </c>
      <c r="M119" s="506" t="s">
        <v>10613</v>
      </c>
    </row>
    <row r="120" spans="1:13" ht="14.4" customHeight="1">
      <c r="A120" s="4" t="str" cm="1">
        <f t="array" ref="A120">_xlfn.IFS(
template_selected_display_language='Footnote (Taxonomy) Labels'!$B$1,'Footnote (Taxonomy) Labels'!$B120,
template_selected_display_language='Footnote (Taxonomy) Labels'!$C$1,'Footnote (Taxonomy) Labels'!$C120,
template_selected_display_language='Footnote (Taxonomy) Labels'!$D$1,'Footnote (Taxonomy) Labels'!$D120,
template_selected_display_language='Footnote (Taxonomy) Labels'!$E$1,'Footnote (Taxonomy) Labels'!$E120,
template_selected_display_language='Footnote (Taxonomy) Labels'!$F$1,'Footnote (Taxonomy) Labels'!$F120,
template_selected_display_language='Footnote (Taxonomy) Labels'!$G$1,'Footnote (Taxonomy) Labels'!$G120,
template_selected_display_language='Footnote (Taxonomy) Labels'!$H$1,'Footnote (Taxonomy) Labels'!$H120,
template_selected_display_language='Footnote (Taxonomy) Labels'!$I$1,'Footnote (Taxonomy) Labels'!$I120,
template_selected_display_language='Footnote (Taxonomy) Labels'!$J$1,'Footnote (Taxonomy) Labels'!$J120,
template_selected_display_language='Footnote (Taxonomy) Labels'!$K$1,'Footnote (Taxonomy) Labels'!$K120,
template_selected_display_language='Footnote (Taxonomy) Labels'!$L$1,'Footnote (Taxonomy) Labels'!$L120,
template_selected_display_language='Footnote (Taxonomy) Labels'!$M$1,'Footnote (Taxonomy) Labels'!$M120
)</f>
        <v>Total number of self-employed workers without personnel that are working exclusively for the undertaking</v>
      </c>
      <c r="B120" s="511" t="s">
        <v>10614</v>
      </c>
      <c r="C120" s="504" t="s">
        <v>10615</v>
      </c>
      <c r="D120" s="504" t="s">
        <v>10616</v>
      </c>
      <c r="E120" s="504" t="s">
        <v>10617</v>
      </c>
      <c r="F120" s="504" t="s">
        <v>10618</v>
      </c>
      <c r="G120" s="504" t="s">
        <v>10619</v>
      </c>
      <c r="H120" s="504" t="s">
        <v>7219</v>
      </c>
      <c r="I120" s="504" t="s">
        <v>7220</v>
      </c>
      <c r="J120" s="504" t="s">
        <v>7221</v>
      </c>
      <c r="K120" s="504" t="s">
        <v>10620</v>
      </c>
      <c r="L120" s="504" t="s">
        <v>10621</v>
      </c>
      <c r="M120" s="506" t="s">
        <v>10622</v>
      </c>
    </row>
    <row r="121" spans="1:13" ht="14.4" customHeight="1">
      <c r="A121" s="4" t="str" cm="1">
        <f t="array" ref="A121">_xlfn.IFS(
template_selected_display_language='Footnote (Taxonomy) Labels'!$B$1,'Footnote (Taxonomy) Labels'!$B121,
template_selected_display_language='Footnote (Taxonomy) Labels'!$C$1,'Footnote (Taxonomy) Labels'!$C121,
template_selected_display_language='Footnote (Taxonomy) Labels'!$D$1,'Footnote (Taxonomy) Labels'!$D121,
template_selected_display_language='Footnote (Taxonomy) Labels'!$E$1,'Footnote (Taxonomy) Labels'!$E121,
template_selected_display_language='Footnote (Taxonomy) Labels'!$F$1,'Footnote (Taxonomy) Labels'!$F121,
template_selected_display_language='Footnote (Taxonomy) Labels'!$G$1,'Footnote (Taxonomy) Labels'!$G121,
template_selected_display_language='Footnote (Taxonomy) Labels'!$H$1,'Footnote (Taxonomy) Labels'!$H121,
template_selected_display_language='Footnote (Taxonomy) Labels'!$I$1,'Footnote (Taxonomy) Labels'!$I121,
template_selected_display_language='Footnote (Taxonomy) Labels'!$J$1,'Footnote (Taxonomy) Labels'!$J121,
template_selected_display_language='Footnote (Taxonomy) Labels'!$K$1,'Footnote (Taxonomy) Labels'!$K121,
template_selected_display_language='Footnote (Taxonomy) Labels'!$L$1,'Footnote (Taxonomy) Labels'!$L121,
template_selected_display_language='Footnote (Taxonomy) Labels'!$M$1,'Footnote (Taxonomy) Labels'!$M121
)</f>
        <v>Total number of temporary-workers provided by undertakings primarily engaged in employment activities</v>
      </c>
      <c r="B121" s="511" t="s">
        <v>10623</v>
      </c>
      <c r="C121" s="504" t="s">
        <v>7227</v>
      </c>
      <c r="D121" s="504" t="s">
        <v>10624</v>
      </c>
      <c r="E121" s="504" t="s">
        <v>10625</v>
      </c>
      <c r="F121" s="504" t="s">
        <v>10626</v>
      </c>
      <c r="G121" s="504" t="s">
        <v>10627</v>
      </c>
      <c r="H121" s="504" t="s">
        <v>7232</v>
      </c>
      <c r="I121" s="504" t="s">
        <v>7233</v>
      </c>
      <c r="J121" s="504" t="s">
        <v>7234</v>
      </c>
      <c r="K121" s="504" t="s">
        <v>7237</v>
      </c>
      <c r="L121" s="504" t="s">
        <v>10628</v>
      </c>
      <c r="M121" s="506" t="s">
        <v>10629</v>
      </c>
    </row>
    <row r="122" spans="1:13" ht="14.4" customHeight="1">
      <c r="A122" s="4" t="str" cm="1">
        <f t="array" ref="A122">_xlfn.IFS(
template_selected_display_language='Footnote (Taxonomy) Labels'!$B$1,'Footnote (Taxonomy) Labels'!$B122,
template_selected_display_language='Footnote (Taxonomy) Labels'!$C$1,'Footnote (Taxonomy) Labels'!$C122,
template_selected_display_language='Footnote (Taxonomy) Labels'!$D$1,'Footnote (Taxonomy) Labels'!$D122,
template_selected_display_language='Footnote (Taxonomy) Labels'!$E$1,'Footnote (Taxonomy) Labels'!$E122,
template_selected_display_language='Footnote (Taxonomy) Labels'!$F$1,'Footnote (Taxonomy) Labels'!$F122,
template_selected_display_language='Footnote (Taxonomy) Labels'!$G$1,'Footnote (Taxonomy) Labels'!$G122,
template_selected_display_language='Footnote (Taxonomy) Labels'!$H$1,'Footnote (Taxonomy) Labels'!$H122,
template_selected_display_language='Footnote (Taxonomy) Labels'!$I$1,'Footnote (Taxonomy) Labels'!$I122,
template_selected_display_language='Footnote (Taxonomy) Labels'!$J$1,'Footnote (Taxonomy) Labels'!$J122,
template_selected_display_language='Footnote (Taxonomy) Labels'!$K$1,'Footnote (Taxonomy) Labels'!$K122,
template_selected_display_language='Footnote (Taxonomy) Labels'!$L$1,'Footnote (Taxonomy) Labels'!$L122,
template_selected_display_language='Footnote (Taxonomy) Labels'!$M$1,'Footnote (Taxonomy) Labels'!$M122
)</f>
        <v>Undertaking has a code of conduct or human rights policy for its own workforce</v>
      </c>
      <c r="B122" s="511" t="s">
        <v>10630</v>
      </c>
      <c r="C122" s="504" t="s">
        <v>10631</v>
      </c>
      <c r="D122" s="504" t="s">
        <v>10632</v>
      </c>
      <c r="E122" s="504" t="s">
        <v>10633</v>
      </c>
      <c r="F122" s="504" t="s">
        <v>10634</v>
      </c>
      <c r="G122" s="504" t="s">
        <v>10635</v>
      </c>
      <c r="H122" s="504" t="s">
        <v>7255</v>
      </c>
      <c r="I122" s="504" t="s">
        <v>10636</v>
      </c>
      <c r="J122" s="504" t="s">
        <v>10637</v>
      </c>
      <c r="K122" s="504" t="s">
        <v>7260</v>
      </c>
      <c r="L122" s="504" t="s">
        <v>10638</v>
      </c>
      <c r="M122" s="506" t="s">
        <v>10639</v>
      </c>
    </row>
    <row r="123" spans="1:13" ht="14.4" customHeight="1">
      <c r="A123" s="4" t="str" cm="1">
        <f t="array" ref="A123">_xlfn.IFS(
template_selected_display_language='Footnote (Taxonomy) Labels'!$B$1,'Footnote (Taxonomy) Labels'!$B123,
template_selected_display_language='Footnote (Taxonomy) Labels'!$C$1,'Footnote (Taxonomy) Labels'!$C123,
template_selected_display_language='Footnote (Taxonomy) Labels'!$D$1,'Footnote (Taxonomy) Labels'!$D123,
template_selected_display_language='Footnote (Taxonomy) Labels'!$E$1,'Footnote (Taxonomy) Labels'!$E123,
template_selected_display_language='Footnote (Taxonomy) Labels'!$F$1,'Footnote (Taxonomy) Labels'!$F123,
template_selected_display_language='Footnote (Taxonomy) Labels'!$G$1,'Footnote (Taxonomy) Labels'!$G123,
template_selected_display_language='Footnote (Taxonomy) Labels'!$H$1,'Footnote (Taxonomy) Labels'!$H123,
template_selected_display_language='Footnote (Taxonomy) Labels'!$I$1,'Footnote (Taxonomy) Labels'!$I123,
template_selected_display_language='Footnote (Taxonomy) Labels'!$J$1,'Footnote (Taxonomy) Labels'!$J123,
template_selected_display_language='Footnote (Taxonomy) Labels'!$K$1,'Footnote (Taxonomy) Labels'!$K123,
template_selected_display_language='Footnote (Taxonomy) Labels'!$L$1,'Footnote (Taxonomy) Labels'!$L123,
template_selected_display_language='Footnote (Taxonomy) Labels'!$M$1,'Footnote (Taxonomy) Labels'!$M123
)</f>
        <v>Type of content covered by the code of conduct or human rights policy for its own workforce</v>
      </c>
      <c r="B123" s="511" t="s">
        <v>10640</v>
      </c>
      <c r="C123" s="504" t="s">
        <v>10641</v>
      </c>
      <c r="D123" s="504" t="s">
        <v>10642</v>
      </c>
      <c r="E123" s="504" t="s">
        <v>10643</v>
      </c>
      <c r="F123" s="504" t="s">
        <v>10644</v>
      </c>
      <c r="G123" s="504" t="s">
        <v>10645</v>
      </c>
      <c r="H123" s="504" t="s">
        <v>10646</v>
      </c>
      <c r="I123" s="504" t="s">
        <v>10647</v>
      </c>
      <c r="J123" s="504" t="s">
        <v>10648</v>
      </c>
      <c r="K123" s="504" t="s">
        <v>10649</v>
      </c>
      <c r="L123" s="504" t="s">
        <v>10650</v>
      </c>
      <c r="M123" s="506" t="s">
        <v>10651</v>
      </c>
    </row>
    <row r="124" spans="1:13" ht="14.4" customHeight="1">
      <c r="A124" s="4" t="str" cm="1">
        <f t="array" ref="A124">_xlfn.IFS(
template_selected_display_language='Footnote (Taxonomy) Labels'!$B$1,'Footnote (Taxonomy) Labels'!$B124,
template_selected_display_language='Footnote (Taxonomy) Labels'!$C$1,'Footnote (Taxonomy) Labels'!$C124,
template_selected_display_language='Footnote (Taxonomy) Labels'!$D$1,'Footnote (Taxonomy) Labels'!$D124,
template_selected_display_language='Footnote (Taxonomy) Labels'!$E$1,'Footnote (Taxonomy) Labels'!$E124,
template_selected_display_language='Footnote (Taxonomy) Labels'!$F$1,'Footnote (Taxonomy) Labels'!$F124,
template_selected_display_language='Footnote (Taxonomy) Labels'!$G$1,'Footnote (Taxonomy) Labels'!$G124,
template_selected_display_language='Footnote (Taxonomy) Labels'!$H$1,'Footnote (Taxonomy) Labels'!$H124,
template_selected_display_language='Footnote (Taxonomy) Labels'!$I$1,'Footnote (Taxonomy) Labels'!$I124,
template_selected_display_language='Footnote (Taxonomy) Labels'!$J$1,'Footnote (Taxonomy) Labels'!$J124,
template_selected_display_language='Footnote (Taxonomy) Labels'!$K$1,'Footnote (Taxonomy) Labels'!$K124,
template_selected_display_language='Footnote (Taxonomy) Labels'!$L$1,'Footnote (Taxonomy) Labels'!$L124,
template_selected_display_language='Footnote (Taxonomy) Labels'!$M$1,'Footnote (Taxonomy) Labels'!$M124
)</f>
        <v>Specification other types of content covered by the code of conduct or human rights policy</v>
      </c>
      <c r="B124" s="511" t="s">
        <v>10652</v>
      </c>
      <c r="C124" s="504" t="s">
        <v>10653</v>
      </c>
      <c r="D124" s="504" t="s">
        <v>10654</v>
      </c>
      <c r="E124" s="504" t="s">
        <v>10655</v>
      </c>
      <c r="F124" s="504" t="s">
        <v>10656</v>
      </c>
      <c r="G124" s="504" t="s">
        <v>10657</v>
      </c>
      <c r="H124" s="504" t="s">
        <v>10658</v>
      </c>
      <c r="I124" s="504" t="s">
        <v>10659</v>
      </c>
      <c r="J124" s="504" t="s">
        <v>10660</v>
      </c>
      <c r="K124" s="504" t="s">
        <v>10661</v>
      </c>
      <c r="L124" s="504" t="s">
        <v>10662</v>
      </c>
      <c r="M124" s="506" t="s">
        <v>10663</v>
      </c>
    </row>
    <row r="125" spans="1:13" ht="14.4" customHeight="1">
      <c r="A125" s="4" t="str" cm="1">
        <f t="array" ref="A125">_xlfn.IFS(
template_selected_display_language='Footnote (Taxonomy) Labels'!$B$1,'Footnote (Taxonomy) Labels'!$B125,
template_selected_display_language='Footnote (Taxonomy) Labels'!$C$1,'Footnote (Taxonomy) Labels'!$C125,
template_selected_display_language='Footnote (Taxonomy) Labels'!$D$1,'Footnote (Taxonomy) Labels'!$D125,
template_selected_display_language='Footnote (Taxonomy) Labels'!$E$1,'Footnote (Taxonomy) Labels'!$E125,
template_selected_display_language='Footnote (Taxonomy) Labels'!$F$1,'Footnote (Taxonomy) Labels'!$F125,
template_selected_display_language='Footnote (Taxonomy) Labels'!$G$1,'Footnote (Taxonomy) Labels'!$G125,
template_selected_display_language='Footnote (Taxonomy) Labels'!$H$1,'Footnote (Taxonomy) Labels'!$H125,
template_selected_display_language='Footnote (Taxonomy) Labels'!$I$1,'Footnote (Taxonomy) Labels'!$I125,
template_selected_display_language='Footnote (Taxonomy) Labels'!$J$1,'Footnote (Taxonomy) Labels'!$J125,
template_selected_display_language='Footnote (Taxonomy) Labels'!$K$1,'Footnote (Taxonomy) Labels'!$K125,
template_selected_display_language='Footnote (Taxonomy) Labels'!$L$1,'Footnote (Taxonomy) Labels'!$L125,
template_selected_display_language='Footnote (Taxonomy) Labels'!$M$1,'Footnote (Taxonomy) Labels'!$M125
)</f>
        <v>Undertaking has a complaint handling mechanism for its own workforce</v>
      </c>
      <c r="B125" s="511" t="s">
        <v>10664</v>
      </c>
      <c r="C125" s="504" t="s">
        <v>10665</v>
      </c>
      <c r="D125" s="504" t="s">
        <v>10666</v>
      </c>
      <c r="E125" s="504" t="s">
        <v>10667</v>
      </c>
      <c r="F125" s="504" t="s">
        <v>10668</v>
      </c>
      <c r="G125" s="504" t="s">
        <v>10669</v>
      </c>
      <c r="H125" s="504" t="s">
        <v>7370</v>
      </c>
      <c r="I125" s="504" t="s">
        <v>10670</v>
      </c>
      <c r="J125" s="504" t="s">
        <v>10671</v>
      </c>
      <c r="K125" s="504" t="s">
        <v>7375</v>
      </c>
      <c r="L125" s="504" t="s">
        <v>10672</v>
      </c>
      <c r="M125" s="506" t="s">
        <v>10673</v>
      </c>
    </row>
    <row r="126" spans="1:13" ht="14.4" customHeight="1">
      <c r="A126" s="4" t="str" cm="1">
        <f t="array" ref="A126">_xlfn.IFS(
template_selected_display_language='Footnote (Taxonomy) Labels'!$B$1,'Footnote (Taxonomy) Labels'!$B126,
template_selected_display_language='Footnote (Taxonomy) Labels'!$C$1,'Footnote (Taxonomy) Labels'!$C126,
template_selected_display_language='Footnote (Taxonomy) Labels'!$D$1,'Footnote (Taxonomy) Labels'!$D126,
template_selected_display_language='Footnote (Taxonomy) Labels'!$E$1,'Footnote (Taxonomy) Labels'!$E126,
template_selected_display_language='Footnote (Taxonomy) Labels'!$F$1,'Footnote (Taxonomy) Labels'!$F126,
template_selected_display_language='Footnote (Taxonomy) Labels'!$G$1,'Footnote (Taxonomy) Labels'!$G126,
template_selected_display_language='Footnote (Taxonomy) Labels'!$H$1,'Footnote (Taxonomy) Labels'!$H126,
template_selected_display_language='Footnote (Taxonomy) Labels'!$I$1,'Footnote (Taxonomy) Labels'!$I126,
template_selected_display_language='Footnote (Taxonomy) Labels'!$J$1,'Footnote (Taxonomy) Labels'!$J126,
template_selected_display_language='Footnote (Taxonomy) Labels'!$K$1,'Footnote (Taxonomy) Labels'!$K126,
template_selected_display_language='Footnote (Taxonomy) Labels'!$L$1,'Footnote (Taxonomy) Labels'!$L126,
template_selected_display_language='Footnote (Taxonomy) Labels'!$M$1,'Footnote (Taxonomy) Labels'!$M126
)</f>
        <v>Undertaking has confirmed human rights incidents in its own workforce</v>
      </c>
      <c r="B126" s="511" t="s">
        <v>10674</v>
      </c>
      <c r="C126" s="504" t="s">
        <v>10675</v>
      </c>
      <c r="D126" s="504" t="s">
        <v>10676</v>
      </c>
      <c r="E126" s="504" t="s">
        <v>10677</v>
      </c>
      <c r="F126" s="504" t="s">
        <v>10678</v>
      </c>
      <c r="G126" s="504" t="s">
        <v>10679</v>
      </c>
      <c r="H126" s="504" t="s">
        <v>10680</v>
      </c>
      <c r="I126" s="504" t="s">
        <v>10681</v>
      </c>
      <c r="J126" s="504" t="s">
        <v>10682</v>
      </c>
      <c r="K126" s="504" t="s">
        <v>10683</v>
      </c>
      <c r="L126" s="504" t="s">
        <v>10684</v>
      </c>
      <c r="M126" s="506" t="s">
        <v>10685</v>
      </c>
    </row>
    <row r="127" spans="1:13" ht="14.4" customHeight="1">
      <c r="A127" s="4" t="str" cm="1">
        <f t="array" ref="A127">_xlfn.IFS(
template_selected_display_language='Footnote (Taxonomy) Labels'!$B$1,'Footnote (Taxonomy) Labels'!$B127,
template_selected_display_language='Footnote (Taxonomy) Labels'!$C$1,'Footnote (Taxonomy) Labels'!$C127,
template_selected_display_language='Footnote (Taxonomy) Labels'!$D$1,'Footnote (Taxonomy) Labels'!$D127,
template_selected_display_language='Footnote (Taxonomy) Labels'!$E$1,'Footnote (Taxonomy) Labels'!$E127,
template_selected_display_language='Footnote (Taxonomy) Labels'!$F$1,'Footnote (Taxonomy) Labels'!$F127,
template_selected_display_language='Footnote (Taxonomy) Labels'!$G$1,'Footnote (Taxonomy) Labels'!$G127,
template_selected_display_language='Footnote (Taxonomy) Labels'!$H$1,'Footnote (Taxonomy) Labels'!$H127,
template_selected_display_language='Footnote (Taxonomy) Labels'!$I$1,'Footnote (Taxonomy) Labels'!$I127,
template_selected_display_language='Footnote (Taxonomy) Labels'!$J$1,'Footnote (Taxonomy) Labels'!$J127,
template_selected_display_language='Footnote (Taxonomy) Labels'!$K$1,'Footnote (Taxonomy) Labels'!$K127,
template_selected_display_language='Footnote (Taxonomy) Labels'!$L$1,'Footnote (Taxonomy) Labels'!$L127,
template_selected_display_language='Footnote (Taxonomy) Labels'!$M$1,'Footnote (Taxonomy) Labels'!$M127
)</f>
        <v>Type of human right related to the confirmed incident</v>
      </c>
      <c r="B127" s="511" t="s">
        <v>10686</v>
      </c>
      <c r="C127" s="504" t="s">
        <v>10687</v>
      </c>
      <c r="D127" s="504" t="s">
        <v>10688</v>
      </c>
      <c r="E127" s="504" t="s">
        <v>10689</v>
      </c>
      <c r="F127" s="504" t="s">
        <v>10690</v>
      </c>
      <c r="G127" s="504" t="s">
        <v>10691</v>
      </c>
      <c r="H127" s="504" t="s">
        <v>10692</v>
      </c>
      <c r="I127" s="504" t="s">
        <v>10693</v>
      </c>
      <c r="J127" s="504" t="s">
        <v>10694</v>
      </c>
      <c r="K127" s="504" t="s">
        <v>10695</v>
      </c>
      <c r="L127" s="504" t="s">
        <v>10696</v>
      </c>
      <c r="M127" s="506" t="s">
        <v>10697</v>
      </c>
    </row>
    <row r="128" spans="1:13" ht="14.4" customHeight="1">
      <c r="A128" s="4" t="str" cm="1">
        <f t="array" ref="A128">_xlfn.IFS(
template_selected_display_language='Footnote (Taxonomy) Labels'!$B$1,'Footnote (Taxonomy) Labels'!$B128,
template_selected_display_language='Footnote (Taxonomy) Labels'!$C$1,'Footnote (Taxonomy) Labels'!$C128,
template_selected_display_language='Footnote (Taxonomy) Labels'!$D$1,'Footnote (Taxonomy) Labels'!$D128,
template_selected_display_language='Footnote (Taxonomy) Labels'!$E$1,'Footnote (Taxonomy) Labels'!$E128,
template_selected_display_language='Footnote (Taxonomy) Labels'!$F$1,'Footnote (Taxonomy) Labels'!$F128,
template_selected_display_language='Footnote (Taxonomy) Labels'!$G$1,'Footnote (Taxonomy) Labels'!$G128,
template_selected_display_language='Footnote (Taxonomy) Labels'!$H$1,'Footnote (Taxonomy) Labels'!$H128,
template_selected_display_language='Footnote (Taxonomy) Labels'!$I$1,'Footnote (Taxonomy) Labels'!$I128,
template_selected_display_language='Footnote (Taxonomy) Labels'!$J$1,'Footnote (Taxonomy) Labels'!$J128,
template_selected_display_language='Footnote (Taxonomy) Labels'!$K$1,'Footnote (Taxonomy) Labels'!$K128,
template_selected_display_language='Footnote (Taxonomy) Labels'!$L$1,'Footnote (Taxonomy) Labels'!$L128,
template_selected_display_language='Footnote (Taxonomy) Labels'!$M$1,'Footnote (Taxonomy) Labels'!$M128
)</f>
        <v>Specification of other human rights related to the confirmed incident</v>
      </c>
      <c r="B128" s="511" t="s">
        <v>10698</v>
      </c>
      <c r="C128" s="504" t="s">
        <v>10699</v>
      </c>
      <c r="D128" s="504" t="s">
        <v>10700</v>
      </c>
      <c r="E128" s="504" t="s">
        <v>10701</v>
      </c>
      <c r="F128" s="504" t="s">
        <v>10702</v>
      </c>
      <c r="G128" s="504" t="s">
        <v>10703</v>
      </c>
      <c r="H128" s="504" t="s">
        <v>10704</v>
      </c>
      <c r="I128" s="504" t="s">
        <v>10705</v>
      </c>
      <c r="J128" s="504" t="s">
        <v>10706</v>
      </c>
      <c r="K128" s="504" t="s">
        <v>10707</v>
      </c>
      <c r="L128" s="504" t="s">
        <v>10708</v>
      </c>
      <c r="M128" s="506" t="s">
        <v>10709</v>
      </c>
    </row>
    <row r="129" spans="1:13" ht="14.4" customHeight="1">
      <c r="A129" s="4" t="str" cm="1">
        <f t="array" ref="A129">_xlfn.IFS(
template_selected_display_language='Footnote (Taxonomy) Labels'!$B$1,'Footnote (Taxonomy) Labels'!$B129,
template_selected_display_language='Footnote (Taxonomy) Labels'!$C$1,'Footnote (Taxonomy) Labels'!$C129,
template_selected_display_language='Footnote (Taxonomy) Labels'!$D$1,'Footnote (Taxonomy) Labels'!$D129,
template_selected_display_language='Footnote (Taxonomy) Labels'!$E$1,'Footnote (Taxonomy) Labels'!$E129,
template_selected_display_language='Footnote (Taxonomy) Labels'!$F$1,'Footnote (Taxonomy) Labels'!$F129,
template_selected_display_language='Footnote (Taxonomy) Labels'!$G$1,'Footnote (Taxonomy) Labels'!$G129,
template_selected_display_language='Footnote (Taxonomy) Labels'!$H$1,'Footnote (Taxonomy) Labels'!$H129,
template_selected_display_language='Footnote (Taxonomy) Labels'!$I$1,'Footnote (Taxonomy) Labels'!$I129,
template_selected_display_language='Footnote (Taxonomy) Labels'!$J$1,'Footnote (Taxonomy) Labels'!$J129,
template_selected_display_language='Footnote (Taxonomy) Labels'!$K$1,'Footnote (Taxonomy) Labels'!$K129,
template_selected_display_language='Footnote (Taxonomy) Labels'!$L$1,'Footnote (Taxonomy) Labels'!$L129,
template_selected_display_language='Footnote (Taxonomy) Labels'!$M$1,'Footnote (Taxonomy) Labels'!$M129
)</f>
        <v>Description of actions take to address the confirmed incidents</v>
      </c>
      <c r="B129" s="511" t="s">
        <v>10710</v>
      </c>
      <c r="C129" s="504" t="s">
        <v>10711</v>
      </c>
      <c r="D129" s="504" t="s">
        <v>10712</v>
      </c>
      <c r="E129" s="504" t="s">
        <v>7428</v>
      </c>
      <c r="F129" s="504" t="s">
        <v>7429</v>
      </c>
      <c r="G129" s="504" t="s">
        <v>10713</v>
      </c>
      <c r="H129" s="504" t="s">
        <v>7431</v>
      </c>
      <c r="I129" s="504" t="s">
        <v>10714</v>
      </c>
      <c r="J129" s="504" t="s">
        <v>10715</v>
      </c>
      <c r="K129" s="504" t="s">
        <v>10716</v>
      </c>
      <c r="L129" s="504" t="s">
        <v>7435</v>
      </c>
      <c r="M129" s="506" t="s">
        <v>7434</v>
      </c>
    </row>
    <row r="130" spans="1:13" ht="14.4" customHeight="1">
      <c r="A130" s="4" t="str" cm="1">
        <f t="array" ref="A130">_xlfn.IFS(
template_selected_display_language='Footnote (Taxonomy) Labels'!$B$1,'Footnote (Taxonomy) Labels'!$B130,
template_selected_display_language='Footnote (Taxonomy) Labels'!$C$1,'Footnote (Taxonomy) Labels'!$C130,
template_selected_display_language='Footnote (Taxonomy) Labels'!$D$1,'Footnote (Taxonomy) Labels'!$D130,
template_selected_display_language='Footnote (Taxonomy) Labels'!$E$1,'Footnote (Taxonomy) Labels'!$E130,
template_selected_display_language='Footnote (Taxonomy) Labels'!$F$1,'Footnote (Taxonomy) Labels'!$F130,
template_selected_display_language='Footnote (Taxonomy) Labels'!$G$1,'Footnote (Taxonomy) Labels'!$G130,
template_selected_display_language='Footnote (Taxonomy) Labels'!$H$1,'Footnote (Taxonomy) Labels'!$H130,
template_selected_display_language='Footnote (Taxonomy) Labels'!$I$1,'Footnote (Taxonomy) Labels'!$I130,
template_selected_display_language='Footnote (Taxonomy) Labels'!$J$1,'Footnote (Taxonomy) Labels'!$J130,
template_selected_display_language='Footnote (Taxonomy) Labels'!$K$1,'Footnote (Taxonomy) Labels'!$K130,
template_selected_display_language='Footnote (Taxonomy) Labels'!$L$1,'Footnote (Taxonomy) Labels'!$L130,
template_selected_display_language='Footnote (Taxonomy) Labels'!$M$1,'Footnote (Taxonomy) Labels'!$M130
)</f>
        <v>Undertaking aware of any confirmed incidents involving workers in the value chain, affected communities, consumers and end-users</v>
      </c>
      <c r="B130" s="511" t="s">
        <v>10717</v>
      </c>
      <c r="C130" s="504" t="s">
        <v>10718</v>
      </c>
      <c r="D130" s="504" t="s">
        <v>10719</v>
      </c>
      <c r="E130" s="504" t="s">
        <v>10720</v>
      </c>
      <c r="F130" s="504" t="s">
        <v>10721</v>
      </c>
      <c r="G130" s="504" t="s">
        <v>10722</v>
      </c>
      <c r="H130" s="504" t="s">
        <v>10723</v>
      </c>
      <c r="I130" s="504" t="s">
        <v>10724</v>
      </c>
      <c r="J130" s="504" t="s">
        <v>10725</v>
      </c>
      <c r="K130" s="504" t="s">
        <v>10726</v>
      </c>
      <c r="L130" s="504" t="s">
        <v>10727</v>
      </c>
      <c r="M130" s="506" t="s">
        <v>10728</v>
      </c>
    </row>
    <row r="131" spans="1:13" ht="14.4" customHeight="1">
      <c r="A131" s="4" t="str" cm="1">
        <f t="array" ref="A131">_xlfn.IFS(
template_selected_display_language='Footnote (Taxonomy) Labels'!$B$1,'Footnote (Taxonomy) Labels'!$B131,
template_selected_display_language='Footnote (Taxonomy) Labels'!$C$1,'Footnote (Taxonomy) Labels'!$C131,
template_selected_display_language='Footnote (Taxonomy) Labels'!$D$1,'Footnote (Taxonomy) Labels'!$D131,
template_selected_display_language='Footnote (Taxonomy) Labels'!$E$1,'Footnote (Taxonomy) Labels'!$E131,
template_selected_display_language='Footnote (Taxonomy) Labels'!$F$1,'Footnote (Taxonomy) Labels'!$F131,
template_selected_display_language='Footnote (Taxonomy) Labels'!$G$1,'Footnote (Taxonomy) Labels'!$G131,
template_selected_display_language='Footnote (Taxonomy) Labels'!$H$1,'Footnote (Taxonomy) Labels'!$H131,
template_selected_display_language='Footnote (Taxonomy) Labels'!$I$1,'Footnote (Taxonomy) Labels'!$I131,
template_selected_display_language='Footnote (Taxonomy) Labels'!$J$1,'Footnote (Taxonomy) Labels'!$J131,
template_selected_display_language='Footnote (Taxonomy) Labels'!$K$1,'Footnote (Taxonomy) Labels'!$K131,
template_selected_display_language='Footnote (Taxonomy) Labels'!$L$1,'Footnote (Taxonomy) Labels'!$L131,
template_selected_display_language='Footnote (Taxonomy) Labels'!$M$1,'Footnote (Taxonomy) Labels'!$M131
)</f>
        <v>Specification of any confirmed incident involving workers in the value chain, affected communities, consumers and end-users</v>
      </c>
      <c r="B131" s="511" t="s">
        <v>10729</v>
      </c>
      <c r="C131" s="504" t="s">
        <v>10730</v>
      </c>
      <c r="D131" s="504" t="s">
        <v>10731</v>
      </c>
      <c r="E131" s="504" t="s">
        <v>10732</v>
      </c>
      <c r="F131" s="504" t="s">
        <v>7455</v>
      </c>
      <c r="G131" s="504" t="s">
        <v>10733</v>
      </c>
      <c r="H131" s="504" t="s">
        <v>10734</v>
      </c>
      <c r="I131" s="504" t="s">
        <v>10735</v>
      </c>
      <c r="J131" s="504" t="s">
        <v>7459</v>
      </c>
      <c r="K131" s="504" t="s">
        <v>7462</v>
      </c>
      <c r="L131" s="504" t="s">
        <v>10736</v>
      </c>
      <c r="M131" s="506" t="s">
        <v>10737</v>
      </c>
    </row>
    <row r="132" spans="1:13" ht="14.4" customHeight="1">
      <c r="A132" s="4" t="str" cm="1">
        <f t="array" ref="A132">_xlfn.IFS(
template_selected_display_language='Footnote (Taxonomy) Labels'!$B$1,'Footnote (Taxonomy) Labels'!$B132,
template_selected_display_language='Footnote (Taxonomy) Labels'!$C$1,'Footnote (Taxonomy) Labels'!$C132,
template_selected_display_language='Footnote (Taxonomy) Labels'!$D$1,'Footnote (Taxonomy) Labels'!$D132,
template_selected_display_language='Footnote (Taxonomy) Labels'!$E$1,'Footnote (Taxonomy) Labels'!$E132,
template_selected_display_language='Footnote (Taxonomy) Labels'!$F$1,'Footnote (Taxonomy) Labels'!$F132,
template_selected_display_language='Footnote (Taxonomy) Labels'!$G$1,'Footnote (Taxonomy) Labels'!$G132,
template_selected_display_language='Footnote (Taxonomy) Labels'!$H$1,'Footnote (Taxonomy) Labels'!$H132,
template_selected_display_language='Footnote (Taxonomy) Labels'!$I$1,'Footnote (Taxonomy) Labels'!$I132,
template_selected_display_language='Footnote (Taxonomy) Labels'!$J$1,'Footnote (Taxonomy) Labels'!$J132,
template_selected_display_language='Footnote (Taxonomy) Labels'!$K$1,'Footnote (Taxonomy) Labels'!$K132,
template_selected_display_language='Footnote (Taxonomy) Labels'!$L$1,'Footnote (Taxonomy) Labels'!$L132,
template_selected_display_language='Footnote (Taxonomy) Labels'!$M$1,'Footnote (Taxonomy) Labels'!$M132
)</f>
        <v xml:space="preserve">Revenue derived from controversial weapons (anti-personnel mines, cluster munitions, chemical weapons and biological weapons) </v>
      </c>
      <c r="B132" s="511" t="s">
        <v>10738</v>
      </c>
      <c r="C132" s="504" t="s">
        <v>10739</v>
      </c>
      <c r="D132" s="504" t="s">
        <v>10740</v>
      </c>
      <c r="E132" s="504" t="s">
        <v>7565</v>
      </c>
      <c r="F132" s="504" t="s">
        <v>7566</v>
      </c>
      <c r="G132" s="504" t="s">
        <v>10741</v>
      </c>
      <c r="H132" s="504" t="s">
        <v>7568</v>
      </c>
      <c r="I132" s="504" t="s">
        <v>10742</v>
      </c>
      <c r="J132" s="504" t="s">
        <v>7570</v>
      </c>
      <c r="K132" s="504" t="s">
        <v>7573</v>
      </c>
      <c r="L132" s="504" t="s">
        <v>7572</v>
      </c>
      <c r="M132" s="506" t="s">
        <v>10743</v>
      </c>
    </row>
    <row r="133" spans="1:13" ht="14.4" customHeight="1">
      <c r="A133" s="4" t="str" cm="1">
        <f t="array" ref="A133">_xlfn.IFS(
template_selected_display_language='Footnote (Taxonomy) Labels'!$B$1,'Footnote (Taxonomy) Labels'!$B133,
template_selected_display_language='Footnote (Taxonomy) Labels'!$C$1,'Footnote (Taxonomy) Labels'!$C133,
template_selected_display_language='Footnote (Taxonomy) Labels'!$D$1,'Footnote (Taxonomy) Labels'!$D133,
template_selected_display_language='Footnote (Taxonomy) Labels'!$E$1,'Footnote (Taxonomy) Labels'!$E133,
template_selected_display_language='Footnote (Taxonomy) Labels'!$F$1,'Footnote (Taxonomy) Labels'!$F133,
template_selected_display_language='Footnote (Taxonomy) Labels'!$G$1,'Footnote (Taxonomy) Labels'!$G133,
template_selected_display_language='Footnote (Taxonomy) Labels'!$H$1,'Footnote (Taxonomy) Labels'!$H133,
template_selected_display_language='Footnote (Taxonomy) Labels'!$I$1,'Footnote (Taxonomy) Labels'!$I133,
template_selected_display_language='Footnote (Taxonomy) Labels'!$J$1,'Footnote (Taxonomy) Labels'!$J133,
template_selected_display_language='Footnote (Taxonomy) Labels'!$K$1,'Footnote (Taxonomy) Labels'!$K133,
template_selected_display_language='Footnote (Taxonomy) Labels'!$L$1,'Footnote (Taxonomy) Labels'!$L133,
template_selected_display_language='Footnote (Taxonomy) Labels'!$M$1,'Footnote (Taxonomy) Labels'!$M133
)</f>
        <v>Revenue derived from cultivation and production of tobacco</v>
      </c>
      <c r="B133" s="511" t="s">
        <v>7575</v>
      </c>
      <c r="C133" s="504" t="s">
        <v>7576</v>
      </c>
      <c r="D133" s="504" t="s">
        <v>10744</v>
      </c>
      <c r="E133" s="504" t="s">
        <v>7578</v>
      </c>
      <c r="F133" s="504" t="s">
        <v>7579</v>
      </c>
      <c r="G133" s="504" t="s">
        <v>10745</v>
      </c>
      <c r="H133" s="504" t="s">
        <v>10746</v>
      </c>
      <c r="I133" s="504" t="s">
        <v>10747</v>
      </c>
      <c r="J133" s="504" t="s">
        <v>7583</v>
      </c>
      <c r="K133" s="504" t="s">
        <v>10748</v>
      </c>
      <c r="L133" s="504" t="s">
        <v>7585</v>
      </c>
      <c r="M133" s="506" t="s">
        <v>7584</v>
      </c>
    </row>
    <row r="134" spans="1:13" ht="14.4" customHeight="1">
      <c r="A134" s="4" t="str" cm="1">
        <f t="array" ref="A134">_xlfn.IFS(
template_selected_display_language='Footnote (Taxonomy) Labels'!$B$1,'Footnote (Taxonomy) Labels'!$B134,
template_selected_display_language='Footnote (Taxonomy) Labels'!$C$1,'Footnote (Taxonomy) Labels'!$C134,
template_selected_display_language='Footnote (Taxonomy) Labels'!$D$1,'Footnote (Taxonomy) Labels'!$D134,
template_selected_display_language='Footnote (Taxonomy) Labels'!$E$1,'Footnote (Taxonomy) Labels'!$E134,
template_selected_display_language='Footnote (Taxonomy) Labels'!$F$1,'Footnote (Taxonomy) Labels'!$F134,
template_selected_display_language='Footnote (Taxonomy) Labels'!$G$1,'Footnote (Taxonomy) Labels'!$G134,
template_selected_display_language='Footnote (Taxonomy) Labels'!$H$1,'Footnote (Taxonomy) Labels'!$H134,
template_selected_display_language='Footnote (Taxonomy) Labels'!$I$1,'Footnote (Taxonomy) Labels'!$I134,
template_selected_display_language='Footnote (Taxonomy) Labels'!$J$1,'Footnote (Taxonomy) Labels'!$J134,
template_selected_display_language='Footnote (Taxonomy) Labels'!$K$1,'Footnote (Taxonomy) Labels'!$K134,
template_selected_display_language='Footnote (Taxonomy) Labels'!$L$1,'Footnote (Taxonomy) Labels'!$L134,
template_selected_display_language='Footnote (Taxonomy) Labels'!$M$1,'Footnote (Taxonomy) Labels'!$M134
)</f>
        <v>Total revenues derived from fossil (fuel, coal and gas) sector</v>
      </c>
      <c r="B134" s="511" t="s">
        <v>10749</v>
      </c>
      <c r="C134" s="504" t="s">
        <v>10750</v>
      </c>
      <c r="D134" s="504" t="s">
        <v>10751</v>
      </c>
      <c r="E134" s="504" t="s">
        <v>10752</v>
      </c>
      <c r="F134" s="504" t="s">
        <v>10753</v>
      </c>
      <c r="G134" s="504" t="s">
        <v>10754</v>
      </c>
      <c r="H134" s="504" t="s">
        <v>10755</v>
      </c>
      <c r="I134" s="504" t="s">
        <v>10756</v>
      </c>
      <c r="J134" s="504" t="s">
        <v>10757</v>
      </c>
      <c r="K134" s="504" t="s">
        <v>10758</v>
      </c>
      <c r="L134" s="504" t="s">
        <v>10759</v>
      </c>
      <c r="M134" s="506" t="s">
        <v>10760</v>
      </c>
    </row>
    <row r="135" spans="1:13" ht="14.4" customHeight="1">
      <c r="A135" s="4" t="str" cm="1">
        <f t="array" ref="A135">_xlfn.IFS(
template_selected_display_language='Footnote (Taxonomy) Labels'!$B$1,'Footnote (Taxonomy) Labels'!$B135,
template_selected_display_language='Footnote (Taxonomy) Labels'!$C$1,'Footnote (Taxonomy) Labels'!$C135,
template_selected_display_language='Footnote (Taxonomy) Labels'!$D$1,'Footnote (Taxonomy) Labels'!$D135,
template_selected_display_language='Footnote (Taxonomy) Labels'!$E$1,'Footnote (Taxonomy) Labels'!$E135,
template_selected_display_language='Footnote (Taxonomy) Labels'!$F$1,'Footnote (Taxonomy) Labels'!$F135,
template_selected_display_language='Footnote (Taxonomy) Labels'!$G$1,'Footnote (Taxonomy) Labels'!$G135,
template_selected_display_language='Footnote (Taxonomy) Labels'!$H$1,'Footnote (Taxonomy) Labels'!$H135,
template_selected_display_language='Footnote (Taxonomy) Labels'!$I$1,'Footnote (Taxonomy) Labels'!$I135,
template_selected_display_language='Footnote (Taxonomy) Labels'!$J$1,'Footnote (Taxonomy) Labels'!$J135,
template_selected_display_language='Footnote (Taxonomy) Labels'!$K$1,'Footnote (Taxonomy) Labels'!$K135,
template_selected_display_language='Footnote (Taxonomy) Labels'!$L$1,'Footnote (Taxonomy) Labels'!$L135,
template_selected_display_language='Footnote (Taxonomy) Labels'!$M$1,'Footnote (Taxonomy) Labels'!$M135
)</f>
        <v>Revenue derived from coal</v>
      </c>
      <c r="B135" s="511" t="s">
        <v>7588</v>
      </c>
      <c r="C135" s="504" t="s">
        <v>10761</v>
      </c>
      <c r="D135" s="504" t="s">
        <v>7590</v>
      </c>
      <c r="E135" s="504" t="s">
        <v>7591</v>
      </c>
      <c r="F135" s="504" t="s">
        <v>7592</v>
      </c>
      <c r="G135" s="504" t="s">
        <v>10762</v>
      </c>
      <c r="H135" s="504" t="s">
        <v>7594</v>
      </c>
      <c r="I135" s="504" t="s">
        <v>10763</v>
      </c>
      <c r="J135" s="504" t="s">
        <v>7596</v>
      </c>
      <c r="K135" s="504" t="s">
        <v>7599</v>
      </c>
      <c r="L135" s="504" t="s">
        <v>7598</v>
      </c>
      <c r="M135" s="506" t="s">
        <v>10764</v>
      </c>
    </row>
    <row r="136" spans="1:13" ht="14.4" customHeight="1">
      <c r="A136" s="4" t="str" cm="1">
        <f t="array" ref="A136">_xlfn.IFS(
template_selected_display_language='Footnote (Taxonomy) Labels'!$B$1,'Footnote (Taxonomy) Labels'!$B136,
template_selected_display_language='Footnote (Taxonomy) Labels'!$C$1,'Footnote (Taxonomy) Labels'!$C136,
template_selected_display_language='Footnote (Taxonomy) Labels'!$D$1,'Footnote (Taxonomy) Labels'!$D136,
template_selected_display_language='Footnote (Taxonomy) Labels'!$E$1,'Footnote (Taxonomy) Labels'!$E136,
template_selected_display_language='Footnote (Taxonomy) Labels'!$F$1,'Footnote (Taxonomy) Labels'!$F136,
template_selected_display_language='Footnote (Taxonomy) Labels'!$G$1,'Footnote (Taxonomy) Labels'!$G136,
template_selected_display_language='Footnote (Taxonomy) Labels'!$H$1,'Footnote (Taxonomy) Labels'!$H136,
template_selected_display_language='Footnote (Taxonomy) Labels'!$I$1,'Footnote (Taxonomy) Labels'!$I136,
template_selected_display_language='Footnote (Taxonomy) Labels'!$J$1,'Footnote (Taxonomy) Labels'!$J136,
template_selected_display_language='Footnote (Taxonomy) Labels'!$K$1,'Footnote (Taxonomy) Labels'!$K136,
template_selected_display_language='Footnote (Taxonomy) Labels'!$L$1,'Footnote (Taxonomy) Labels'!$L136,
template_selected_display_language='Footnote (Taxonomy) Labels'!$M$1,'Footnote (Taxonomy) Labels'!$M136
)</f>
        <v>Revenue derived from oil</v>
      </c>
      <c r="B136" s="511" t="s">
        <v>7601</v>
      </c>
      <c r="C136" s="504" t="s">
        <v>10765</v>
      </c>
      <c r="D136" s="504" t="s">
        <v>7603</v>
      </c>
      <c r="E136" s="504" t="s">
        <v>7604</v>
      </c>
      <c r="F136" s="504" t="s">
        <v>7605</v>
      </c>
      <c r="G136" s="504" t="s">
        <v>10766</v>
      </c>
      <c r="H136" s="504" t="s">
        <v>7607</v>
      </c>
      <c r="I136" s="504" t="s">
        <v>7608</v>
      </c>
      <c r="J136" s="504" t="s">
        <v>7609</v>
      </c>
      <c r="K136" s="504" t="s">
        <v>7612</v>
      </c>
      <c r="L136" s="504" t="s">
        <v>7611</v>
      </c>
      <c r="M136" s="506" t="s">
        <v>10767</v>
      </c>
    </row>
    <row r="137" spans="1:13" ht="14.4" customHeight="1">
      <c r="A137" s="4" t="str" cm="1">
        <f t="array" ref="A137">_xlfn.IFS(
template_selected_display_language='Footnote (Taxonomy) Labels'!$B$1,'Footnote (Taxonomy) Labels'!$B137,
template_selected_display_language='Footnote (Taxonomy) Labels'!$C$1,'Footnote (Taxonomy) Labels'!$C137,
template_selected_display_language='Footnote (Taxonomy) Labels'!$D$1,'Footnote (Taxonomy) Labels'!$D137,
template_selected_display_language='Footnote (Taxonomy) Labels'!$E$1,'Footnote (Taxonomy) Labels'!$E137,
template_selected_display_language='Footnote (Taxonomy) Labels'!$F$1,'Footnote (Taxonomy) Labels'!$F137,
template_selected_display_language='Footnote (Taxonomy) Labels'!$G$1,'Footnote (Taxonomy) Labels'!$G137,
template_selected_display_language='Footnote (Taxonomy) Labels'!$H$1,'Footnote (Taxonomy) Labels'!$H137,
template_selected_display_language='Footnote (Taxonomy) Labels'!$I$1,'Footnote (Taxonomy) Labels'!$I137,
template_selected_display_language='Footnote (Taxonomy) Labels'!$J$1,'Footnote (Taxonomy) Labels'!$J137,
template_selected_display_language='Footnote (Taxonomy) Labels'!$K$1,'Footnote (Taxonomy) Labels'!$K137,
template_selected_display_language='Footnote (Taxonomy) Labels'!$L$1,'Footnote (Taxonomy) Labels'!$L137,
template_selected_display_language='Footnote (Taxonomy) Labels'!$M$1,'Footnote (Taxonomy) Labels'!$M137
)</f>
        <v>Revenue derived from gas</v>
      </c>
      <c r="B137" s="511" t="s">
        <v>7614</v>
      </c>
      <c r="C137" s="504" t="s">
        <v>10768</v>
      </c>
      <c r="D137" s="504" t="s">
        <v>10769</v>
      </c>
      <c r="E137" s="504" t="s">
        <v>7617</v>
      </c>
      <c r="F137" s="504" t="s">
        <v>7618</v>
      </c>
      <c r="G137" s="504" t="s">
        <v>10770</v>
      </c>
      <c r="H137" s="504" t="s">
        <v>7620</v>
      </c>
      <c r="I137" s="504" t="s">
        <v>7621</v>
      </c>
      <c r="J137" s="504" t="s">
        <v>7622</v>
      </c>
      <c r="K137" s="504" t="s">
        <v>7625</v>
      </c>
      <c r="L137" s="504" t="s">
        <v>7624</v>
      </c>
      <c r="M137" s="506" t="s">
        <v>10771</v>
      </c>
    </row>
    <row r="138" spans="1:13" ht="14.4" customHeight="1">
      <c r="A138" s="4" t="str" cm="1">
        <f t="array" ref="A138">_xlfn.IFS(
template_selected_display_language='Footnote (Taxonomy) Labels'!$B$1,'Footnote (Taxonomy) Labels'!$B138,
template_selected_display_language='Footnote (Taxonomy) Labels'!$C$1,'Footnote (Taxonomy) Labels'!$C138,
template_selected_display_language='Footnote (Taxonomy) Labels'!$D$1,'Footnote (Taxonomy) Labels'!$D138,
template_selected_display_language='Footnote (Taxonomy) Labels'!$E$1,'Footnote (Taxonomy) Labels'!$E138,
template_selected_display_language='Footnote (Taxonomy) Labels'!$F$1,'Footnote (Taxonomy) Labels'!$F138,
template_selected_display_language='Footnote (Taxonomy) Labels'!$G$1,'Footnote (Taxonomy) Labels'!$G138,
template_selected_display_language='Footnote (Taxonomy) Labels'!$H$1,'Footnote (Taxonomy) Labels'!$H138,
template_selected_display_language='Footnote (Taxonomy) Labels'!$I$1,'Footnote (Taxonomy) Labels'!$I138,
template_selected_display_language='Footnote (Taxonomy) Labels'!$J$1,'Footnote (Taxonomy) Labels'!$J138,
template_selected_display_language='Footnote (Taxonomy) Labels'!$K$1,'Footnote (Taxonomy) Labels'!$K138,
template_selected_display_language='Footnote (Taxonomy) Labels'!$L$1,'Footnote (Taxonomy) Labels'!$L138,
template_selected_display_language='Footnote (Taxonomy) Labels'!$M$1,'Footnote (Taxonomy) Labels'!$M138
)</f>
        <v>Revenue derived from chemical production</v>
      </c>
      <c r="B138" s="511" t="s">
        <v>10772</v>
      </c>
      <c r="C138" s="504" t="s">
        <v>10773</v>
      </c>
      <c r="D138" s="504" t="s">
        <v>10774</v>
      </c>
      <c r="E138" s="504" t="s">
        <v>7643</v>
      </c>
      <c r="F138" s="504" t="s">
        <v>7644</v>
      </c>
      <c r="G138" s="504" t="s">
        <v>7645</v>
      </c>
      <c r="H138" s="504" t="s">
        <v>7646</v>
      </c>
      <c r="I138" s="504" t="s">
        <v>7647</v>
      </c>
      <c r="J138" s="504" t="s">
        <v>7648</v>
      </c>
      <c r="K138" s="504" t="s">
        <v>10775</v>
      </c>
      <c r="L138" s="504" t="s">
        <v>10776</v>
      </c>
      <c r="M138" s="506" t="s">
        <v>10777</v>
      </c>
    </row>
    <row r="139" spans="1:13" ht="14.4" customHeight="1">
      <c r="A139" s="4" t="str" cm="1">
        <f t="array" ref="A139">_xlfn.IFS(
template_selected_display_language='Footnote (Taxonomy) Labels'!$B$1,'Footnote (Taxonomy) Labels'!$B139,
template_selected_display_language='Footnote (Taxonomy) Labels'!$C$1,'Footnote (Taxonomy) Labels'!$C139,
template_selected_display_language='Footnote (Taxonomy) Labels'!$D$1,'Footnote (Taxonomy) Labels'!$D139,
template_selected_display_language='Footnote (Taxonomy) Labels'!$E$1,'Footnote (Taxonomy) Labels'!$E139,
template_selected_display_language='Footnote (Taxonomy) Labels'!$F$1,'Footnote (Taxonomy) Labels'!$F139,
template_selected_display_language='Footnote (Taxonomy) Labels'!$G$1,'Footnote (Taxonomy) Labels'!$G139,
template_selected_display_language='Footnote (Taxonomy) Labels'!$H$1,'Footnote (Taxonomy) Labels'!$H139,
template_selected_display_language='Footnote (Taxonomy) Labels'!$I$1,'Footnote (Taxonomy) Labels'!$I139,
template_selected_display_language='Footnote (Taxonomy) Labels'!$J$1,'Footnote (Taxonomy) Labels'!$J139,
template_selected_display_language='Footnote (Taxonomy) Labels'!$K$1,'Footnote (Taxonomy) Labels'!$K139,
template_selected_display_language='Footnote (Taxonomy) Labels'!$L$1,'Footnote (Taxonomy) Labels'!$L139,
template_selected_display_language='Footnote (Taxonomy) Labels'!$M$1,'Footnote (Taxonomy) Labels'!$M139
)</f>
        <v xml:space="preserve">Undertakings are excluded from any EU reference benchmarks that are aligned with the Paris Agreement </v>
      </c>
      <c r="B139" s="511" t="s">
        <v>10778</v>
      </c>
      <c r="C139" s="504" t="s">
        <v>10779</v>
      </c>
      <c r="D139" s="504" t="s">
        <v>10780</v>
      </c>
      <c r="E139" s="504" t="s">
        <v>10781</v>
      </c>
      <c r="F139" s="504" t="s">
        <v>10782</v>
      </c>
      <c r="G139" s="504" t="s">
        <v>10783</v>
      </c>
      <c r="H139" s="504" t="s">
        <v>10784</v>
      </c>
      <c r="I139" s="504" t="s">
        <v>10785</v>
      </c>
      <c r="J139" s="504" t="s">
        <v>10786</v>
      </c>
      <c r="K139" s="504" t="s">
        <v>10787</v>
      </c>
      <c r="L139" s="504" t="s">
        <v>10788</v>
      </c>
      <c r="M139" s="506" t="s">
        <v>10789</v>
      </c>
    </row>
    <row r="140" spans="1:13" ht="14.4" customHeight="1">
      <c r="A140" s="4" t="str" cm="1">
        <f t="array" ref="A140">_xlfn.IFS(
template_selected_display_language='Footnote (Taxonomy) Labels'!$B$1,'Footnote (Taxonomy) Labels'!$B140,
template_selected_display_language='Footnote (Taxonomy) Labels'!$C$1,'Footnote (Taxonomy) Labels'!$C140,
template_selected_display_language='Footnote (Taxonomy) Labels'!$D$1,'Footnote (Taxonomy) Labels'!$D140,
template_selected_display_language='Footnote (Taxonomy) Labels'!$E$1,'Footnote (Taxonomy) Labels'!$E140,
template_selected_display_language='Footnote (Taxonomy) Labels'!$F$1,'Footnote (Taxonomy) Labels'!$F140,
template_selected_display_language='Footnote (Taxonomy) Labels'!$G$1,'Footnote (Taxonomy) Labels'!$G140,
template_selected_display_language='Footnote (Taxonomy) Labels'!$H$1,'Footnote (Taxonomy) Labels'!$H140,
template_selected_display_language='Footnote (Taxonomy) Labels'!$I$1,'Footnote (Taxonomy) Labels'!$I140,
template_selected_display_language='Footnote (Taxonomy) Labels'!$J$1,'Footnote (Taxonomy) Labels'!$J140,
template_selected_display_language='Footnote (Taxonomy) Labels'!$K$1,'Footnote (Taxonomy) Labels'!$K140,
template_selected_display_language='Footnote (Taxonomy) Labels'!$L$1,'Footnote (Taxonomy) Labels'!$L140,
template_selected_display_language='Footnote (Taxonomy) Labels'!$M$1,'Footnote (Taxonomy) Labels'!$M140
)</f>
        <v>Gender diversity ratio in governance body</v>
      </c>
      <c r="B140" s="511" t="s">
        <v>7714</v>
      </c>
      <c r="C140" s="504" t="s">
        <v>10790</v>
      </c>
      <c r="D140" s="504" t="s">
        <v>10791</v>
      </c>
      <c r="E140" s="504" t="s">
        <v>10792</v>
      </c>
      <c r="F140" s="504" t="s">
        <v>10793</v>
      </c>
      <c r="G140" s="504" t="s">
        <v>10794</v>
      </c>
      <c r="H140" s="504" t="s">
        <v>7669</v>
      </c>
      <c r="I140" s="504" t="s">
        <v>10795</v>
      </c>
      <c r="J140" s="504" t="s">
        <v>7721</v>
      </c>
      <c r="K140" s="504" t="s">
        <v>7724</v>
      </c>
      <c r="L140" s="504" t="s">
        <v>10796</v>
      </c>
      <c r="M140" s="506" t="s">
        <v>7722</v>
      </c>
    </row>
    <row r="141" spans="1:13" ht="14.4" customHeight="1">
      <c r="A141" s="4" t="str" cm="1">
        <f t="array" ref="A141">_xlfn.IFS(
template_selected_display_language='Footnote (Taxonomy) Labels'!$B$1,'Footnote (Taxonomy) Labels'!$B141,
template_selected_display_language='Footnote (Taxonomy) Labels'!$C$1,'Footnote (Taxonomy) Labels'!$C141,
template_selected_display_language='Footnote (Taxonomy) Labels'!$D$1,'Footnote (Taxonomy) Labels'!$D141,
template_selected_display_language='Footnote (Taxonomy) Labels'!$E$1,'Footnote (Taxonomy) Labels'!$E141,
template_selected_display_language='Footnote (Taxonomy) Labels'!$F$1,'Footnote (Taxonomy) Labels'!$F141,
template_selected_display_language='Footnote (Taxonomy) Labels'!$G$1,'Footnote (Taxonomy) Labels'!$G141,
template_selected_display_language='Footnote (Taxonomy) Labels'!$H$1,'Footnote (Taxonomy) Labels'!$H141,
template_selected_display_language='Footnote (Taxonomy) Labels'!$I$1,'Footnote (Taxonomy) Labels'!$I141,
template_selected_display_language='Footnote (Taxonomy) Labels'!$J$1,'Footnote (Taxonomy) Labels'!$J141,
template_selected_display_language='Footnote (Taxonomy) Labels'!$K$1,'Footnote (Taxonomy) Labels'!$K141,
template_selected_display_language='Footnote (Taxonomy) Labels'!$L$1,'Footnote (Taxonomy) Labels'!$L141,
template_selected_display_language='Footnote (Taxonomy) Labels'!$M$1,'Footnote (Taxonomy) Labels'!$M141
)</f>
        <v>Disclosure of any other general and/or entity specific information</v>
      </c>
      <c r="B141" s="511" t="s">
        <v>10797</v>
      </c>
      <c r="C141" s="504" t="s">
        <v>10798</v>
      </c>
      <c r="D141" s="504" t="s">
        <v>10799</v>
      </c>
      <c r="E141" s="504" t="s">
        <v>10800</v>
      </c>
      <c r="F141" s="504" t="s">
        <v>10801</v>
      </c>
      <c r="G141" s="504" t="s">
        <v>10802</v>
      </c>
      <c r="H141" s="504" t="s">
        <v>10803</v>
      </c>
      <c r="I141" s="504" t="s">
        <v>10804</v>
      </c>
      <c r="J141" s="504" t="s">
        <v>10805</v>
      </c>
      <c r="K141" s="504" t="s">
        <v>10806</v>
      </c>
      <c r="L141" s="504" t="s">
        <v>10807</v>
      </c>
      <c r="M141" s="506" t="s">
        <v>10808</v>
      </c>
    </row>
    <row r="142" spans="1:13" ht="14.4" customHeight="1">
      <c r="A142" s="4" t="str" cm="1">
        <f t="array" ref="A142">_xlfn.IFS(
template_selected_display_language='Footnote (Taxonomy) Labels'!$B$1,'Footnote (Taxonomy) Labels'!$B142,
template_selected_display_language='Footnote (Taxonomy) Labels'!$C$1,'Footnote (Taxonomy) Labels'!$C142,
template_selected_display_language='Footnote (Taxonomy) Labels'!$D$1,'Footnote (Taxonomy) Labels'!$D142,
template_selected_display_language='Footnote (Taxonomy) Labels'!$E$1,'Footnote (Taxonomy) Labels'!$E142,
template_selected_display_language='Footnote (Taxonomy) Labels'!$F$1,'Footnote (Taxonomy) Labels'!$F142,
template_selected_display_language='Footnote (Taxonomy) Labels'!$G$1,'Footnote (Taxonomy) Labels'!$G142,
template_selected_display_language='Footnote (Taxonomy) Labels'!$H$1,'Footnote (Taxonomy) Labels'!$H142,
template_selected_display_language='Footnote (Taxonomy) Labels'!$I$1,'Footnote (Taxonomy) Labels'!$I142,
template_selected_display_language='Footnote (Taxonomy) Labels'!$J$1,'Footnote (Taxonomy) Labels'!$J142,
template_selected_display_language='Footnote (Taxonomy) Labels'!$K$1,'Footnote (Taxonomy) Labels'!$K142,
template_selected_display_language='Footnote (Taxonomy) Labels'!$L$1,'Footnote (Taxonomy) Labels'!$L142,
template_selected_display_language='Footnote (Taxonomy) Labels'!$M$1,'Footnote (Taxonomy) Labels'!$M142
)</f>
        <v>Disclosure of any other environmental and or/entity specific environmental disclosures</v>
      </c>
      <c r="B142" s="511" t="s">
        <v>10809</v>
      </c>
      <c r="C142" s="504" t="s">
        <v>6700</v>
      </c>
      <c r="D142" s="504" t="s">
        <v>10810</v>
      </c>
      <c r="E142" s="504" t="s">
        <v>6702</v>
      </c>
      <c r="F142" s="504" t="s">
        <v>6703</v>
      </c>
      <c r="G142" s="504" t="s">
        <v>10811</v>
      </c>
      <c r="H142" s="504" t="s">
        <v>6705</v>
      </c>
      <c r="I142" s="504" t="s">
        <v>6706</v>
      </c>
      <c r="J142" s="504" t="s">
        <v>6707</v>
      </c>
      <c r="K142" s="504" t="s">
        <v>6710</v>
      </c>
      <c r="L142" s="504" t="s">
        <v>10812</v>
      </c>
      <c r="M142" s="506" t="s">
        <v>6708</v>
      </c>
    </row>
    <row r="143" spans="1:13" ht="14.4" customHeight="1">
      <c r="A143" s="4" t="str" cm="1">
        <f t="array" ref="A143">_xlfn.IFS(
template_selected_display_language='Footnote (Taxonomy) Labels'!$B$1,'Footnote (Taxonomy) Labels'!$B143,
template_selected_display_language='Footnote (Taxonomy) Labels'!$C$1,'Footnote (Taxonomy) Labels'!$C143,
template_selected_display_language='Footnote (Taxonomy) Labels'!$D$1,'Footnote (Taxonomy) Labels'!$D143,
template_selected_display_language='Footnote (Taxonomy) Labels'!$E$1,'Footnote (Taxonomy) Labels'!$E143,
template_selected_display_language='Footnote (Taxonomy) Labels'!$F$1,'Footnote (Taxonomy) Labels'!$F143,
template_selected_display_language='Footnote (Taxonomy) Labels'!$G$1,'Footnote (Taxonomy) Labels'!$G143,
template_selected_display_language='Footnote (Taxonomy) Labels'!$H$1,'Footnote (Taxonomy) Labels'!$H143,
template_selected_display_language='Footnote (Taxonomy) Labels'!$I$1,'Footnote (Taxonomy) Labels'!$I143,
template_selected_display_language='Footnote (Taxonomy) Labels'!$J$1,'Footnote (Taxonomy) Labels'!$J143,
template_selected_display_language='Footnote (Taxonomy) Labels'!$K$1,'Footnote (Taxonomy) Labels'!$K143,
template_selected_display_language='Footnote (Taxonomy) Labels'!$L$1,'Footnote (Taxonomy) Labels'!$L143,
template_selected_display_language='Footnote (Taxonomy) Labels'!$M$1,'Footnote (Taxonomy) Labels'!$M143
)</f>
        <v>Disclosure of any other social and or/entity specific social disclosures</v>
      </c>
      <c r="B143" s="511" t="s">
        <v>10813</v>
      </c>
      <c r="C143" s="504" t="s">
        <v>10814</v>
      </c>
      <c r="D143" s="504" t="s">
        <v>10815</v>
      </c>
      <c r="E143" s="504" t="s">
        <v>7467</v>
      </c>
      <c r="F143" s="504" t="s">
        <v>7468</v>
      </c>
      <c r="G143" s="504" t="s">
        <v>7469</v>
      </c>
      <c r="H143" s="504" t="s">
        <v>7470</v>
      </c>
      <c r="I143" s="504" t="s">
        <v>7471</v>
      </c>
      <c r="J143" s="504" t="s">
        <v>7472</v>
      </c>
      <c r="K143" s="504" t="s">
        <v>7475</v>
      </c>
      <c r="L143" s="504" t="s">
        <v>10816</v>
      </c>
      <c r="M143" s="506" t="s">
        <v>7473</v>
      </c>
    </row>
    <row r="144" spans="1:13" ht="14.4" customHeight="1" thickBot="1">
      <c r="A144" s="5" t="str" cm="1">
        <f t="array" ref="A144">_xlfn.IFS(
template_selected_display_language='Footnote (Taxonomy) Labels'!$B$1,'Footnote (Taxonomy) Labels'!$B144,
template_selected_display_language='Footnote (Taxonomy) Labels'!$C$1,'Footnote (Taxonomy) Labels'!$C144,
template_selected_display_language='Footnote (Taxonomy) Labels'!$D$1,'Footnote (Taxonomy) Labels'!$D144,
template_selected_display_language='Footnote (Taxonomy) Labels'!$E$1,'Footnote (Taxonomy) Labels'!$E144,
template_selected_display_language='Footnote (Taxonomy) Labels'!$F$1,'Footnote (Taxonomy) Labels'!$F144,
template_selected_display_language='Footnote (Taxonomy) Labels'!$G$1,'Footnote (Taxonomy) Labels'!$G144,
template_selected_display_language='Footnote (Taxonomy) Labels'!$H$1,'Footnote (Taxonomy) Labels'!$H144,
template_selected_display_language='Footnote (Taxonomy) Labels'!$I$1,'Footnote (Taxonomy) Labels'!$I144,
template_selected_display_language='Footnote (Taxonomy) Labels'!$J$1,'Footnote (Taxonomy) Labels'!$J144,
template_selected_display_language='Footnote (Taxonomy) Labels'!$K$1,'Footnote (Taxonomy) Labels'!$K144,
template_selected_display_language='Footnote (Taxonomy) Labels'!$L$1,'Footnote (Taxonomy) Labels'!$L144,
template_selected_display_language='Footnote (Taxonomy) Labels'!$M$1,'Footnote (Taxonomy) Labels'!$M144
)</f>
        <v>Disclosure of any other governance and or/entity specific governance disclosures</v>
      </c>
      <c r="B144" s="512" t="s">
        <v>10817</v>
      </c>
      <c r="C144" s="507" t="s">
        <v>7727</v>
      </c>
      <c r="D144" s="507" t="s">
        <v>7728</v>
      </c>
      <c r="E144" s="507" t="s">
        <v>7729</v>
      </c>
      <c r="F144" s="507" t="s">
        <v>7730</v>
      </c>
      <c r="G144" s="507" t="s">
        <v>7731</v>
      </c>
      <c r="H144" s="507" t="s">
        <v>7732</v>
      </c>
      <c r="I144" s="507" t="s">
        <v>7733</v>
      </c>
      <c r="J144" s="507" t="s">
        <v>7734</v>
      </c>
      <c r="K144" s="507" t="s">
        <v>7737</v>
      </c>
      <c r="L144" s="507" t="s">
        <v>10818</v>
      </c>
      <c r="M144" s="508" t="s">
        <v>7735</v>
      </c>
    </row>
  </sheetData>
  <sheetProtection algorithmName="SHA-512" hashValue="tCdsy/gFC5oHKk/WfwCCzlzKt4TsGFO0iyH7lYZyjKU1MhQIVvjX0MyreKOsKqxmQMc1vhj0VmLthYwxMJC0Ow==" saltValue="QEu4dJHstVrC/miEyJu7x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microsoft.com/office/2006/documentManagement/types"/>
    <ds:schemaRef ds:uri="http://purl.org/dc/terms/"/>
    <ds:schemaRef ds:uri="http://purl.org/dc/elements/1.1/"/>
    <ds:schemaRef ds:uri="http://schemas.microsoft.com/office/infopath/2007/PartnerControls"/>
    <ds:schemaRef ds:uri="http://purl.org/dc/dcmitype/"/>
    <ds:schemaRef ds:uri="http://www.w3.org/XML/1998/namespace"/>
    <ds:schemaRef ds:uri="http://schemas.openxmlformats.org/package/2006/metadata/core-properties"/>
    <ds:schemaRef ds:uri="1daca54f-5fb0-46da-90de-dff88369e459"/>
    <ds:schemaRef ds:uri="http://schemas.microsoft.com/office/2006/metadata/propertie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815</vt:i4>
      </vt:variant>
    </vt:vector>
  </HeadingPairs>
  <TitlesOfParts>
    <vt:vector size="832" baseType="lpstr">
      <vt:lpstr>Language Selection</vt:lpstr>
      <vt:lpstr>Introduction</vt:lpstr>
      <vt:lpstr>Table of Contents &amp; Validation</vt:lpstr>
      <vt:lpstr>General Information</vt:lpstr>
      <vt:lpstr>Environmental Disclosures</vt:lpstr>
      <vt:lpstr>Social Disclosures</vt:lpstr>
      <vt:lpstr>Governance Disclosures</vt:lpstr>
      <vt:lpstr>Footnotes</vt:lpstr>
      <vt:lpstr>Fuel Converter</vt:lpstr>
      <vt:lpstr>Fuel Conversion Parameters</vt:lpstr>
      <vt:lpstr>Unit Of Measurement Converter</vt:lpstr>
      <vt:lpstr>Enumeration Lists</vt:lpstr>
      <vt:lpstr>Translations</vt:lpstr>
      <vt:lpstr>Changes</vt:lpstr>
      <vt:lpstr>Technical Sheet</vt:lpstr>
      <vt:lpstr>Licence</vt:lpstr>
      <vt:lpstr>Footnote (Taxonomy) Labels</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AmountOfWaterConsumedAtSitesLocatedInAreasWithWaterStress</vt:lpstr>
      <vt:lpstr>AreaOfSiteInBiodiversitySensitiveArea</vt:lpstr>
      <vt:lpstr>Assets</vt:lpstr>
      <vt:lpstr>AverageNumberOfAnnualTrainingHoursPerEmployee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enum_list_mass_volume</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ExplicitStatementOfCompliance</vt:lpstr>
      <vt:lpstr>FemaleToMaleRatioAtManagementLevelForTheReportingPeriod</vt:lpstr>
      <vt:lpstr>FinancialInvestmentInTheCapitalOrAssetsOfSocialEconomyEntities</vt:lpstr>
      <vt:lpstr>footnote_ref_concept</vt:lpstr>
      <vt:lpstr>footnote_ref_dimension</vt:lpstr>
      <vt:lpstr>footnote_table</vt:lpstr>
      <vt:lpstr>footnote_text</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vt:lpstr>
      <vt:lpstr>ListOfSitesTable</vt:lpstr>
      <vt:lpstr>ListOfSubsidiaryTable</vt:lpstr>
      <vt:lpstr>MostSeniorLevelInTheUndertakingAccountableForImplementationOfPracticesPoliciesAndFutureInitiatives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PercentageOfWasteDivertedToPreparationForReuse</vt:lpstr>
      <vt:lpstr>PercentageOfWasteDivertedToRecycling</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RevenueDerivedFromCultivationAndProductionOfTobacco</vt:lpstr>
      <vt:lpstr>RevenueDerivedFromGas</vt:lpstr>
      <vt:lpstr>RevenueDerivedFromOil</vt:lpstr>
      <vt:lpstr>RevenueDerivedFromTheProhibitedWeaponsIndustryAntiPersonnelMinesClusterMunitionsChemicalWeaponsAndBiologicalWeapons</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SumOfFatalitiesAsAResultOfRecordableWorkRelatedAccidentsAndRecordableWorkRelatedIllHealth</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template_b3_total_energy_consumption_in_MWh</vt:lpstr>
      <vt:lpstr>template_b4_pollution_of_air_water_and_soil</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template_b8_workforce_general_characteristics_type_of_contract</vt:lpstr>
      <vt:lpstr>template_b9_workforce_health_and_safety</vt:lpstr>
      <vt:lpstr>template_box_for_customizable_docx_files_for_narrative_disclosures</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template_c8_revenues_from_certain_sectors</vt:lpstr>
      <vt:lpstr>template_c9_gender_diversity_ratio_in_the_governance_body</vt:lpstr>
      <vt:lpstr>template_checkbox_b1_certifications_or_labels</vt:lpstr>
      <vt:lpstr>template_checkbox_b1_certifications_or_labels_docx</vt:lpstr>
      <vt:lpstr>template_checkbox_b1_list_of_sites</vt:lpstr>
      <vt:lpstr>template_checkbox_b1_list_of_subsidiaries</vt:lpstr>
      <vt:lpstr>template_checkbox_b1_other_undertakings_information</vt:lpstr>
      <vt:lpstr>template_checkbox_b10_number_annual_training_hours_per_employee</vt:lpstr>
      <vt:lpstr>template_checkbox_b10_remuneration_and_collective_bargaining</vt:lpstr>
      <vt:lpstr>template_checkbox_b11_convitions_and_fines_for_corruption_and_bribery</vt:lpstr>
      <vt:lpstr>template_checkbox_b2_cooperative_specific_disclosures</vt:lpstr>
      <vt:lpstr>template_checkbox_b2_practices_policies_and_future_initiatives</vt:lpstr>
      <vt:lpstr>template_checkbox_b3_breakdown_of_energy_consumption</vt:lpstr>
      <vt:lpstr>template_checkbox_b3_estimated_ghg_emissions</vt:lpstr>
      <vt:lpstr>template_checkbox_b3_total_energy_consumption</vt:lpstr>
      <vt:lpstr>template_checkbox_b4_pollution_of_air_water_and_soil</vt:lpstr>
      <vt:lpstr>template_checkbox_b5_sites_in_biodiversity_sensitive_areas</vt:lpstr>
      <vt:lpstr>template_checkbox_b6_water_consumption</vt:lpstr>
      <vt:lpstr>template_checkbox_b6_water_withdrawal</vt:lpstr>
      <vt:lpstr>template_checkbox_b7_annual_mass_flow_of_materials</vt:lpstr>
      <vt:lpstr>template_checkbox_b7_description_of_circular_economy_principles</vt:lpstr>
      <vt:lpstr>template_checkbox_b7_description_of_circular_economy_principles_docx</vt:lpstr>
      <vt:lpstr>template_checkbox_b7_waste_generated</vt:lpstr>
      <vt:lpstr>template_checkbox_b8_country_of_employment</vt:lpstr>
      <vt:lpstr>template_checkbox_b8_gender</vt:lpstr>
      <vt:lpstr>template_checkbox_b8_type_of_contract</vt:lpstr>
      <vt:lpstr>template_checkbox_b9_health_and_safety</vt:lpstr>
      <vt:lpstr>template_checkbox_c1_strategy_business_model_and_sustainability_initiatives</vt:lpstr>
      <vt:lpstr>template_checkbox_c1_strategy_business_model_and_sustainability_initiatives_docx</vt:lpstr>
      <vt:lpstr>template_checkbox_c2_description_of_practices_policies_and_future_initiatives</vt:lpstr>
      <vt:lpstr>template_checkbox_c2_description_of_practices_policies_and_future_initiatives_docx</vt:lpstr>
      <vt:lpstr>template_checkbox_c3_ghg_reduction_targets</vt:lpstr>
      <vt:lpstr>template_checkbox_c3_list_of_main_actions_to_achieve_targets</vt:lpstr>
      <vt:lpstr>template_checkbox_c3_list_of_main_actions_to_achieve_targets_docx</vt:lpstr>
      <vt:lpstr>template_checkbox_c3_transition_plan</vt:lpstr>
      <vt:lpstr>template_checkbox_c3_transition_plan_docx</vt:lpstr>
      <vt:lpstr>template_checkbox_c4_climate_risks</vt:lpstr>
      <vt:lpstr>template_checkbox_c4_climate_risks_docx</vt:lpstr>
      <vt:lpstr>template_checkbox_c5_additional_workforce_characteristics</vt:lpstr>
      <vt:lpstr>template_checkbox_c6_additional_own_workforce_information</vt:lpstr>
      <vt:lpstr>template_checkbox_c6_additional_own_workforce_information_docx</vt:lpstr>
      <vt:lpstr>template_checkbox_c7_severe_negative_human_rights_incidents</vt:lpstr>
      <vt:lpstr>template_checkbox_c7_severe_negative_human_rights_incidents_docx</vt:lpstr>
      <vt:lpstr>template_checkbox_c8_revenues_from_certain_activities</vt:lpstr>
      <vt:lpstr>template_checkbox_c9_gender_diversity_ratio</vt:lpstr>
      <vt:lpstr>template_checkbox_entity_specific_environmental_disclosures</vt:lpstr>
      <vt:lpstr>template_checkbox_entity_specific_environmental_disclosures_docx</vt:lpstr>
      <vt:lpstr>template_checkbox_entity_specific_governance_disclosures</vt:lpstr>
      <vt:lpstr>template_checkbox_entity_specific_governance_disclosures_docx</vt:lpstr>
      <vt:lpstr>template_checkbox_entity_specific_social_disclosures</vt:lpstr>
      <vt:lpstr>template_checkbox_entity_specific_social_disclosures_docx</vt:lpstr>
      <vt:lpstr>template_checkbox_introduction</vt:lpstr>
      <vt:lpstr>template_checkbox_introduction_docx</vt:lpstr>
      <vt:lpstr>template_classified_or_sensitive_information</vt:lpstr>
      <vt:lpstr>template_currency</vt:lpstr>
      <vt:lpstr>template_disclaimer_cover_page</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template_external_values</vt:lpstr>
      <vt:lpstr>template_filling_sensitive_checkboxes</vt:lpstr>
      <vt:lpstr>template_footnote_expansion_button</vt:lpstr>
      <vt:lpstr>template_footnote_labels_taxonomy</vt:lpstr>
      <vt:lpstr>template_footnote_technical_name</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template_label_1_purchased_goods_and_services</vt:lpstr>
      <vt:lpstr>template_label_10_further_notes_can_be_found_below</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template_label_2_find_more_information_on_the_actual_disclosure_requirements_in_the_voluntary_standard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template_label_amount</vt:lpstr>
      <vt:lpstr>template_label_amount_in</vt:lpstr>
      <vt:lpstr>template_label_amount_of_water_consumed_at_sites_located_in_areas_with_water_stress</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template_label_b3_estimated_absolute_greenhouse_gas_emissions</vt:lpstr>
      <vt:lpstr>template_label_b3_total_energy_consumption</vt:lpstr>
      <vt:lpstr>template_label_b4_pollution_of_air_water_and_soil</vt:lpstr>
      <vt:lpstr>template_label_b4_pollution_of_air_water_and_soil_validation</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template_label_buttons_footnotes</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template_label_c7_human_rights_incidents</vt:lpstr>
      <vt:lpstr>template_label_c7_human_rights_incidents_validation</vt:lpstr>
      <vt:lpstr>template_label_c8_revenues_from_certain_activities_validation</vt:lpstr>
      <vt:lpstr>template_label_c8_revenues_from_certain_sectors</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template_label_choice_between_100_or_500_full_time_workers</vt:lpstr>
      <vt:lpstr>template_label_circular_economy_and_resource_use</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template_label_density_kg_over_l</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template_label_disclosure_part_of_vs_guidance</vt:lpstr>
      <vt:lpstr>template_label_disclosure_selection</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template_label_footnote_id</vt:lpstr>
      <vt:lpstr>template_label_footnote_instructions</vt:lpstr>
      <vt:lpstr>template_label_footnote_text</vt:lpstr>
      <vt:lpstr>template_label_for_further_information_contact_email</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template_label_indicates_that_the_datapoint_often_a_condition_will_not_be_included_in_the_vs_and_digital_xbrl_report</vt:lpstr>
      <vt:lpstr>template_label_indicates_that_the_disclosure_is_from_the_general_principles_of_the_vs</vt:lpstr>
      <vt:lpstr>template_label_indicates_that_the_disclosure_is_from_the_vs_basic_module</vt:lpstr>
      <vt:lpstr>template_label_indicates_that_the_disclosure_is_from_the_vs_comprehensive_module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template_label_introduction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template_label_limits_to_the_distribution_of_profits</vt:lpstr>
      <vt:lpstr>template_label_link_to_previous_report_containing_disclosures_that_remain_unchanged</vt:lpstr>
      <vt:lpstr>template_label_liquid_warning</vt:lpstr>
      <vt:lpstr>template_label_list_of_omitted_disclosures</vt:lpstr>
      <vt:lpstr>template_label_lists_can_be_expanded_using_the_plus_button_on_the_left</vt:lpstr>
      <vt:lpstr>template_label_main_title_of_report_text</vt:lpstr>
      <vt:lpstr>template_label_male</vt:lpstr>
      <vt:lpstr>template_label_mass</vt:lpstr>
      <vt:lpstr>template_label_mass_gaseous_fuels</vt:lpstr>
      <vt:lpstr>template_label_mass_liquid_fuels</vt:lpstr>
      <vt:lpstr>template_label_mass_to_volume</vt:lpstr>
      <vt:lpstr>template_label_mass_to_volume_instruction</vt:lpstr>
      <vt:lpstr>template_label_mass_volume</vt:lpstr>
      <vt:lpstr>template_label_microenterprise_validation</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template_label_name_of_biodiversity_sensitive_area</vt:lpstr>
      <vt:lpstr>template_label_name_of_the_key_material</vt:lpstr>
      <vt:lpstr>template_label_name_of_the_reporting_entity</vt:lpstr>
      <vt:lpstr>template_label_no_value_can_be_entered_in_the_cell</vt:lpstr>
      <vt:lpstr>template_label_non_renewable</vt:lpstr>
      <vt:lpstr>template_label_none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template_label_percentage_gap_in_pay_condition_of_applicability</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template_label_pollutant</vt:lpstr>
      <vt:lpstr>template_label_pollution</vt:lpstr>
      <vt:lpstr>template_label_postal_code</vt:lpstr>
      <vt:lpstr>template_label_potential_adverse_effects_of_climate_risks</vt:lpstr>
      <vt:lpstr>template_label_proportion_of_waste_diverted_to_preparation_for_reuse</vt:lpstr>
      <vt:lpstr>template_label_proportion_of_waste_diverted_to_recycling</vt:lpstr>
      <vt:lpstr>template_label_publication_date</vt:lpstr>
      <vt:lpstr>template_label_rate_of_recordable_work_related_accidents_in_the_reporting_period</vt:lpstr>
      <vt:lpstr>template_label_rate_per_100_or_500_full_time_workers_over_a_yearly_timeframe</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template_label_required_to_report_to_competent_authorities_by_EU_or_national_law_its_emissions_to_pollutants</vt:lpstr>
      <vt:lpstr>template_label_revenue_derived_from_chemicals_production</vt:lpstr>
      <vt:lpstr>template_label_revenue_derived_from_coal</vt:lpstr>
      <vt:lpstr>template_label_revenue_derived_from_cultivation_and_production_of_tobacco</vt:lpstr>
      <vt:lpstr>template_label_revenue_derived_from_gas</vt:lpstr>
      <vt:lpstr>template_label_revenue_derived_from_oil</vt:lpstr>
      <vt:lpstr>template_label_revenue_derived_from_the_prohibited_weapons_industry</vt:lpstr>
      <vt:lpstr>template_label_row_id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template_label_statement_of_compliance</vt:lpstr>
      <vt:lpstr>template_label_status_of_implementation_of_a_transition_plan_in_relation_to_climate_change_mitigation</vt:lpstr>
      <vt:lpstr>template_label_steps_to_follow_for_the_mass_table</vt:lpstr>
      <vt:lpstr>template_label_subject_to_legal_restrictions_sum_of_fatalities_as_a_result_of_recordable_work_related_accidents_and_recordable_work_related_ill_health</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template_label_total_number_of_employees_in_headcount</vt:lpstr>
      <vt:lpstr>template_label_total_number_of_hours_worked_in_a_year_by_all_employees_in_the_reporting_period</vt:lpstr>
      <vt:lpstr>template_label_total_number_of_training_hours_offered_to_and_completed__by_employees</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template_label_total_waste_generated_mass</vt:lpstr>
      <vt:lpstr>template_label_total_waste_generated_percent</vt:lpstr>
      <vt:lpstr>template_label_total_waste_generated_volume</vt:lpstr>
      <vt:lpstr>template_label_total_waste_percentage_preparation_mass</vt:lpstr>
      <vt:lpstr>template_label_total_waste_percentage_preparation_volume</vt:lpstr>
      <vt:lpstr>template_label_total_waste_percentage_recycling_mass</vt:lpstr>
      <vt:lpstr>template_label_total_waste_percentage_recycling_volume</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template_label_validation_missing_value_error_value_inconsistency_invalid_url</vt:lpstr>
      <vt:lpstr>template_label_validation_missing_value_error_velue_inconsistency_invalid_url</vt:lpstr>
      <vt:lpstr>template_label_validation_ok</vt:lpstr>
      <vt:lpstr>template_label_value_inconsistency</vt:lpstr>
      <vt:lpstr>template_label_version</vt:lpstr>
      <vt:lpstr>template_label_volume</vt:lpstr>
      <vt:lpstr>template_label_vs_digital_template</vt:lpstr>
      <vt:lpstr>template_label_warning_microsoft_excel</vt:lpstr>
      <vt:lpstr>template_label_water_and_marine_resources</vt:lpstr>
      <vt:lpstr>template_label_water_discharge_from_undertaking_production_processes</vt:lpstr>
      <vt:lpstr>template_label_weight_or_volume_of_waste_generated</vt:lpstr>
      <vt:lpstr>template_label_workers_in_the_value_chain</vt:lpstr>
      <vt:lpstr>template_label_XBRL_facts_in_report</vt:lpstr>
      <vt:lpstr>template_label_year</vt:lpstr>
      <vt:lpstr>template_label_year_date</vt:lpstr>
      <vt:lpstr>template_language_selection</vt:lpstr>
      <vt:lpstr>template_narrative_content_provided_as_external_docx_file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template_vs_digital_template_sample</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TotalMassOfMaterialUsed</vt:lpstr>
      <vt:lpstr>TotalMassOfMaterialUsed_unit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TotalVolumeOfMaterialUsed</vt:lpstr>
      <vt:lpstr>TotalVolumeOfMaterialUsed_unit</vt:lpstr>
      <vt:lpstr>TotalWasteGeneratedMass</vt:lpstr>
      <vt:lpstr>TotalWasteGeneratedMass_unit</vt:lpstr>
      <vt:lpstr>TotalWasteGeneratedVolume</vt:lpstr>
      <vt:lpstr>TotalWasteGeneratedVolume_unit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UndertakingsLegalForm</vt:lpstr>
      <vt:lpstr>URLOrLinkToThePubliclyAvailableDisclosure</vt:lpstr>
      <vt:lpstr>VolumeOfMaterialUsed</vt:lpstr>
      <vt:lpstr>VolumeOfMaterialUsed_unit</vt:lpstr>
      <vt:lpstr>WasteGeneratedMass</vt:lpstr>
      <vt:lpstr>WasteGeneratedMass_unit</vt:lpstr>
      <vt:lpstr>WasteGeneratedTable</vt:lpstr>
      <vt:lpstr>WasteGeneratedVolume</vt:lpstr>
      <vt:lpstr>WasteGeneratedVolume_unit</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2026-09-03T20:19:02Z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